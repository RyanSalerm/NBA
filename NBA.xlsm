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07rya\Documents\Cods_Python_Courses\NBA\"/>
    </mc:Choice>
  </mc:AlternateContent>
  <xr:revisionPtr revIDLastSave="0" documentId="13_ncr:1_{310A6421-24C5-4E94-9CA1-1FB94F1E2389}" xr6:coauthVersionLast="47" xr6:coauthVersionMax="47" xr10:uidLastSave="{00000000-0000-0000-0000-000000000000}"/>
  <bookViews>
    <workbookView xWindow="2472" yWindow="2472" windowWidth="17280" windowHeight="8880" activeTab="2" xr2:uid="{0602197C-6688-42D2-8BC2-562FA19C4A3E}"/>
  </bookViews>
  <sheets>
    <sheet name="pontos" sheetId="3" r:id="rId1"/>
    <sheet name="probabilidades" sheetId="5" r:id="rId2"/>
    <sheet name="Planilha1" sheetId="6" r:id="rId3"/>
  </sheets>
  <definedNames>
    <definedName name="_FilterDatabase" localSheetId="0" hidden="1">pontos!$A$4:$F$4</definedName>
    <definedName name="_FilterDatabase" localSheetId="1" hidden="1">probabilidades!$A$4:$F$4</definedName>
    <definedName name="solver_adj" localSheetId="0" hidden="1">pontos!$C$5:$F$34</definedName>
    <definedName name="solver_adj" localSheetId="1" hidden="1">probabilidades!$C$5:$F$34</definedName>
    <definedName name="solver_cvg" localSheetId="0" hidden="1">0.0001</definedName>
    <definedName name="solver_cvg" localSheetId="1" hidden="1">0.0001</definedName>
    <definedName name="solver_drv" localSheetId="0" hidden="1">2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pontos!$U$4</definedName>
    <definedName name="solver_opt" localSheetId="1" hidden="1">probabilidades!$U$4</definedName>
    <definedName name="solver_pre" localSheetId="0" hidden="1">0.000001</definedName>
    <definedName name="solver_pre" localSheetId="1" hidden="1">0.000001</definedName>
    <definedName name="solver_rbv" localSheetId="0" hidden="1">2</definedName>
    <definedName name="solver_rbv" localSheetId="1" hidden="1">2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5" l="1"/>
  <c r="I6" i="5"/>
  <c r="J6" i="5"/>
  <c r="K6" i="5"/>
  <c r="L6" i="5"/>
  <c r="M6" i="5"/>
  <c r="H7" i="5"/>
  <c r="I7" i="5"/>
  <c r="J7" i="5"/>
  <c r="K7" i="5"/>
  <c r="L7" i="5"/>
  <c r="M7" i="5"/>
  <c r="H8" i="5"/>
  <c r="I8" i="5"/>
  <c r="J8" i="5"/>
  <c r="K8" i="5"/>
  <c r="L8" i="5"/>
  <c r="M8" i="5"/>
  <c r="H9" i="5"/>
  <c r="I9" i="5"/>
  <c r="J9" i="5"/>
  <c r="K9" i="5"/>
  <c r="L9" i="5"/>
  <c r="M9" i="5"/>
  <c r="H10" i="5"/>
  <c r="I10" i="5"/>
  <c r="J10" i="5"/>
  <c r="K10" i="5"/>
  <c r="L10" i="5"/>
  <c r="M10" i="5"/>
  <c r="H11" i="5"/>
  <c r="I11" i="5"/>
  <c r="J11" i="5"/>
  <c r="K11" i="5"/>
  <c r="L11" i="5"/>
  <c r="M11" i="5"/>
  <c r="H12" i="5"/>
  <c r="I12" i="5"/>
  <c r="J12" i="5"/>
  <c r="K12" i="5"/>
  <c r="L12" i="5"/>
  <c r="M12" i="5"/>
  <c r="H13" i="5"/>
  <c r="I13" i="5"/>
  <c r="J13" i="5"/>
  <c r="K13" i="5"/>
  <c r="L13" i="5"/>
  <c r="M13" i="5"/>
  <c r="H14" i="5"/>
  <c r="I14" i="5"/>
  <c r="J14" i="5"/>
  <c r="K14" i="5"/>
  <c r="L14" i="5"/>
  <c r="M14" i="5"/>
  <c r="H15" i="5"/>
  <c r="I15" i="5"/>
  <c r="J15" i="5"/>
  <c r="K15" i="5"/>
  <c r="L15" i="5"/>
  <c r="M15" i="5"/>
  <c r="H16" i="5"/>
  <c r="I16" i="5"/>
  <c r="J16" i="5"/>
  <c r="K16" i="5"/>
  <c r="L16" i="5"/>
  <c r="M16" i="5"/>
  <c r="H17" i="5"/>
  <c r="I17" i="5"/>
  <c r="J17" i="5"/>
  <c r="K17" i="5"/>
  <c r="L17" i="5"/>
  <c r="M17" i="5"/>
  <c r="H18" i="5"/>
  <c r="I18" i="5"/>
  <c r="J18" i="5"/>
  <c r="K18" i="5"/>
  <c r="L18" i="5"/>
  <c r="M18" i="5"/>
  <c r="H19" i="5"/>
  <c r="I19" i="5"/>
  <c r="J19" i="5"/>
  <c r="K19" i="5"/>
  <c r="L19" i="5"/>
  <c r="M19" i="5"/>
  <c r="H20" i="5"/>
  <c r="I20" i="5"/>
  <c r="J20" i="5"/>
  <c r="K20" i="5"/>
  <c r="L20" i="5"/>
  <c r="M20" i="5"/>
  <c r="H21" i="5"/>
  <c r="I21" i="5"/>
  <c r="J21" i="5"/>
  <c r="K21" i="5"/>
  <c r="L21" i="5"/>
  <c r="M21" i="5"/>
  <c r="H22" i="5"/>
  <c r="I22" i="5"/>
  <c r="J22" i="5"/>
  <c r="K22" i="5"/>
  <c r="L22" i="5"/>
  <c r="M22" i="5"/>
  <c r="H23" i="5"/>
  <c r="I23" i="5"/>
  <c r="J23" i="5"/>
  <c r="K23" i="5"/>
  <c r="L23" i="5"/>
  <c r="M23" i="5"/>
  <c r="H24" i="5"/>
  <c r="I24" i="5"/>
  <c r="J24" i="5"/>
  <c r="K24" i="5"/>
  <c r="L24" i="5"/>
  <c r="M24" i="5"/>
  <c r="H25" i="5"/>
  <c r="I25" i="5"/>
  <c r="J25" i="5"/>
  <c r="K25" i="5"/>
  <c r="L25" i="5"/>
  <c r="M25" i="5"/>
  <c r="H26" i="5"/>
  <c r="I26" i="5"/>
  <c r="J26" i="5"/>
  <c r="K26" i="5"/>
  <c r="L26" i="5"/>
  <c r="M26" i="5"/>
  <c r="H27" i="5"/>
  <c r="I27" i="5"/>
  <c r="J27" i="5"/>
  <c r="K27" i="5"/>
  <c r="L27" i="5"/>
  <c r="M27" i="5"/>
  <c r="H28" i="5"/>
  <c r="I28" i="5"/>
  <c r="J28" i="5"/>
  <c r="K28" i="5"/>
  <c r="L28" i="5"/>
  <c r="M28" i="5"/>
  <c r="H29" i="5"/>
  <c r="I29" i="5"/>
  <c r="J29" i="5"/>
  <c r="K29" i="5"/>
  <c r="L29" i="5"/>
  <c r="M29" i="5"/>
  <c r="H30" i="5"/>
  <c r="I30" i="5"/>
  <c r="J30" i="5"/>
  <c r="K30" i="5"/>
  <c r="L30" i="5"/>
  <c r="M30" i="5"/>
  <c r="H31" i="5"/>
  <c r="I31" i="5"/>
  <c r="J31" i="5"/>
  <c r="K31" i="5"/>
  <c r="L31" i="5"/>
  <c r="M31" i="5"/>
  <c r="H32" i="5"/>
  <c r="I32" i="5"/>
  <c r="J32" i="5"/>
  <c r="K32" i="5"/>
  <c r="L32" i="5"/>
  <c r="M32" i="5"/>
  <c r="H33" i="5"/>
  <c r="I33" i="5"/>
  <c r="J33" i="5"/>
  <c r="K33" i="5"/>
  <c r="L33" i="5"/>
  <c r="M33" i="5"/>
  <c r="H34" i="5"/>
  <c r="I34" i="5"/>
  <c r="J34" i="5"/>
  <c r="K34" i="5"/>
  <c r="L34" i="5"/>
  <c r="M34" i="5"/>
  <c r="H35" i="5"/>
  <c r="I35" i="5"/>
  <c r="J35" i="5"/>
  <c r="K35" i="5"/>
  <c r="L35" i="5"/>
  <c r="M35" i="5"/>
  <c r="H36" i="5"/>
  <c r="I36" i="5"/>
  <c r="J36" i="5"/>
  <c r="K36" i="5"/>
  <c r="L36" i="5"/>
  <c r="M36" i="5"/>
  <c r="H37" i="5"/>
  <c r="I37" i="5"/>
  <c r="J37" i="5"/>
  <c r="K37" i="5"/>
  <c r="L37" i="5"/>
  <c r="M37" i="5"/>
  <c r="H38" i="5"/>
  <c r="I38" i="5"/>
  <c r="J38" i="5"/>
  <c r="K38" i="5"/>
  <c r="L38" i="5"/>
  <c r="M38" i="5"/>
  <c r="H39" i="5"/>
  <c r="I39" i="5"/>
  <c r="J39" i="5"/>
  <c r="K39" i="5"/>
  <c r="L39" i="5"/>
  <c r="M39" i="5"/>
  <c r="H40" i="5"/>
  <c r="I40" i="5"/>
  <c r="J40" i="5"/>
  <c r="K40" i="5"/>
  <c r="L40" i="5"/>
  <c r="M40" i="5"/>
  <c r="H41" i="5"/>
  <c r="I41" i="5"/>
  <c r="J41" i="5"/>
  <c r="K41" i="5"/>
  <c r="L41" i="5"/>
  <c r="M41" i="5"/>
  <c r="H42" i="5"/>
  <c r="I42" i="5"/>
  <c r="J42" i="5"/>
  <c r="K42" i="5"/>
  <c r="L42" i="5"/>
  <c r="M42" i="5"/>
  <c r="H43" i="5"/>
  <c r="I43" i="5"/>
  <c r="J43" i="5"/>
  <c r="K43" i="5"/>
  <c r="L43" i="5"/>
  <c r="M43" i="5"/>
  <c r="H44" i="5"/>
  <c r="I44" i="5"/>
  <c r="J44" i="5"/>
  <c r="K44" i="5"/>
  <c r="L44" i="5"/>
  <c r="M44" i="5"/>
  <c r="H45" i="5"/>
  <c r="I45" i="5"/>
  <c r="J45" i="5"/>
  <c r="K45" i="5"/>
  <c r="L45" i="5"/>
  <c r="M45" i="5"/>
  <c r="H46" i="5"/>
  <c r="I46" i="5"/>
  <c r="J46" i="5"/>
  <c r="K46" i="5"/>
  <c r="L46" i="5"/>
  <c r="M46" i="5"/>
  <c r="H47" i="5"/>
  <c r="I47" i="5"/>
  <c r="J47" i="5"/>
  <c r="K47" i="5"/>
  <c r="L47" i="5"/>
  <c r="M47" i="5"/>
  <c r="H48" i="5"/>
  <c r="I48" i="5"/>
  <c r="J48" i="5"/>
  <c r="K48" i="5"/>
  <c r="L48" i="5"/>
  <c r="M48" i="5"/>
  <c r="H49" i="5"/>
  <c r="I49" i="5"/>
  <c r="J49" i="5"/>
  <c r="K49" i="5"/>
  <c r="L49" i="5"/>
  <c r="M49" i="5"/>
  <c r="H50" i="5"/>
  <c r="I50" i="5"/>
  <c r="J50" i="5"/>
  <c r="K50" i="5"/>
  <c r="L50" i="5"/>
  <c r="M50" i="5"/>
  <c r="H51" i="5"/>
  <c r="I51" i="5"/>
  <c r="J51" i="5"/>
  <c r="K51" i="5"/>
  <c r="L51" i="5"/>
  <c r="M51" i="5"/>
  <c r="H52" i="5"/>
  <c r="I52" i="5"/>
  <c r="J52" i="5"/>
  <c r="K52" i="5"/>
  <c r="L52" i="5"/>
  <c r="M52" i="5"/>
  <c r="H53" i="5"/>
  <c r="I53" i="5"/>
  <c r="J53" i="5"/>
  <c r="K53" i="5"/>
  <c r="L53" i="5"/>
  <c r="M53" i="5"/>
  <c r="H54" i="5"/>
  <c r="I54" i="5"/>
  <c r="J54" i="5"/>
  <c r="K54" i="5"/>
  <c r="L54" i="5"/>
  <c r="M54" i="5"/>
  <c r="H55" i="5"/>
  <c r="I55" i="5"/>
  <c r="J55" i="5"/>
  <c r="K55" i="5"/>
  <c r="L55" i="5"/>
  <c r="M55" i="5"/>
  <c r="H56" i="5"/>
  <c r="I56" i="5"/>
  <c r="J56" i="5"/>
  <c r="K56" i="5"/>
  <c r="L56" i="5"/>
  <c r="M56" i="5"/>
  <c r="H57" i="5"/>
  <c r="I57" i="5"/>
  <c r="J57" i="5"/>
  <c r="K57" i="5"/>
  <c r="L57" i="5"/>
  <c r="M57" i="5"/>
  <c r="H58" i="5"/>
  <c r="I58" i="5"/>
  <c r="J58" i="5"/>
  <c r="K58" i="5"/>
  <c r="L58" i="5"/>
  <c r="M58" i="5"/>
  <c r="H59" i="5"/>
  <c r="I59" i="5"/>
  <c r="J59" i="5"/>
  <c r="K59" i="5"/>
  <c r="L59" i="5"/>
  <c r="M59" i="5"/>
  <c r="H60" i="5"/>
  <c r="I60" i="5"/>
  <c r="J60" i="5"/>
  <c r="K60" i="5"/>
  <c r="L60" i="5"/>
  <c r="M60" i="5"/>
  <c r="H61" i="5"/>
  <c r="I61" i="5"/>
  <c r="J61" i="5"/>
  <c r="K61" i="5"/>
  <c r="L61" i="5"/>
  <c r="M61" i="5"/>
  <c r="H62" i="5"/>
  <c r="I62" i="5"/>
  <c r="J62" i="5"/>
  <c r="K62" i="5"/>
  <c r="L62" i="5"/>
  <c r="M62" i="5"/>
  <c r="H63" i="5"/>
  <c r="I63" i="5"/>
  <c r="J63" i="5"/>
  <c r="K63" i="5"/>
  <c r="L63" i="5"/>
  <c r="M63" i="5"/>
  <c r="H64" i="5"/>
  <c r="I64" i="5"/>
  <c r="J64" i="5"/>
  <c r="K64" i="5"/>
  <c r="L64" i="5"/>
  <c r="M64" i="5"/>
  <c r="H65" i="5"/>
  <c r="I65" i="5"/>
  <c r="J65" i="5"/>
  <c r="K65" i="5"/>
  <c r="L65" i="5"/>
  <c r="M65" i="5"/>
  <c r="H66" i="5"/>
  <c r="I66" i="5"/>
  <c r="J66" i="5"/>
  <c r="K66" i="5"/>
  <c r="L66" i="5"/>
  <c r="M66" i="5"/>
  <c r="H67" i="5"/>
  <c r="I67" i="5"/>
  <c r="J67" i="5"/>
  <c r="K67" i="5"/>
  <c r="L67" i="5"/>
  <c r="M67" i="5"/>
  <c r="H68" i="5"/>
  <c r="I68" i="5"/>
  <c r="J68" i="5"/>
  <c r="K68" i="5"/>
  <c r="L68" i="5"/>
  <c r="M68" i="5"/>
  <c r="H69" i="5"/>
  <c r="I69" i="5"/>
  <c r="J69" i="5"/>
  <c r="K69" i="5"/>
  <c r="L69" i="5"/>
  <c r="M69" i="5"/>
  <c r="H70" i="5"/>
  <c r="I70" i="5"/>
  <c r="J70" i="5"/>
  <c r="K70" i="5"/>
  <c r="L70" i="5"/>
  <c r="M70" i="5"/>
  <c r="H71" i="5"/>
  <c r="I71" i="5"/>
  <c r="J71" i="5"/>
  <c r="K71" i="5"/>
  <c r="L71" i="5"/>
  <c r="M71" i="5"/>
  <c r="H72" i="5"/>
  <c r="I72" i="5"/>
  <c r="J72" i="5"/>
  <c r="K72" i="5"/>
  <c r="L72" i="5"/>
  <c r="M72" i="5"/>
  <c r="H73" i="5"/>
  <c r="I73" i="5"/>
  <c r="J73" i="5"/>
  <c r="K73" i="5"/>
  <c r="L73" i="5"/>
  <c r="M73" i="5"/>
  <c r="H74" i="5"/>
  <c r="I74" i="5"/>
  <c r="J74" i="5"/>
  <c r="K74" i="5"/>
  <c r="L74" i="5"/>
  <c r="M74" i="5"/>
  <c r="H75" i="5"/>
  <c r="I75" i="5"/>
  <c r="J75" i="5"/>
  <c r="K75" i="5"/>
  <c r="L75" i="5"/>
  <c r="M75" i="5"/>
  <c r="H76" i="5"/>
  <c r="I76" i="5"/>
  <c r="J76" i="5"/>
  <c r="K76" i="5"/>
  <c r="L76" i="5"/>
  <c r="M76" i="5"/>
  <c r="H77" i="5"/>
  <c r="I77" i="5"/>
  <c r="J77" i="5"/>
  <c r="K77" i="5"/>
  <c r="L77" i="5"/>
  <c r="M77" i="5"/>
  <c r="H78" i="5"/>
  <c r="I78" i="5"/>
  <c r="J78" i="5"/>
  <c r="K78" i="5"/>
  <c r="L78" i="5"/>
  <c r="M78" i="5"/>
  <c r="H79" i="5"/>
  <c r="I79" i="5"/>
  <c r="J79" i="5"/>
  <c r="K79" i="5"/>
  <c r="L79" i="5"/>
  <c r="M79" i="5"/>
  <c r="H80" i="5"/>
  <c r="I80" i="5"/>
  <c r="J80" i="5"/>
  <c r="K80" i="5"/>
  <c r="L80" i="5"/>
  <c r="M80" i="5"/>
  <c r="H81" i="5"/>
  <c r="I81" i="5"/>
  <c r="J81" i="5"/>
  <c r="K81" i="5"/>
  <c r="L81" i="5"/>
  <c r="M81" i="5"/>
  <c r="H82" i="5"/>
  <c r="I82" i="5"/>
  <c r="J82" i="5"/>
  <c r="K82" i="5"/>
  <c r="L82" i="5"/>
  <c r="M82" i="5"/>
  <c r="H83" i="5"/>
  <c r="I83" i="5"/>
  <c r="J83" i="5"/>
  <c r="K83" i="5"/>
  <c r="L83" i="5"/>
  <c r="M83" i="5"/>
  <c r="H84" i="5"/>
  <c r="I84" i="5"/>
  <c r="J84" i="5"/>
  <c r="K84" i="5"/>
  <c r="L84" i="5"/>
  <c r="M84" i="5"/>
  <c r="H85" i="5"/>
  <c r="I85" i="5"/>
  <c r="J85" i="5"/>
  <c r="K85" i="5"/>
  <c r="L85" i="5"/>
  <c r="M85" i="5"/>
  <c r="H86" i="5"/>
  <c r="I86" i="5"/>
  <c r="J86" i="5"/>
  <c r="K86" i="5"/>
  <c r="L86" i="5"/>
  <c r="M86" i="5"/>
  <c r="H87" i="5"/>
  <c r="I87" i="5"/>
  <c r="J87" i="5"/>
  <c r="K87" i="5"/>
  <c r="L87" i="5"/>
  <c r="M87" i="5"/>
  <c r="H88" i="5"/>
  <c r="I88" i="5"/>
  <c r="J88" i="5"/>
  <c r="K88" i="5"/>
  <c r="L88" i="5"/>
  <c r="M88" i="5"/>
  <c r="H89" i="5"/>
  <c r="I89" i="5"/>
  <c r="J89" i="5"/>
  <c r="K89" i="5"/>
  <c r="L89" i="5"/>
  <c r="M89" i="5"/>
  <c r="H90" i="5"/>
  <c r="I90" i="5"/>
  <c r="J90" i="5"/>
  <c r="K90" i="5"/>
  <c r="L90" i="5"/>
  <c r="M90" i="5"/>
  <c r="H91" i="5"/>
  <c r="I91" i="5"/>
  <c r="J91" i="5"/>
  <c r="K91" i="5"/>
  <c r="L91" i="5"/>
  <c r="M91" i="5"/>
  <c r="H92" i="5"/>
  <c r="I92" i="5"/>
  <c r="J92" i="5"/>
  <c r="K92" i="5"/>
  <c r="L92" i="5"/>
  <c r="M92" i="5"/>
  <c r="H93" i="5"/>
  <c r="I93" i="5"/>
  <c r="J93" i="5"/>
  <c r="K93" i="5"/>
  <c r="L93" i="5"/>
  <c r="M93" i="5"/>
  <c r="H94" i="5"/>
  <c r="I94" i="5"/>
  <c r="J94" i="5"/>
  <c r="K94" i="5"/>
  <c r="L94" i="5"/>
  <c r="M94" i="5"/>
  <c r="H95" i="5"/>
  <c r="I95" i="5"/>
  <c r="J95" i="5"/>
  <c r="K95" i="5"/>
  <c r="L95" i="5"/>
  <c r="M95" i="5"/>
  <c r="H96" i="5"/>
  <c r="I96" i="5"/>
  <c r="J96" i="5"/>
  <c r="K96" i="5"/>
  <c r="L96" i="5"/>
  <c r="M96" i="5"/>
  <c r="H97" i="5"/>
  <c r="I97" i="5"/>
  <c r="J97" i="5"/>
  <c r="K97" i="5"/>
  <c r="L97" i="5"/>
  <c r="M97" i="5"/>
  <c r="H98" i="5"/>
  <c r="I98" i="5"/>
  <c r="J98" i="5"/>
  <c r="K98" i="5"/>
  <c r="L98" i="5"/>
  <c r="M98" i="5"/>
  <c r="H99" i="5"/>
  <c r="I99" i="5"/>
  <c r="J99" i="5"/>
  <c r="K99" i="5"/>
  <c r="L99" i="5"/>
  <c r="M99" i="5"/>
  <c r="H100" i="5"/>
  <c r="I100" i="5"/>
  <c r="J100" i="5"/>
  <c r="K100" i="5"/>
  <c r="L100" i="5"/>
  <c r="M100" i="5"/>
  <c r="H101" i="5"/>
  <c r="I101" i="5"/>
  <c r="J101" i="5"/>
  <c r="K101" i="5"/>
  <c r="L101" i="5"/>
  <c r="M101" i="5"/>
  <c r="H102" i="5"/>
  <c r="I102" i="5"/>
  <c r="J102" i="5"/>
  <c r="K102" i="5"/>
  <c r="L102" i="5"/>
  <c r="M102" i="5"/>
  <c r="H103" i="5"/>
  <c r="I103" i="5"/>
  <c r="J103" i="5"/>
  <c r="K103" i="5"/>
  <c r="L103" i="5"/>
  <c r="M103" i="5"/>
  <c r="H104" i="5"/>
  <c r="I104" i="5"/>
  <c r="J104" i="5"/>
  <c r="K104" i="5"/>
  <c r="L104" i="5"/>
  <c r="M104" i="5"/>
  <c r="H105" i="5"/>
  <c r="I105" i="5"/>
  <c r="J105" i="5"/>
  <c r="K105" i="5"/>
  <c r="L105" i="5"/>
  <c r="M105" i="5"/>
  <c r="H106" i="5"/>
  <c r="I106" i="5"/>
  <c r="J106" i="5"/>
  <c r="K106" i="5"/>
  <c r="L106" i="5"/>
  <c r="M106" i="5"/>
  <c r="H107" i="5"/>
  <c r="I107" i="5"/>
  <c r="J107" i="5"/>
  <c r="K107" i="5"/>
  <c r="L107" i="5"/>
  <c r="M107" i="5"/>
  <c r="H108" i="5"/>
  <c r="I108" i="5"/>
  <c r="J108" i="5"/>
  <c r="K108" i="5"/>
  <c r="L108" i="5"/>
  <c r="M108" i="5"/>
  <c r="H109" i="5"/>
  <c r="I109" i="5"/>
  <c r="J109" i="5"/>
  <c r="K109" i="5"/>
  <c r="L109" i="5"/>
  <c r="M109" i="5"/>
  <c r="H110" i="5"/>
  <c r="I110" i="5"/>
  <c r="J110" i="5"/>
  <c r="K110" i="5"/>
  <c r="L110" i="5"/>
  <c r="M110" i="5"/>
  <c r="H111" i="5"/>
  <c r="I111" i="5"/>
  <c r="J111" i="5"/>
  <c r="K111" i="5"/>
  <c r="L111" i="5"/>
  <c r="M111" i="5"/>
  <c r="H112" i="5"/>
  <c r="I112" i="5"/>
  <c r="J112" i="5"/>
  <c r="K112" i="5"/>
  <c r="L112" i="5"/>
  <c r="M112" i="5"/>
  <c r="H113" i="5"/>
  <c r="I113" i="5"/>
  <c r="J113" i="5"/>
  <c r="K113" i="5"/>
  <c r="L113" i="5"/>
  <c r="M113" i="5"/>
  <c r="H114" i="5"/>
  <c r="I114" i="5"/>
  <c r="J114" i="5"/>
  <c r="K114" i="5"/>
  <c r="L114" i="5"/>
  <c r="M114" i="5"/>
  <c r="H115" i="5"/>
  <c r="I115" i="5"/>
  <c r="J115" i="5"/>
  <c r="K115" i="5"/>
  <c r="L115" i="5"/>
  <c r="M115" i="5"/>
  <c r="H116" i="5"/>
  <c r="I116" i="5"/>
  <c r="J116" i="5"/>
  <c r="K116" i="5"/>
  <c r="L116" i="5"/>
  <c r="M116" i="5"/>
  <c r="H117" i="5"/>
  <c r="I117" i="5"/>
  <c r="J117" i="5"/>
  <c r="K117" i="5"/>
  <c r="L117" i="5"/>
  <c r="M117" i="5"/>
  <c r="H118" i="5"/>
  <c r="I118" i="5"/>
  <c r="J118" i="5"/>
  <c r="K118" i="5"/>
  <c r="L118" i="5"/>
  <c r="M118" i="5"/>
  <c r="H119" i="5"/>
  <c r="I119" i="5"/>
  <c r="J119" i="5"/>
  <c r="K119" i="5"/>
  <c r="L119" i="5"/>
  <c r="M119" i="5"/>
  <c r="H120" i="5"/>
  <c r="I120" i="5"/>
  <c r="J120" i="5"/>
  <c r="K120" i="5"/>
  <c r="L120" i="5"/>
  <c r="M120" i="5"/>
  <c r="H121" i="5"/>
  <c r="I121" i="5"/>
  <c r="J121" i="5"/>
  <c r="K121" i="5"/>
  <c r="L121" i="5"/>
  <c r="M121" i="5"/>
  <c r="H122" i="5"/>
  <c r="I122" i="5"/>
  <c r="J122" i="5"/>
  <c r="K122" i="5"/>
  <c r="L122" i="5"/>
  <c r="M122" i="5"/>
  <c r="H123" i="5"/>
  <c r="I123" i="5"/>
  <c r="J123" i="5"/>
  <c r="K123" i="5"/>
  <c r="L123" i="5"/>
  <c r="M123" i="5"/>
  <c r="H124" i="5"/>
  <c r="I124" i="5"/>
  <c r="J124" i="5"/>
  <c r="K124" i="5"/>
  <c r="L124" i="5"/>
  <c r="M124" i="5"/>
  <c r="H125" i="5"/>
  <c r="I125" i="5"/>
  <c r="J125" i="5"/>
  <c r="K125" i="5"/>
  <c r="L125" i="5"/>
  <c r="M125" i="5"/>
  <c r="H126" i="5"/>
  <c r="I126" i="5"/>
  <c r="J126" i="5"/>
  <c r="K126" i="5"/>
  <c r="L126" i="5"/>
  <c r="M126" i="5"/>
  <c r="H127" i="5"/>
  <c r="I127" i="5"/>
  <c r="J127" i="5"/>
  <c r="K127" i="5"/>
  <c r="L127" i="5"/>
  <c r="M127" i="5"/>
  <c r="H128" i="5"/>
  <c r="I128" i="5"/>
  <c r="J128" i="5"/>
  <c r="K128" i="5"/>
  <c r="L128" i="5"/>
  <c r="M128" i="5"/>
  <c r="H129" i="5"/>
  <c r="I129" i="5"/>
  <c r="J129" i="5"/>
  <c r="K129" i="5"/>
  <c r="L129" i="5"/>
  <c r="M129" i="5"/>
  <c r="H130" i="5"/>
  <c r="I130" i="5"/>
  <c r="J130" i="5"/>
  <c r="K130" i="5"/>
  <c r="L130" i="5"/>
  <c r="M130" i="5"/>
  <c r="H131" i="5"/>
  <c r="I131" i="5"/>
  <c r="J131" i="5"/>
  <c r="K131" i="5"/>
  <c r="L131" i="5"/>
  <c r="M131" i="5"/>
  <c r="H132" i="5"/>
  <c r="I132" i="5"/>
  <c r="J132" i="5"/>
  <c r="K132" i="5"/>
  <c r="L132" i="5"/>
  <c r="M132" i="5"/>
  <c r="H133" i="5"/>
  <c r="I133" i="5"/>
  <c r="J133" i="5"/>
  <c r="K133" i="5"/>
  <c r="L133" i="5"/>
  <c r="M133" i="5"/>
  <c r="H134" i="5"/>
  <c r="I134" i="5"/>
  <c r="J134" i="5"/>
  <c r="K134" i="5"/>
  <c r="L134" i="5"/>
  <c r="M134" i="5"/>
  <c r="H135" i="5"/>
  <c r="I135" i="5"/>
  <c r="J135" i="5"/>
  <c r="K135" i="5"/>
  <c r="L135" i="5"/>
  <c r="M135" i="5"/>
  <c r="H136" i="5"/>
  <c r="I136" i="5"/>
  <c r="J136" i="5"/>
  <c r="K136" i="5"/>
  <c r="L136" i="5"/>
  <c r="M136" i="5"/>
  <c r="H137" i="5"/>
  <c r="I137" i="5"/>
  <c r="J137" i="5"/>
  <c r="K137" i="5"/>
  <c r="L137" i="5"/>
  <c r="M137" i="5"/>
  <c r="H138" i="5"/>
  <c r="I138" i="5"/>
  <c r="J138" i="5"/>
  <c r="K138" i="5"/>
  <c r="L138" i="5"/>
  <c r="M138" i="5"/>
  <c r="H139" i="5"/>
  <c r="I139" i="5"/>
  <c r="J139" i="5"/>
  <c r="K139" i="5"/>
  <c r="L139" i="5"/>
  <c r="M139" i="5"/>
  <c r="H140" i="5"/>
  <c r="I140" i="5"/>
  <c r="J140" i="5"/>
  <c r="K140" i="5"/>
  <c r="L140" i="5"/>
  <c r="M140" i="5"/>
  <c r="H141" i="5"/>
  <c r="I141" i="5"/>
  <c r="J141" i="5"/>
  <c r="K141" i="5"/>
  <c r="L141" i="5"/>
  <c r="M141" i="5"/>
  <c r="H142" i="5"/>
  <c r="I142" i="5"/>
  <c r="J142" i="5"/>
  <c r="K142" i="5"/>
  <c r="L142" i="5"/>
  <c r="M142" i="5"/>
  <c r="H143" i="5"/>
  <c r="I143" i="5"/>
  <c r="J143" i="5"/>
  <c r="K143" i="5"/>
  <c r="L143" i="5"/>
  <c r="M143" i="5"/>
  <c r="H144" i="5"/>
  <c r="I144" i="5"/>
  <c r="J144" i="5"/>
  <c r="K144" i="5"/>
  <c r="L144" i="5"/>
  <c r="M144" i="5"/>
  <c r="H145" i="5"/>
  <c r="I145" i="5"/>
  <c r="J145" i="5"/>
  <c r="K145" i="5"/>
  <c r="L145" i="5"/>
  <c r="M145" i="5"/>
  <c r="H146" i="5"/>
  <c r="I146" i="5"/>
  <c r="J146" i="5"/>
  <c r="K146" i="5"/>
  <c r="L146" i="5"/>
  <c r="M146" i="5"/>
  <c r="H147" i="5"/>
  <c r="I147" i="5"/>
  <c r="J147" i="5"/>
  <c r="K147" i="5"/>
  <c r="L147" i="5"/>
  <c r="M147" i="5"/>
  <c r="H148" i="5"/>
  <c r="I148" i="5"/>
  <c r="J148" i="5"/>
  <c r="K148" i="5"/>
  <c r="L148" i="5"/>
  <c r="M148" i="5"/>
  <c r="H149" i="5"/>
  <c r="I149" i="5"/>
  <c r="J149" i="5"/>
  <c r="K149" i="5"/>
  <c r="L149" i="5"/>
  <c r="M149" i="5"/>
  <c r="H150" i="5"/>
  <c r="I150" i="5"/>
  <c r="J150" i="5"/>
  <c r="K150" i="5"/>
  <c r="L150" i="5"/>
  <c r="M150" i="5"/>
  <c r="H151" i="5"/>
  <c r="I151" i="5"/>
  <c r="J151" i="5"/>
  <c r="K151" i="5"/>
  <c r="L151" i="5"/>
  <c r="M151" i="5"/>
  <c r="H152" i="5"/>
  <c r="I152" i="5"/>
  <c r="J152" i="5"/>
  <c r="K152" i="5"/>
  <c r="L152" i="5"/>
  <c r="M152" i="5"/>
  <c r="H153" i="5"/>
  <c r="I153" i="5"/>
  <c r="J153" i="5"/>
  <c r="K153" i="5"/>
  <c r="L153" i="5"/>
  <c r="M153" i="5"/>
  <c r="H154" i="5"/>
  <c r="I154" i="5"/>
  <c r="J154" i="5"/>
  <c r="K154" i="5"/>
  <c r="L154" i="5"/>
  <c r="M154" i="5"/>
  <c r="H155" i="5"/>
  <c r="I155" i="5"/>
  <c r="J155" i="5"/>
  <c r="K155" i="5"/>
  <c r="L155" i="5"/>
  <c r="M155" i="5"/>
  <c r="H156" i="5"/>
  <c r="I156" i="5"/>
  <c r="J156" i="5"/>
  <c r="K156" i="5"/>
  <c r="L156" i="5"/>
  <c r="M156" i="5"/>
  <c r="H157" i="5"/>
  <c r="I157" i="5"/>
  <c r="J157" i="5"/>
  <c r="K157" i="5"/>
  <c r="L157" i="5"/>
  <c r="M157" i="5"/>
  <c r="H158" i="5"/>
  <c r="I158" i="5"/>
  <c r="J158" i="5"/>
  <c r="K158" i="5"/>
  <c r="L158" i="5"/>
  <c r="M158" i="5"/>
  <c r="H159" i="5"/>
  <c r="I159" i="5"/>
  <c r="J159" i="5"/>
  <c r="K159" i="5"/>
  <c r="L159" i="5"/>
  <c r="M159" i="5"/>
  <c r="H160" i="5"/>
  <c r="I160" i="5"/>
  <c r="J160" i="5"/>
  <c r="K160" i="5"/>
  <c r="L160" i="5"/>
  <c r="M160" i="5"/>
  <c r="H161" i="5"/>
  <c r="I161" i="5"/>
  <c r="J161" i="5"/>
  <c r="K161" i="5"/>
  <c r="L161" i="5"/>
  <c r="M161" i="5"/>
  <c r="H162" i="5"/>
  <c r="I162" i="5"/>
  <c r="J162" i="5"/>
  <c r="K162" i="5"/>
  <c r="L162" i="5"/>
  <c r="M162" i="5"/>
  <c r="H163" i="5"/>
  <c r="I163" i="5"/>
  <c r="J163" i="5"/>
  <c r="K163" i="5"/>
  <c r="L163" i="5"/>
  <c r="M163" i="5"/>
  <c r="H164" i="5"/>
  <c r="I164" i="5"/>
  <c r="J164" i="5"/>
  <c r="K164" i="5"/>
  <c r="L164" i="5"/>
  <c r="M164" i="5"/>
  <c r="H165" i="5"/>
  <c r="I165" i="5"/>
  <c r="J165" i="5"/>
  <c r="K165" i="5"/>
  <c r="L165" i="5"/>
  <c r="M165" i="5"/>
  <c r="H166" i="5"/>
  <c r="I166" i="5"/>
  <c r="J166" i="5"/>
  <c r="K166" i="5"/>
  <c r="L166" i="5"/>
  <c r="M166" i="5"/>
  <c r="H167" i="5"/>
  <c r="I167" i="5"/>
  <c r="J167" i="5"/>
  <c r="K167" i="5"/>
  <c r="L167" i="5"/>
  <c r="M167" i="5"/>
  <c r="H168" i="5"/>
  <c r="I168" i="5"/>
  <c r="J168" i="5"/>
  <c r="K168" i="5"/>
  <c r="L168" i="5"/>
  <c r="M168" i="5"/>
  <c r="H169" i="5"/>
  <c r="I169" i="5"/>
  <c r="J169" i="5"/>
  <c r="K169" i="5"/>
  <c r="L169" i="5"/>
  <c r="M169" i="5"/>
  <c r="H170" i="5"/>
  <c r="I170" i="5"/>
  <c r="J170" i="5"/>
  <c r="K170" i="5"/>
  <c r="L170" i="5"/>
  <c r="M170" i="5"/>
  <c r="H171" i="5"/>
  <c r="I171" i="5"/>
  <c r="J171" i="5"/>
  <c r="K171" i="5"/>
  <c r="L171" i="5"/>
  <c r="M171" i="5"/>
  <c r="H172" i="5"/>
  <c r="I172" i="5"/>
  <c r="J172" i="5"/>
  <c r="K172" i="5"/>
  <c r="L172" i="5"/>
  <c r="M172" i="5"/>
  <c r="H173" i="5"/>
  <c r="I173" i="5"/>
  <c r="J173" i="5"/>
  <c r="K173" i="5"/>
  <c r="L173" i="5"/>
  <c r="M173" i="5"/>
  <c r="H174" i="5"/>
  <c r="I174" i="5"/>
  <c r="J174" i="5"/>
  <c r="K174" i="5"/>
  <c r="L174" i="5"/>
  <c r="M174" i="5"/>
  <c r="H175" i="5"/>
  <c r="I175" i="5"/>
  <c r="J175" i="5"/>
  <c r="K175" i="5"/>
  <c r="L175" i="5"/>
  <c r="M175" i="5"/>
  <c r="H176" i="5"/>
  <c r="I176" i="5"/>
  <c r="J176" i="5"/>
  <c r="K176" i="5"/>
  <c r="L176" i="5"/>
  <c r="M176" i="5"/>
  <c r="H177" i="5"/>
  <c r="I177" i="5"/>
  <c r="J177" i="5"/>
  <c r="K177" i="5"/>
  <c r="L177" i="5"/>
  <c r="M177" i="5"/>
  <c r="H178" i="5"/>
  <c r="I178" i="5"/>
  <c r="J178" i="5"/>
  <c r="K178" i="5"/>
  <c r="L178" i="5"/>
  <c r="M178" i="5"/>
  <c r="H179" i="5"/>
  <c r="I179" i="5"/>
  <c r="J179" i="5"/>
  <c r="K179" i="5"/>
  <c r="L179" i="5"/>
  <c r="M179" i="5"/>
  <c r="H180" i="5"/>
  <c r="I180" i="5"/>
  <c r="J180" i="5"/>
  <c r="K180" i="5"/>
  <c r="L180" i="5"/>
  <c r="M180" i="5"/>
  <c r="H181" i="5"/>
  <c r="I181" i="5"/>
  <c r="J181" i="5"/>
  <c r="K181" i="5"/>
  <c r="L181" i="5"/>
  <c r="M181" i="5"/>
  <c r="H182" i="5"/>
  <c r="I182" i="5"/>
  <c r="J182" i="5"/>
  <c r="K182" i="5"/>
  <c r="L182" i="5"/>
  <c r="M182" i="5"/>
  <c r="H183" i="5"/>
  <c r="I183" i="5"/>
  <c r="J183" i="5"/>
  <c r="K183" i="5"/>
  <c r="L183" i="5"/>
  <c r="M183" i="5"/>
  <c r="H184" i="5"/>
  <c r="I184" i="5"/>
  <c r="J184" i="5"/>
  <c r="K184" i="5"/>
  <c r="L184" i="5"/>
  <c r="M184" i="5"/>
  <c r="H185" i="5"/>
  <c r="I185" i="5"/>
  <c r="J185" i="5"/>
  <c r="K185" i="5"/>
  <c r="L185" i="5"/>
  <c r="M185" i="5"/>
  <c r="H186" i="5"/>
  <c r="I186" i="5"/>
  <c r="J186" i="5"/>
  <c r="K186" i="5"/>
  <c r="L186" i="5"/>
  <c r="M186" i="5"/>
  <c r="H187" i="5"/>
  <c r="I187" i="5"/>
  <c r="J187" i="5"/>
  <c r="K187" i="5"/>
  <c r="L187" i="5"/>
  <c r="M187" i="5"/>
  <c r="H188" i="5"/>
  <c r="I188" i="5"/>
  <c r="J188" i="5"/>
  <c r="K188" i="5"/>
  <c r="L188" i="5"/>
  <c r="M188" i="5"/>
  <c r="H189" i="5"/>
  <c r="I189" i="5"/>
  <c r="J189" i="5"/>
  <c r="K189" i="5"/>
  <c r="L189" i="5"/>
  <c r="M189" i="5"/>
  <c r="H190" i="5"/>
  <c r="I190" i="5"/>
  <c r="J190" i="5"/>
  <c r="K190" i="5"/>
  <c r="L190" i="5"/>
  <c r="M190" i="5"/>
  <c r="H191" i="5"/>
  <c r="I191" i="5"/>
  <c r="J191" i="5"/>
  <c r="K191" i="5"/>
  <c r="L191" i="5"/>
  <c r="M191" i="5"/>
  <c r="H192" i="5"/>
  <c r="I192" i="5"/>
  <c r="J192" i="5"/>
  <c r="K192" i="5"/>
  <c r="L192" i="5"/>
  <c r="M192" i="5"/>
  <c r="H193" i="5"/>
  <c r="I193" i="5"/>
  <c r="J193" i="5"/>
  <c r="K193" i="5"/>
  <c r="L193" i="5"/>
  <c r="M193" i="5"/>
  <c r="H194" i="5"/>
  <c r="I194" i="5"/>
  <c r="J194" i="5"/>
  <c r="K194" i="5"/>
  <c r="L194" i="5"/>
  <c r="M194" i="5"/>
  <c r="H195" i="5"/>
  <c r="I195" i="5"/>
  <c r="J195" i="5"/>
  <c r="K195" i="5"/>
  <c r="L195" i="5"/>
  <c r="M195" i="5"/>
  <c r="H196" i="5"/>
  <c r="I196" i="5"/>
  <c r="J196" i="5"/>
  <c r="K196" i="5"/>
  <c r="L196" i="5"/>
  <c r="M196" i="5"/>
  <c r="H197" i="5"/>
  <c r="I197" i="5"/>
  <c r="J197" i="5"/>
  <c r="K197" i="5"/>
  <c r="L197" i="5"/>
  <c r="M197" i="5"/>
  <c r="H198" i="5"/>
  <c r="I198" i="5"/>
  <c r="J198" i="5"/>
  <c r="K198" i="5"/>
  <c r="L198" i="5"/>
  <c r="M198" i="5"/>
  <c r="H199" i="5"/>
  <c r="I199" i="5"/>
  <c r="J199" i="5"/>
  <c r="K199" i="5"/>
  <c r="L199" i="5"/>
  <c r="M199" i="5"/>
  <c r="H200" i="5"/>
  <c r="I200" i="5"/>
  <c r="J200" i="5"/>
  <c r="K200" i="5"/>
  <c r="L200" i="5"/>
  <c r="M200" i="5"/>
  <c r="H201" i="5"/>
  <c r="I201" i="5"/>
  <c r="J201" i="5"/>
  <c r="K201" i="5"/>
  <c r="L201" i="5"/>
  <c r="M201" i="5"/>
  <c r="H202" i="5"/>
  <c r="I202" i="5"/>
  <c r="J202" i="5"/>
  <c r="K202" i="5"/>
  <c r="L202" i="5"/>
  <c r="M202" i="5"/>
  <c r="H203" i="5"/>
  <c r="I203" i="5"/>
  <c r="J203" i="5"/>
  <c r="K203" i="5"/>
  <c r="L203" i="5"/>
  <c r="M203" i="5"/>
  <c r="H204" i="5"/>
  <c r="I204" i="5"/>
  <c r="J204" i="5"/>
  <c r="K204" i="5"/>
  <c r="L204" i="5"/>
  <c r="M204" i="5"/>
  <c r="H205" i="5"/>
  <c r="I205" i="5"/>
  <c r="J205" i="5"/>
  <c r="K205" i="5"/>
  <c r="L205" i="5"/>
  <c r="M205" i="5"/>
  <c r="H206" i="5"/>
  <c r="I206" i="5"/>
  <c r="J206" i="5"/>
  <c r="K206" i="5"/>
  <c r="L206" i="5"/>
  <c r="M206" i="5"/>
  <c r="H207" i="5"/>
  <c r="I207" i="5"/>
  <c r="J207" i="5"/>
  <c r="K207" i="5"/>
  <c r="L207" i="5"/>
  <c r="M207" i="5"/>
  <c r="H208" i="5"/>
  <c r="I208" i="5"/>
  <c r="J208" i="5"/>
  <c r="K208" i="5"/>
  <c r="L208" i="5"/>
  <c r="M208" i="5"/>
  <c r="H209" i="5"/>
  <c r="I209" i="5"/>
  <c r="J209" i="5"/>
  <c r="K209" i="5"/>
  <c r="L209" i="5"/>
  <c r="M209" i="5"/>
  <c r="H210" i="5"/>
  <c r="I210" i="5"/>
  <c r="J210" i="5"/>
  <c r="K210" i="5"/>
  <c r="L210" i="5"/>
  <c r="M210" i="5"/>
  <c r="H211" i="5"/>
  <c r="I211" i="5"/>
  <c r="J211" i="5"/>
  <c r="K211" i="5"/>
  <c r="L211" i="5"/>
  <c r="M211" i="5"/>
  <c r="H212" i="5"/>
  <c r="I212" i="5"/>
  <c r="J212" i="5"/>
  <c r="K212" i="5"/>
  <c r="L212" i="5"/>
  <c r="M212" i="5"/>
  <c r="H213" i="5"/>
  <c r="I213" i="5"/>
  <c r="J213" i="5"/>
  <c r="K213" i="5"/>
  <c r="L213" i="5"/>
  <c r="M213" i="5"/>
  <c r="H214" i="5"/>
  <c r="I214" i="5"/>
  <c r="J214" i="5"/>
  <c r="K214" i="5"/>
  <c r="L214" i="5"/>
  <c r="M214" i="5"/>
  <c r="H215" i="5"/>
  <c r="I215" i="5"/>
  <c r="J215" i="5"/>
  <c r="K215" i="5"/>
  <c r="L215" i="5"/>
  <c r="M215" i="5"/>
  <c r="H216" i="5"/>
  <c r="I216" i="5"/>
  <c r="J216" i="5"/>
  <c r="K216" i="5"/>
  <c r="L216" i="5"/>
  <c r="M216" i="5"/>
  <c r="H217" i="5"/>
  <c r="I217" i="5"/>
  <c r="J217" i="5"/>
  <c r="K217" i="5"/>
  <c r="L217" i="5"/>
  <c r="M217" i="5"/>
  <c r="H218" i="5"/>
  <c r="I218" i="5"/>
  <c r="J218" i="5"/>
  <c r="K218" i="5"/>
  <c r="L218" i="5"/>
  <c r="M218" i="5"/>
  <c r="H219" i="5"/>
  <c r="I219" i="5"/>
  <c r="J219" i="5"/>
  <c r="K219" i="5"/>
  <c r="L219" i="5"/>
  <c r="M219" i="5"/>
  <c r="H220" i="5"/>
  <c r="I220" i="5"/>
  <c r="J220" i="5"/>
  <c r="K220" i="5"/>
  <c r="L220" i="5"/>
  <c r="M220" i="5"/>
  <c r="H221" i="5"/>
  <c r="I221" i="5"/>
  <c r="J221" i="5"/>
  <c r="K221" i="5"/>
  <c r="L221" i="5"/>
  <c r="M221" i="5"/>
  <c r="H222" i="5"/>
  <c r="I222" i="5"/>
  <c r="J222" i="5"/>
  <c r="K222" i="5"/>
  <c r="L222" i="5"/>
  <c r="M222" i="5"/>
  <c r="H223" i="5"/>
  <c r="I223" i="5"/>
  <c r="J223" i="5"/>
  <c r="K223" i="5"/>
  <c r="L223" i="5"/>
  <c r="M223" i="5"/>
  <c r="H224" i="5"/>
  <c r="I224" i="5"/>
  <c r="J224" i="5"/>
  <c r="K224" i="5"/>
  <c r="L224" i="5"/>
  <c r="M224" i="5"/>
  <c r="H225" i="5"/>
  <c r="I225" i="5"/>
  <c r="J225" i="5"/>
  <c r="K225" i="5"/>
  <c r="L225" i="5"/>
  <c r="M225" i="5"/>
  <c r="H226" i="5"/>
  <c r="I226" i="5"/>
  <c r="J226" i="5"/>
  <c r="K226" i="5"/>
  <c r="L226" i="5"/>
  <c r="M226" i="5"/>
  <c r="H227" i="5"/>
  <c r="I227" i="5"/>
  <c r="J227" i="5"/>
  <c r="K227" i="5"/>
  <c r="L227" i="5"/>
  <c r="M227" i="5"/>
  <c r="H228" i="5"/>
  <c r="I228" i="5"/>
  <c r="J228" i="5"/>
  <c r="K228" i="5"/>
  <c r="L228" i="5"/>
  <c r="M228" i="5"/>
  <c r="H229" i="5"/>
  <c r="I229" i="5"/>
  <c r="J229" i="5"/>
  <c r="K229" i="5"/>
  <c r="L229" i="5"/>
  <c r="M229" i="5"/>
  <c r="H230" i="5"/>
  <c r="I230" i="5"/>
  <c r="J230" i="5"/>
  <c r="K230" i="5"/>
  <c r="L230" i="5"/>
  <c r="M230" i="5"/>
  <c r="H231" i="5"/>
  <c r="I231" i="5"/>
  <c r="J231" i="5"/>
  <c r="K231" i="5"/>
  <c r="L231" i="5"/>
  <c r="M231" i="5"/>
  <c r="H232" i="5"/>
  <c r="I232" i="5"/>
  <c r="J232" i="5"/>
  <c r="K232" i="5"/>
  <c r="L232" i="5"/>
  <c r="M232" i="5"/>
  <c r="H233" i="5"/>
  <c r="I233" i="5"/>
  <c r="J233" i="5"/>
  <c r="K233" i="5"/>
  <c r="L233" i="5"/>
  <c r="M233" i="5"/>
  <c r="H234" i="5"/>
  <c r="I234" i="5"/>
  <c r="J234" i="5"/>
  <c r="K234" i="5"/>
  <c r="L234" i="5"/>
  <c r="M234" i="5"/>
  <c r="H235" i="5"/>
  <c r="I235" i="5"/>
  <c r="J235" i="5"/>
  <c r="K235" i="5"/>
  <c r="L235" i="5"/>
  <c r="M235" i="5"/>
  <c r="H236" i="5"/>
  <c r="I236" i="5"/>
  <c r="J236" i="5"/>
  <c r="K236" i="5"/>
  <c r="L236" i="5"/>
  <c r="M236" i="5"/>
  <c r="H237" i="5"/>
  <c r="I237" i="5"/>
  <c r="J237" i="5"/>
  <c r="K237" i="5"/>
  <c r="L237" i="5"/>
  <c r="M237" i="5"/>
  <c r="H238" i="5"/>
  <c r="I238" i="5"/>
  <c r="J238" i="5"/>
  <c r="K238" i="5"/>
  <c r="L238" i="5"/>
  <c r="M238" i="5"/>
  <c r="H239" i="5"/>
  <c r="I239" i="5"/>
  <c r="J239" i="5"/>
  <c r="K239" i="5"/>
  <c r="L239" i="5"/>
  <c r="M239" i="5"/>
  <c r="H240" i="5"/>
  <c r="I240" i="5"/>
  <c r="J240" i="5"/>
  <c r="K240" i="5"/>
  <c r="L240" i="5"/>
  <c r="M240" i="5"/>
  <c r="H241" i="5"/>
  <c r="I241" i="5"/>
  <c r="J241" i="5"/>
  <c r="K241" i="5"/>
  <c r="L241" i="5"/>
  <c r="M241" i="5"/>
  <c r="H242" i="5"/>
  <c r="I242" i="5"/>
  <c r="J242" i="5"/>
  <c r="K242" i="5"/>
  <c r="L242" i="5"/>
  <c r="M242" i="5"/>
  <c r="H243" i="5"/>
  <c r="I243" i="5"/>
  <c r="J243" i="5"/>
  <c r="K243" i="5"/>
  <c r="L243" i="5"/>
  <c r="M243" i="5"/>
  <c r="H244" i="5"/>
  <c r="I244" i="5"/>
  <c r="J244" i="5"/>
  <c r="K244" i="5"/>
  <c r="L244" i="5"/>
  <c r="M244" i="5"/>
  <c r="H245" i="5"/>
  <c r="I245" i="5"/>
  <c r="J245" i="5"/>
  <c r="K245" i="5"/>
  <c r="L245" i="5"/>
  <c r="M245" i="5"/>
  <c r="H246" i="5"/>
  <c r="I246" i="5"/>
  <c r="J246" i="5"/>
  <c r="K246" i="5"/>
  <c r="L246" i="5"/>
  <c r="M246" i="5"/>
  <c r="H247" i="5"/>
  <c r="I247" i="5"/>
  <c r="J247" i="5"/>
  <c r="K247" i="5"/>
  <c r="L247" i="5"/>
  <c r="M247" i="5"/>
  <c r="H248" i="5"/>
  <c r="I248" i="5"/>
  <c r="J248" i="5"/>
  <c r="K248" i="5"/>
  <c r="L248" i="5"/>
  <c r="M248" i="5"/>
  <c r="H249" i="5"/>
  <c r="I249" i="5"/>
  <c r="J249" i="5"/>
  <c r="K249" i="5"/>
  <c r="L249" i="5"/>
  <c r="M249" i="5"/>
  <c r="H250" i="5"/>
  <c r="I250" i="5"/>
  <c r="J250" i="5"/>
  <c r="K250" i="5"/>
  <c r="L250" i="5"/>
  <c r="M250" i="5"/>
  <c r="H251" i="5"/>
  <c r="I251" i="5"/>
  <c r="J251" i="5"/>
  <c r="K251" i="5"/>
  <c r="L251" i="5"/>
  <c r="M251" i="5"/>
  <c r="H252" i="5"/>
  <c r="I252" i="5"/>
  <c r="J252" i="5"/>
  <c r="K252" i="5"/>
  <c r="L252" i="5"/>
  <c r="M252" i="5"/>
  <c r="H253" i="5"/>
  <c r="I253" i="5"/>
  <c r="J253" i="5"/>
  <c r="K253" i="5"/>
  <c r="L253" i="5"/>
  <c r="M253" i="5"/>
  <c r="H254" i="5"/>
  <c r="I254" i="5"/>
  <c r="J254" i="5"/>
  <c r="K254" i="5"/>
  <c r="L254" i="5"/>
  <c r="M254" i="5"/>
  <c r="H255" i="5"/>
  <c r="I255" i="5"/>
  <c r="J255" i="5"/>
  <c r="K255" i="5"/>
  <c r="L255" i="5"/>
  <c r="M255" i="5"/>
  <c r="H256" i="5"/>
  <c r="I256" i="5"/>
  <c r="J256" i="5"/>
  <c r="K256" i="5"/>
  <c r="L256" i="5"/>
  <c r="M256" i="5"/>
  <c r="H257" i="5"/>
  <c r="I257" i="5"/>
  <c r="J257" i="5"/>
  <c r="K257" i="5"/>
  <c r="L257" i="5"/>
  <c r="M257" i="5"/>
  <c r="H258" i="5"/>
  <c r="I258" i="5"/>
  <c r="J258" i="5"/>
  <c r="K258" i="5"/>
  <c r="L258" i="5"/>
  <c r="M258" i="5"/>
  <c r="H259" i="5"/>
  <c r="I259" i="5"/>
  <c r="J259" i="5"/>
  <c r="K259" i="5"/>
  <c r="L259" i="5"/>
  <c r="M259" i="5"/>
  <c r="H260" i="5"/>
  <c r="I260" i="5"/>
  <c r="J260" i="5"/>
  <c r="K260" i="5"/>
  <c r="L260" i="5"/>
  <c r="M260" i="5"/>
  <c r="H261" i="5"/>
  <c r="I261" i="5"/>
  <c r="J261" i="5"/>
  <c r="K261" i="5"/>
  <c r="L261" i="5"/>
  <c r="M261" i="5"/>
  <c r="H262" i="5"/>
  <c r="I262" i="5"/>
  <c r="J262" i="5"/>
  <c r="K262" i="5"/>
  <c r="L262" i="5"/>
  <c r="M262" i="5"/>
  <c r="H263" i="5"/>
  <c r="I263" i="5"/>
  <c r="J263" i="5"/>
  <c r="K263" i="5"/>
  <c r="L263" i="5"/>
  <c r="M263" i="5"/>
  <c r="H264" i="5"/>
  <c r="I264" i="5"/>
  <c r="J264" i="5"/>
  <c r="K264" i="5"/>
  <c r="L264" i="5"/>
  <c r="M264" i="5"/>
  <c r="H265" i="5"/>
  <c r="I265" i="5"/>
  <c r="J265" i="5"/>
  <c r="K265" i="5"/>
  <c r="L265" i="5"/>
  <c r="M265" i="5"/>
  <c r="H266" i="5"/>
  <c r="I266" i="5"/>
  <c r="J266" i="5"/>
  <c r="K266" i="5"/>
  <c r="L266" i="5"/>
  <c r="M266" i="5"/>
  <c r="H267" i="5"/>
  <c r="I267" i="5"/>
  <c r="J267" i="5"/>
  <c r="K267" i="5"/>
  <c r="L267" i="5"/>
  <c r="M267" i="5"/>
  <c r="H268" i="5"/>
  <c r="I268" i="5"/>
  <c r="J268" i="5"/>
  <c r="K268" i="5"/>
  <c r="L268" i="5"/>
  <c r="M268" i="5"/>
  <c r="H269" i="5"/>
  <c r="I269" i="5"/>
  <c r="J269" i="5"/>
  <c r="K269" i="5"/>
  <c r="L269" i="5"/>
  <c r="M269" i="5"/>
  <c r="H270" i="5"/>
  <c r="I270" i="5"/>
  <c r="J270" i="5"/>
  <c r="K270" i="5"/>
  <c r="L270" i="5"/>
  <c r="M270" i="5"/>
  <c r="H271" i="5"/>
  <c r="I271" i="5"/>
  <c r="J271" i="5"/>
  <c r="K271" i="5"/>
  <c r="L271" i="5"/>
  <c r="M271" i="5"/>
  <c r="H272" i="5"/>
  <c r="I272" i="5"/>
  <c r="J272" i="5"/>
  <c r="K272" i="5"/>
  <c r="L272" i="5"/>
  <c r="M272" i="5"/>
  <c r="H273" i="5"/>
  <c r="I273" i="5"/>
  <c r="J273" i="5"/>
  <c r="K273" i="5"/>
  <c r="L273" i="5"/>
  <c r="M273" i="5"/>
  <c r="H274" i="5"/>
  <c r="I274" i="5"/>
  <c r="J274" i="5"/>
  <c r="K274" i="5"/>
  <c r="L274" i="5"/>
  <c r="M274" i="5"/>
  <c r="H275" i="5"/>
  <c r="I275" i="5"/>
  <c r="J275" i="5"/>
  <c r="K275" i="5"/>
  <c r="L275" i="5"/>
  <c r="M275" i="5"/>
  <c r="H276" i="5"/>
  <c r="I276" i="5"/>
  <c r="J276" i="5"/>
  <c r="K276" i="5"/>
  <c r="L276" i="5"/>
  <c r="M276" i="5"/>
  <c r="H277" i="5"/>
  <c r="I277" i="5"/>
  <c r="J277" i="5"/>
  <c r="K277" i="5"/>
  <c r="L277" i="5"/>
  <c r="M277" i="5"/>
  <c r="H278" i="5"/>
  <c r="I278" i="5"/>
  <c r="J278" i="5"/>
  <c r="K278" i="5"/>
  <c r="L278" i="5"/>
  <c r="M278" i="5"/>
  <c r="H279" i="5"/>
  <c r="I279" i="5"/>
  <c r="J279" i="5"/>
  <c r="K279" i="5"/>
  <c r="L279" i="5"/>
  <c r="M279" i="5"/>
  <c r="H280" i="5"/>
  <c r="I280" i="5"/>
  <c r="J280" i="5"/>
  <c r="K280" i="5"/>
  <c r="L280" i="5"/>
  <c r="M280" i="5"/>
  <c r="H281" i="5"/>
  <c r="I281" i="5"/>
  <c r="J281" i="5"/>
  <c r="K281" i="5"/>
  <c r="L281" i="5"/>
  <c r="M281" i="5"/>
  <c r="H282" i="5"/>
  <c r="I282" i="5"/>
  <c r="J282" i="5"/>
  <c r="K282" i="5"/>
  <c r="L282" i="5"/>
  <c r="M282" i="5"/>
  <c r="H283" i="5"/>
  <c r="I283" i="5"/>
  <c r="J283" i="5"/>
  <c r="K283" i="5"/>
  <c r="L283" i="5"/>
  <c r="M283" i="5"/>
  <c r="H284" i="5"/>
  <c r="I284" i="5"/>
  <c r="J284" i="5"/>
  <c r="K284" i="5"/>
  <c r="L284" i="5"/>
  <c r="M284" i="5"/>
  <c r="H285" i="5"/>
  <c r="I285" i="5"/>
  <c r="J285" i="5"/>
  <c r="K285" i="5"/>
  <c r="L285" i="5"/>
  <c r="M285" i="5"/>
  <c r="H286" i="5"/>
  <c r="I286" i="5"/>
  <c r="J286" i="5"/>
  <c r="K286" i="5"/>
  <c r="L286" i="5"/>
  <c r="M286" i="5"/>
  <c r="H287" i="5"/>
  <c r="I287" i="5"/>
  <c r="J287" i="5"/>
  <c r="K287" i="5"/>
  <c r="L287" i="5"/>
  <c r="M287" i="5"/>
  <c r="H288" i="5"/>
  <c r="I288" i="5"/>
  <c r="J288" i="5"/>
  <c r="K288" i="5"/>
  <c r="L288" i="5"/>
  <c r="M288" i="5"/>
  <c r="H289" i="5"/>
  <c r="I289" i="5"/>
  <c r="J289" i="5"/>
  <c r="K289" i="5"/>
  <c r="L289" i="5"/>
  <c r="M289" i="5"/>
  <c r="H290" i="5"/>
  <c r="I290" i="5"/>
  <c r="J290" i="5"/>
  <c r="K290" i="5"/>
  <c r="L290" i="5"/>
  <c r="M290" i="5"/>
  <c r="H291" i="5"/>
  <c r="I291" i="5"/>
  <c r="J291" i="5"/>
  <c r="K291" i="5"/>
  <c r="L291" i="5"/>
  <c r="M291" i="5"/>
  <c r="H292" i="5"/>
  <c r="I292" i="5"/>
  <c r="J292" i="5"/>
  <c r="K292" i="5"/>
  <c r="L292" i="5"/>
  <c r="M292" i="5"/>
  <c r="H293" i="5"/>
  <c r="I293" i="5"/>
  <c r="J293" i="5"/>
  <c r="K293" i="5"/>
  <c r="L293" i="5"/>
  <c r="M293" i="5"/>
  <c r="H294" i="5"/>
  <c r="I294" i="5"/>
  <c r="J294" i="5"/>
  <c r="K294" i="5"/>
  <c r="L294" i="5"/>
  <c r="M294" i="5"/>
  <c r="H295" i="5"/>
  <c r="I295" i="5"/>
  <c r="J295" i="5"/>
  <c r="K295" i="5"/>
  <c r="L295" i="5"/>
  <c r="M295" i="5"/>
  <c r="H296" i="5"/>
  <c r="I296" i="5"/>
  <c r="J296" i="5"/>
  <c r="K296" i="5"/>
  <c r="L296" i="5"/>
  <c r="M296" i="5"/>
  <c r="H297" i="5"/>
  <c r="I297" i="5"/>
  <c r="J297" i="5"/>
  <c r="K297" i="5"/>
  <c r="L297" i="5"/>
  <c r="M297" i="5"/>
  <c r="H298" i="5"/>
  <c r="I298" i="5"/>
  <c r="J298" i="5"/>
  <c r="K298" i="5"/>
  <c r="L298" i="5"/>
  <c r="M298" i="5"/>
  <c r="H299" i="5"/>
  <c r="I299" i="5"/>
  <c r="J299" i="5"/>
  <c r="K299" i="5"/>
  <c r="L299" i="5"/>
  <c r="M299" i="5"/>
  <c r="H300" i="5"/>
  <c r="I300" i="5"/>
  <c r="J300" i="5"/>
  <c r="K300" i="5"/>
  <c r="L300" i="5"/>
  <c r="M300" i="5"/>
  <c r="H301" i="5"/>
  <c r="I301" i="5"/>
  <c r="J301" i="5"/>
  <c r="K301" i="5"/>
  <c r="L301" i="5"/>
  <c r="M301" i="5"/>
  <c r="H302" i="5"/>
  <c r="I302" i="5"/>
  <c r="J302" i="5"/>
  <c r="K302" i="5"/>
  <c r="L302" i="5"/>
  <c r="M302" i="5"/>
  <c r="H303" i="5"/>
  <c r="I303" i="5"/>
  <c r="J303" i="5"/>
  <c r="K303" i="5"/>
  <c r="L303" i="5"/>
  <c r="M303" i="5"/>
  <c r="H304" i="5"/>
  <c r="I304" i="5"/>
  <c r="J304" i="5"/>
  <c r="K304" i="5"/>
  <c r="L304" i="5"/>
  <c r="M304" i="5"/>
  <c r="H305" i="5"/>
  <c r="I305" i="5"/>
  <c r="J305" i="5"/>
  <c r="K305" i="5"/>
  <c r="L305" i="5"/>
  <c r="M305" i="5"/>
  <c r="H306" i="5"/>
  <c r="I306" i="5"/>
  <c r="J306" i="5"/>
  <c r="K306" i="5"/>
  <c r="L306" i="5"/>
  <c r="M306" i="5"/>
  <c r="H307" i="5"/>
  <c r="I307" i="5"/>
  <c r="J307" i="5"/>
  <c r="K307" i="5"/>
  <c r="L307" i="5"/>
  <c r="M307" i="5"/>
  <c r="H308" i="5"/>
  <c r="I308" i="5"/>
  <c r="J308" i="5"/>
  <c r="K308" i="5"/>
  <c r="L308" i="5"/>
  <c r="M308" i="5"/>
  <c r="H309" i="5"/>
  <c r="I309" i="5"/>
  <c r="J309" i="5"/>
  <c r="K309" i="5"/>
  <c r="L309" i="5"/>
  <c r="M309" i="5"/>
  <c r="H310" i="5"/>
  <c r="I310" i="5"/>
  <c r="J310" i="5"/>
  <c r="K310" i="5"/>
  <c r="L310" i="5"/>
  <c r="M310" i="5"/>
  <c r="H311" i="5"/>
  <c r="I311" i="5"/>
  <c r="J311" i="5"/>
  <c r="K311" i="5"/>
  <c r="L311" i="5"/>
  <c r="M311" i="5"/>
  <c r="H312" i="5"/>
  <c r="I312" i="5"/>
  <c r="J312" i="5"/>
  <c r="K312" i="5"/>
  <c r="L312" i="5"/>
  <c r="M312" i="5"/>
  <c r="H313" i="5"/>
  <c r="I313" i="5"/>
  <c r="J313" i="5"/>
  <c r="K313" i="5"/>
  <c r="L313" i="5"/>
  <c r="M313" i="5"/>
  <c r="H314" i="5"/>
  <c r="I314" i="5"/>
  <c r="J314" i="5"/>
  <c r="K314" i="5"/>
  <c r="L314" i="5"/>
  <c r="M314" i="5"/>
  <c r="H315" i="5"/>
  <c r="I315" i="5"/>
  <c r="J315" i="5"/>
  <c r="K315" i="5"/>
  <c r="L315" i="5"/>
  <c r="M315" i="5"/>
  <c r="H316" i="5"/>
  <c r="I316" i="5"/>
  <c r="J316" i="5"/>
  <c r="K316" i="5"/>
  <c r="L316" i="5"/>
  <c r="M316" i="5"/>
  <c r="H317" i="5"/>
  <c r="I317" i="5"/>
  <c r="J317" i="5"/>
  <c r="K317" i="5"/>
  <c r="L317" i="5"/>
  <c r="M317" i="5"/>
  <c r="H318" i="5"/>
  <c r="I318" i="5"/>
  <c r="J318" i="5"/>
  <c r="K318" i="5"/>
  <c r="L318" i="5"/>
  <c r="M318" i="5"/>
  <c r="H319" i="5"/>
  <c r="I319" i="5"/>
  <c r="J319" i="5"/>
  <c r="K319" i="5"/>
  <c r="L319" i="5"/>
  <c r="M319" i="5"/>
  <c r="H320" i="5"/>
  <c r="I320" i="5"/>
  <c r="J320" i="5"/>
  <c r="K320" i="5"/>
  <c r="L320" i="5"/>
  <c r="M320" i="5"/>
  <c r="H321" i="5"/>
  <c r="I321" i="5"/>
  <c r="J321" i="5"/>
  <c r="K321" i="5"/>
  <c r="L321" i="5"/>
  <c r="M321" i="5"/>
  <c r="H322" i="5"/>
  <c r="I322" i="5"/>
  <c r="J322" i="5"/>
  <c r="K322" i="5"/>
  <c r="L322" i="5"/>
  <c r="M322" i="5"/>
  <c r="H323" i="5"/>
  <c r="I323" i="5"/>
  <c r="J323" i="5"/>
  <c r="K323" i="5"/>
  <c r="L323" i="5"/>
  <c r="M323" i="5"/>
  <c r="H324" i="5"/>
  <c r="I324" i="5"/>
  <c r="J324" i="5"/>
  <c r="K324" i="5"/>
  <c r="L324" i="5"/>
  <c r="M324" i="5"/>
  <c r="H325" i="5"/>
  <c r="I325" i="5"/>
  <c r="J325" i="5"/>
  <c r="K325" i="5"/>
  <c r="L325" i="5"/>
  <c r="M325" i="5"/>
  <c r="H326" i="5"/>
  <c r="I326" i="5"/>
  <c r="J326" i="5"/>
  <c r="K326" i="5"/>
  <c r="L326" i="5"/>
  <c r="M326" i="5"/>
  <c r="H327" i="5"/>
  <c r="I327" i="5"/>
  <c r="J327" i="5"/>
  <c r="K327" i="5"/>
  <c r="L327" i="5"/>
  <c r="M327" i="5"/>
  <c r="H328" i="5"/>
  <c r="I328" i="5"/>
  <c r="J328" i="5"/>
  <c r="K328" i="5"/>
  <c r="L328" i="5"/>
  <c r="M328" i="5"/>
  <c r="H329" i="5"/>
  <c r="I329" i="5"/>
  <c r="J329" i="5"/>
  <c r="K329" i="5"/>
  <c r="L329" i="5"/>
  <c r="M329" i="5"/>
  <c r="H330" i="5"/>
  <c r="I330" i="5"/>
  <c r="J330" i="5"/>
  <c r="K330" i="5"/>
  <c r="L330" i="5"/>
  <c r="M330" i="5"/>
  <c r="H331" i="5"/>
  <c r="I331" i="5"/>
  <c r="J331" i="5"/>
  <c r="K331" i="5"/>
  <c r="L331" i="5"/>
  <c r="M331" i="5"/>
  <c r="H332" i="5"/>
  <c r="I332" i="5"/>
  <c r="J332" i="5"/>
  <c r="K332" i="5"/>
  <c r="L332" i="5"/>
  <c r="M332" i="5"/>
  <c r="H333" i="5"/>
  <c r="I333" i="5"/>
  <c r="J333" i="5"/>
  <c r="K333" i="5"/>
  <c r="L333" i="5"/>
  <c r="M333" i="5"/>
  <c r="H334" i="5"/>
  <c r="I334" i="5"/>
  <c r="J334" i="5"/>
  <c r="K334" i="5"/>
  <c r="L334" i="5"/>
  <c r="M334" i="5"/>
  <c r="H335" i="5"/>
  <c r="I335" i="5"/>
  <c r="J335" i="5"/>
  <c r="K335" i="5"/>
  <c r="L335" i="5"/>
  <c r="M335" i="5"/>
  <c r="H336" i="5"/>
  <c r="I336" i="5"/>
  <c r="J336" i="5"/>
  <c r="K336" i="5"/>
  <c r="L336" i="5"/>
  <c r="M336" i="5"/>
  <c r="H337" i="5"/>
  <c r="I337" i="5"/>
  <c r="J337" i="5"/>
  <c r="K337" i="5"/>
  <c r="L337" i="5"/>
  <c r="M337" i="5"/>
  <c r="H338" i="5"/>
  <c r="I338" i="5"/>
  <c r="J338" i="5"/>
  <c r="K338" i="5"/>
  <c r="L338" i="5"/>
  <c r="M338" i="5"/>
  <c r="H339" i="5"/>
  <c r="I339" i="5"/>
  <c r="J339" i="5"/>
  <c r="K339" i="5"/>
  <c r="L339" i="5"/>
  <c r="M339" i="5"/>
  <c r="H340" i="5"/>
  <c r="I340" i="5"/>
  <c r="J340" i="5"/>
  <c r="K340" i="5"/>
  <c r="L340" i="5"/>
  <c r="M340" i="5"/>
  <c r="H341" i="5"/>
  <c r="I341" i="5"/>
  <c r="J341" i="5"/>
  <c r="K341" i="5"/>
  <c r="L341" i="5"/>
  <c r="M341" i="5"/>
  <c r="H342" i="5"/>
  <c r="I342" i="5"/>
  <c r="J342" i="5"/>
  <c r="K342" i="5"/>
  <c r="L342" i="5"/>
  <c r="M342" i="5"/>
  <c r="H343" i="5"/>
  <c r="I343" i="5"/>
  <c r="J343" i="5"/>
  <c r="K343" i="5"/>
  <c r="L343" i="5"/>
  <c r="M343" i="5"/>
  <c r="H344" i="5"/>
  <c r="I344" i="5"/>
  <c r="J344" i="5"/>
  <c r="K344" i="5"/>
  <c r="L344" i="5"/>
  <c r="M344" i="5"/>
  <c r="H345" i="5"/>
  <c r="I345" i="5"/>
  <c r="J345" i="5"/>
  <c r="K345" i="5"/>
  <c r="L345" i="5"/>
  <c r="M345" i="5"/>
  <c r="H346" i="5"/>
  <c r="I346" i="5"/>
  <c r="J346" i="5"/>
  <c r="K346" i="5"/>
  <c r="L346" i="5"/>
  <c r="M346" i="5"/>
  <c r="H347" i="5"/>
  <c r="I347" i="5"/>
  <c r="J347" i="5"/>
  <c r="K347" i="5"/>
  <c r="L347" i="5"/>
  <c r="M347" i="5"/>
  <c r="H348" i="5"/>
  <c r="I348" i="5"/>
  <c r="J348" i="5"/>
  <c r="K348" i="5"/>
  <c r="L348" i="5"/>
  <c r="M348" i="5"/>
  <c r="H349" i="5"/>
  <c r="I349" i="5"/>
  <c r="J349" i="5"/>
  <c r="K349" i="5"/>
  <c r="L349" i="5"/>
  <c r="M349" i="5"/>
  <c r="H350" i="5"/>
  <c r="I350" i="5"/>
  <c r="J350" i="5"/>
  <c r="K350" i="5"/>
  <c r="L350" i="5"/>
  <c r="M350" i="5"/>
  <c r="H351" i="5"/>
  <c r="I351" i="5"/>
  <c r="J351" i="5"/>
  <c r="K351" i="5"/>
  <c r="L351" i="5"/>
  <c r="M351" i="5"/>
  <c r="H352" i="5"/>
  <c r="I352" i="5"/>
  <c r="J352" i="5"/>
  <c r="K352" i="5"/>
  <c r="L352" i="5"/>
  <c r="M352" i="5"/>
  <c r="H353" i="5"/>
  <c r="I353" i="5"/>
  <c r="J353" i="5"/>
  <c r="K353" i="5"/>
  <c r="L353" i="5"/>
  <c r="M353" i="5"/>
  <c r="H354" i="5"/>
  <c r="I354" i="5"/>
  <c r="J354" i="5"/>
  <c r="K354" i="5"/>
  <c r="L354" i="5"/>
  <c r="M354" i="5"/>
  <c r="H355" i="5"/>
  <c r="I355" i="5"/>
  <c r="J355" i="5"/>
  <c r="K355" i="5"/>
  <c r="L355" i="5"/>
  <c r="M355" i="5"/>
  <c r="H356" i="5"/>
  <c r="I356" i="5"/>
  <c r="J356" i="5"/>
  <c r="K356" i="5"/>
  <c r="L356" i="5"/>
  <c r="M356" i="5"/>
  <c r="H357" i="5"/>
  <c r="I357" i="5"/>
  <c r="J357" i="5"/>
  <c r="K357" i="5"/>
  <c r="L357" i="5"/>
  <c r="M357" i="5"/>
  <c r="H358" i="5"/>
  <c r="I358" i="5"/>
  <c r="J358" i="5"/>
  <c r="K358" i="5"/>
  <c r="L358" i="5"/>
  <c r="M358" i="5"/>
  <c r="H359" i="5"/>
  <c r="I359" i="5"/>
  <c r="J359" i="5"/>
  <c r="K359" i="5"/>
  <c r="L359" i="5"/>
  <c r="M359" i="5"/>
  <c r="H360" i="5"/>
  <c r="I360" i="5"/>
  <c r="J360" i="5"/>
  <c r="K360" i="5"/>
  <c r="L360" i="5"/>
  <c r="M360" i="5"/>
  <c r="H361" i="5"/>
  <c r="I361" i="5"/>
  <c r="J361" i="5"/>
  <c r="K361" i="5"/>
  <c r="L361" i="5"/>
  <c r="M361" i="5"/>
  <c r="H362" i="5"/>
  <c r="I362" i="5"/>
  <c r="J362" i="5"/>
  <c r="K362" i="5"/>
  <c r="L362" i="5"/>
  <c r="M362" i="5"/>
  <c r="H363" i="5"/>
  <c r="I363" i="5"/>
  <c r="J363" i="5"/>
  <c r="K363" i="5"/>
  <c r="L363" i="5"/>
  <c r="M363" i="5"/>
  <c r="H364" i="5"/>
  <c r="I364" i="5"/>
  <c r="J364" i="5"/>
  <c r="K364" i="5"/>
  <c r="L364" i="5"/>
  <c r="M364" i="5"/>
  <c r="H365" i="5"/>
  <c r="I365" i="5"/>
  <c r="J365" i="5"/>
  <c r="K365" i="5"/>
  <c r="L365" i="5"/>
  <c r="M365" i="5"/>
  <c r="H366" i="5"/>
  <c r="I366" i="5"/>
  <c r="J366" i="5"/>
  <c r="K366" i="5"/>
  <c r="L366" i="5"/>
  <c r="M366" i="5"/>
  <c r="H367" i="5"/>
  <c r="I367" i="5"/>
  <c r="J367" i="5"/>
  <c r="K367" i="5"/>
  <c r="L367" i="5"/>
  <c r="M367" i="5"/>
  <c r="H368" i="5"/>
  <c r="I368" i="5"/>
  <c r="J368" i="5"/>
  <c r="K368" i="5"/>
  <c r="L368" i="5"/>
  <c r="M368" i="5"/>
  <c r="H369" i="5"/>
  <c r="I369" i="5"/>
  <c r="J369" i="5"/>
  <c r="K369" i="5"/>
  <c r="L369" i="5"/>
  <c r="M369" i="5"/>
  <c r="H370" i="5"/>
  <c r="I370" i="5"/>
  <c r="J370" i="5"/>
  <c r="K370" i="5"/>
  <c r="L370" i="5"/>
  <c r="M370" i="5"/>
  <c r="H371" i="5"/>
  <c r="I371" i="5"/>
  <c r="J371" i="5"/>
  <c r="K371" i="5"/>
  <c r="L371" i="5"/>
  <c r="M371" i="5"/>
  <c r="H372" i="5"/>
  <c r="I372" i="5"/>
  <c r="J372" i="5"/>
  <c r="K372" i="5"/>
  <c r="L372" i="5"/>
  <c r="M372" i="5"/>
  <c r="H373" i="5"/>
  <c r="I373" i="5"/>
  <c r="J373" i="5"/>
  <c r="K373" i="5"/>
  <c r="L373" i="5"/>
  <c r="M373" i="5"/>
  <c r="H374" i="5"/>
  <c r="I374" i="5"/>
  <c r="J374" i="5"/>
  <c r="K374" i="5"/>
  <c r="L374" i="5"/>
  <c r="M374" i="5"/>
  <c r="H375" i="5"/>
  <c r="I375" i="5"/>
  <c r="J375" i="5"/>
  <c r="K375" i="5"/>
  <c r="L375" i="5"/>
  <c r="M375" i="5"/>
  <c r="H376" i="5"/>
  <c r="I376" i="5"/>
  <c r="J376" i="5"/>
  <c r="K376" i="5"/>
  <c r="L376" i="5"/>
  <c r="M376" i="5"/>
  <c r="H377" i="5"/>
  <c r="I377" i="5"/>
  <c r="J377" i="5"/>
  <c r="K377" i="5"/>
  <c r="L377" i="5"/>
  <c r="M377" i="5"/>
  <c r="H378" i="5"/>
  <c r="I378" i="5"/>
  <c r="J378" i="5"/>
  <c r="K378" i="5"/>
  <c r="L378" i="5"/>
  <c r="M378" i="5"/>
  <c r="H379" i="5"/>
  <c r="I379" i="5"/>
  <c r="J379" i="5"/>
  <c r="K379" i="5"/>
  <c r="L379" i="5"/>
  <c r="M379" i="5"/>
  <c r="H380" i="5"/>
  <c r="I380" i="5"/>
  <c r="J380" i="5"/>
  <c r="K380" i="5"/>
  <c r="L380" i="5"/>
  <c r="M380" i="5"/>
  <c r="H381" i="5"/>
  <c r="I381" i="5"/>
  <c r="J381" i="5"/>
  <c r="K381" i="5"/>
  <c r="L381" i="5"/>
  <c r="M381" i="5"/>
  <c r="H382" i="5"/>
  <c r="I382" i="5"/>
  <c r="J382" i="5"/>
  <c r="K382" i="5"/>
  <c r="L382" i="5"/>
  <c r="M382" i="5"/>
  <c r="H383" i="5"/>
  <c r="I383" i="5"/>
  <c r="J383" i="5"/>
  <c r="K383" i="5"/>
  <c r="L383" i="5"/>
  <c r="M383" i="5"/>
  <c r="H384" i="5"/>
  <c r="I384" i="5"/>
  <c r="J384" i="5"/>
  <c r="K384" i="5"/>
  <c r="L384" i="5"/>
  <c r="M384" i="5"/>
  <c r="H385" i="5"/>
  <c r="I385" i="5"/>
  <c r="J385" i="5"/>
  <c r="K385" i="5"/>
  <c r="L385" i="5"/>
  <c r="M385" i="5"/>
  <c r="H386" i="5"/>
  <c r="I386" i="5"/>
  <c r="J386" i="5"/>
  <c r="K386" i="5"/>
  <c r="L386" i="5"/>
  <c r="M386" i="5"/>
  <c r="H387" i="5"/>
  <c r="I387" i="5"/>
  <c r="J387" i="5"/>
  <c r="K387" i="5"/>
  <c r="L387" i="5"/>
  <c r="M387" i="5"/>
  <c r="H388" i="5"/>
  <c r="I388" i="5"/>
  <c r="J388" i="5"/>
  <c r="K388" i="5"/>
  <c r="L388" i="5"/>
  <c r="M388" i="5"/>
  <c r="H389" i="5"/>
  <c r="I389" i="5"/>
  <c r="J389" i="5"/>
  <c r="K389" i="5"/>
  <c r="L389" i="5"/>
  <c r="M389" i="5"/>
  <c r="H390" i="5"/>
  <c r="I390" i="5"/>
  <c r="J390" i="5"/>
  <c r="K390" i="5"/>
  <c r="L390" i="5"/>
  <c r="M390" i="5"/>
  <c r="H391" i="5"/>
  <c r="I391" i="5"/>
  <c r="J391" i="5"/>
  <c r="K391" i="5"/>
  <c r="L391" i="5"/>
  <c r="M391" i="5"/>
  <c r="H392" i="5"/>
  <c r="I392" i="5"/>
  <c r="J392" i="5"/>
  <c r="K392" i="5"/>
  <c r="L392" i="5"/>
  <c r="M392" i="5"/>
  <c r="H393" i="5"/>
  <c r="I393" i="5"/>
  <c r="J393" i="5"/>
  <c r="K393" i="5"/>
  <c r="L393" i="5"/>
  <c r="M393" i="5"/>
  <c r="H394" i="5"/>
  <c r="I394" i="5"/>
  <c r="J394" i="5"/>
  <c r="K394" i="5"/>
  <c r="L394" i="5"/>
  <c r="M394" i="5"/>
  <c r="H395" i="5"/>
  <c r="I395" i="5"/>
  <c r="J395" i="5"/>
  <c r="K395" i="5"/>
  <c r="L395" i="5"/>
  <c r="M395" i="5"/>
  <c r="H396" i="5"/>
  <c r="I396" i="5"/>
  <c r="J396" i="5"/>
  <c r="K396" i="5"/>
  <c r="L396" i="5"/>
  <c r="M396" i="5"/>
  <c r="H397" i="5"/>
  <c r="I397" i="5"/>
  <c r="J397" i="5"/>
  <c r="K397" i="5"/>
  <c r="L397" i="5"/>
  <c r="M397" i="5"/>
  <c r="H398" i="5"/>
  <c r="I398" i="5"/>
  <c r="J398" i="5"/>
  <c r="K398" i="5"/>
  <c r="L398" i="5"/>
  <c r="M398" i="5"/>
  <c r="H399" i="5"/>
  <c r="I399" i="5"/>
  <c r="J399" i="5"/>
  <c r="K399" i="5"/>
  <c r="L399" i="5"/>
  <c r="M399" i="5"/>
  <c r="H400" i="5"/>
  <c r="I400" i="5"/>
  <c r="J400" i="5"/>
  <c r="K400" i="5"/>
  <c r="L400" i="5"/>
  <c r="M400" i="5"/>
  <c r="H401" i="5"/>
  <c r="I401" i="5"/>
  <c r="J401" i="5"/>
  <c r="K401" i="5"/>
  <c r="L401" i="5"/>
  <c r="M401" i="5"/>
  <c r="H402" i="5"/>
  <c r="I402" i="5"/>
  <c r="J402" i="5"/>
  <c r="K402" i="5"/>
  <c r="L402" i="5"/>
  <c r="M402" i="5"/>
  <c r="H403" i="5"/>
  <c r="I403" i="5"/>
  <c r="J403" i="5"/>
  <c r="K403" i="5"/>
  <c r="L403" i="5"/>
  <c r="M403" i="5"/>
  <c r="H404" i="5"/>
  <c r="I404" i="5"/>
  <c r="J404" i="5"/>
  <c r="K404" i="5"/>
  <c r="L404" i="5"/>
  <c r="M404" i="5"/>
  <c r="H405" i="5"/>
  <c r="I405" i="5"/>
  <c r="J405" i="5"/>
  <c r="K405" i="5"/>
  <c r="L405" i="5"/>
  <c r="M405" i="5"/>
  <c r="H406" i="5"/>
  <c r="I406" i="5"/>
  <c r="J406" i="5"/>
  <c r="K406" i="5"/>
  <c r="L406" i="5"/>
  <c r="M406" i="5"/>
  <c r="H407" i="5"/>
  <c r="I407" i="5"/>
  <c r="J407" i="5"/>
  <c r="K407" i="5"/>
  <c r="L407" i="5"/>
  <c r="M407" i="5"/>
  <c r="H408" i="5"/>
  <c r="I408" i="5"/>
  <c r="J408" i="5"/>
  <c r="K408" i="5"/>
  <c r="L408" i="5"/>
  <c r="M408" i="5"/>
  <c r="H409" i="5"/>
  <c r="I409" i="5"/>
  <c r="J409" i="5"/>
  <c r="K409" i="5"/>
  <c r="L409" i="5"/>
  <c r="M409" i="5"/>
  <c r="H410" i="5"/>
  <c r="I410" i="5"/>
  <c r="J410" i="5"/>
  <c r="K410" i="5"/>
  <c r="L410" i="5"/>
  <c r="M410" i="5"/>
  <c r="H411" i="5"/>
  <c r="I411" i="5"/>
  <c r="J411" i="5"/>
  <c r="K411" i="5"/>
  <c r="L411" i="5"/>
  <c r="M411" i="5"/>
  <c r="H412" i="5"/>
  <c r="I412" i="5"/>
  <c r="J412" i="5"/>
  <c r="K412" i="5"/>
  <c r="L412" i="5"/>
  <c r="M412" i="5"/>
  <c r="H413" i="5"/>
  <c r="I413" i="5"/>
  <c r="J413" i="5"/>
  <c r="K413" i="5"/>
  <c r="L413" i="5"/>
  <c r="M413" i="5"/>
  <c r="H414" i="5"/>
  <c r="I414" i="5"/>
  <c r="J414" i="5"/>
  <c r="K414" i="5"/>
  <c r="L414" i="5"/>
  <c r="M414" i="5"/>
  <c r="H415" i="5"/>
  <c r="I415" i="5"/>
  <c r="J415" i="5"/>
  <c r="K415" i="5"/>
  <c r="L415" i="5"/>
  <c r="M415" i="5"/>
  <c r="H416" i="5"/>
  <c r="I416" i="5"/>
  <c r="J416" i="5"/>
  <c r="K416" i="5"/>
  <c r="L416" i="5"/>
  <c r="M416" i="5"/>
  <c r="H417" i="5"/>
  <c r="I417" i="5"/>
  <c r="J417" i="5"/>
  <c r="K417" i="5"/>
  <c r="L417" i="5"/>
  <c r="M417" i="5"/>
  <c r="H418" i="5"/>
  <c r="I418" i="5"/>
  <c r="J418" i="5"/>
  <c r="K418" i="5"/>
  <c r="L418" i="5"/>
  <c r="M418" i="5"/>
  <c r="H419" i="5"/>
  <c r="I419" i="5"/>
  <c r="J419" i="5"/>
  <c r="K419" i="5"/>
  <c r="L419" i="5"/>
  <c r="M419" i="5"/>
  <c r="H420" i="5"/>
  <c r="I420" i="5"/>
  <c r="J420" i="5"/>
  <c r="K420" i="5"/>
  <c r="L420" i="5"/>
  <c r="M420" i="5"/>
  <c r="H421" i="5"/>
  <c r="I421" i="5"/>
  <c r="J421" i="5"/>
  <c r="K421" i="5"/>
  <c r="L421" i="5"/>
  <c r="M421" i="5"/>
  <c r="H422" i="5"/>
  <c r="I422" i="5"/>
  <c r="J422" i="5"/>
  <c r="K422" i="5"/>
  <c r="L422" i="5"/>
  <c r="M422" i="5"/>
  <c r="H423" i="5"/>
  <c r="I423" i="5"/>
  <c r="J423" i="5"/>
  <c r="K423" i="5"/>
  <c r="L423" i="5"/>
  <c r="M423" i="5"/>
  <c r="H424" i="5"/>
  <c r="I424" i="5"/>
  <c r="J424" i="5"/>
  <c r="K424" i="5"/>
  <c r="L424" i="5"/>
  <c r="M424" i="5"/>
  <c r="H425" i="5"/>
  <c r="I425" i="5"/>
  <c r="J425" i="5"/>
  <c r="K425" i="5"/>
  <c r="L425" i="5"/>
  <c r="M425" i="5"/>
  <c r="H426" i="5"/>
  <c r="I426" i="5"/>
  <c r="J426" i="5"/>
  <c r="K426" i="5"/>
  <c r="L426" i="5"/>
  <c r="M426" i="5"/>
  <c r="H427" i="5"/>
  <c r="I427" i="5"/>
  <c r="J427" i="5"/>
  <c r="K427" i="5"/>
  <c r="L427" i="5"/>
  <c r="M427" i="5"/>
  <c r="H428" i="5"/>
  <c r="I428" i="5"/>
  <c r="J428" i="5"/>
  <c r="K428" i="5"/>
  <c r="L428" i="5"/>
  <c r="M428" i="5"/>
  <c r="H429" i="5"/>
  <c r="I429" i="5"/>
  <c r="J429" i="5"/>
  <c r="K429" i="5"/>
  <c r="L429" i="5"/>
  <c r="M429" i="5"/>
  <c r="H430" i="5"/>
  <c r="I430" i="5"/>
  <c r="J430" i="5"/>
  <c r="K430" i="5"/>
  <c r="L430" i="5"/>
  <c r="M430" i="5"/>
  <c r="H431" i="5"/>
  <c r="I431" i="5"/>
  <c r="J431" i="5"/>
  <c r="K431" i="5"/>
  <c r="L431" i="5"/>
  <c r="M431" i="5"/>
  <c r="H432" i="5"/>
  <c r="I432" i="5"/>
  <c r="J432" i="5"/>
  <c r="K432" i="5"/>
  <c r="L432" i="5"/>
  <c r="M432" i="5"/>
  <c r="H433" i="5"/>
  <c r="I433" i="5"/>
  <c r="J433" i="5"/>
  <c r="K433" i="5"/>
  <c r="L433" i="5"/>
  <c r="M433" i="5"/>
  <c r="H434" i="5"/>
  <c r="I434" i="5"/>
  <c r="J434" i="5"/>
  <c r="K434" i="5"/>
  <c r="L434" i="5"/>
  <c r="M434" i="5"/>
  <c r="H435" i="5"/>
  <c r="I435" i="5"/>
  <c r="J435" i="5"/>
  <c r="K435" i="5"/>
  <c r="L435" i="5"/>
  <c r="M435" i="5"/>
  <c r="H436" i="5"/>
  <c r="I436" i="5"/>
  <c r="J436" i="5"/>
  <c r="K436" i="5"/>
  <c r="L436" i="5"/>
  <c r="M436" i="5"/>
  <c r="H437" i="5"/>
  <c r="I437" i="5"/>
  <c r="J437" i="5"/>
  <c r="K437" i="5"/>
  <c r="L437" i="5"/>
  <c r="M437" i="5"/>
  <c r="H438" i="5"/>
  <c r="I438" i="5"/>
  <c r="J438" i="5"/>
  <c r="K438" i="5"/>
  <c r="L438" i="5"/>
  <c r="M438" i="5"/>
  <c r="H439" i="5"/>
  <c r="I439" i="5"/>
  <c r="J439" i="5"/>
  <c r="K439" i="5"/>
  <c r="L439" i="5"/>
  <c r="M439" i="5"/>
  <c r="H440" i="5"/>
  <c r="I440" i="5"/>
  <c r="J440" i="5"/>
  <c r="K440" i="5"/>
  <c r="L440" i="5"/>
  <c r="M440" i="5"/>
  <c r="H441" i="5"/>
  <c r="I441" i="5"/>
  <c r="J441" i="5"/>
  <c r="K441" i="5"/>
  <c r="L441" i="5"/>
  <c r="M441" i="5"/>
  <c r="H442" i="5"/>
  <c r="I442" i="5"/>
  <c r="J442" i="5"/>
  <c r="K442" i="5"/>
  <c r="L442" i="5"/>
  <c r="M442" i="5"/>
  <c r="H443" i="5"/>
  <c r="I443" i="5"/>
  <c r="J443" i="5"/>
  <c r="K443" i="5"/>
  <c r="L443" i="5"/>
  <c r="M443" i="5"/>
  <c r="H444" i="5"/>
  <c r="I444" i="5"/>
  <c r="J444" i="5"/>
  <c r="K444" i="5"/>
  <c r="L444" i="5"/>
  <c r="M444" i="5"/>
  <c r="H445" i="5"/>
  <c r="I445" i="5"/>
  <c r="J445" i="5"/>
  <c r="K445" i="5"/>
  <c r="L445" i="5"/>
  <c r="M445" i="5"/>
  <c r="H446" i="5"/>
  <c r="I446" i="5"/>
  <c r="J446" i="5"/>
  <c r="K446" i="5"/>
  <c r="L446" i="5"/>
  <c r="M446" i="5"/>
  <c r="H447" i="5"/>
  <c r="I447" i="5"/>
  <c r="J447" i="5"/>
  <c r="K447" i="5"/>
  <c r="L447" i="5"/>
  <c r="M447" i="5"/>
  <c r="H448" i="5"/>
  <c r="I448" i="5"/>
  <c r="J448" i="5"/>
  <c r="K448" i="5"/>
  <c r="L448" i="5"/>
  <c r="M448" i="5"/>
  <c r="H449" i="5"/>
  <c r="I449" i="5"/>
  <c r="J449" i="5"/>
  <c r="K449" i="5"/>
  <c r="L449" i="5"/>
  <c r="M449" i="5"/>
  <c r="H450" i="5"/>
  <c r="I450" i="5"/>
  <c r="J450" i="5"/>
  <c r="K450" i="5"/>
  <c r="L450" i="5"/>
  <c r="M450" i="5"/>
  <c r="H451" i="5"/>
  <c r="I451" i="5"/>
  <c r="J451" i="5"/>
  <c r="K451" i="5"/>
  <c r="L451" i="5"/>
  <c r="M451" i="5"/>
  <c r="H452" i="5"/>
  <c r="I452" i="5"/>
  <c r="J452" i="5"/>
  <c r="K452" i="5"/>
  <c r="L452" i="5"/>
  <c r="M452" i="5"/>
  <c r="H453" i="5"/>
  <c r="I453" i="5"/>
  <c r="J453" i="5"/>
  <c r="K453" i="5"/>
  <c r="L453" i="5"/>
  <c r="M453" i="5"/>
  <c r="H454" i="5"/>
  <c r="I454" i="5"/>
  <c r="J454" i="5"/>
  <c r="K454" i="5"/>
  <c r="L454" i="5"/>
  <c r="M454" i="5"/>
  <c r="H455" i="5"/>
  <c r="I455" i="5"/>
  <c r="J455" i="5"/>
  <c r="K455" i="5"/>
  <c r="L455" i="5"/>
  <c r="M455" i="5"/>
  <c r="H456" i="5"/>
  <c r="I456" i="5"/>
  <c r="J456" i="5"/>
  <c r="K456" i="5"/>
  <c r="L456" i="5"/>
  <c r="M456" i="5"/>
  <c r="H457" i="5"/>
  <c r="I457" i="5"/>
  <c r="J457" i="5"/>
  <c r="K457" i="5"/>
  <c r="L457" i="5"/>
  <c r="M457" i="5"/>
  <c r="H458" i="5"/>
  <c r="I458" i="5"/>
  <c r="J458" i="5"/>
  <c r="K458" i="5"/>
  <c r="L458" i="5"/>
  <c r="M458" i="5"/>
  <c r="H459" i="5"/>
  <c r="I459" i="5"/>
  <c r="J459" i="5"/>
  <c r="K459" i="5"/>
  <c r="L459" i="5"/>
  <c r="M459" i="5"/>
  <c r="H460" i="5"/>
  <c r="I460" i="5"/>
  <c r="J460" i="5"/>
  <c r="K460" i="5"/>
  <c r="L460" i="5"/>
  <c r="M460" i="5"/>
  <c r="H461" i="5"/>
  <c r="I461" i="5"/>
  <c r="J461" i="5"/>
  <c r="K461" i="5"/>
  <c r="L461" i="5"/>
  <c r="M461" i="5"/>
  <c r="H462" i="5"/>
  <c r="I462" i="5"/>
  <c r="J462" i="5"/>
  <c r="K462" i="5"/>
  <c r="L462" i="5"/>
  <c r="M462" i="5"/>
  <c r="H463" i="5"/>
  <c r="I463" i="5"/>
  <c r="J463" i="5"/>
  <c r="K463" i="5"/>
  <c r="L463" i="5"/>
  <c r="M463" i="5"/>
  <c r="H464" i="5"/>
  <c r="I464" i="5"/>
  <c r="J464" i="5"/>
  <c r="K464" i="5"/>
  <c r="L464" i="5"/>
  <c r="M464" i="5"/>
  <c r="H465" i="5"/>
  <c r="I465" i="5"/>
  <c r="J465" i="5"/>
  <c r="K465" i="5"/>
  <c r="L465" i="5"/>
  <c r="M465" i="5"/>
  <c r="H466" i="5"/>
  <c r="I466" i="5"/>
  <c r="J466" i="5"/>
  <c r="K466" i="5"/>
  <c r="L466" i="5"/>
  <c r="M466" i="5"/>
  <c r="H467" i="5"/>
  <c r="I467" i="5"/>
  <c r="J467" i="5"/>
  <c r="K467" i="5"/>
  <c r="L467" i="5"/>
  <c r="M467" i="5"/>
  <c r="H468" i="5"/>
  <c r="I468" i="5"/>
  <c r="J468" i="5"/>
  <c r="K468" i="5"/>
  <c r="L468" i="5"/>
  <c r="M468" i="5"/>
  <c r="H469" i="5"/>
  <c r="I469" i="5"/>
  <c r="J469" i="5"/>
  <c r="K469" i="5"/>
  <c r="L469" i="5"/>
  <c r="M469" i="5"/>
  <c r="H470" i="5"/>
  <c r="I470" i="5"/>
  <c r="J470" i="5"/>
  <c r="K470" i="5"/>
  <c r="L470" i="5"/>
  <c r="M470" i="5"/>
  <c r="H471" i="5"/>
  <c r="I471" i="5"/>
  <c r="J471" i="5"/>
  <c r="K471" i="5"/>
  <c r="L471" i="5"/>
  <c r="M471" i="5"/>
  <c r="H472" i="5"/>
  <c r="I472" i="5"/>
  <c r="J472" i="5"/>
  <c r="K472" i="5"/>
  <c r="L472" i="5"/>
  <c r="M472" i="5"/>
  <c r="H473" i="5"/>
  <c r="I473" i="5"/>
  <c r="J473" i="5"/>
  <c r="K473" i="5"/>
  <c r="L473" i="5"/>
  <c r="M473" i="5"/>
  <c r="H474" i="5"/>
  <c r="I474" i="5"/>
  <c r="J474" i="5"/>
  <c r="K474" i="5"/>
  <c r="L474" i="5"/>
  <c r="M474" i="5"/>
  <c r="H475" i="5"/>
  <c r="I475" i="5"/>
  <c r="J475" i="5"/>
  <c r="K475" i="5"/>
  <c r="L475" i="5"/>
  <c r="M475" i="5"/>
  <c r="H476" i="5"/>
  <c r="I476" i="5"/>
  <c r="J476" i="5"/>
  <c r="K476" i="5"/>
  <c r="L476" i="5"/>
  <c r="M476" i="5"/>
  <c r="H477" i="5"/>
  <c r="I477" i="5"/>
  <c r="J477" i="5"/>
  <c r="K477" i="5"/>
  <c r="L477" i="5"/>
  <c r="M477" i="5"/>
  <c r="H478" i="5"/>
  <c r="I478" i="5"/>
  <c r="J478" i="5"/>
  <c r="K478" i="5"/>
  <c r="L478" i="5"/>
  <c r="M478" i="5"/>
  <c r="H479" i="5"/>
  <c r="I479" i="5"/>
  <c r="J479" i="5"/>
  <c r="K479" i="5"/>
  <c r="L479" i="5"/>
  <c r="M479" i="5"/>
  <c r="H480" i="5"/>
  <c r="I480" i="5"/>
  <c r="J480" i="5"/>
  <c r="K480" i="5"/>
  <c r="L480" i="5"/>
  <c r="M480" i="5"/>
  <c r="H481" i="5"/>
  <c r="I481" i="5"/>
  <c r="J481" i="5"/>
  <c r="K481" i="5"/>
  <c r="L481" i="5"/>
  <c r="M481" i="5"/>
  <c r="H482" i="5"/>
  <c r="I482" i="5"/>
  <c r="J482" i="5"/>
  <c r="K482" i="5"/>
  <c r="L482" i="5"/>
  <c r="M482" i="5"/>
  <c r="H483" i="5"/>
  <c r="I483" i="5"/>
  <c r="J483" i="5"/>
  <c r="K483" i="5"/>
  <c r="L483" i="5"/>
  <c r="M483" i="5"/>
  <c r="H484" i="5"/>
  <c r="I484" i="5"/>
  <c r="J484" i="5"/>
  <c r="K484" i="5"/>
  <c r="L484" i="5"/>
  <c r="M484" i="5"/>
  <c r="H485" i="5"/>
  <c r="I485" i="5"/>
  <c r="J485" i="5"/>
  <c r="K485" i="5"/>
  <c r="L485" i="5"/>
  <c r="M485" i="5"/>
  <c r="H486" i="5"/>
  <c r="I486" i="5"/>
  <c r="J486" i="5"/>
  <c r="K486" i="5"/>
  <c r="L486" i="5"/>
  <c r="M486" i="5"/>
  <c r="H487" i="5"/>
  <c r="I487" i="5"/>
  <c r="J487" i="5"/>
  <c r="K487" i="5"/>
  <c r="L487" i="5"/>
  <c r="M487" i="5"/>
  <c r="H488" i="5"/>
  <c r="I488" i="5"/>
  <c r="J488" i="5"/>
  <c r="K488" i="5"/>
  <c r="L488" i="5"/>
  <c r="M488" i="5"/>
  <c r="H489" i="5"/>
  <c r="I489" i="5"/>
  <c r="J489" i="5"/>
  <c r="K489" i="5"/>
  <c r="L489" i="5"/>
  <c r="M489" i="5"/>
  <c r="H490" i="5"/>
  <c r="I490" i="5"/>
  <c r="J490" i="5"/>
  <c r="K490" i="5"/>
  <c r="L490" i="5"/>
  <c r="M490" i="5"/>
  <c r="H491" i="5"/>
  <c r="I491" i="5"/>
  <c r="J491" i="5"/>
  <c r="K491" i="5"/>
  <c r="L491" i="5"/>
  <c r="M491" i="5"/>
  <c r="H492" i="5"/>
  <c r="I492" i="5"/>
  <c r="J492" i="5"/>
  <c r="K492" i="5"/>
  <c r="L492" i="5"/>
  <c r="M492" i="5"/>
  <c r="H493" i="5"/>
  <c r="I493" i="5"/>
  <c r="J493" i="5"/>
  <c r="K493" i="5"/>
  <c r="L493" i="5"/>
  <c r="M493" i="5"/>
  <c r="H494" i="5"/>
  <c r="I494" i="5"/>
  <c r="J494" i="5"/>
  <c r="K494" i="5"/>
  <c r="L494" i="5"/>
  <c r="M494" i="5"/>
  <c r="H495" i="5"/>
  <c r="I495" i="5"/>
  <c r="J495" i="5"/>
  <c r="K495" i="5"/>
  <c r="L495" i="5"/>
  <c r="M495" i="5"/>
  <c r="H496" i="5"/>
  <c r="I496" i="5"/>
  <c r="J496" i="5"/>
  <c r="K496" i="5"/>
  <c r="L496" i="5"/>
  <c r="M496" i="5"/>
  <c r="H497" i="5"/>
  <c r="I497" i="5"/>
  <c r="J497" i="5"/>
  <c r="K497" i="5"/>
  <c r="L497" i="5"/>
  <c r="M497" i="5"/>
  <c r="H498" i="5"/>
  <c r="I498" i="5"/>
  <c r="J498" i="5"/>
  <c r="K498" i="5"/>
  <c r="L498" i="5"/>
  <c r="M498" i="5"/>
  <c r="H499" i="5"/>
  <c r="I499" i="5"/>
  <c r="J499" i="5"/>
  <c r="K499" i="5"/>
  <c r="L499" i="5"/>
  <c r="M499" i="5"/>
  <c r="H500" i="5"/>
  <c r="I500" i="5"/>
  <c r="J500" i="5"/>
  <c r="K500" i="5"/>
  <c r="L500" i="5"/>
  <c r="M500" i="5"/>
  <c r="H501" i="5"/>
  <c r="I501" i="5"/>
  <c r="J501" i="5"/>
  <c r="K501" i="5"/>
  <c r="L501" i="5"/>
  <c r="M501" i="5"/>
  <c r="H502" i="5"/>
  <c r="I502" i="5"/>
  <c r="J502" i="5"/>
  <c r="K502" i="5"/>
  <c r="L502" i="5"/>
  <c r="M502" i="5"/>
  <c r="H503" i="5"/>
  <c r="I503" i="5"/>
  <c r="J503" i="5"/>
  <c r="K503" i="5"/>
  <c r="L503" i="5"/>
  <c r="M503" i="5"/>
  <c r="H504" i="5"/>
  <c r="I504" i="5"/>
  <c r="J504" i="5"/>
  <c r="K504" i="5"/>
  <c r="L504" i="5"/>
  <c r="M504" i="5"/>
  <c r="H505" i="5"/>
  <c r="I505" i="5"/>
  <c r="J505" i="5"/>
  <c r="K505" i="5"/>
  <c r="L505" i="5"/>
  <c r="M505" i="5"/>
  <c r="H506" i="5"/>
  <c r="I506" i="5"/>
  <c r="J506" i="5"/>
  <c r="K506" i="5"/>
  <c r="L506" i="5"/>
  <c r="M506" i="5"/>
  <c r="H507" i="5"/>
  <c r="I507" i="5"/>
  <c r="J507" i="5"/>
  <c r="K507" i="5"/>
  <c r="L507" i="5"/>
  <c r="M507" i="5"/>
  <c r="H508" i="5"/>
  <c r="I508" i="5"/>
  <c r="J508" i="5"/>
  <c r="K508" i="5"/>
  <c r="L508" i="5"/>
  <c r="M508" i="5"/>
  <c r="H509" i="5"/>
  <c r="I509" i="5"/>
  <c r="J509" i="5"/>
  <c r="K509" i="5"/>
  <c r="L509" i="5"/>
  <c r="M509" i="5"/>
  <c r="H510" i="5"/>
  <c r="I510" i="5"/>
  <c r="J510" i="5"/>
  <c r="K510" i="5"/>
  <c r="L510" i="5"/>
  <c r="M510" i="5"/>
  <c r="H511" i="5"/>
  <c r="I511" i="5"/>
  <c r="J511" i="5"/>
  <c r="K511" i="5"/>
  <c r="L511" i="5"/>
  <c r="M511" i="5"/>
  <c r="H512" i="5"/>
  <c r="I512" i="5"/>
  <c r="J512" i="5"/>
  <c r="K512" i="5"/>
  <c r="L512" i="5"/>
  <c r="M512" i="5"/>
  <c r="H513" i="5"/>
  <c r="I513" i="5"/>
  <c r="J513" i="5"/>
  <c r="K513" i="5"/>
  <c r="L513" i="5"/>
  <c r="M513" i="5"/>
  <c r="H514" i="5"/>
  <c r="I514" i="5"/>
  <c r="J514" i="5"/>
  <c r="K514" i="5"/>
  <c r="L514" i="5"/>
  <c r="M514" i="5"/>
  <c r="H515" i="5"/>
  <c r="I515" i="5"/>
  <c r="J515" i="5"/>
  <c r="K515" i="5"/>
  <c r="L515" i="5"/>
  <c r="M515" i="5"/>
  <c r="H516" i="5"/>
  <c r="I516" i="5"/>
  <c r="J516" i="5"/>
  <c r="K516" i="5"/>
  <c r="L516" i="5"/>
  <c r="M516" i="5"/>
  <c r="H517" i="5"/>
  <c r="I517" i="5"/>
  <c r="J517" i="5"/>
  <c r="K517" i="5"/>
  <c r="L517" i="5"/>
  <c r="M517" i="5"/>
  <c r="H518" i="5"/>
  <c r="I518" i="5"/>
  <c r="J518" i="5"/>
  <c r="K518" i="5"/>
  <c r="L518" i="5"/>
  <c r="M518" i="5"/>
  <c r="H519" i="5"/>
  <c r="I519" i="5"/>
  <c r="J519" i="5"/>
  <c r="K519" i="5"/>
  <c r="L519" i="5"/>
  <c r="M519" i="5"/>
  <c r="H520" i="5"/>
  <c r="I520" i="5"/>
  <c r="J520" i="5"/>
  <c r="K520" i="5"/>
  <c r="L520" i="5"/>
  <c r="M520" i="5"/>
  <c r="H521" i="5"/>
  <c r="I521" i="5"/>
  <c r="J521" i="5"/>
  <c r="K521" i="5"/>
  <c r="L521" i="5"/>
  <c r="M521" i="5"/>
  <c r="H522" i="5"/>
  <c r="I522" i="5"/>
  <c r="J522" i="5"/>
  <c r="K522" i="5"/>
  <c r="L522" i="5"/>
  <c r="M522" i="5"/>
  <c r="H523" i="5"/>
  <c r="I523" i="5"/>
  <c r="J523" i="5"/>
  <c r="K523" i="5"/>
  <c r="L523" i="5"/>
  <c r="M523" i="5"/>
  <c r="H524" i="5"/>
  <c r="I524" i="5"/>
  <c r="J524" i="5"/>
  <c r="K524" i="5"/>
  <c r="L524" i="5"/>
  <c r="M524" i="5"/>
  <c r="H525" i="5"/>
  <c r="I525" i="5"/>
  <c r="J525" i="5"/>
  <c r="K525" i="5"/>
  <c r="L525" i="5"/>
  <c r="M525" i="5"/>
  <c r="H526" i="5"/>
  <c r="I526" i="5"/>
  <c r="J526" i="5"/>
  <c r="K526" i="5"/>
  <c r="L526" i="5"/>
  <c r="M526" i="5"/>
  <c r="H527" i="5"/>
  <c r="I527" i="5"/>
  <c r="J527" i="5"/>
  <c r="K527" i="5"/>
  <c r="L527" i="5"/>
  <c r="M527" i="5"/>
  <c r="H528" i="5"/>
  <c r="I528" i="5"/>
  <c r="J528" i="5"/>
  <c r="K528" i="5"/>
  <c r="L528" i="5"/>
  <c r="M528" i="5"/>
  <c r="H529" i="5"/>
  <c r="I529" i="5"/>
  <c r="J529" i="5"/>
  <c r="K529" i="5"/>
  <c r="L529" i="5"/>
  <c r="M529" i="5"/>
  <c r="H530" i="5"/>
  <c r="I530" i="5"/>
  <c r="J530" i="5"/>
  <c r="K530" i="5"/>
  <c r="L530" i="5"/>
  <c r="M530" i="5"/>
  <c r="H531" i="5"/>
  <c r="I531" i="5"/>
  <c r="J531" i="5"/>
  <c r="K531" i="5"/>
  <c r="L531" i="5"/>
  <c r="M531" i="5"/>
  <c r="H532" i="5"/>
  <c r="I532" i="5"/>
  <c r="J532" i="5"/>
  <c r="K532" i="5"/>
  <c r="L532" i="5"/>
  <c r="M532" i="5"/>
  <c r="H533" i="5"/>
  <c r="I533" i="5"/>
  <c r="J533" i="5"/>
  <c r="K533" i="5"/>
  <c r="L533" i="5"/>
  <c r="M533" i="5"/>
  <c r="H534" i="5"/>
  <c r="I534" i="5"/>
  <c r="J534" i="5"/>
  <c r="K534" i="5"/>
  <c r="L534" i="5"/>
  <c r="M534" i="5"/>
  <c r="H535" i="5"/>
  <c r="I535" i="5"/>
  <c r="J535" i="5"/>
  <c r="K535" i="5"/>
  <c r="L535" i="5"/>
  <c r="M535" i="5"/>
  <c r="H536" i="5"/>
  <c r="I536" i="5"/>
  <c r="J536" i="5"/>
  <c r="K536" i="5"/>
  <c r="L536" i="5"/>
  <c r="M536" i="5"/>
  <c r="H537" i="5"/>
  <c r="I537" i="5"/>
  <c r="J537" i="5"/>
  <c r="K537" i="5"/>
  <c r="L537" i="5"/>
  <c r="M537" i="5"/>
  <c r="H538" i="5"/>
  <c r="I538" i="5"/>
  <c r="J538" i="5"/>
  <c r="K538" i="5"/>
  <c r="L538" i="5"/>
  <c r="M538" i="5"/>
  <c r="H539" i="5"/>
  <c r="I539" i="5"/>
  <c r="J539" i="5"/>
  <c r="K539" i="5"/>
  <c r="L539" i="5"/>
  <c r="M539" i="5"/>
  <c r="H540" i="5"/>
  <c r="I540" i="5"/>
  <c r="J540" i="5"/>
  <c r="K540" i="5"/>
  <c r="L540" i="5"/>
  <c r="M540" i="5"/>
  <c r="H541" i="5"/>
  <c r="I541" i="5"/>
  <c r="J541" i="5"/>
  <c r="K541" i="5"/>
  <c r="L541" i="5"/>
  <c r="M541" i="5"/>
  <c r="H542" i="5"/>
  <c r="I542" i="5"/>
  <c r="J542" i="5"/>
  <c r="K542" i="5"/>
  <c r="L542" i="5"/>
  <c r="M542" i="5"/>
  <c r="H543" i="5"/>
  <c r="I543" i="5"/>
  <c r="J543" i="5"/>
  <c r="K543" i="5"/>
  <c r="L543" i="5"/>
  <c r="M543" i="5"/>
  <c r="H544" i="5"/>
  <c r="I544" i="5"/>
  <c r="J544" i="5"/>
  <c r="K544" i="5"/>
  <c r="L544" i="5"/>
  <c r="M544" i="5"/>
  <c r="H545" i="5"/>
  <c r="I545" i="5"/>
  <c r="J545" i="5"/>
  <c r="K545" i="5"/>
  <c r="L545" i="5"/>
  <c r="M545" i="5"/>
  <c r="H546" i="5"/>
  <c r="I546" i="5"/>
  <c r="J546" i="5"/>
  <c r="K546" i="5"/>
  <c r="L546" i="5"/>
  <c r="M546" i="5"/>
  <c r="H547" i="5"/>
  <c r="I547" i="5"/>
  <c r="J547" i="5"/>
  <c r="K547" i="5"/>
  <c r="L547" i="5"/>
  <c r="M547" i="5"/>
  <c r="H548" i="5"/>
  <c r="I548" i="5"/>
  <c r="J548" i="5"/>
  <c r="K548" i="5"/>
  <c r="L548" i="5"/>
  <c r="M548" i="5"/>
  <c r="H549" i="5"/>
  <c r="I549" i="5"/>
  <c r="J549" i="5"/>
  <c r="K549" i="5"/>
  <c r="L549" i="5"/>
  <c r="M549" i="5"/>
  <c r="H550" i="5"/>
  <c r="I550" i="5"/>
  <c r="J550" i="5"/>
  <c r="K550" i="5"/>
  <c r="L550" i="5"/>
  <c r="M550" i="5"/>
  <c r="H551" i="5"/>
  <c r="I551" i="5"/>
  <c r="J551" i="5"/>
  <c r="K551" i="5"/>
  <c r="L551" i="5"/>
  <c r="M551" i="5"/>
  <c r="H552" i="5"/>
  <c r="I552" i="5"/>
  <c r="J552" i="5"/>
  <c r="K552" i="5"/>
  <c r="L552" i="5"/>
  <c r="M552" i="5"/>
  <c r="H553" i="5"/>
  <c r="I553" i="5"/>
  <c r="J553" i="5"/>
  <c r="K553" i="5"/>
  <c r="L553" i="5"/>
  <c r="M553" i="5"/>
  <c r="H554" i="5"/>
  <c r="I554" i="5"/>
  <c r="J554" i="5"/>
  <c r="K554" i="5"/>
  <c r="L554" i="5"/>
  <c r="M554" i="5"/>
  <c r="H555" i="5"/>
  <c r="I555" i="5"/>
  <c r="J555" i="5"/>
  <c r="K555" i="5"/>
  <c r="L555" i="5"/>
  <c r="M555" i="5"/>
  <c r="H556" i="5"/>
  <c r="I556" i="5"/>
  <c r="J556" i="5"/>
  <c r="K556" i="5"/>
  <c r="L556" i="5"/>
  <c r="M556" i="5"/>
  <c r="H557" i="5"/>
  <c r="I557" i="5"/>
  <c r="J557" i="5"/>
  <c r="K557" i="5"/>
  <c r="L557" i="5"/>
  <c r="M557" i="5"/>
  <c r="H558" i="5"/>
  <c r="I558" i="5"/>
  <c r="J558" i="5"/>
  <c r="K558" i="5"/>
  <c r="L558" i="5"/>
  <c r="M558" i="5"/>
  <c r="H559" i="5"/>
  <c r="I559" i="5"/>
  <c r="J559" i="5"/>
  <c r="K559" i="5"/>
  <c r="L559" i="5"/>
  <c r="M559" i="5"/>
  <c r="H560" i="5"/>
  <c r="I560" i="5"/>
  <c r="J560" i="5"/>
  <c r="K560" i="5"/>
  <c r="L560" i="5"/>
  <c r="M560" i="5"/>
  <c r="H561" i="5"/>
  <c r="I561" i="5"/>
  <c r="J561" i="5"/>
  <c r="K561" i="5"/>
  <c r="L561" i="5"/>
  <c r="M561" i="5"/>
  <c r="H562" i="5"/>
  <c r="I562" i="5"/>
  <c r="J562" i="5"/>
  <c r="K562" i="5"/>
  <c r="L562" i="5"/>
  <c r="M562" i="5"/>
  <c r="H563" i="5"/>
  <c r="I563" i="5"/>
  <c r="J563" i="5"/>
  <c r="K563" i="5"/>
  <c r="L563" i="5"/>
  <c r="M563" i="5"/>
  <c r="H564" i="5"/>
  <c r="I564" i="5"/>
  <c r="J564" i="5"/>
  <c r="K564" i="5"/>
  <c r="L564" i="5"/>
  <c r="M564" i="5"/>
  <c r="H565" i="5"/>
  <c r="I565" i="5"/>
  <c r="J565" i="5"/>
  <c r="K565" i="5"/>
  <c r="L565" i="5"/>
  <c r="M565" i="5"/>
  <c r="H566" i="5"/>
  <c r="I566" i="5"/>
  <c r="J566" i="5"/>
  <c r="K566" i="5"/>
  <c r="L566" i="5"/>
  <c r="M566" i="5"/>
  <c r="H567" i="5"/>
  <c r="I567" i="5"/>
  <c r="J567" i="5"/>
  <c r="K567" i="5"/>
  <c r="L567" i="5"/>
  <c r="M567" i="5"/>
  <c r="H568" i="5"/>
  <c r="I568" i="5"/>
  <c r="J568" i="5"/>
  <c r="K568" i="5"/>
  <c r="L568" i="5"/>
  <c r="M568" i="5"/>
  <c r="H569" i="5"/>
  <c r="I569" i="5"/>
  <c r="J569" i="5"/>
  <c r="K569" i="5"/>
  <c r="L569" i="5"/>
  <c r="M569" i="5"/>
  <c r="H570" i="5"/>
  <c r="I570" i="5"/>
  <c r="J570" i="5"/>
  <c r="K570" i="5"/>
  <c r="L570" i="5"/>
  <c r="M570" i="5"/>
  <c r="H571" i="5"/>
  <c r="I571" i="5"/>
  <c r="J571" i="5"/>
  <c r="K571" i="5"/>
  <c r="L571" i="5"/>
  <c r="M571" i="5"/>
  <c r="H572" i="5"/>
  <c r="I572" i="5"/>
  <c r="J572" i="5"/>
  <c r="K572" i="5"/>
  <c r="L572" i="5"/>
  <c r="M572" i="5"/>
  <c r="H573" i="5"/>
  <c r="I573" i="5"/>
  <c r="J573" i="5"/>
  <c r="K573" i="5"/>
  <c r="L573" i="5"/>
  <c r="M573" i="5"/>
  <c r="H574" i="5"/>
  <c r="I574" i="5"/>
  <c r="J574" i="5"/>
  <c r="K574" i="5"/>
  <c r="L574" i="5"/>
  <c r="M574" i="5"/>
  <c r="H575" i="5"/>
  <c r="I575" i="5"/>
  <c r="J575" i="5"/>
  <c r="K575" i="5"/>
  <c r="L575" i="5"/>
  <c r="M575" i="5"/>
  <c r="H576" i="5"/>
  <c r="I576" i="5"/>
  <c r="J576" i="5"/>
  <c r="K576" i="5"/>
  <c r="L576" i="5"/>
  <c r="M576" i="5"/>
  <c r="H577" i="5"/>
  <c r="I577" i="5"/>
  <c r="J577" i="5"/>
  <c r="K577" i="5"/>
  <c r="L577" i="5"/>
  <c r="M577" i="5"/>
  <c r="H578" i="5"/>
  <c r="I578" i="5"/>
  <c r="J578" i="5"/>
  <c r="K578" i="5"/>
  <c r="L578" i="5"/>
  <c r="M578" i="5"/>
  <c r="H579" i="5"/>
  <c r="I579" i="5"/>
  <c r="J579" i="5"/>
  <c r="K579" i="5"/>
  <c r="L579" i="5"/>
  <c r="M579" i="5"/>
  <c r="H580" i="5"/>
  <c r="I580" i="5"/>
  <c r="J580" i="5"/>
  <c r="K580" i="5"/>
  <c r="L580" i="5"/>
  <c r="M580" i="5"/>
  <c r="H581" i="5"/>
  <c r="I581" i="5"/>
  <c r="J581" i="5"/>
  <c r="K581" i="5"/>
  <c r="L581" i="5"/>
  <c r="M581" i="5"/>
  <c r="H582" i="5"/>
  <c r="I582" i="5"/>
  <c r="J582" i="5"/>
  <c r="K582" i="5"/>
  <c r="L582" i="5"/>
  <c r="M582" i="5"/>
  <c r="H583" i="5"/>
  <c r="I583" i="5"/>
  <c r="J583" i="5"/>
  <c r="K583" i="5"/>
  <c r="L583" i="5"/>
  <c r="M583" i="5"/>
  <c r="H584" i="5"/>
  <c r="I584" i="5"/>
  <c r="J584" i="5"/>
  <c r="K584" i="5"/>
  <c r="L584" i="5"/>
  <c r="M584" i="5"/>
  <c r="H585" i="5"/>
  <c r="I585" i="5"/>
  <c r="J585" i="5"/>
  <c r="K585" i="5"/>
  <c r="L585" i="5"/>
  <c r="M585" i="5"/>
  <c r="H586" i="5"/>
  <c r="I586" i="5"/>
  <c r="J586" i="5"/>
  <c r="K586" i="5"/>
  <c r="L586" i="5"/>
  <c r="M586" i="5"/>
  <c r="H587" i="5"/>
  <c r="I587" i="5"/>
  <c r="J587" i="5"/>
  <c r="K587" i="5"/>
  <c r="L587" i="5"/>
  <c r="M587" i="5"/>
  <c r="H588" i="5"/>
  <c r="I588" i="5"/>
  <c r="J588" i="5"/>
  <c r="K588" i="5"/>
  <c r="L588" i="5"/>
  <c r="M588" i="5"/>
  <c r="H589" i="5"/>
  <c r="I589" i="5"/>
  <c r="J589" i="5"/>
  <c r="K589" i="5"/>
  <c r="L589" i="5"/>
  <c r="M589" i="5"/>
  <c r="H590" i="5"/>
  <c r="I590" i="5"/>
  <c r="J590" i="5"/>
  <c r="K590" i="5"/>
  <c r="L590" i="5"/>
  <c r="M590" i="5"/>
  <c r="H591" i="5"/>
  <c r="I591" i="5"/>
  <c r="J591" i="5"/>
  <c r="K591" i="5"/>
  <c r="L591" i="5"/>
  <c r="M591" i="5"/>
  <c r="H592" i="5"/>
  <c r="I592" i="5"/>
  <c r="J592" i="5"/>
  <c r="K592" i="5"/>
  <c r="L592" i="5"/>
  <c r="M592" i="5"/>
  <c r="H593" i="5"/>
  <c r="I593" i="5"/>
  <c r="J593" i="5"/>
  <c r="K593" i="5"/>
  <c r="L593" i="5"/>
  <c r="M593" i="5"/>
  <c r="H594" i="5"/>
  <c r="I594" i="5"/>
  <c r="J594" i="5"/>
  <c r="K594" i="5"/>
  <c r="L594" i="5"/>
  <c r="M594" i="5"/>
  <c r="H595" i="5"/>
  <c r="I595" i="5"/>
  <c r="J595" i="5"/>
  <c r="K595" i="5"/>
  <c r="L595" i="5"/>
  <c r="M595" i="5"/>
  <c r="H596" i="5"/>
  <c r="I596" i="5"/>
  <c r="J596" i="5"/>
  <c r="K596" i="5"/>
  <c r="L596" i="5"/>
  <c r="M596" i="5"/>
  <c r="H597" i="5"/>
  <c r="I597" i="5"/>
  <c r="J597" i="5"/>
  <c r="K597" i="5"/>
  <c r="L597" i="5"/>
  <c r="M597" i="5"/>
  <c r="H598" i="5"/>
  <c r="I598" i="5"/>
  <c r="J598" i="5"/>
  <c r="K598" i="5"/>
  <c r="L598" i="5"/>
  <c r="M598" i="5"/>
  <c r="H599" i="5"/>
  <c r="I599" i="5"/>
  <c r="J599" i="5"/>
  <c r="K599" i="5"/>
  <c r="L599" i="5"/>
  <c r="M599" i="5"/>
  <c r="H600" i="5"/>
  <c r="I600" i="5"/>
  <c r="J600" i="5"/>
  <c r="K600" i="5"/>
  <c r="L600" i="5"/>
  <c r="M600" i="5"/>
  <c r="H601" i="5"/>
  <c r="I601" i="5"/>
  <c r="J601" i="5"/>
  <c r="K601" i="5"/>
  <c r="L601" i="5"/>
  <c r="M601" i="5"/>
  <c r="H602" i="5"/>
  <c r="I602" i="5"/>
  <c r="J602" i="5"/>
  <c r="K602" i="5"/>
  <c r="L602" i="5"/>
  <c r="M602" i="5"/>
  <c r="H603" i="5"/>
  <c r="I603" i="5"/>
  <c r="J603" i="5"/>
  <c r="K603" i="5"/>
  <c r="L603" i="5"/>
  <c r="M603" i="5"/>
  <c r="H604" i="5"/>
  <c r="I604" i="5"/>
  <c r="J604" i="5"/>
  <c r="K604" i="5"/>
  <c r="L604" i="5"/>
  <c r="M604" i="5"/>
  <c r="H605" i="5"/>
  <c r="I605" i="5"/>
  <c r="J605" i="5"/>
  <c r="K605" i="5"/>
  <c r="L605" i="5"/>
  <c r="M605" i="5"/>
  <c r="H606" i="5"/>
  <c r="I606" i="5"/>
  <c r="J606" i="5"/>
  <c r="K606" i="5"/>
  <c r="L606" i="5"/>
  <c r="M606" i="5"/>
  <c r="H607" i="5"/>
  <c r="I607" i="5"/>
  <c r="J607" i="5"/>
  <c r="K607" i="5"/>
  <c r="L607" i="5"/>
  <c r="M607" i="5"/>
  <c r="H608" i="5"/>
  <c r="I608" i="5"/>
  <c r="J608" i="5"/>
  <c r="K608" i="5"/>
  <c r="L608" i="5"/>
  <c r="M608" i="5"/>
  <c r="H609" i="5"/>
  <c r="I609" i="5"/>
  <c r="J609" i="5"/>
  <c r="K609" i="5"/>
  <c r="L609" i="5"/>
  <c r="M609" i="5"/>
  <c r="H610" i="5"/>
  <c r="I610" i="5"/>
  <c r="J610" i="5"/>
  <c r="K610" i="5"/>
  <c r="L610" i="5"/>
  <c r="M610" i="5"/>
  <c r="H611" i="5"/>
  <c r="I611" i="5"/>
  <c r="J611" i="5"/>
  <c r="K611" i="5"/>
  <c r="L611" i="5"/>
  <c r="M611" i="5"/>
  <c r="H612" i="5"/>
  <c r="I612" i="5"/>
  <c r="J612" i="5"/>
  <c r="K612" i="5"/>
  <c r="L612" i="5"/>
  <c r="M612" i="5"/>
  <c r="H613" i="5"/>
  <c r="I613" i="5"/>
  <c r="J613" i="5"/>
  <c r="K613" i="5"/>
  <c r="L613" i="5"/>
  <c r="M613" i="5"/>
  <c r="H614" i="5"/>
  <c r="I614" i="5"/>
  <c r="J614" i="5"/>
  <c r="K614" i="5"/>
  <c r="L614" i="5"/>
  <c r="M614" i="5"/>
  <c r="H615" i="5"/>
  <c r="I615" i="5"/>
  <c r="J615" i="5"/>
  <c r="K615" i="5"/>
  <c r="L615" i="5"/>
  <c r="M615" i="5"/>
  <c r="H616" i="5"/>
  <c r="I616" i="5"/>
  <c r="J616" i="5"/>
  <c r="K616" i="5"/>
  <c r="L616" i="5"/>
  <c r="M616" i="5"/>
  <c r="H617" i="5"/>
  <c r="I617" i="5"/>
  <c r="J617" i="5"/>
  <c r="K617" i="5"/>
  <c r="L617" i="5"/>
  <c r="M617" i="5"/>
  <c r="H618" i="5"/>
  <c r="I618" i="5"/>
  <c r="J618" i="5"/>
  <c r="K618" i="5"/>
  <c r="L618" i="5"/>
  <c r="M618" i="5"/>
  <c r="H619" i="5"/>
  <c r="I619" i="5"/>
  <c r="J619" i="5"/>
  <c r="K619" i="5"/>
  <c r="L619" i="5"/>
  <c r="M619" i="5"/>
  <c r="H620" i="5"/>
  <c r="I620" i="5"/>
  <c r="J620" i="5"/>
  <c r="K620" i="5"/>
  <c r="L620" i="5"/>
  <c r="M620" i="5"/>
  <c r="H621" i="5"/>
  <c r="I621" i="5"/>
  <c r="J621" i="5"/>
  <c r="K621" i="5"/>
  <c r="L621" i="5"/>
  <c r="M621" i="5"/>
  <c r="H622" i="5"/>
  <c r="I622" i="5"/>
  <c r="J622" i="5"/>
  <c r="K622" i="5"/>
  <c r="L622" i="5"/>
  <c r="M622" i="5"/>
  <c r="H623" i="5"/>
  <c r="I623" i="5"/>
  <c r="J623" i="5"/>
  <c r="K623" i="5"/>
  <c r="L623" i="5"/>
  <c r="M623" i="5"/>
  <c r="H624" i="5"/>
  <c r="I624" i="5"/>
  <c r="J624" i="5"/>
  <c r="K624" i="5"/>
  <c r="L624" i="5"/>
  <c r="M624" i="5"/>
  <c r="H625" i="5"/>
  <c r="I625" i="5"/>
  <c r="J625" i="5"/>
  <c r="K625" i="5"/>
  <c r="L625" i="5"/>
  <c r="M625" i="5"/>
  <c r="H626" i="5"/>
  <c r="I626" i="5"/>
  <c r="J626" i="5"/>
  <c r="K626" i="5"/>
  <c r="L626" i="5"/>
  <c r="M626" i="5"/>
  <c r="H627" i="5"/>
  <c r="I627" i="5"/>
  <c r="J627" i="5"/>
  <c r="K627" i="5"/>
  <c r="L627" i="5"/>
  <c r="M627" i="5"/>
  <c r="H628" i="5"/>
  <c r="I628" i="5"/>
  <c r="J628" i="5"/>
  <c r="K628" i="5"/>
  <c r="L628" i="5"/>
  <c r="M628" i="5"/>
  <c r="H629" i="5"/>
  <c r="I629" i="5"/>
  <c r="J629" i="5"/>
  <c r="K629" i="5"/>
  <c r="L629" i="5"/>
  <c r="M629" i="5"/>
  <c r="H630" i="5"/>
  <c r="I630" i="5"/>
  <c r="J630" i="5"/>
  <c r="K630" i="5"/>
  <c r="L630" i="5"/>
  <c r="M630" i="5"/>
  <c r="H631" i="5"/>
  <c r="I631" i="5"/>
  <c r="J631" i="5"/>
  <c r="K631" i="5"/>
  <c r="L631" i="5"/>
  <c r="M631" i="5"/>
  <c r="H632" i="5"/>
  <c r="I632" i="5"/>
  <c r="J632" i="5"/>
  <c r="K632" i="5"/>
  <c r="L632" i="5"/>
  <c r="M632" i="5"/>
  <c r="H633" i="5"/>
  <c r="I633" i="5"/>
  <c r="J633" i="5"/>
  <c r="K633" i="5"/>
  <c r="L633" i="5"/>
  <c r="M633" i="5"/>
  <c r="H634" i="5"/>
  <c r="I634" i="5"/>
  <c r="J634" i="5"/>
  <c r="K634" i="5"/>
  <c r="L634" i="5"/>
  <c r="M634" i="5"/>
  <c r="H635" i="5"/>
  <c r="I635" i="5"/>
  <c r="J635" i="5"/>
  <c r="K635" i="5"/>
  <c r="L635" i="5"/>
  <c r="M635" i="5"/>
  <c r="H636" i="5"/>
  <c r="I636" i="5"/>
  <c r="J636" i="5"/>
  <c r="K636" i="5"/>
  <c r="L636" i="5"/>
  <c r="M636" i="5"/>
  <c r="H637" i="5"/>
  <c r="I637" i="5"/>
  <c r="J637" i="5"/>
  <c r="K637" i="5"/>
  <c r="L637" i="5"/>
  <c r="M637" i="5"/>
  <c r="H638" i="5"/>
  <c r="I638" i="5"/>
  <c r="J638" i="5"/>
  <c r="K638" i="5"/>
  <c r="L638" i="5"/>
  <c r="M638" i="5"/>
  <c r="H639" i="5"/>
  <c r="I639" i="5"/>
  <c r="J639" i="5"/>
  <c r="K639" i="5"/>
  <c r="L639" i="5"/>
  <c r="M639" i="5"/>
  <c r="H640" i="5"/>
  <c r="I640" i="5"/>
  <c r="J640" i="5"/>
  <c r="K640" i="5"/>
  <c r="L640" i="5"/>
  <c r="M640" i="5"/>
  <c r="H641" i="5"/>
  <c r="I641" i="5"/>
  <c r="J641" i="5"/>
  <c r="K641" i="5"/>
  <c r="L641" i="5"/>
  <c r="M641" i="5"/>
  <c r="H642" i="5"/>
  <c r="I642" i="5"/>
  <c r="J642" i="5"/>
  <c r="K642" i="5"/>
  <c r="L642" i="5"/>
  <c r="M642" i="5"/>
  <c r="H643" i="5"/>
  <c r="I643" i="5"/>
  <c r="J643" i="5"/>
  <c r="K643" i="5"/>
  <c r="L643" i="5"/>
  <c r="M643" i="5"/>
  <c r="H644" i="5"/>
  <c r="I644" i="5"/>
  <c r="J644" i="5"/>
  <c r="K644" i="5"/>
  <c r="L644" i="5"/>
  <c r="M644" i="5"/>
  <c r="H645" i="5"/>
  <c r="I645" i="5"/>
  <c r="J645" i="5"/>
  <c r="K645" i="5"/>
  <c r="L645" i="5"/>
  <c r="M645" i="5"/>
  <c r="H646" i="5"/>
  <c r="I646" i="5"/>
  <c r="J646" i="5"/>
  <c r="K646" i="5"/>
  <c r="L646" i="5"/>
  <c r="M646" i="5"/>
  <c r="H647" i="5"/>
  <c r="I647" i="5"/>
  <c r="J647" i="5"/>
  <c r="K647" i="5"/>
  <c r="L647" i="5"/>
  <c r="M647" i="5"/>
  <c r="H648" i="5"/>
  <c r="I648" i="5"/>
  <c r="J648" i="5"/>
  <c r="K648" i="5"/>
  <c r="L648" i="5"/>
  <c r="M648" i="5"/>
  <c r="H649" i="5"/>
  <c r="I649" i="5"/>
  <c r="J649" i="5"/>
  <c r="K649" i="5"/>
  <c r="L649" i="5"/>
  <c r="M649" i="5"/>
  <c r="H650" i="5"/>
  <c r="I650" i="5"/>
  <c r="J650" i="5"/>
  <c r="K650" i="5"/>
  <c r="L650" i="5"/>
  <c r="M650" i="5"/>
  <c r="H651" i="5"/>
  <c r="I651" i="5"/>
  <c r="J651" i="5"/>
  <c r="K651" i="5"/>
  <c r="L651" i="5"/>
  <c r="M651" i="5"/>
  <c r="H652" i="5"/>
  <c r="I652" i="5"/>
  <c r="J652" i="5"/>
  <c r="K652" i="5"/>
  <c r="L652" i="5"/>
  <c r="M652" i="5"/>
  <c r="H653" i="5"/>
  <c r="I653" i="5"/>
  <c r="J653" i="5"/>
  <c r="K653" i="5"/>
  <c r="L653" i="5"/>
  <c r="M653" i="5"/>
  <c r="H654" i="5"/>
  <c r="I654" i="5"/>
  <c r="J654" i="5"/>
  <c r="K654" i="5"/>
  <c r="L654" i="5"/>
  <c r="M654" i="5"/>
  <c r="H655" i="5"/>
  <c r="I655" i="5"/>
  <c r="J655" i="5"/>
  <c r="K655" i="5"/>
  <c r="L655" i="5"/>
  <c r="M655" i="5"/>
  <c r="H656" i="5"/>
  <c r="I656" i="5"/>
  <c r="J656" i="5"/>
  <c r="K656" i="5"/>
  <c r="L656" i="5"/>
  <c r="M656" i="5"/>
  <c r="H657" i="5"/>
  <c r="I657" i="5"/>
  <c r="J657" i="5"/>
  <c r="K657" i="5"/>
  <c r="L657" i="5"/>
  <c r="M657" i="5"/>
  <c r="H658" i="5"/>
  <c r="I658" i="5"/>
  <c r="J658" i="5"/>
  <c r="K658" i="5"/>
  <c r="L658" i="5"/>
  <c r="M658" i="5"/>
  <c r="H659" i="5"/>
  <c r="I659" i="5"/>
  <c r="J659" i="5"/>
  <c r="K659" i="5"/>
  <c r="L659" i="5"/>
  <c r="M659" i="5"/>
  <c r="H660" i="5"/>
  <c r="I660" i="5"/>
  <c r="J660" i="5"/>
  <c r="K660" i="5"/>
  <c r="L660" i="5"/>
  <c r="M660" i="5"/>
  <c r="H661" i="5"/>
  <c r="I661" i="5"/>
  <c r="J661" i="5"/>
  <c r="K661" i="5"/>
  <c r="L661" i="5"/>
  <c r="M661" i="5"/>
  <c r="H662" i="5"/>
  <c r="I662" i="5"/>
  <c r="J662" i="5"/>
  <c r="K662" i="5"/>
  <c r="L662" i="5"/>
  <c r="M662" i="5"/>
  <c r="H663" i="5"/>
  <c r="I663" i="5"/>
  <c r="J663" i="5"/>
  <c r="K663" i="5"/>
  <c r="L663" i="5"/>
  <c r="M663" i="5"/>
  <c r="H664" i="5"/>
  <c r="I664" i="5"/>
  <c r="J664" i="5"/>
  <c r="K664" i="5"/>
  <c r="L664" i="5"/>
  <c r="M664" i="5"/>
  <c r="H665" i="5"/>
  <c r="I665" i="5"/>
  <c r="J665" i="5"/>
  <c r="K665" i="5"/>
  <c r="L665" i="5"/>
  <c r="M665" i="5"/>
  <c r="H666" i="5"/>
  <c r="I666" i="5"/>
  <c r="J666" i="5"/>
  <c r="K666" i="5"/>
  <c r="L666" i="5"/>
  <c r="M666" i="5"/>
  <c r="H667" i="5"/>
  <c r="I667" i="5"/>
  <c r="J667" i="5"/>
  <c r="K667" i="5"/>
  <c r="L667" i="5"/>
  <c r="M667" i="5"/>
  <c r="H668" i="5"/>
  <c r="I668" i="5"/>
  <c r="J668" i="5"/>
  <c r="K668" i="5"/>
  <c r="L668" i="5"/>
  <c r="M668" i="5"/>
  <c r="H669" i="5"/>
  <c r="I669" i="5"/>
  <c r="J669" i="5"/>
  <c r="K669" i="5"/>
  <c r="L669" i="5"/>
  <c r="M669" i="5"/>
  <c r="H670" i="5"/>
  <c r="I670" i="5"/>
  <c r="J670" i="5"/>
  <c r="K670" i="5"/>
  <c r="L670" i="5"/>
  <c r="M670" i="5"/>
  <c r="H671" i="5"/>
  <c r="I671" i="5"/>
  <c r="J671" i="5"/>
  <c r="K671" i="5"/>
  <c r="L671" i="5"/>
  <c r="M671" i="5"/>
  <c r="H672" i="5"/>
  <c r="I672" i="5"/>
  <c r="J672" i="5"/>
  <c r="K672" i="5"/>
  <c r="L672" i="5"/>
  <c r="M672" i="5"/>
  <c r="H673" i="5"/>
  <c r="I673" i="5"/>
  <c r="J673" i="5"/>
  <c r="K673" i="5"/>
  <c r="L673" i="5"/>
  <c r="M673" i="5"/>
  <c r="H674" i="5"/>
  <c r="I674" i="5"/>
  <c r="J674" i="5"/>
  <c r="K674" i="5"/>
  <c r="L674" i="5"/>
  <c r="M674" i="5"/>
  <c r="H675" i="5"/>
  <c r="I675" i="5"/>
  <c r="J675" i="5"/>
  <c r="K675" i="5"/>
  <c r="L675" i="5"/>
  <c r="M675" i="5"/>
  <c r="H676" i="5"/>
  <c r="I676" i="5"/>
  <c r="J676" i="5"/>
  <c r="K676" i="5"/>
  <c r="L676" i="5"/>
  <c r="M676" i="5"/>
  <c r="H677" i="5"/>
  <c r="I677" i="5"/>
  <c r="J677" i="5"/>
  <c r="K677" i="5"/>
  <c r="L677" i="5"/>
  <c r="M677" i="5"/>
  <c r="H678" i="5"/>
  <c r="I678" i="5"/>
  <c r="J678" i="5"/>
  <c r="K678" i="5"/>
  <c r="L678" i="5"/>
  <c r="M678" i="5"/>
  <c r="H679" i="5"/>
  <c r="I679" i="5"/>
  <c r="J679" i="5"/>
  <c r="K679" i="5"/>
  <c r="L679" i="5"/>
  <c r="M679" i="5"/>
  <c r="H680" i="5"/>
  <c r="I680" i="5"/>
  <c r="J680" i="5"/>
  <c r="K680" i="5"/>
  <c r="L680" i="5"/>
  <c r="M680" i="5"/>
  <c r="H681" i="5"/>
  <c r="I681" i="5"/>
  <c r="J681" i="5"/>
  <c r="K681" i="5"/>
  <c r="L681" i="5"/>
  <c r="M681" i="5"/>
  <c r="H682" i="5"/>
  <c r="I682" i="5"/>
  <c r="J682" i="5"/>
  <c r="K682" i="5"/>
  <c r="L682" i="5"/>
  <c r="M682" i="5"/>
  <c r="H683" i="5"/>
  <c r="I683" i="5"/>
  <c r="J683" i="5"/>
  <c r="K683" i="5"/>
  <c r="L683" i="5"/>
  <c r="M683" i="5"/>
  <c r="H684" i="5"/>
  <c r="I684" i="5"/>
  <c r="J684" i="5"/>
  <c r="K684" i="5"/>
  <c r="L684" i="5"/>
  <c r="M684" i="5"/>
  <c r="H685" i="5"/>
  <c r="I685" i="5"/>
  <c r="J685" i="5"/>
  <c r="K685" i="5"/>
  <c r="L685" i="5"/>
  <c r="M685" i="5"/>
  <c r="H686" i="5"/>
  <c r="I686" i="5"/>
  <c r="J686" i="5"/>
  <c r="K686" i="5"/>
  <c r="L686" i="5"/>
  <c r="M686" i="5"/>
  <c r="H687" i="5"/>
  <c r="I687" i="5"/>
  <c r="J687" i="5"/>
  <c r="K687" i="5"/>
  <c r="L687" i="5"/>
  <c r="M687" i="5"/>
  <c r="H688" i="5"/>
  <c r="I688" i="5"/>
  <c r="J688" i="5"/>
  <c r="K688" i="5"/>
  <c r="L688" i="5"/>
  <c r="M688" i="5"/>
  <c r="H689" i="5"/>
  <c r="I689" i="5"/>
  <c r="J689" i="5"/>
  <c r="K689" i="5"/>
  <c r="L689" i="5"/>
  <c r="M689" i="5"/>
  <c r="H690" i="5"/>
  <c r="I690" i="5"/>
  <c r="J690" i="5"/>
  <c r="K690" i="5"/>
  <c r="L690" i="5"/>
  <c r="M690" i="5"/>
  <c r="H691" i="5"/>
  <c r="I691" i="5"/>
  <c r="J691" i="5"/>
  <c r="K691" i="5"/>
  <c r="L691" i="5"/>
  <c r="M691" i="5"/>
  <c r="H692" i="5"/>
  <c r="I692" i="5"/>
  <c r="J692" i="5"/>
  <c r="K692" i="5"/>
  <c r="L692" i="5"/>
  <c r="M692" i="5"/>
  <c r="H693" i="5"/>
  <c r="I693" i="5"/>
  <c r="J693" i="5"/>
  <c r="K693" i="5"/>
  <c r="L693" i="5"/>
  <c r="M693" i="5"/>
  <c r="H694" i="5"/>
  <c r="I694" i="5"/>
  <c r="J694" i="5"/>
  <c r="K694" i="5"/>
  <c r="L694" i="5"/>
  <c r="M694" i="5"/>
  <c r="H695" i="5"/>
  <c r="I695" i="5"/>
  <c r="J695" i="5"/>
  <c r="K695" i="5"/>
  <c r="L695" i="5"/>
  <c r="M695" i="5"/>
  <c r="H696" i="5"/>
  <c r="I696" i="5"/>
  <c r="J696" i="5"/>
  <c r="K696" i="5"/>
  <c r="L696" i="5"/>
  <c r="M696" i="5"/>
  <c r="H697" i="5"/>
  <c r="I697" i="5"/>
  <c r="J697" i="5"/>
  <c r="K697" i="5"/>
  <c r="L697" i="5"/>
  <c r="M697" i="5"/>
  <c r="H698" i="5"/>
  <c r="I698" i="5"/>
  <c r="J698" i="5"/>
  <c r="K698" i="5"/>
  <c r="L698" i="5"/>
  <c r="M698" i="5"/>
  <c r="H699" i="5"/>
  <c r="I699" i="5"/>
  <c r="J699" i="5"/>
  <c r="K699" i="5"/>
  <c r="L699" i="5"/>
  <c r="M699" i="5"/>
  <c r="H700" i="5"/>
  <c r="I700" i="5"/>
  <c r="J700" i="5"/>
  <c r="K700" i="5"/>
  <c r="L700" i="5"/>
  <c r="M700" i="5"/>
  <c r="H701" i="5"/>
  <c r="I701" i="5"/>
  <c r="J701" i="5"/>
  <c r="K701" i="5"/>
  <c r="L701" i="5"/>
  <c r="M701" i="5"/>
  <c r="H702" i="5"/>
  <c r="I702" i="5"/>
  <c r="J702" i="5"/>
  <c r="K702" i="5"/>
  <c r="L702" i="5"/>
  <c r="M702" i="5"/>
  <c r="H703" i="5"/>
  <c r="I703" i="5"/>
  <c r="J703" i="5"/>
  <c r="K703" i="5"/>
  <c r="L703" i="5"/>
  <c r="M703" i="5"/>
  <c r="H704" i="5"/>
  <c r="I704" i="5"/>
  <c r="J704" i="5"/>
  <c r="K704" i="5"/>
  <c r="L704" i="5"/>
  <c r="M704" i="5"/>
  <c r="H705" i="5"/>
  <c r="I705" i="5"/>
  <c r="J705" i="5"/>
  <c r="K705" i="5"/>
  <c r="L705" i="5"/>
  <c r="M705" i="5"/>
  <c r="H706" i="5"/>
  <c r="I706" i="5"/>
  <c r="J706" i="5"/>
  <c r="K706" i="5"/>
  <c r="L706" i="5"/>
  <c r="M706" i="5"/>
  <c r="H707" i="5"/>
  <c r="I707" i="5"/>
  <c r="J707" i="5"/>
  <c r="K707" i="5"/>
  <c r="L707" i="5"/>
  <c r="M707" i="5"/>
  <c r="H708" i="5"/>
  <c r="I708" i="5"/>
  <c r="J708" i="5"/>
  <c r="K708" i="5"/>
  <c r="L708" i="5"/>
  <c r="M708" i="5"/>
  <c r="H709" i="5"/>
  <c r="I709" i="5"/>
  <c r="J709" i="5"/>
  <c r="K709" i="5"/>
  <c r="L709" i="5"/>
  <c r="M709" i="5"/>
  <c r="H710" i="5"/>
  <c r="I710" i="5"/>
  <c r="J710" i="5"/>
  <c r="K710" i="5"/>
  <c r="L710" i="5"/>
  <c r="M710" i="5"/>
  <c r="H711" i="5"/>
  <c r="I711" i="5"/>
  <c r="J711" i="5"/>
  <c r="K711" i="5"/>
  <c r="L711" i="5"/>
  <c r="M711" i="5"/>
  <c r="H712" i="5"/>
  <c r="I712" i="5"/>
  <c r="J712" i="5"/>
  <c r="K712" i="5"/>
  <c r="L712" i="5"/>
  <c r="M712" i="5"/>
  <c r="H713" i="5"/>
  <c r="I713" i="5"/>
  <c r="J713" i="5"/>
  <c r="K713" i="5"/>
  <c r="L713" i="5"/>
  <c r="M713" i="5"/>
  <c r="H714" i="5"/>
  <c r="I714" i="5"/>
  <c r="J714" i="5"/>
  <c r="K714" i="5"/>
  <c r="L714" i="5"/>
  <c r="M714" i="5"/>
  <c r="H715" i="5"/>
  <c r="I715" i="5"/>
  <c r="J715" i="5"/>
  <c r="K715" i="5"/>
  <c r="L715" i="5"/>
  <c r="M715" i="5"/>
  <c r="H716" i="5"/>
  <c r="I716" i="5"/>
  <c r="J716" i="5"/>
  <c r="K716" i="5"/>
  <c r="L716" i="5"/>
  <c r="M716" i="5"/>
  <c r="H717" i="5"/>
  <c r="I717" i="5"/>
  <c r="J717" i="5"/>
  <c r="K717" i="5"/>
  <c r="L717" i="5"/>
  <c r="M717" i="5"/>
  <c r="H718" i="5"/>
  <c r="I718" i="5"/>
  <c r="J718" i="5"/>
  <c r="K718" i="5"/>
  <c r="L718" i="5"/>
  <c r="M718" i="5"/>
  <c r="H719" i="5"/>
  <c r="I719" i="5"/>
  <c r="J719" i="5"/>
  <c r="K719" i="5"/>
  <c r="L719" i="5"/>
  <c r="M719" i="5"/>
  <c r="H720" i="5"/>
  <c r="I720" i="5"/>
  <c r="J720" i="5"/>
  <c r="K720" i="5"/>
  <c r="L720" i="5"/>
  <c r="M720" i="5"/>
  <c r="H721" i="5"/>
  <c r="I721" i="5"/>
  <c r="J721" i="5"/>
  <c r="K721" i="5"/>
  <c r="L721" i="5"/>
  <c r="M721" i="5"/>
  <c r="H722" i="5"/>
  <c r="I722" i="5"/>
  <c r="J722" i="5"/>
  <c r="K722" i="5"/>
  <c r="L722" i="5"/>
  <c r="M722" i="5"/>
  <c r="H723" i="5"/>
  <c r="I723" i="5"/>
  <c r="J723" i="5"/>
  <c r="K723" i="5"/>
  <c r="L723" i="5"/>
  <c r="M723" i="5"/>
  <c r="H724" i="5"/>
  <c r="I724" i="5"/>
  <c r="J724" i="5"/>
  <c r="K724" i="5"/>
  <c r="L724" i="5"/>
  <c r="M724" i="5"/>
  <c r="H725" i="5"/>
  <c r="I725" i="5"/>
  <c r="J725" i="5"/>
  <c r="K725" i="5"/>
  <c r="L725" i="5"/>
  <c r="M725" i="5"/>
  <c r="H726" i="5"/>
  <c r="I726" i="5"/>
  <c r="J726" i="5"/>
  <c r="K726" i="5"/>
  <c r="L726" i="5"/>
  <c r="M726" i="5"/>
  <c r="H727" i="5"/>
  <c r="I727" i="5"/>
  <c r="J727" i="5"/>
  <c r="K727" i="5"/>
  <c r="L727" i="5"/>
  <c r="M727" i="5"/>
  <c r="H728" i="5"/>
  <c r="I728" i="5"/>
  <c r="J728" i="5"/>
  <c r="K728" i="5"/>
  <c r="L728" i="5"/>
  <c r="M728" i="5"/>
  <c r="H729" i="5"/>
  <c r="I729" i="5"/>
  <c r="J729" i="5"/>
  <c r="K729" i="5"/>
  <c r="L729" i="5"/>
  <c r="M729" i="5"/>
  <c r="H730" i="5"/>
  <c r="I730" i="5"/>
  <c r="J730" i="5"/>
  <c r="K730" i="5"/>
  <c r="L730" i="5"/>
  <c r="M730" i="5"/>
  <c r="H731" i="5"/>
  <c r="I731" i="5"/>
  <c r="J731" i="5"/>
  <c r="K731" i="5"/>
  <c r="L731" i="5"/>
  <c r="M731" i="5"/>
  <c r="H732" i="5"/>
  <c r="I732" i="5"/>
  <c r="J732" i="5"/>
  <c r="K732" i="5"/>
  <c r="L732" i="5"/>
  <c r="M732" i="5"/>
  <c r="H733" i="5"/>
  <c r="I733" i="5"/>
  <c r="J733" i="5"/>
  <c r="K733" i="5"/>
  <c r="L733" i="5"/>
  <c r="M733" i="5"/>
  <c r="H734" i="5"/>
  <c r="I734" i="5"/>
  <c r="J734" i="5"/>
  <c r="K734" i="5"/>
  <c r="L734" i="5"/>
  <c r="M734" i="5"/>
  <c r="H735" i="5"/>
  <c r="I735" i="5"/>
  <c r="J735" i="5"/>
  <c r="K735" i="5"/>
  <c r="L735" i="5"/>
  <c r="M735" i="5"/>
  <c r="H736" i="5"/>
  <c r="I736" i="5"/>
  <c r="J736" i="5"/>
  <c r="K736" i="5"/>
  <c r="L736" i="5"/>
  <c r="M736" i="5"/>
  <c r="H737" i="5"/>
  <c r="I737" i="5"/>
  <c r="J737" i="5"/>
  <c r="K737" i="5"/>
  <c r="L737" i="5"/>
  <c r="M737" i="5"/>
  <c r="H738" i="5"/>
  <c r="I738" i="5"/>
  <c r="J738" i="5"/>
  <c r="K738" i="5"/>
  <c r="L738" i="5"/>
  <c r="M738" i="5"/>
  <c r="H739" i="5"/>
  <c r="I739" i="5"/>
  <c r="J739" i="5"/>
  <c r="K739" i="5"/>
  <c r="L739" i="5"/>
  <c r="M739" i="5"/>
  <c r="H740" i="5"/>
  <c r="I740" i="5"/>
  <c r="J740" i="5"/>
  <c r="K740" i="5"/>
  <c r="L740" i="5"/>
  <c r="M740" i="5"/>
  <c r="H741" i="5"/>
  <c r="I741" i="5"/>
  <c r="J741" i="5"/>
  <c r="K741" i="5"/>
  <c r="L741" i="5"/>
  <c r="M741" i="5"/>
  <c r="H742" i="5"/>
  <c r="I742" i="5"/>
  <c r="J742" i="5"/>
  <c r="K742" i="5"/>
  <c r="L742" i="5"/>
  <c r="M742" i="5"/>
  <c r="H743" i="5"/>
  <c r="I743" i="5"/>
  <c r="J743" i="5"/>
  <c r="K743" i="5"/>
  <c r="L743" i="5"/>
  <c r="M743" i="5"/>
  <c r="H744" i="5"/>
  <c r="I744" i="5"/>
  <c r="J744" i="5"/>
  <c r="K744" i="5"/>
  <c r="L744" i="5"/>
  <c r="M744" i="5"/>
  <c r="H745" i="5"/>
  <c r="I745" i="5"/>
  <c r="J745" i="5"/>
  <c r="K745" i="5"/>
  <c r="L745" i="5"/>
  <c r="M745" i="5"/>
  <c r="H746" i="5"/>
  <c r="I746" i="5"/>
  <c r="J746" i="5"/>
  <c r="K746" i="5"/>
  <c r="L746" i="5"/>
  <c r="M746" i="5"/>
  <c r="H747" i="5"/>
  <c r="I747" i="5"/>
  <c r="J747" i="5"/>
  <c r="K747" i="5"/>
  <c r="L747" i="5"/>
  <c r="M747" i="5"/>
  <c r="H748" i="5"/>
  <c r="I748" i="5"/>
  <c r="J748" i="5"/>
  <c r="K748" i="5"/>
  <c r="L748" i="5"/>
  <c r="M748" i="5"/>
  <c r="H749" i="5"/>
  <c r="I749" i="5"/>
  <c r="J749" i="5"/>
  <c r="K749" i="5"/>
  <c r="L749" i="5"/>
  <c r="M749" i="5"/>
  <c r="H750" i="5"/>
  <c r="I750" i="5"/>
  <c r="J750" i="5"/>
  <c r="K750" i="5"/>
  <c r="L750" i="5"/>
  <c r="M750" i="5"/>
  <c r="H751" i="5"/>
  <c r="I751" i="5"/>
  <c r="J751" i="5"/>
  <c r="K751" i="5"/>
  <c r="L751" i="5"/>
  <c r="M751" i="5"/>
  <c r="H752" i="5"/>
  <c r="I752" i="5"/>
  <c r="J752" i="5"/>
  <c r="K752" i="5"/>
  <c r="L752" i="5"/>
  <c r="M752" i="5"/>
  <c r="H753" i="5"/>
  <c r="I753" i="5"/>
  <c r="J753" i="5"/>
  <c r="K753" i="5"/>
  <c r="L753" i="5"/>
  <c r="M753" i="5"/>
  <c r="H754" i="5"/>
  <c r="I754" i="5"/>
  <c r="J754" i="5"/>
  <c r="K754" i="5"/>
  <c r="L754" i="5"/>
  <c r="M754" i="5"/>
  <c r="H755" i="5"/>
  <c r="I755" i="5"/>
  <c r="J755" i="5"/>
  <c r="K755" i="5"/>
  <c r="L755" i="5"/>
  <c r="M755" i="5"/>
  <c r="H756" i="5"/>
  <c r="I756" i="5"/>
  <c r="J756" i="5"/>
  <c r="K756" i="5"/>
  <c r="L756" i="5"/>
  <c r="M756" i="5"/>
  <c r="H757" i="5"/>
  <c r="I757" i="5"/>
  <c r="J757" i="5"/>
  <c r="K757" i="5"/>
  <c r="L757" i="5"/>
  <c r="M757" i="5"/>
  <c r="H758" i="5"/>
  <c r="I758" i="5"/>
  <c r="J758" i="5"/>
  <c r="K758" i="5"/>
  <c r="L758" i="5"/>
  <c r="M758" i="5"/>
  <c r="H759" i="5"/>
  <c r="I759" i="5"/>
  <c r="J759" i="5"/>
  <c r="K759" i="5"/>
  <c r="L759" i="5"/>
  <c r="M759" i="5"/>
  <c r="H760" i="5"/>
  <c r="I760" i="5"/>
  <c r="J760" i="5"/>
  <c r="K760" i="5"/>
  <c r="L760" i="5"/>
  <c r="M760" i="5"/>
  <c r="H761" i="5"/>
  <c r="I761" i="5"/>
  <c r="J761" i="5"/>
  <c r="K761" i="5"/>
  <c r="L761" i="5"/>
  <c r="M761" i="5"/>
  <c r="H762" i="5"/>
  <c r="I762" i="5"/>
  <c r="J762" i="5"/>
  <c r="K762" i="5"/>
  <c r="L762" i="5"/>
  <c r="M762" i="5"/>
  <c r="H763" i="5"/>
  <c r="I763" i="5"/>
  <c r="J763" i="5"/>
  <c r="K763" i="5"/>
  <c r="L763" i="5"/>
  <c r="M763" i="5"/>
  <c r="H764" i="5"/>
  <c r="I764" i="5"/>
  <c r="J764" i="5"/>
  <c r="K764" i="5"/>
  <c r="L764" i="5"/>
  <c r="M764" i="5"/>
  <c r="H765" i="5"/>
  <c r="I765" i="5"/>
  <c r="J765" i="5"/>
  <c r="K765" i="5"/>
  <c r="L765" i="5"/>
  <c r="M765" i="5"/>
  <c r="H766" i="5"/>
  <c r="I766" i="5"/>
  <c r="J766" i="5"/>
  <c r="K766" i="5"/>
  <c r="L766" i="5"/>
  <c r="M766" i="5"/>
  <c r="H767" i="5"/>
  <c r="I767" i="5"/>
  <c r="J767" i="5"/>
  <c r="K767" i="5"/>
  <c r="L767" i="5"/>
  <c r="M767" i="5"/>
  <c r="H768" i="5"/>
  <c r="I768" i="5"/>
  <c r="J768" i="5"/>
  <c r="K768" i="5"/>
  <c r="L768" i="5"/>
  <c r="M768" i="5"/>
  <c r="H769" i="5"/>
  <c r="I769" i="5"/>
  <c r="J769" i="5"/>
  <c r="K769" i="5"/>
  <c r="L769" i="5"/>
  <c r="M769" i="5"/>
  <c r="H770" i="5"/>
  <c r="I770" i="5"/>
  <c r="J770" i="5"/>
  <c r="K770" i="5"/>
  <c r="L770" i="5"/>
  <c r="M770" i="5"/>
  <c r="H771" i="5"/>
  <c r="I771" i="5"/>
  <c r="J771" i="5"/>
  <c r="K771" i="5"/>
  <c r="L771" i="5"/>
  <c r="M771" i="5"/>
  <c r="H772" i="5"/>
  <c r="I772" i="5"/>
  <c r="J772" i="5"/>
  <c r="K772" i="5"/>
  <c r="L772" i="5"/>
  <c r="M772" i="5"/>
  <c r="H773" i="5"/>
  <c r="I773" i="5"/>
  <c r="J773" i="5"/>
  <c r="K773" i="5"/>
  <c r="L773" i="5"/>
  <c r="M773" i="5"/>
  <c r="H774" i="5"/>
  <c r="I774" i="5"/>
  <c r="J774" i="5"/>
  <c r="K774" i="5"/>
  <c r="L774" i="5"/>
  <c r="M774" i="5"/>
  <c r="H775" i="5"/>
  <c r="I775" i="5"/>
  <c r="J775" i="5"/>
  <c r="K775" i="5"/>
  <c r="L775" i="5"/>
  <c r="M775" i="5"/>
  <c r="H776" i="5"/>
  <c r="I776" i="5"/>
  <c r="J776" i="5"/>
  <c r="K776" i="5"/>
  <c r="L776" i="5"/>
  <c r="M776" i="5"/>
  <c r="H777" i="5"/>
  <c r="I777" i="5"/>
  <c r="J777" i="5"/>
  <c r="K777" i="5"/>
  <c r="L777" i="5"/>
  <c r="M777" i="5"/>
  <c r="H778" i="5"/>
  <c r="I778" i="5"/>
  <c r="J778" i="5"/>
  <c r="K778" i="5"/>
  <c r="L778" i="5"/>
  <c r="M778" i="5"/>
  <c r="H779" i="5"/>
  <c r="I779" i="5"/>
  <c r="J779" i="5"/>
  <c r="K779" i="5"/>
  <c r="L779" i="5"/>
  <c r="M779" i="5"/>
  <c r="H780" i="5"/>
  <c r="I780" i="5"/>
  <c r="J780" i="5"/>
  <c r="K780" i="5"/>
  <c r="L780" i="5"/>
  <c r="M780" i="5"/>
  <c r="H781" i="5"/>
  <c r="I781" i="5"/>
  <c r="J781" i="5"/>
  <c r="K781" i="5"/>
  <c r="L781" i="5"/>
  <c r="M781" i="5"/>
  <c r="H782" i="5"/>
  <c r="I782" i="5"/>
  <c r="J782" i="5"/>
  <c r="K782" i="5"/>
  <c r="L782" i="5"/>
  <c r="M782" i="5"/>
  <c r="H783" i="5"/>
  <c r="I783" i="5"/>
  <c r="J783" i="5"/>
  <c r="K783" i="5"/>
  <c r="L783" i="5"/>
  <c r="M783" i="5"/>
  <c r="H784" i="5"/>
  <c r="I784" i="5"/>
  <c r="J784" i="5"/>
  <c r="K784" i="5"/>
  <c r="L784" i="5"/>
  <c r="M784" i="5"/>
  <c r="H785" i="5"/>
  <c r="I785" i="5"/>
  <c r="J785" i="5"/>
  <c r="K785" i="5"/>
  <c r="L785" i="5"/>
  <c r="M785" i="5"/>
  <c r="H786" i="5"/>
  <c r="I786" i="5"/>
  <c r="J786" i="5"/>
  <c r="K786" i="5"/>
  <c r="L786" i="5"/>
  <c r="M786" i="5"/>
  <c r="H787" i="5"/>
  <c r="I787" i="5"/>
  <c r="J787" i="5"/>
  <c r="K787" i="5"/>
  <c r="L787" i="5"/>
  <c r="M787" i="5"/>
  <c r="H788" i="5"/>
  <c r="I788" i="5"/>
  <c r="J788" i="5"/>
  <c r="K788" i="5"/>
  <c r="L788" i="5"/>
  <c r="M788" i="5"/>
  <c r="H789" i="5"/>
  <c r="I789" i="5"/>
  <c r="J789" i="5"/>
  <c r="K789" i="5"/>
  <c r="L789" i="5"/>
  <c r="M789" i="5"/>
  <c r="H790" i="5"/>
  <c r="I790" i="5"/>
  <c r="J790" i="5"/>
  <c r="K790" i="5"/>
  <c r="L790" i="5"/>
  <c r="M790" i="5"/>
  <c r="H791" i="5"/>
  <c r="I791" i="5"/>
  <c r="J791" i="5"/>
  <c r="K791" i="5"/>
  <c r="L791" i="5"/>
  <c r="M791" i="5"/>
  <c r="H792" i="5"/>
  <c r="I792" i="5"/>
  <c r="J792" i="5"/>
  <c r="K792" i="5"/>
  <c r="L792" i="5"/>
  <c r="M792" i="5"/>
  <c r="H793" i="5"/>
  <c r="I793" i="5"/>
  <c r="J793" i="5"/>
  <c r="K793" i="5"/>
  <c r="L793" i="5"/>
  <c r="M793" i="5"/>
  <c r="H794" i="5"/>
  <c r="I794" i="5"/>
  <c r="J794" i="5"/>
  <c r="K794" i="5"/>
  <c r="L794" i="5"/>
  <c r="M794" i="5"/>
  <c r="H795" i="5"/>
  <c r="I795" i="5"/>
  <c r="J795" i="5"/>
  <c r="K795" i="5"/>
  <c r="L795" i="5"/>
  <c r="M795" i="5"/>
  <c r="H796" i="5"/>
  <c r="I796" i="5"/>
  <c r="J796" i="5"/>
  <c r="K796" i="5"/>
  <c r="L796" i="5"/>
  <c r="M796" i="5"/>
  <c r="H797" i="5"/>
  <c r="I797" i="5"/>
  <c r="J797" i="5"/>
  <c r="K797" i="5"/>
  <c r="L797" i="5"/>
  <c r="M797" i="5"/>
  <c r="H798" i="5"/>
  <c r="I798" i="5"/>
  <c r="J798" i="5"/>
  <c r="K798" i="5"/>
  <c r="L798" i="5"/>
  <c r="M798" i="5"/>
  <c r="H799" i="5"/>
  <c r="I799" i="5"/>
  <c r="J799" i="5"/>
  <c r="K799" i="5"/>
  <c r="L799" i="5"/>
  <c r="M799" i="5"/>
  <c r="H800" i="5"/>
  <c r="I800" i="5"/>
  <c r="J800" i="5"/>
  <c r="K800" i="5"/>
  <c r="L800" i="5"/>
  <c r="M800" i="5"/>
  <c r="H801" i="5"/>
  <c r="I801" i="5"/>
  <c r="J801" i="5"/>
  <c r="K801" i="5"/>
  <c r="L801" i="5"/>
  <c r="M801" i="5"/>
  <c r="H802" i="5"/>
  <c r="I802" i="5"/>
  <c r="J802" i="5"/>
  <c r="K802" i="5"/>
  <c r="L802" i="5"/>
  <c r="M802" i="5"/>
  <c r="H803" i="5"/>
  <c r="I803" i="5"/>
  <c r="J803" i="5"/>
  <c r="K803" i="5"/>
  <c r="L803" i="5"/>
  <c r="M803" i="5"/>
  <c r="H804" i="5"/>
  <c r="I804" i="5"/>
  <c r="J804" i="5"/>
  <c r="K804" i="5"/>
  <c r="L804" i="5"/>
  <c r="M804" i="5"/>
  <c r="H805" i="5"/>
  <c r="I805" i="5"/>
  <c r="J805" i="5"/>
  <c r="K805" i="5"/>
  <c r="L805" i="5"/>
  <c r="M805" i="5"/>
  <c r="H806" i="5"/>
  <c r="I806" i="5"/>
  <c r="J806" i="5"/>
  <c r="K806" i="5"/>
  <c r="L806" i="5"/>
  <c r="M806" i="5"/>
  <c r="H807" i="5"/>
  <c r="I807" i="5"/>
  <c r="J807" i="5"/>
  <c r="K807" i="5"/>
  <c r="L807" i="5"/>
  <c r="M807" i="5"/>
  <c r="H808" i="5"/>
  <c r="I808" i="5"/>
  <c r="J808" i="5"/>
  <c r="K808" i="5"/>
  <c r="L808" i="5"/>
  <c r="M808" i="5"/>
  <c r="H809" i="5"/>
  <c r="I809" i="5"/>
  <c r="J809" i="5"/>
  <c r="K809" i="5"/>
  <c r="L809" i="5"/>
  <c r="M809" i="5"/>
  <c r="H810" i="5"/>
  <c r="I810" i="5"/>
  <c r="J810" i="5"/>
  <c r="K810" i="5"/>
  <c r="L810" i="5"/>
  <c r="M810" i="5"/>
  <c r="H811" i="5"/>
  <c r="I811" i="5"/>
  <c r="J811" i="5"/>
  <c r="K811" i="5"/>
  <c r="L811" i="5"/>
  <c r="M811" i="5"/>
  <c r="H812" i="5"/>
  <c r="I812" i="5"/>
  <c r="J812" i="5"/>
  <c r="K812" i="5"/>
  <c r="L812" i="5"/>
  <c r="M812" i="5"/>
  <c r="H813" i="5"/>
  <c r="I813" i="5"/>
  <c r="J813" i="5"/>
  <c r="K813" i="5"/>
  <c r="L813" i="5"/>
  <c r="M813" i="5"/>
  <c r="H814" i="5"/>
  <c r="I814" i="5"/>
  <c r="J814" i="5"/>
  <c r="K814" i="5"/>
  <c r="L814" i="5"/>
  <c r="M814" i="5"/>
  <c r="H815" i="5"/>
  <c r="I815" i="5"/>
  <c r="J815" i="5"/>
  <c r="K815" i="5"/>
  <c r="L815" i="5"/>
  <c r="M815" i="5"/>
  <c r="H816" i="5"/>
  <c r="I816" i="5"/>
  <c r="J816" i="5"/>
  <c r="K816" i="5"/>
  <c r="L816" i="5"/>
  <c r="M816" i="5"/>
  <c r="H817" i="5"/>
  <c r="I817" i="5"/>
  <c r="J817" i="5"/>
  <c r="K817" i="5"/>
  <c r="L817" i="5"/>
  <c r="M817" i="5"/>
  <c r="H818" i="5"/>
  <c r="I818" i="5"/>
  <c r="J818" i="5"/>
  <c r="K818" i="5"/>
  <c r="L818" i="5"/>
  <c r="M818" i="5"/>
  <c r="H819" i="5"/>
  <c r="I819" i="5"/>
  <c r="J819" i="5"/>
  <c r="K819" i="5"/>
  <c r="L819" i="5"/>
  <c r="M819" i="5"/>
  <c r="H820" i="5"/>
  <c r="I820" i="5"/>
  <c r="J820" i="5"/>
  <c r="K820" i="5"/>
  <c r="L820" i="5"/>
  <c r="M820" i="5"/>
  <c r="H821" i="5"/>
  <c r="I821" i="5"/>
  <c r="J821" i="5"/>
  <c r="K821" i="5"/>
  <c r="L821" i="5"/>
  <c r="M821" i="5"/>
  <c r="H822" i="5"/>
  <c r="I822" i="5"/>
  <c r="J822" i="5"/>
  <c r="K822" i="5"/>
  <c r="L822" i="5"/>
  <c r="M822" i="5"/>
  <c r="H823" i="5"/>
  <c r="I823" i="5"/>
  <c r="J823" i="5"/>
  <c r="K823" i="5"/>
  <c r="L823" i="5"/>
  <c r="M823" i="5"/>
  <c r="H824" i="5"/>
  <c r="I824" i="5"/>
  <c r="J824" i="5"/>
  <c r="K824" i="5"/>
  <c r="L824" i="5"/>
  <c r="M824" i="5"/>
  <c r="H825" i="5"/>
  <c r="I825" i="5"/>
  <c r="J825" i="5"/>
  <c r="K825" i="5"/>
  <c r="L825" i="5"/>
  <c r="M825" i="5"/>
  <c r="H826" i="5"/>
  <c r="I826" i="5"/>
  <c r="J826" i="5"/>
  <c r="K826" i="5"/>
  <c r="L826" i="5"/>
  <c r="M826" i="5"/>
  <c r="H827" i="5"/>
  <c r="I827" i="5"/>
  <c r="J827" i="5"/>
  <c r="K827" i="5"/>
  <c r="L827" i="5"/>
  <c r="M827" i="5"/>
  <c r="H828" i="5"/>
  <c r="I828" i="5"/>
  <c r="J828" i="5"/>
  <c r="K828" i="5"/>
  <c r="L828" i="5"/>
  <c r="M828" i="5"/>
  <c r="H829" i="5"/>
  <c r="I829" i="5"/>
  <c r="J829" i="5"/>
  <c r="K829" i="5"/>
  <c r="L829" i="5"/>
  <c r="M829" i="5"/>
  <c r="H830" i="5"/>
  <c r="I830" i="5"/>
  <c r="J830" i="5"/>
  <c r="K830" i="5"/>
  <c r="L830" i="5"/>
  <c r="M830" i="5"/>
  <c r="H831" i="5"/>
  <c r="I831" i="5"/>
  <c r="J831" i="5"/>
  <c r="K831" i="5"/>
  <c r="L831" i="5"/>
  <c r="M831" i="5"/>
  <c r="H832" i="5"/>
  <c r="I832" i="5"/>
  <c r="J832" i="5"/>
  <c r="K832" i="5"/>
  <c r="L832" i="5"/>
  <c r="M832" i="5"/>
  <c r="H833" i="5"/>
  <c r="I833" i="5"/>
  <c r="J833" i="5"/>
  <c r="K833" i="5"/>
  <c r="L833" i="5"/>
  <c r="M833" i="5"/>
  <c r="H834" i="5"/>
  <c r="I834" i="5"/>
  <c r="J834" i="5"/>
  <c r="K834" i="5"/>
  <c r="L834" i="5"/>
  <c r="M834" i="5"/>
  <c r="H835" i="5"/>
  <c r="I835" i="5"/>
  <c r="J835" i="5"/>
  <c r="K835" i="5"/>
  <c r="L835" i="5"/>
  <c r="M835" i="5"/>
  <c r="H836" i="5"/>
  <c r="I836" i="5"/>
  <c r="J836" i="5"/>
  <c r="K836" i="5"/>
  <c r="L836" i="5"/>
  <c r="M836" i="5"/>
  <c r="H837" i="5"/>
  <c r="I837" i="5"/>
  <c r="J837" i="5"/>
  <c r="K837" i="5"/>
  <c r="L837" i="5"/>
  <c r="M837" i="5"/>
  <c r="H838" i="5"/>
  <c r="I838" i="5"/>
  <c r="J838" i="5"/>
  <c r="K838" i="5"/>
  <c r="L838" i="5"/>
  <c r="M838" i="5"/>
  <c r="H839" i="5"/>
  <c r="I839" i="5"/>
  <c r="J839" i="5"/>
  <c r="K839" i="5"/>
  <c r="L839" i="5"/>
  <c r="M839" i="5"/>
  <c r="H840" i="5"/>
  <c r="I840" i="5"/>
  <c r="J840" i="5"/>
  <c r="K840" i="5"/>
  <c r="L840" i="5"/>
  <c r="M840" i="5"/>
  <c r="H841" i="5"/>
  <c r="I841" i="5"/>
  <c r="J841" i="5"/>
  <c r="K841" i="5"/>
  <c r="L841" i="5"/>
  <c r="M841" i="5"/>
  <c r="H842" i="5"/>
  <c r="I842" i="5"/>
  <c r="J842" i="5"/>
  <c r="K842" i="5"/>
  <c r="L842" i="5"/>
  <c r="M842" i="5"/>
  <c r="H843" i="5"/>
  <c r="I843" i="5"/>
  <c r="J843" i="5"/>
  <c r="K843" i="5"/>
  <c r="L843" i="5"/>
  <c r="M843" i="5"/>
  <c r="H844" i="5"/>
  <c r="I844" i="5"/>
  <c r="J844" i="5"/>
  <c r="K844" i="5"/>
  <c r="L844" i="5"/>
  <c r="M844" i="5"/>
  <c r="H845" i="5"/>
  <c r="I845" i="5"/>
  <c r="J845" i="5"/>
  <c r="K845" i="5"/>
  <c r="L845" i="5"/>
  <c r="M845" i="5"/>
  <c r="H846" i="5"/>
  <c r="I846" i="5"/>
  <c r="J846" i="5"/>
  <c r="K846" i="5"/>
  <c r="L846" i="5"/>
  <c r="M846" i="5"/>
  <c r="H847" i="5"/>
  <c r="I847" i="5"/>
  <c r="J847" i="5"/>
  <c r="K847" i="5"/>
  <c r="L847" i="5"/>
  <c r="M847" i="5"/>
  <c r="H848" i="5"/>
  <c r="I848" i="5"/>
  <c r="J848" i="5"/>
  <c r="K848" i="5"/>
  <c r="L848" i="5"/>
  <c r="M848" i="5"/>
  <c r="H849" i="5"/>
  <c r="I849" i="5"/>
  <c r="J849" i="5"/>
  <c r="K849" i="5"/>
  <c r="L849" i="5"/>
  <c r="M849" i="5"/>
  <c r="H850" i="5"/>
  <c r="I850" i="5"/>
  <c r="J850" i="5"/>
  <c r="K850" i="5"/>
  <c r="L850" i="5"/>
  <c r="M850" i="5"/>
  <c r="H851" i="5"/>
  <c r="I851" i="5"/>
  <c r="J851" i="5"/>
  <c r="K851" i="5"/>
  <c r="L851" i="5"/>
  <c r="M851" i="5"/>
  <c r="H852" i="5"/>
  <c r="I852" i="5"/>
  <c r="J852" i="5"/>
  <c r="K852" i="5"/>
  <c r="L852" i="5"/>
  <c r="M852" i="5"/>
  <c r="H853" i="5"/>
  <c r="I853" i="5"/>
  <c r="J853" i="5"/>
  <c r="K853" i="5"/>
  <c r="L853" i="5"/>
  <c r="M853" i="5"/>
  <c r="H854" i="5"/>
  <c r="I854" i="5"/>
  <c r="J854" i="5"/>
  <c r="K854" i="5"/>
  <c r="L854" i="5"/>
  <c r="M854" i="5"/>
  <c r="H855" i="5"/>
  <c r="I855" i="5"/>
  <c r="J855" i="5"/>
  <c r="K855" i="5"/>
  <c r="L855" i="5"/>
  <c r="M855" i="5"/>
  <c r="H856" i="5"/>
  <c r="I856" i="5"/>
  <c r="J856" i="5"/>
  <c r="K856" i="5"/>
  <c r="L856" i="5"/>
  <c r="M856" i="5"/>
  <c r="H857" i="5"/>
  <c r="I857" i="5"/>
  <c r="J857" i="5"/>
  <c r="K857" i="5"/>
  <c r="L857" i="5"/>
  <c r="M857" i="5"/>
  <c r="H858" i="5"/>
  <c r="I858" i="5"/>
  <c r="J858" i="5"/>
  <c r="K858" i="5"/>
  <c r="L858" i="5"/>
  <c r="M858" i="5"/>
  <c r="H859" i="5"/>
  <c r="I859" i="5"/>
  <c r="J859" i="5"/>
  <c r="K859" i="5"/>
  <c r="L859" i="5"/>
  <c r="M859" i="5"/>
  <c r="H860" i="5"/>
  <c r="I860" i="5"/>
  <c r="J860" i="5"/>
  <c r="K860" i="5"/>
  <c r="L860" i="5"/>
  <c r="M860" i="5"/>
  <c r="H861" i="5"/>
  <c r="I861" i="5"/>
  <c r="J861" i="5"/>
  <c r="K861" i="5"/>
  <c r="L861" i="5"/>
  <c r="M861" i="5"/>
  <c r="H862" i="5"/>
  <c r="I862" i="5"/>
  <c r="J862" i="5"/>
  <c r="K862" i="5"/>
  <c r="L862" i="5"/>
  <c r="M862" i="5"/>
  <c r="H863" i="5"/>
  <c r="I863" i="5"/>
  <c r="J863" i="5"/>
  <c r="K863" i="5"/>
  <c r="L863" i="5"/>
  <c r="M863" i="5"/>
  <c r="H864" i="5"/>
  <c r="I864" i="5"/>
  <c r="J864" i="5"/>
  <c r="K864" i="5"/>
  <c r="L864" i="5"/>
  <c r="M864" i="5"/>
  <c r="H865" i="5"/>
  <c r="I865" i="5"/>
  <c r="J865" i="5"/>
  <c r="K865" i="5"/>
  <c r="L865" i="5"/>
  <c r="M865" i="5"/>
  <c r="H866" i="5"/>
  <c r="I866" i="5"/>
  <c r="J866" i="5"/>
  <c r="K866" i="5"/>
  <c r="L866" i="5"/>
  <c r="M866" i="5"/>
  <c r="H867" i="5"/>
  <c r="I867" i="5"/>
  <c r="J867" i="5"/>
  <c r="K867" i="5"/>
  <c r="L867" i="5"/>
  <c r="M867" i="5"/>
  <c r="H868" i="5"/>
  <c r="I868" i="5"/>
  <c r="J868" i="5"/>
  <c r="K868" i="5"/>
  <c r="L868" i="5"/>
  <c r="M868" i="5"/>
  <c r="H869" i="5"/>
  <c r="I869" i="5"/>
  <c r="J869" i="5"/>
  <c r="K869" i="5"/>
  <c r="O869" i="5" s="1"/>
  <c r="L869" i="5"/>
  <c r="M869" i="5"/>
  <c r="H870" i="5"/>
  <c r="I870" i="5"/>
  <c r="J870" i="5"/>
  <c r="K870" i="5"/>
  <c r="L870" i="5"/>
  <c r="M870" i="5"/>
  <c r="H871" i="5"/>
  <c r="I871" i="5"/>
  <c r="J871" i="5"/>
  <c r="K871" i="5"/>
  <c r="L871" i="5"/>
  <c r="M871" i="5"/>
  <c r="H872" i="5"/>
  <c r="I872" i="5"/>
  <c r="J872" i="5"/>
  <c r="K872" i="5"/>
  <c r="L872" i="5"/>
  <c r="M872" i="5"/>
  <c r="H873" i="5"/>
  <c r="I873" i="5"/>
  <c r="J873" i="5"/>
  <c r="K873" i="5"/>
  <c r="L873" i="5"/>
  <c r="M873" i="5"/>
  <c r="H874" i="5"/>
  <c r="I874" i="5"/>
  <c r="J874" i="5"/>
  <c r="K874" i="5"/>
  <c r="L874" i="5"/>
  <c r="M874" i="5"/>
  <c r="H875" i="5"/>
  <c r="I875" i="5"/>
  <c r="J875" i="5"/>
  <c r="K875" i="5"/>
  <c r="L875" i="5"/>
  <c r="M875" i="5"/>
  <c r="H876" i="5"/>
  <c r="I876" i="5"/>
  <c r="J876" i="5"/>
  <c r="K876" i="5"/>
  <c r="L876" i="5"/>
  <c r="M876" i="5"/>
  <c r="H877" i="5"/>
  <c r="I877" i="5"/>
  <c r="J877" i="5"/>
  <c r="K877" i="5"/>
  <c r="L877" i="5"/>
  <c r="M877" i="5"/>
  <c r="H878" i="5"/>
  <c r="I878" i="5"/>
  <c r="J878" i="5"/>
  <c r="K878" i="5"/>
  <c r="L878" i="5"/>
  <c r="M878" i="5"/>
  <c r="H879" i="5"/>
  <c r="I879" i="5"/>
  <c r="J879" i="5"/>
  <c r="K879" i="5"/>
  <c r="L879" i="5"/>
  <c r="M879" i="5"/>
  <c r="H880" i="5"/>
  <c r="I880" i="5"/>
  <c r="J880" i="5"/>
  <c r="K880" i="5"/>
  <c r="L880" i="5"/>
  <c r="M880" i="5"/>
  <c r="H881" i="5"/>
  <c r="I881" i="5"/>
  <c r="J881" i="5"/>
  <c r="K881" i="5"/>
  <c r="L881" i="5"/>
  <c r="M881" i="5"/>
  <c r="H882" i="5"/>
  <c r="I882" i="5"/>
  <c r="J882" i="5"/>
  <c r="K882" i="5"/>
  <c r="L882" i="5"/>
  <c r="M882" i="5"/>
  <c r="H883" i="5"/>
  <c r="I883" i="5"/>
  <c r="J883" i="5"/>
  <c r="K883" i="5"/>
  <c r="L883" i="5"/>
  <c r="M883" i="5"/>
  <c r="H884" i="5"/>
  <c r="I884" i="5"/>
  <c r="J884" i="5"/>
  <c r="K884" i="5"/>
  <c r="L884" i="5"/>
  <c r="M884" i="5"/>
  <c r="H885" i="5"/>
  <c r="I885" i="5"/>
  <c r="J885" i="5"/>
  <c r="K885" i="5"/>
  <c r="L885" i="5"/>
  <c r="M885" i="5"/>
  <c r="H886" i="5"/>
  <c r="I886" i="5"/>
  <c r="J886" i="5"/>
  <c r="K886" i="5"/>
  <c r="L886" i="5"/>
  <c r="M886" i="5"/>
  <c r="H887" i="5"/>
  <c r="I887" i="5"/>
  <c r="J887" i="5"/>
  <c r="K887" i="5"/>
  <c r="L887" i="5"/>
  <c r="M887" i="5"/>
  <c r="H888" i="5"/>
  <c r="I888" i="5"/>
  <c r="J888" i="5"/>
  <c r="K888" i="5"/>
  <c r="L888" i="5"/>
  <c r="M888" i="5"/>
  <c r="H889" i="5"/>
  <c r="I889" i="5"/>
  <c r="J889" i="5"/>
  <c r="K889" i="5"/>
  <c r="L889" i="5"/>
  <c r="M889" i="5"/>
  <c r="H890" i="5"/>
  <c r="I890" i="5"/>
  <c r="J890" i="5"/>
  <c r="K890" i="5"/>
  <c r="L890" i="5"/>
  <c r="M890" i="5"/>
  <c r="H891" i="5"/>
  <c r="I891" i="5"/>
  <c r="J891" i="5"/>
  <c r="K891" i="5"/>
  <c r="L891" i="5"/>
  <c r="M891" i="5"/>
  <c r="H892" i="5"/>
  <c r="I892" i="5"/>
  <c r="J892" i="5"/>
  <c r="K892" i="5"/>
  <c r="L892" i="5"/>
  <c r="M892" i="5"/>
  <c r="H893" i="5"/>
  <c r="I893" i="5"/>
  <c r="J893" i="5"/>
  <c r="K893" i="5"/>
  <c r="L893" i="5"/>
  <c r="M893" i="5"/>
  <c r="H894" i="5"/>
  <c r="I894" i="5"/>
  <c r="J894" i="5"/>
  <c r="K894" i="5"/>
  <c r="L894" i="5"/>
  <c r="M894" i="5"/>
  <c r="H895" i="5"/>
  <c r="I895" i="5"/>
  <c r="J895" i="5"/>
  <c r="K895" i="5"/>
  <c r="L895" i="5"/>
  <c r="M895" i="5"/>
  <c r="H896" i="5"/>
  <c r="I896" i="5"/>
  <c r="J896" i="5"/>
  <c r="K896" i="5"/>
  <c r="L896" i="5"/>
  <c r="M896" i="5"/>
  <c r="H897" i="5"/>
  <c r="I897" i="5"/>
  <c r="J897" i="5"/>
  <c r="K897" i="5"/>
  <c r="L897" i="5"/>
  <c r="M897" i="5"/>
  <c r="H898" i="5"/>
  <c r="I898" i="5"/>
  <c r="J898" i="5"/>
  <c r="K898" i="5"/>
  <c r="L898" i="5"/>
  <c r="M898" i="5"/>
  <c r="H899" i="5"/>
  <c r="I899" i="5"/>
  <c r="J899" i="5"/>
  <c r="K899" i="5"/>
  <c r="L899" i="5"/>
  <c r="M899" i="5"/>
  <c r="H900" i="5"/>
  <c r="I900" i="5"/>
  <c r="J900" i="5"/>
  <c r="K900" i="5"/>
  <c r="L900" i="5"/>
  <c r="M900" i="5"/>
  <c r="H901" i="5"/>
  <c r="I901" i="5"/>
  <c r="J901" i="5"/>
  <c r="K901" i="5"/>
  <c r="O901" i="5" s="1"/>
  <c r="L901" i="5"/>
  <c r="M901" i="5"/>
  <c r="H902" i="5"/>
  <c r="I902" i="5"/>
  <c r="J902" i="5"/>
  <c r="K902" i="5"/>
  <c r="L902" i="5"/>
  <c r="M902" i="5"/>
  <c r="H903" i="5"/>
  <c r="I903" i="5"/>
  <c r="J903" i="5"/>
  <c r="K903" i="5"/>
  <c r="L903" i="5"/>
  <c r="M903" i="5"/>
  <c r="H904" i="5"/>
  <c r="I904" i="5"/>
  <c r="J904" i="5"/>
  <c r="K904" i="5"/>
  <c r="L904" i="5"/>
  <c r="M904" i="5"/>
  <c r="H905" i="5"/>
  <c r="I905" i="5"/>
  <c r="J905" i="5"/>
  <c r="K905" i="5"/>
  <c r="L905" i="5"/>
  <c r="M905" i="5"/>
  <c r="H906" i="5"/>
  <c r="I906" i="5"/>
  <c r="J906" i="5"/>
  <c r="K906" i="5"/>
  <c r="L906" i="5"/>
  <c r="M906" i="5"/>
  <c r="H907" i="5"/>
  <c r="I907" i="5"/>
  <c r="J907" i="5"/>
  <c r="K907" i="5"/>
  <c r="L907" i="5"/>
  <c r="M907" i="5"/>
  <c r="H908" i="5"/>
  <c r="I908" i="5"/>
  <c r="J908" i="5"/>
  <c r="K908" i="5"/>
  <c r="L908" i="5"/>
  <c r="M908" i="5"/>
  <c r="H909" i="5"/>
  <c r="I909" i="5"/>
  <c r="J909" i="5"/>
  <c r="K909" i="5"/>
  <c r="L909" i="5"/>
  <c r="M909" i="5"/>
  <c r="H910" i="5"/>
  <c r="I910" i="5"/>
  <c r="J910" i="5"/>
  <c r="K910" i="5"/>
  <c r="L910" i="5"/>
  <c r="M910" i="5"/>
  <c r="H911" i="5"/>
  <c r="I911" i="5"/>
  <c r="J911" i="5"/>
  <c r="K911" i="5"/>
  <c r="L911" i="5"/>
  <c r="M911" i="5"/>
  <c r="H912" i="5"/>
  <c r="I912" i="5"/>
  <c r="J912" i="5"/>
  <c r="K912" i="5"/>
  <c r="L912" i="5"/>
  <c r="M912" i="5"/>
  <c r="H913" i="5"/>
  <c r="I913" i="5"/>
  <c r="J913" i="5"/>
  <c r="K913" i="5"/>
  <c r="L913" i="5"/>
  <c r="M913" i="5"/>
  <c r="H914" i="5"/>
  <c r="I914" i="5"/>
  <c r="J914" i="5"/>
  <c r="K914" i="5"/>
  <c r="L914" i="5"/>
  <c r="M914" i="5"/>
  <c r="H915" i="5"/>
  <c r="I915" i="5"/>
  <c r="J915" i="5"/>
  <c r="K915" i="5"/>
  <c r="L915" i="5"/>
  <c r="M915" i="5"/>
  <c r="H916" i="5"/>
  <c r="I916" i="5"/>
  <c r="J916" i="5"/>
  <c r="K916" i="5"/>
  <c r="L916" i="5"/>
  <c r="M916" i="5"/>
  <c r="H917" i="5"/>
  <c r="I917" i="5"/>
  <c r="J917" i="5"/>
  <c r="K917" i="5"/>
  <c r="O917" i="5" s="1"/>
  <c r="L917" i="5"/>
  <c r="M917" i="5"/>
  <c r="H918" i="5"/>
  <c r="I918" i="5"/>
  <c r="J918" i="5"/>
  <c r="K918" i="5"/>
  <c r="L918" i="5"/>
  <c r="M918" i="5"/>
  <c r="H919" i="5"/>
  <c r="I919" i="5"/>
  <c r="J919" i="5"/>
  <c r="K919" i="5"/>
  <c r="L919" i="5"/>
  <c r="M919" i="5"/>
  <c r="H920" i="5"/>
  <c r="I920" i="5"/>
  <c r="J920" i="5"/>
  <c r="K920" i="5"/>
  <c r="L920" i="5"/>
  <c r="M920" i="5"/>
  <c r="H921" i="5"/>
  <c r="I921" i="5"/>
  <c r="J921" i="5"/>
  <c r="K921" i="5"/>
  <c r="L921" i="5"/>
  <c r="M921" i="5"/>
  <c r="H922" i="5"/>
  <c r="I922" i="5"/>
  <c r="J922" i="5"/>
  <c r="K922" i="5"/>
  <c r="L922" i="5"/>
  <c r="M922" i="5"/>
  <c r="H923" i="5"/>
  <c r="I923" i="5"/>
  <c r="J923" i="5"/>
  <c r="K923" i="5"/>
  <c r="L923" i="5"/>
  <c r="M923" i="5"/>
  <c r="H924" i="5"/>
  <c r="I924" i="5"/>
  <c r="J924" i="5"/>
  <c r="K924" i="5"/>
  <c r="L924" i="5"/>
  <c r="M924" i="5"/>
  <c r="H925" i="5"/>
  <c r="I925" i="5"/>
  <c r="J925" i="5"/>
  <c r="K925" i="5"/>
  <c r="L925" i="5"/>
  <c r="M925" i="5"/>
  <c r="H926" i="5"/>
  <c r="I926" i="5"/>
  <c r="J926" i="5"/>
  <c r="K926" i="5"/>
  <c r="L926" i="5"/>
  <c r="M926" i="5"/>
  <c r="H927" i="5"/>
  <c r="I927" i="5"/>
  <c r="J927" i="5"/>
  <c r="K927" i="5"/>
  <c r="L927" i="5"/>
  <c r="M927" i="5"/>
  <c r="H928" i="5"/>
  <c r="I928" i="5"/>
  <c r="J928" i="5"/>
  <c r="K928" i="5"/>
  <c r="L928" i="5"/>
  <c r="M928" i="5"/>
  <c r="H929" i="5"/>
  <c r="I929" i="5"/>
  <c r="J929" i="5"/>
  <c r="K929" i="5"/>
  <c r="L929" i="5"/>
  <c r="M929" i="5"/>
  <c r="H930" i="5"/>
  <c r="I930" i="5"/>
  <c r="J930" i="5"/>
  <c r="K930" i="5"/>
  <c r="L930" i="5"/>
  <c r="M930" i="5"/>
  <c r="H931" i="5"/>
  <c r="I931" i="5"/>
  <c r="J931" i="5"/>
  <c r="K931" i="5"/>
  <c r="L931" i="5"/>
  <c r="M931" i="5"/>
  <c r="H932" i="5"/>
  <c r="I932" i="5"/>
  <c r="J932" i="5"/>
  <c r="K932" i="5"/>
  <c r="L932" i="5"/>
  <c r="M932" i="5"/>
  <c r="H933" i="5"/>
  <c r="I933" i="5"/>
  <c r="J933" i="5"/>
  <c r="K933" i="5"/>
  <c r="O933" i="5" s="1"/>
  <c r="L933" i="5"/>
  <c r="M933" i="5"/>
  <c r="H934" i="5"/>
  <c r="I934" i="5"/>
  <c r="J934" i="5"/>
  <c r="K934" i="5"/>
  <c r="L934" i="5"/>
  <c r="M934" i="5"/>
  <c r="H935" i="5"/>
  <c r="I935" i="5"/>
  <c r="J935" i="5"/>
  <c r="K935" i="5"/>
  <c r="L935" i="5"/>
  <c r="M935" i="5"/>
  <c r="H936" i="5"/>
  <c r="I936" i="5"/>
  <c r="J936" i="5"/>
  <c r="K936" i="5"/>
  <c r="L936" i="5"/>
  <c r="M936" i="5"/>
  <c r="H937" i="5"/>
  <c r="I937" i="5"/>
  <c r="J937" i="5"/>
  <c r="K937" i="5"/>
  <c r="L937" i="5"/>
  <c r="M937" i="5"/>
  <c r="H938" i="5"/>
  <c r="I938" i="5"/>
  <c r="J938" i="5"/>
  <c r="K938" i="5"/>
  <c r="L938" i="5"/>
  <c r="M938" i="5"/>
  <c r="H939" i="5"/>
  <c r="I939" i="5"/>
  <c r="J939" i="5"/>
  <c r="K939" i="5"/>
  <c r="L939" i="5"/>
  <c r="M939" i="5"/>
  <c r="H940" i="5"/>
  <c r="I940" i="5"/>
  <c r="J940" i="5"/>
  <c r="K940" i="5"/>
  <c r="L940" i="5"/>
  <c r="M940" i="5"/>
  <c r="H941" i="5"/>
  <c r="I941" i="5"/>
  <c r="J941" i="5"/>
  <c r="K941" i="5"/>
  <c r="N941" i="5" s="1"/>
  <c r="L941" i="5"/>
  <c r="M941" i="5"/>
  <c r="H942" i="5"/>
  <c r="I942" i="5"/>
  <c r="J942" i="5"/>
  <c r="K942" i="5"/>
  <c r="L942" i="5"/>
  <c r="M942" i="5"/>
  <c r="H943" i="5"/>
  <c r="I943" i="5"/>
  <c r="J943" i="5"/>
  <c r="K943" i="5"/>
  <c r="L943" i="5"/>
  <c r="M943" i="5"/>
  <c r="H944" i="5"/>
  <c r="I944" i="5"/>
  <c r="J944" i="5"/>
  <c r="K944" i="5"/>
  <c r="L944" i="5"/>
  <c r="M944" i="5"/>
  <c r="H945" i="5"/>
  <c r="I945" i="5"/>
  <c r="J945" i="5"/>
  <c r="K945" i="5"/>
  <c r="L945" i="5"/>
  <c r="M945" i="5"/>
  <c r="H946" i="5"/>
  <c r="I946" i="5"/>
  <c r="J946" i="5"/>
  <c r="K946" i="5"/>
  <c r="L946" i="5"/>
  <c r="M946" i="5"/>
  <c r="H947" i="5"/>
  <c r="I947" i="5"/>
  <c r="J947" i="5"/>
  <c r="K947" i="5"/>
  <c r="L947" i="5"/>
  <c r="M947" i="5"/>
  <c r="H948" i="5"/>
  <c r="I948" i="5"/>
  <c r="J948" i="5"/>
  <c r="K948" i="5"/>
  <c r="L948" i="5"/>
  <c r="M948" i="5"/>
  <c r="H949" i="5"/>
  <c r="I949" i="5"/>
  <c r="J949" i="5"/>
  <c r="K949" i="5"/>
  <c r="O949" i="5" s="1"/>
  <c r="L949" i="5"/>
  <c r="M949" i="5"/>
  <c r="H950" i="5"/>
  <c r="I950" i="5"/>
  <c r="J950" i="5"/>
  <c r="K950" i="5"/>
  <c r="L950" i="5"/>
  <c r="M950" i="5"/>
  <c r="H951" i="5"/>
  <c r="I951" i="5"/>
  <c r="J951" i="5"/>
  <c r="K951" i="5"/>
  <c r="L951" i="5"/>
  <c r="M951" i="5"/>
  <c r="H952" i="5"/>
  <c r="I952" i="5"/>
  <c r="J952" i="5"/>
  <c r="K952" i="5"/>
  <c r="L952" i="5"/>
  <c r="M952" i="5"/>
  <c r="H953" i="5"/>
  <c r="I953" i="5"/>
  <c r="J953" i="5"/>
  <c r="K953" i="5"/>
  <c r="L953" i="5"/>
  <c r="M953" i="5"/>
  <c r="H954" i="5"/>
  <c r="I954" i="5"/>
  <c r="J954" i="5"/>
  <c r="K954" i="5"/>
  <c r="L954" i="5"/>
  <c r="M954" i="5"/>
  <c r="H955" i="5"/>
  <c r="I955" i="5"/>
  <c r="J955" i="5"/>
  <c r="K955" i="5"/>
  <c r="L955" i="5"/>
  <c r="M955" i="5"/>
  <c r="H956" i="5"/>
  <c r="I956" i="5"/>
  <c r="J956" i="5"/>
  <c r="K956" i="5"/>
  <c r="L956" i="5"/>
  <c r="M956" i="5"/>
  <c r="H957" i="5"/>
  <c r="I957" i="5"/>
  <c r="J957" i="5"/>
  <c r="K957" i="5"/>
  <c r="L957" i="5"/>
  <c r="M957" i="5"/>
  <c r="H958" i="5"/>
  <c r="I958" i="5"/>
  <c r="J958" i="5"/>
  <c r="K958" i="5"/>
  <c r="L958" i="5"/>
  <c r="M958" i="5"/>
  <c r="H959" i="5"/>
  <c r="I959" i="5"/>
  <c r="J959" i="5"/>
  <c r="K959" i="5"/>
  <c r="L959" i="5"/>
  <c r="M959" i="5"/>
  <c r="H960" i="5"/>
  <c r="I960" i="5"/>
  <c r="J960" i="5"/>
  <c r="K960" i="5"/>
  <c r="L960" i="5"/>
  <c r="M960" i="5"/>
  <c r="H961" i="5"/>
  <c r="I961" i="5"/>
  <c r="J961" i="5"/>
  <c r="K961" i="5"/>
  <c r="L961" i="5"/>
  <c r="M961" i="5"/>
  <c r="H962" i="5"/>
  <c r="I962" i="5"/>
  <c r="J962" i="5"/>
  <c r="K962" i="5"/>
  <c r="L962" i="5"/>
  <c r="M962" i="5"/>
  <c r="H963" i="5"/>
  <c r="I963" i="5"/>
  <c r="J963" i="5"/>
  <c r="K963" i="5"/>
  <c r="L963" i="5"/>
  <c r="M963" i="5"/>
  <c r="H964" i="5"/>
  <c r="I964" i="5"/>
  <c r="J964" i="5"/>
  <c r="K964" i="5"/>
  <c r="L964" i="5"/>
  <c r="M964" i="5"/>
  <c r="H965" i="5"/>
  <c r="I965" i="5"/>
  <c r="J965" i="5"/>
  <c r="K965" i="5"/>
  <c r="L965" i="5"/>
  <c r="M965" i="5"/>
  <c r="H966" i="5"/>
  <c r="I966" i="5"/>
  <c r="J966" i="5"/>
  <c r="K966" i="5"/>
  <c r="L966" i="5"/>
  <c r="M966" i="5"/>
  <c r="H967" i="5"/>
  <c r="I967" i="5"/>
  <c r="J967" i="5"/>
  <c r="K967" i="5"/>
  <c r="L967" i="5"/>
  <c r="M967" i="5"/>
  <c r="H968" i="5"/>
  <c r="I968" i="5"/>
  <c r="J968" i="5"/>
  <c r="K968" i="5"/>
  <c r="L968" i="5"/>
  <c r="M968" i="5"/>
  <c r="H969" i="5"/>
  <c r="I969" i="5"/>
  <c r="J969" i="5"/>
  <c r="K969" i="5"/>
  <c r="L969" i="5"/>
  <c r="M969" i="5"/>
  <c r="H970" i="5"/>
  <c r="I970" i="5"/>
  <c r="J970" i="5"/>
  <c r="K970" i="5"/>
  <c r="L970" i="5"/>
  <c r="M970" i="5"/>
  <c r="H971" i="5"/>
  <c r="I971" i="5"/>
  <c r="J971" i="5"/>
  <c r="K971" i="5"/>
  <c r="L971" i="5"/>
  <c r="M971" i="5"/>
  <c r="H972" i="5"/>
  <c r="I972" i="5"/>
  <c r="J972" i="5"/>
  <c r="K972" i="5"/>
  <c r="L972" i="5"/>
  <c r="M972" i="5"/>
  <c r="H973" i="5"/>
  <c r="I973" i="5"/>
  <c r="J973" i="5"/>
  <c r="K973" i="5"/>
  <c r="N973" i="5" s="1"/>
  <c r="L973" i="5"/>
  <c r="M973" i="5"/>
  <c r="H974" i="5"/>
  <c r="I974" i="5"/>
  <c r="J974" i="5"/>
  <c r="K974" i="5"/>
  <c r="L974" i="5"/>
  <c r="M974" i="5"/>
  <c r="H975" i="5"/>
  <c r="I975" i="5"/>
  <c r="J975" i="5"/>
  <c r="K975" i="5"/>
  <c r="L975" i="5"/>
  <c r="M975" i="5"/>
  <c r="H976" i="5"/>
  <c r="I976" i="5"/>
  <c r="J976" i="5"/>
  <c r="K976" i="5"/>
  <c r="L976" i="5"/>
  <c r="M976" i="5"/>
  <c r="H977" i="5"/>
  <c r="I977" i="5"/>
  <c r="J977" i="5"/>
  <c r="K977" i="5"/>
  <c r="L977" i="5"/>
  <c r="M977" i="5"/>
  <c r="H978" i="5"/>
  <c r="I978" i="5"/>
  <c r="J978" i="5"/>
  <c r="K978" i="5"/>
  <c r="L978" i="5"/>
  <c r="M978" i="5"/>
  <c r="H979" i="5"/>
  <c r="I979" i="5"/>
  <c r="J979" i="5"/>
  <c r="K979" i="5"/>
  <c r="L979" i="5"/>
  <c r="M979" i="5"/>
  <c r="H980" i="5"/>
  <c r="I980" i="5"/>
  <c r="J980" i="5"/>
  <c r="K980" i="5"/>
  <c r="L980" i="5"/>
  <c r="M980" i="5"/>
  <c r="H981" i="5"/>
  <c r="I981" i="5"/>
  <c r="J981" i="5"/>
  <c r="K981" i="5"/>
  <c r="L981" i="5"/>
  <c r="M981" i="5"/>
  <c r="H982" i="5"/>
  <c r="I982" i="5"/>
  <c r="J982" i="5"/>
  <c r="K982" i="5"/>
  <c r="L982" i="5"/>
  <c r="M982" i="5"/>
  <c r="H983" i="5"/>
  <c r="I983" i="5"/>
  <c r="J983" i="5"/>
  <c r="K983" i="5"/>
  <c r="L983" i="5"/>
  <c r="M983" i="5"/>
  <c r="H984" i="5"/>
  <c r="I984" i="5"/>
  <c r="J984" i="5"/>
  <c r="K984" i="5"/>
  <c r="L984" i="5"/>
  <c r="M984" i="5"/>
  <c r="H985" i="5"/>
  <c r="I985" i="5"/>
  <c r="J985" i="5"/>
  <c r="K985" i="5"/>
  <c r="L985" i="5"/>
  <c r="M985" i="5"/>
  <c r="H986" i="5"/>
  <c r="I986" i="5"/>
  <c r="J986" i="5"/>
  <c r="K986" i="5"/>
  <c r="L986" i="5"/>
  <c r="M986" i="5"/>
  <c r="H987" i="5"/>
  <c r="I987" i="5"/>
  <c r="J987" i="5"/>
  <c r="K987" i="5"/>
  <c r="L987" i="5"/>
  <c r="M987" i="5"/>
  <c r="H988" i="5"/>
  <c r="I988" i="5"/>
  <c r="J988" i="5"/>
  <c r="K988" i="5"/>
  <c r="L988" i="5"/>
  <c r="M988" i="5"/>
  <c r="H989" i="5"/>
  <c r="I989" i="5"/>
  <c r="J989" i="5"/>
  <c r="K989" i="5"/>
  <c r="L989" i="5"/>
  <c r="M989" i="5"/>
  <c r="H990" i="5"/>
  <c r="I990" i="5"/>
  <c r="J990" i="5"/>
  <c r="K990" i="5"/>
  <c r="L990" i="5"/>
  <c r="M990" i="5"/>
  <c r="H991" i="5"/>
  <c r="I991" i="5"/>
  <c r="J991" i="5"/>
  <c r="K991" i="5"/>
  <c r="L991" i="5"/>
  <c r="M991" i="5"/>
  <c r="H992" i="5"/>
  <c r="I992" i="5"/>
  <c r="J992" i="5"/>
  <c r="K992" i="5"/>
  <c r="L992" i="5"/>
  <c r="M992" i="5"/>
  <c r="H993" i="5"/>
  <c r="I993" i="5"/>
  <c r="J993" i="5"/>
  <c r="K993" i="5"/>
  <c r="L993" i="5"/>
  <c r="M993" i="5"/>
  <c r="H994" i="5"/>
  <c r="I994" i="5"/>
  <c r="J994" i="5"/>
  <c r="K994" i="5"/>
  <c r="L994" i="5"/>
  <c r="M994" i="5"/>
  <c r="H995" i="5"/>
  <c r="I995" i="5"/>
  <c r="J995" i="5"/>
  <c r="K995" i="5"/>
  <c r="L995" i="5"/>
  <c r="M995" i="5"/>
  <c r="H996" i="5"/>
  <c r="I996" i="5"/>
  <c r="J996" i="5"/>
  <c r="K996" i="5"/>
  <c r="L996" i="5"/>
  <c r="M996" i="5"/>
  <c r="H997" i="5"/>
  <c r="I997" i="5"/>
  <c r="J997" i="5"/>
  <c r="K997" i="5"/>
  <c r="L997" i="5"/>
  <c r="M997" i="5"/>
  <c r="H998" i="5"/>
  <c r="I998" i="5"/>
  <c r="J998" i="5"/>
  <c r="K998" i="5"/>
  <c r="L998" i="5"/>
  <c r="M998" i="5"/>
  <c r="H999" i="5"/>
  <c r="I999" i="5"/>
  <c r="J999" i="5"/>
  <c r="K999" i="5"/>
  <c r="L999" i="5"/>
  <c r="M999" i="5"/>
  <c r="H1000" i="5"/>
  <c r="I1000" i="5"/>
  <c r="J1000" i="5"/>
  <c r="K1000" i="5"/>
  <c r="L1000" i="5"/>
  <c r="M1000" i="5"/>
  <c r="H1001" i="5"/>
  <c r="I1001" i="5"/>
  <c r="J1001" i="5"/>
  <c r="K1001" i="5"/>
  <c r="L1001" i="5"/>
  <c r="M1001" i="5"/>
  <c r="H1002" i="5"/>
  <c r="I1002" i="5"/>
  <c r="J1002" i="5"/>
  <c r="K1002" i="5"/>
  <c r="L1002" i="5"/>
  <c r="M1002" i="5"/>
  <c r="H1003" i="5"/>
  <c r="I1003" i="5"/>
  <c r="J1003" i="5"/>
  <c r="K1003" i="5"/>
  <c r="L1003" i="5"/>
  <c r="M1003" i="5"/>
  <c r="H1004" i="5"/>
  <c r="I1004" i="5"/>
  <c r="J1004" i="5"/>
  <c r="K1004" i="5"/>
  <c r="L1004" i="5"/>
  <c r="M1004" i="5"/>
  <c r="H1005" i="5"/>
  <c r="I1005" i="5"/>
  <c r="J1005" i="5"/>
  <c r="K1005" i="5"/>
  <c r="L1005" i="5"/>
  <c r="M1005" i="5"/>
  <c r="H1006" i="5"/>
  <c r="I1006" i="5"/>
  <c r="J1006" i="5"/>
  <c r="K1006" i="5"/>
  <c r="L1006" i="5"/>
  <c r="M1006" i="5"/>
  <c r="H1007" i="5"/>
  <c r="I1007" i="5"/>
  <c r="J1007" i="5"/>
  <c r="K1007" i="5"/>
  <c r="L1007" i="5"/>
  <c r="M1007" i="5"/>
  <c r="H1008" i="5"/>
  <c r="I1008" i="5"/>
  <c r="J1008" i="5"/>
  <c r="K1008" i="5"/>
  <c r="L1008" i="5"/>
  <c r="M1008" i="5"/>
  <c r="H1009" i="5"/>
  <c r="I1009" i="5"/>
  <c r="J1009" i="5"/>
  <c r="K1009" i="5"/>
  <c r="L1009" i="5"/>
  <c r="M1009" i="5"/>
  <c r="H1010" i="5"/>
  <c r="I1010" i="5"/>
  <c r="J1010" i="5"/>
  <c r="K1010" i="5"/>
  <c r="L1010" i="5"/>
  <c r="M1010" i="5"/>
  <c r="H1011" i="5"/>
  <c r="I1011" i="5"/>
  <c r="J1011" i="5"/>
  <c r="K1011" i="5"/>
  <c r="L1011" i="5"/>
  <c r="M1011" i="5"/>
  <c r="H1012" i="5"/>
  <c r="I1012" i="5"/>
  <c r="J1012" i="5"/>
  <c r="K1012" i="5"/>
  <c r="L1012" i="5"/>
  <c r="M1012" i="5"/>
  <c r="H1013" i="5"/>
  <c r="I1013" i="5"/>
  <c r="J1013" i="5"/>
  <c r="K1013" i="5"/>
  <c r="N1013" i="5" s="1"/>
  <c r="L1013" i="5"/>
  <c r="M1013" i="5"/>
  <c r="H1014" i="5"/>
  <c r="I1014" i="5"/>
  <c r="J1014" i="5"/>
  <c r="K1014" i="5"/>
  <c r="L1014" i="5"/>
  <c r="M1014" i="5"/>
  <c r="H1015" i="5"/>
  <c r="I1015" i="5"/>
  <c r="J1015" i="5"/>
  <c r="K1015" i="5"/>
  <c r="L1015" i="5"/>
  <c r="M1015" i="5"/>
  <c r="H1016" i="5"/>
  <c r="I1016" i="5"/>
  <c r="J1016" i="5"/>
  <c r="K1016" i="5"/>
  <c r="L1016" i="5"/>
  <c r="M1016" i="5"/>
  <c r="H1017" i="5"/>
  <c r="I1017" i="5"/>
  <c r="J1017" i="5"/>
  <c r="K1017" i="5"/>
  <c r="L1017" i="5"/>
  <c r="M1017" i="5"/>
  <c r="H1018" i="5"/>
  <c r="I1018" i="5"/>
  <c r="J1018" i="5"/>
  <c r="K1018" i="5"/>
  <c r="L1018" i="5"/>
  <c r="M1018" i="5"/>
  <c r="H1019" i="5"/>
  <c r="I1019" i="5"/>
  <c r="J1019" i="5"/>
  <c r="K1019" i="5"/>
  <c r="L1019" i="5"/>
  <c r="M1019" i="5"/>
  <c r="H1020" i="5"/>
  <c r="I1020" i="5"/>
  <c r="J1020" i="5"/>
  <c r="K1020" i="5"/>
  <c r="L1020" i="5"/>
  <c r="M1020" i="5"/>
  <c r="H1021" i="5"/>
  <c r="I1021" i="5"/>
  <c r="J1021" i="5"/>
  <c r="K1021" i="5"/>
  <c r="L1021" i="5"/>
  <c r="M1021" i="5"/>
  <c r="H1022" i="5"/>
  <c r="I1022" i="5"/>
  <c r="J1022" i="5"/>
  <c r="K1022" i="5"/>
  <c r="L1022" i="5"/>
  <c r="M1022" i="5"/>
  <c r="H1023" i="5"/>
  <c r="I1023" i="5"/>
  <c r="J1023" i="5"/>
  <c r="K1023" i="5"/>
  <c r="L1023" i="5"/>
  <c r="M1023" i="5"/>
  <c r="H1024" i="5"/>
  <c r="I1024" i="5"/>
  <c r="J1024" i="5"/>
  <c r="K1024" i="5"/>
  <c r="L1024" i="5"/>
  <c r="M1024" i="5"/>
  <c r="H1025" i="5"/>
  <c r="I1025" i="5"/>
  <c r="J1025" i="5"/>
  <c r="K1025" i="5"/>
  <c r="L1025" i="5"/>
  <c r="M1025" i="5"/>
  <c r="H1026" i="5"/>
  <c r="I1026" i="5"/>
  <c r="J1026" i="5"/>
  <c r="K1026" i="5"/>
  <c r="L1026" i="5"/>
  <c r="M1026" i="5"/>
  <c r="H1027" i="5"/>
  <c r="I1027" i="5"/>
  <c r="J1027" i="5"/>
  <c r="K1027" i="5"/>
  <c r="L1027" i="5"/>
  <c r="M1027" i="5"/>
  <c r="H1028" i="5"/>
  <c r="I1028" i="5"/>
  <c r="J1028" i="5"/>
  <c r="K1028" i="5"/>
  <c r="L1028" i="5"/>
  <c r="M1028" i="5"/>
  <c r="H1029" i="5"/>
  <c r="I1029" i="5"/>
  <c r="J1029" i="5"/>
  <c r="K1029" i="5"/>
  <c r="L1029" i="5"/>
  <c r="M1029" i="5"/>
  <c r="H1030" i="5"/>
  <c r="I1030" i="5"/>
  <c r="J1030" i="5"/>
  <c r="K1030" i="5"/>
  <c r="L1030" i="5"/>
  <c r="M1030" i="5"/>
  <c r="H1031" i="5"/>
  <c r="I1031" i="5"/>
  <c r="J1031" i="5"/>
  <c r="K1031" i="5"/>
  <c r="L1031" i="5"/>
  <c r="M1031" i="5"/>
  <c r="H1032" i="5"/>
  <c r="I1032" i="5"/>
  <c r="J1032" i="5"/>
  <c r="K1032" i="5"/>
  <c r="L1032" i="5"/>
  <c r="M1032" i="5"/>
  <c r="H1033" i="5"/>
  <c r="I1033" i="5"/>
  <c r="J1033" i="5"/>
  <c r="K1033" i="5"/>
  <c r="L1033" i="5"/>
  <c r="M1033" i="5"/>
  <c r="H1034" i="5"/>
  <c r="I1034" i="5"/>
  <c r="J1034" i="5"/>
  <c r="K1034" i="5"/>
  <c r="L1034" i="5"/>
  <c r="M1034" i="5"/>
  <c r="H1035" i="5"/>
  <c r="I1035" i="5"/>
  <c r="J1035" i="5"/>
  <c r="K1035" i="5"/>
  <c r="L1035" i="5"/>
  <c r="M1035" i="5"/>
  <c r="H1036" i="5"/>
  <c r="I1036" i="5"/>
  <c r="J1036" i="5"/>
  <c r="K1036" i="5"/>
  <c r="L1036" i="5"/>
  <c r="M1036" i="5"/>
  <c r="H1037" i="5"/>
  <c r="I1037" i="5"/>
  <c r="J1037" i="5"/>
  <c r="K1037" i="5"/>
  <c r="L1037" i="5"/>
  <c r="M1037" i="5"/>
  <c r="H1038" i="5"/>
  <c r="I1038" i="5"/>
  <c r="J1038" i="5"/>
  <c r="K1038" i="5"/>
  <c r="L1038" i="5"/>
  <c r="M1038" i="5"/>
  <c r="H1039" i="5"/>
  <c r="I1039" i="5"/>
  <c r="J1039" i="5"/>
  <c r="K1039" i="5"/>
  <c r="L1039" i="5"/>
  <c r="M1039" i="5"/>
  <c r="H1040" i="5"/>
  <c r="I1040" i="5"/>
  <c r="J1040" i="5"/>
  <c r="K1040" i="5"/>
  <c r="L1040" i="5"/>
  <c r="M1040" i="5"/>
  <c r="H1041" i="5"/>
  <c r="I1041" i="5"/>
  <c r="J1041" i="5"/>
  <c r="K1041" i="5"/>
  <c r="L1041" i="5"/>
  <c r="M1041" i="5"/>
  <c r="H1042" i="5"/>
  <c r="I1042" i="5"/>
  <c r="J1042" i="5"/>
  <c r="K1042" i="5"/>
  <c r="L1042" i="5"/>
  <c r="M1042" i="5"/>
  <c r="H1043" i="5"/>
  <c r="I1043" i="5"/>
  <c r="J1043" i="5"/>
  <c r="K1043" i="5"/>
  <c r="L1043" i="5"/>
  <c r="M1043" i="5"/>
  <c r="H1044" i="5"/>
  <c r="I1044" i="5"/>
  <c r="J1044" i="5"/>
  <c r="K1044" i="5"/>
  <c r="L1044" i="5"/>
  <c r="M1044" i="5"/>
  <c r="H1045" i="5"/>
  <c r="I1045" i="5"/>
  <c r="J1045" i="5"/>
  <c r="K1045" i="5"/>
  <c r="L1045" i="5"/>
  <c r="M1045" i="5"/>
  <c r="H1046" i="5"/>
  <c r="I1046" i="5"/>
  <c r="J1046" i="5"/>
  <c r="K1046" i="5"/>
  <c r="L1046" i="5"/>
  <c r="M1046" i="5"/>
  <c r="H1047" i="5"/>
  <c r="I1047" i="5"/>
  <c r="J1047" i="5"/>
  <c r="K1047" i="5"/>
  <c r="L1047" i="5"/>
  <c r="M1047" i="5"/>
  <c r="H1048" i="5"/>
  <c r="I1048" i="5"/>
  <c r="J1048" i="5"/>
  <c r="K1048" i="5"/>
  <c r="L1048" i="5"/>
  <c r="M1048" i="5"/>
  <c r="H1049" i="5"/>
  <c r="I1049" i="5"/>
  <c r="J1049" i="5"/>
  <c r="K1049" i="5"/>
  <c r="L1049" i="5"/>
  <c r="M1049" i="5"/>
  <c r="H1050" i="5"/>
  <c r="I1050" i="5"/>
  <c r="J1050" i="5"/>
  <c r="K1050" i="5"/>
  <c r="L1050" i="5"/>
  <c r="M1050" i="5"/>
  <c r="H1051" i="5"/>
  <c r="I1051" i="5"/>
  <c r="J1051" i="5"/>
  <c r="K1051" i="5"/>
  <c r="L1051" i="5"/>
  <c r="M1051" i="5"/>
  <c r="H1052" i="5"/>
  <c r="I1052" i="5"/>
  <c r="J1052" i="5"/>
  <c r="K1052" i="5"/>
  <c r="L1052" i="5"/>
  <c r="M1052" i="5"/>
  <c r="H1053" i="5"/>
  <c r="I1053" i="5"/>
  <c r="J1053" i="5"/>
  <c r="K1053" i="5"/>
  <c r="O1053" i="5" s="1"/>
  <c r="L1053" i="5"/>
  <c r="M1053" i="5"/>
  <c r="H1054" i="5"/>
  <c r="I1054" i="5"/>
  <c r="J1054" i="5"/>
  <c r="K1054" i="5"/>
  <c r="L1054" i="5"/>
  <c r="M1054" i="5"/>
  <c r="H1055" i="5"/>
  <c r="I1055" i="5"/>
  <c r="J1055" i="5"/>
  <c r="K1055" i="5"/>
  <c r="L1055" i="5"/>
  <c r="M1055" i="5"/>
  <c r="H1056" i="5"/>
  <c r="I1056" i="5"/>
  <c r="J1056" i="5"/>
  <c r="K1056" i="5"/>
  <c r="L1056" i="5"/>
  <c r="M1056" i="5"/>
  <c r="H1057" i="5"/>
  <c r="I1057" i="5"/>
  <c r="J1057" i="5"/>
  <c r="K1057" i="5"/>
  <c r="L1057" i="5"/>
  <c r="M1057" i="5"/>
  <c r="H1058" i="5"/>
  <c r="I1058" i="5"/>
  <c r="J1058" i="5"/>
  <c r="K1058" i="5"/>
  <c r="L1058" i="5"/>
  <c r="M1058" i="5"/>
  <c r="H1059" i="5"/>
  <c r="I1059" i="5"/>
  <c r="J1059" i="5"/>
  <c r="K1059" i="5"/>
  <c r="L1059" i="5"/>
  <c r="M1059" i="5"/>
  <c r="H1060" i="5"/>
  <c r="I1060" i="5"/>
  <c r="J1060" i="5"/>
  <c r="K1060" i="5"/>
  <c r="L1060" i="5"/>
  <c r="M1060" i="5"/>
  <c r="H1061" i="5"/>
  <c r="I1061" i="5"/>
  <c r="J1061" i="5"/>
  <c r="K1061" i="5"/>
  <c r="L1061" i="5"/>
  <c r="M1061" i="5"/>
  <c r="H1062" i="5"/>
  <c r="I1062" i="5"/>
  <c r="J1062" i="5"/>
  <c r="K1062" i="5"/>
  <c r="L1062" i="5"/>
  <c r="M1062" i="5"/>
  <c r="H1063" i="5"/>
  <c r="I1063" i="5"/>
  <c r="J1063" i="5"/>
  <c r="K1063" i="5"/>
  <c r="L1063" i="5"/>
  <c r="M1063" i="5"/>
  <c r="H1064" i="5"/>
  <c r="I1064" i="5"/>
  <c r="J1064" i="5"/>
  <c r="K1064" i="5"/>
  <c r="L1064" i="5"/>
  <c r="M1064" i="5"/>
  <c r="H1065" i="5"/>
  <c r="I1065" i="5"/>
  <c r="J1065" i="5"/>
  <c r="K1065" i="5"/>
  <c r="L1065" i="5"/>
  <c r="M1065" i="5"/>
  <c r="H1066" i="5"/>
  <c r="I1066" i="5"/>
  <c r="J1066" i="5"/>
  <c r="K1066" i="5"/>
  <c r="L1066" i="5"/>
  <c r="M1066" i="5"/>
  <c r="H1067" i="5"/>
  <c r="I1067" i="5"/>
  <c r="J1067" i="5"/>
  <c r="K1067" i="5"/>
  <c r="L1067" i="5"/>
  <c r="M1067" i="5"/>
  <c r="H1068" i="5"/>
  <c r="I1068" i="5"/>
  <c r="J1068" i="5"/>
  <c r="K1068" i="5"/>
  <c r="L1068" i="5"/>
  <c r="M1068" i="5"/>
  <c r="H1069" i="5"/>
  <c r="I1069" i="5"/>
  <c r="J1069" i="5"/>
  <c r="K1069" i="5"/>
  <c r="L1069" i="5"/>
  <c r="M1069" i="5"/>
  <c r="H1070" i="5"/>
  <c r="I1070" i="5"/>
  <c r="J1070" i="5"/>
  <c r="K1070" i="5"/>
  <c r="L1070" i="5"/>
  <c r="M1070" i="5"/>
  <c r="H1071" i="5"/>
  <c r="I1071" i="5"/>
  <c r="J1071" i="5"/>
  <c r="K1071" i="5"/>
  <c r="L1071" i="5"/>
  <c r="M1071" i="5"/>
  <c r="H1072" i="5"/>
  <c r="I1072" i="5"/>
  <c r="J1072" i="5"/>
  <c r="K1072" i="5"/>
  <c r="L1072" i="5"/>
  <c r="M1072" i="5"/>
  <c r="H1073" i="5"/>
  <c r="I1073" i="5"/>
  <c r="J1073" i="5"/>
  <c r="K1073" i="5"/>
  <c r="L1073" i="5"/>
  <c r="M1073" i="5"/>
  <c r="H1074" i="5"/>
  <c r="I1074" i="5"/>
  <c r="J1074" i="5"/>
  <c r="K1074" i="5"/>
  <c r="L1074" i="5"/>
  <c r="M1074" i="5"/>
  <c r="H1075" i="5"/>
  <c r="I1075" i="5"/>
  <c r="J1075" i="5"/>
  <c r="K1075" i="5"/>
  <c r="L1075" i="5"/>
  <c r="M1075" i="5"/>
  <c r="H1076" i="5"/>
  <c r="I1076" i="5"/>
  <c r="J1076" i="5"/>
  <c r="K1076" i="5"/>
  <c r="L1076" i="5"/>
  <c r="M1076" i="5"/>
  <c r="H1077" i="5"/>
  <c r="I1077" i="5"/>
  <c r="J1077" i="5"/>
  <c r="K1077" i="5"/>
  <c r="O1077" i="5" s="1"/>
  <c r="L1077" i="5"/>
  <c r="M1077" i="5"/>
  <c r="H1078" i="5"/>
  <c r="I1078" i="5"/>
  <c r="J1078" i="5"/>
  <c r="K1078" i="5"/>
  <c r="L1078" i="5"/>
  <c r="M1078" i="5"/>
  <c r="H1079" i="5"/>
  <c r="I1079" i="5"/>
  <c r="J1079" i="5"/>
  <c r="K1079" i="5"/>
  <c r="L1079" i="5"/>
  <c r="M1079" i="5"/>
  <c r="H1080" i="5"/>
  <c r="I1080" i="5"/>
  <c r="J1080" i="5"/>
  <c r="K1080" i="5"/>
  <c r="L1080" i="5"/>
  <c r="M1080" i="5"/>
  <c r="H1081" i="5"/>
  <c r="I1081" i="5"/>
  <c r="J1081" i="5"/>
  <c r="K1081" i="5"/>
  <c r="L1081" i="5"/>
  <c r="M1081" i="5"/>
  <c r="H1082" i="5"/>
  <c r="I1082" i="5"/>
  <c r="J1082" i="5"/>
  <c r="K1082" i="5"/>
  <c r="L1082" i="5"/>
  <c r="M1082" i="5"/>
  <c r="H1083" i="5"/>
  <c r="I1083" i="5"/>
  <c r="J1083" i="5"/>
  <c r="K1083" i="5"/>
  <c r="L1083" i="5"/>
  <c r="M1083" i="5"/>
  <c r="H1084" i="5"/>
  <c r="I1084" i="5"/>
  <c r="J1084" i="5"/>
  <c r="K1084" i="5"/>
  <c r="L1084" i="5"/>
  <c r="M1084" i="5"/>
  <c r="H1085" i="5"/>
  <c r="I1085" i="5"/>
  <c r="J1085" i="5"/>
  <c r="K1085" i="5"/>
  <c r="L1085" i="5"/>
  <c r="M1085" i="5"/>
  <c r="H1086" i="5"/>
  <c r="I1086" i="5"/>
  <c r="J1086" i="5"/>
  <c r="K1086" i="5"/>
  <c r="L1086" i="5"/>
  <c r="M1086" i="5"/>
  <c r="H1087" i="5"/>
  <c r="I1087" i="5"/>
  <c r="J1087" i="5"/>
  <c r="K1087" i="5"/>
  <c r="L1087" i="5"/>
  <c r="M1087" i="5"/>
  <c r="H1088" i="5"/>
  <c r="I1088" i="5"/>
  <c r="J1088" i="5"/>
  <c r="K1088" i="5"/>
  <c r="L1088" i="5"/>
  <c r="M1088" i="5"/>
  <c r="H1089" i="5"/>
  <c r="I1089" i="5"/>
  <c r="J1089" i="5"/>
  <c r="K1089" i="5"/>
  <c r="L1089" i="5"/>
  <c r="M1089" i="5"/>
  <c r="H1090" i="5"/>
  <c r="I1090" i="5"/>
  <c r="J1090" i="5"/>
  <c r="K1090" i="5"/>
  <c r="L1090" i="5"/>
  <c r="M1090" i="5"/>
  <c r="H1091" i="5"/>
  <c r="I1091" i="5"/>
  <c r="J1091" i="5"/>
  <c r="K1091" i="5"/>
  <c r="L1091" i="5"/>
  <c r="M1091" i="5"/>
  <c r="H1092" i="5"/>
  <c r="I1092" i="5"/>
  <c r="J1092" i="5"/>
  <c r="K1092" i="5"/>
  <c r="L1092" i="5"/>
  <c r="M1092" i="5"/>
  <c r="H1093" i="5"/>
  <c r="I1093" i="5"/>
  <c r="J1093" i="5"/>
  <c r="K1093" i="5"/>
  <c r="N1093" i="5" s="1"/>
  <c r="L1093" i="5"/>
  <c r="M1093" i="5"/>
  <c r="H1094" i="5"/>
  <c r="I1094" i="5"/>
  <c r="J1094" i="5"/>
  <c r="K1094" i="5"/>
  <c r="L1094" i="5"/>
  <c r="M1094" i="5"/>
  <c r="H1095" i="5"/>
  <c r="I1095" i="5"/>
  <c r="J1095" i="5"/>
  <c r="K1095" i="5"/>
  <c r="L1095" i="5"/>
  <c r="M1095" i="5"/>
  <c r="H1096" i="5"/>
  <c r="I1096" i="5"/>
  <c r="J1096" i="5"/>
  <c r="K1096" i="5"/>
  <c r="L1096" i="5"/>
  <c r="M1096" i="5"/>
  <c r="H1097" i="5"/>
  <c r="I1097" i="5"/>
  <c r="J1097" i="5"/>
  <c r="K1097" i="5"/>
  <c r="L1097" i="5"/>
  <c r="M1097" i="5"/>
  <c r="H1098" i="5"/>
  <c r="I1098" i="5"/>
  <c r="J1098" i="5"/>
  <c r="K1098" i="5"/>
  <c r="L1098" i="5"/>
  <c r="M1098" i="5"/>
  <c r="H1099" i="5"/>
  <c r="I1099" i="5"/>
  <c r="J1099" i="5"/>
  <c r="K1099" i="5"/>
  <c r="L1099" i="5"/>
  <c r="M1099" i="5"/>
  <c r="H1100" i="5"/>
  <c r="I1100" i="5"/>
  <c r="J1100" i="5"/>
  <c r="K1100" i="5"/>
  <c r="L1100" i="5"/>
  <c r="M1100" i="5"/>
  <c r="H1101" i="5"/>
  <c r="I1101" i="5"/>
  <c r="J1101" i="5"/>
  <c r="K1101" i="5"/>
  <c r="L1101" i="5"/>
  <c r="M1101" i="5"/>
  <c r="H1102" i="5"/>
  <c r="I1102" i="5"/>
  <c r="J1102" i="5"/>
  <c r="K1102" i="5"/>
  <c r="L1102" i="5"/>
  <c r="M1102" i="5"/>
  <c r="H1103" i="5"/>
  <c r="I1103" i="5"/>
  <c r="J1103" i="5"/>
  <c r="K1103" i="5"/>
  <c r="L1103" i="5"/>
  <c r="M1103" i="5"/>
  <c r="H1104" i="5"/>
  <c r="I1104" i="5"/>
  <c r="J1104" i="5"/>
  <c r="K1104" i="5"/>
  <c r="L1104" i="5"/>
  <c r="M1104" i="5"/>
  <c r="H1105" i="5"/>
  <c r="I1105" i="5"/>
  <c r="J1105" i="5"/>
  <c r="K1105" i="5"/>
  <c r="L1105" i="5"/>
  <c r="M1105" i="5"/>
  <c r="H1106" i="5"/>
  <c r="I1106" i="5"/>
  <c r="J1106" i="5"/>
  <c r="K1106" i="5"/>
  <c r="L1106" i="5"/>
  <c r="M1106" i="5"/>
  <c r="H1107" i="5"/>
  <c r="I1107" i="5"/>
  <c r="J1107" i="5"/>
  <c r="K1107" i="5"/>
  <c r="L1107" i="5"/>
  <c r="M1107" i="5"/>
  <c r="H1108" i="5"/>
  <c r="I1108" i="5"/>
  <c r="J1108" i="5"/>
  <c r="K1108" i="5"/>
  <c r="L1108" i="5"/>
  <c r="M1108" i="5"/>
  <c r="H1109" i="5"/>
  <c r="I1109" i="5"/>
  <c r="J1109" i="5"/>
  <c r="K1109" i="5"/>
  <c r="L1109" i="5"/>
  <c r="M1109" i="5"/>
  <c r="H1110" i="5"/>
  <c r="I1110" i="5"/>
  <c r="J1110" i="5"/>
  <c r="K1110" i="5"/>
  <c r="L1110" i="5"/>
  <c r="M1110" i="5"/>
  <c r="H1111" i="5"/>
  <c r="I1111" i="5"/>
  <c r="J1111" i="5"/>
  <c r="K1111" i="5"/>
  <c r="L1111" i="5"/>
  <c r="M1111" i="5"/>
  <c r="H1112" i="5"/>
  <c r="I1112" i="5"/>
  <c r="J1112" i="5"/>
  <c r="K1112" i="5"/>
  <c r="L1112" i="5"/>
  <c r="M1112" i="5"/>
  <c r="H1113" i="5"/>
  <c r="I1113" i="5"/>
  <c r="J1113" i="5"/>
  <c r="K1113" i="5"/>
  <c r="L1113" i="5"/>
  <c r="M1113" i="5"/>
  <c r="H1114" i="5"/>
  <c r="I1114" i="5"/>
  <c r="J1114" i="5"/>
  <c r="K1114" i="5"/>
  <c r="L1114" i="5"/>
  <c r="M1114" i="5"/>
  <c r="H1115" i="5"/>
  <c r="I1115" i="5"/>
  <c r="J1115" i="5"/>
  <c r="K1115" i="5"/>
  <c r="L1115" i="5"/>
  <c r="M1115" i="5"/>
  <c r="H1116" i="5"/>
  <c r="I1116" i="5"/>
  <c r="J1116" i="5"/>
  <c r="K1116" i="5"/>
  <c r="L1116" i="5"/>
  <c r="M1116" i="5"/>
  <c r="H1117" i="5"/>
  <c r="I1117" i="5"/>
  <c r="J1117" i="5"/>
  <c r="K1117" i="5"/>
  <c r="L1117" i="5"/>
  <c r="M1117" i="5"/>
  <c r="H1118" i="5"/>
  <c r="I1118" i="5"/>
  <c r="J1118" i="5"/>
  <c r="K1118" i="5"/>
  <c r="L1118" i="5"/>
  <c r="M1118" i="5"/>
  <c r="H1119" i="5"/>
  <c r="I1119" i="5"/>
  <c r="J1119" i="5"/>
  <c r="K1119" i="5"/>
  <c r="L1119" i="5"/>
  <c r="M1119" i="5"/>
  <c r="H1120" i="5"/>
  <c r="I1120" i="5"/>
  <c r="J1120" i="5"/>
  <c r="K1120" i="5"/>
  <c r="L1120" i="5"/>
  <c r="M1120" i="5"/>
  <c r="H1121" i="5"/>
  <c r="I1121" i="5"/>
  <c r="J1121" i="5"/>
  <c r="K1121" i="5"/>
  <c r="L1121" i="5"/>
  <c r="M1121" i="5"/>
  <c r="H1122" i="5"/>
  <c r="I1122" i="5"/>
  <c r="J1122" i="5"/>
  <c r="K1122" i="5"/>
  <c r="L1122" i="5"/>
  <c r="M1122" i="5"/>
  <c r="H1123" i="5"/>
  <c r="I1123" i="5"/>
  <c r="J1123" i="5"/>
  <c r="K1123" i="5"/>
  <c r="L1123" i="5"/>
  <c r="M1123" i="5"/>
  <c r="H1124" i="5"/>
  <c r="I1124" i="5"/>
  <c r="J1124" i="5"/>
  <c r="K1124" i="5"/>
  <c r="L1124" i="5"/>
  <c r="M1124" i="5"/>
  <c r="H1125" i="5"/>
  <c r="I1125" i="5"/>
  <c r="J1125" i="5"/>
  <c r="K1125" i="5"/>
  <c r="O1125" i="5" s="1"/>
  <c r="L1125" i="5"/>
  <c r="M1125" i="5"/>
  <c r="H1126" i="5"/>
  <c r="I1126" i="5"/>
  <c r="J1126" i="5"/>
  <c r="K1126" i="5"/>
  <c r="L1126" i="5"/>
  <c r="M1126" i="5"/>
  <c r="H1127" i="5"/>
  <c r="I1127" i="5"/>
  <c r="J1127" i="5"/>
  <c r="K1127" i="5"/>
  <c r="L1127" i="5"/>
  <c r="M1127" i="5"/>
  <c r="H1128" i="5"/>
  <c r="I1128" i="5"/>
  <c r="J1128" i="5"/>
  <c r="K1128" i="5"/>
  <c r="L1128" i="5"/>
  <c r="M1128" i="5"/>
  <c r="H1129" i="5"/>
  <c r="I1129" i="5"/>
  <c r="J1129" i="5"/>
  <c r="K1129" i="5"/>
  <c r="L1129" i="5"/>
  <c r="M1129" i="5"/>
  <c r="H1130" i="5"/>
  <c r="I1130" i="5"/>
  <c r="J1130" i="5"/>
  <c r="K1130" i="5"/>
  <c r="L1130" i="5"/>
  <c r="M1130" i="5"/>
  <c r="H1131" i="5"/>
  <c r="I1131" i="5"/>
  <c r="J1131" i="5"/>
  <c r="K1131" i="5"/>
  <c r="L1131" i="5"/>
  <c r="M1131" i="5"/>
  <c r="H1132" i="5"/>
  <c r="I1132" i="5"/>
  <c r="J1132" i="5"/>
  <c r="K1132" i="5"/>
  <c r="L1132" i="5"/>
  <c r="M1132" i="5"/>
  <c r="H1133" i="5"/>
  <c r="I1133" i="5"/>
  <c r="J1133" i="5"/>
  <c r="K1133" i="5"/>
  <c r="L1133" i="5"/>
  <c r="M1133" i="5"/>
  <c r="H1134" i="5"/>
  <c r="I1134" i="5"/>
  <c r="J1134" i="5"/>
  <c r="K1134" i="5"/>
  <c r="L1134" i="5"/>
  <c r="M1134" i="5"/>
  <c r="H1135" i="5"/>
  <c r="I1135" i="5"/>
  <c r="J1135" i="5"/>
  <c r="K1135" i="5"/>
  <c r="L1135" i="5"/>
  <c r="M1135" i="5"/>
  <c r="H1136" i="5"/>
  <c r="I1136" i="5"/>
  <c r="J1136" i="5"/>
  <c r="K1136" i="5"/>
  <c r="L1136" i="5"/>
  <c r="M1136" i="5"/>
  <c r="H1137" i="5"/>
  <c r="I1137" i="5"/>
  <c r="J1137" i="5"/>
  <c r="K1137" i="5"/>
  <c r="L1137" i="5"/>
  <c r="M1137" i="5"/>
  <c r="H1138" i="5"/>
  <c r="I1138" i="5"/>
  <c r="J1138" i="5"/>
  <c r="K1138" i="5"/>
  <c r="L1138" i="5"/>
  <c r="M1138" i="5"/>
  <c r="H1139" i="5"/>
  <c r="I1139" i="5"/>
  <c r="J1139" i="5"/>
  <c r="K1139" i="5"/>
  <c r="L1139" i="5"/>
  <c r="M1139" i="5"/>
  <c r="H1140" i="5"/>
  <c r="I1140" i="5"/>
  <c r="J1140" i="5"/>
  <c r="K1140" i="5"/>
  <c r="L1140" i="5"/>
  <c r="M1140" i="5"/>
  <c r="H1141" i="5"/>
  <c r="I1141" i="5"/>
  <c r="J1141" i="5"/>
  <c r="K1141" i="5"/>
  <c r="L1141" i="5"/>
  <c r="M1141" i="5"/>
  <c r="H1142" i="5"/>
  <c r="I1142" i="5"/>
  <c r="J1142" i="5"/>
  <c r="K1142" i="5"/>
  <c r="L1142" i="5"/>
  <c r="M1142" i="5"/>
  <c r="H1143" i="5"/>
  <c r="I1143" i="5"/>
  <c r="J1143" i="5"/>
  <c r="K1143" i="5"/>
  <c r="L1143" i="5"/>
  <c r="M1143" i="5"/>
  <c r="H1144" i="5"/>
  <c r="I1144" i="5"/>
  <c r="J1144" i="5"/>
  <c r="K1144" i="5"/>
  <c r="L1144" i="5"/>
  <c r="M1144" i="5"/>
  <c r="H1145" i="5"/>
  <c r="I1145" i="5"/>
  <c r="J1145" i="5"/>
  <c r="K1145" i="5"/>
  <c r="L1145" i="5"/>
  <c r="M1145" i="5"/>
  <c r="H1146" i="5"/>
  <c r="I1146" i="5"/>
  <c r="J1146" i="5"/>
  <c r="K1146" i="5"/>
  <c r="L1146" i="5"/>
  <c r="M1146" i="5"/>
  <c r="H1147" i="5"/>
  <c r="I1147" i="5"/>
  <c r="J1147" i="5"/>
  <c r="K1147" i="5"/>
  <c r="L1147" i="5"/>
  <c r="M1147" i="5"/>
  <c r="H1148" i="5"/>
  <c r="I1148" i="5"/>
  <c r="J1148" i="5"/>
  <c r="K1148" i="5"/>
  <c r="L1148" i="5"/>
  <c r="M1148" i="5"/>
  <c r="H1149" i="5"/>
  <c r="I1149" i="5"/>
  <c r="J1149" i="5"/>
  <c r="K1149" i="5"/>
  <c r="O1149" i="5" s="1"/>
  <c r="L1149" i="5"/>
  <c r="M1149" i="5"/>
  <c r="H1150" i="5"/>
  <c r="I1150" i="5"/>
  <c r="J1150" i="5"/>
  <c r="K1150" i="5"/>
  <c r="L1150" i="5"/>
  <c r="M1150" i="5"/>
  <c r="H1151" i="5"/>
  <c r="I1151" i="5"/>
  <c r="J1151" i="5"/>
  <c r="K1151" i="5"/>
  <c r="L1151" i="5"/>
  <c r="M1151" i="5"/>
  <c r="H1152" i="5"/>
  <c r="I1152" i="5"/>
  <c r="J1152" i="5"/>
  <c r="K1152" i="5"/>
  <c r="L1152" i="5"/>
  <c r="M1152" i="5"/>
  <c r="H1153" i="5"/>
  <c r="I1153" i="5"/>
  <c r="J1153" i="5"/>
  <c r="K1153" i="5"/>
  <c r="L1153" i="5"/>
  <c r="M1153" i="5"/>
  <c r="H1154" i="5"/>
  <c r="I1154" i="5"/>
  <c r="J1154" i="5"/>
  <c r="K1154" i="5"/>
  <c r="L1154" i="5"/>
  <c r="M1154" i="5"/>
  <c r="H1155" i="5"/>
  <c r="I1155" i="5"/>
  <c r="J1155" i="5"/>
  <c r="K1155" i="5"/>
  <c r="L1155" i="5"/>
  <c r="M1155" i="5"/>
  <c r="H1156" i="5"/>
  <c r="I1156" i="5"/>
  <c r="J1156" i="5"/>
  <c r="K1156" i="5"/>
  <c r="L1156" i="5"/>
  <c r="M1156" i="5"/>
  <c r="H1157" i="5"/>
  <c r="I1157" i="5"/>
  <c r="J1157" i="5"/>
  <c r="K1157" i="5"/>
  <c r="N1157" i="5" s="1"/>
  <c r="L1157" i="5"/>
  <c r="M1157" i="5"/>
  <c r="H1158" i="5"/>
  <c r="I1158" i="5"/>
  <c r="J1158" i="5"/>
  <c r="K1158" i="5"/>
  <c r="L1158" i="5"/>
  <c r="M1158" i="5"/>
  <c r="H1159" i="5"/>
  <c r="I1159" i="5"/>
  <c r="J1159" i="5"/>
  <c r="K1159" i="5"/>
  <c r="L1159" i="5"/>
  <c r="M1159" i="5"/>
  <c r="H1160" i="5"/>
  <c r="I1160" i="5"/>
  <c r="J1160" i="5"/>
  <c r="K1160" i="5"/>
  <c r="L1160" i="5"/>
  <c r="M1160" i="5"/>
  <c r="H1161" i="5"/>
  <c r="I1161" i="5"/>
  <c r="J1161" i="5"/>
  <c r="K1161" i="5"/>
  <c r="L1161" i="5"/>
  <c r="M1161" i="5"/>
  <c r="H1162" i="5"/>
  <c r="I1162" i="5"/>
  <c r="J1162" i="5"/>
  <c r="K1162" i="5"/>
  <c r="L1162" i="5"/>
  <c r="M1162" i="5"/>
  <c r="H1163" i="5"/>
  <c r="I1163" i="5"/>
  <c r="J1163" i="5"/>
  <c r="K1163" i="5"/>
  <c r="L1163" i="5"/>
  <c r="M1163" i="5"/>
  <c r="H1164" i="5"/>
  <c r="I1164" i="5"/>
  <c r="J1164" i="5"/>
  <c r="K1164" i="5"/>
  <c r="L1164" i="5"/>
  <c r="M1164" i="5"/>
  <c r="H1165" i="5"/>
  <c r="I1165" i="5"/>
  <c r="J1165" i="5"/>
  <c r="K1165" i="5"/>
  <c r="L1165" i="5"/>
  <c r="M1165" i="5"/>
  <c r="H1166" i="5"/>
  <c r="I1166" i="5"/>
  <c r="J1166" i="5"/>
  <c r="K1166" i="5"/>
  <c r="L1166" i="5"/>
  <c r="M1166" i="5"/>
  <c r="H1167" i="5"/>
  <c r="I1167" i="5"/>
  <c r="J1167" i="5"/>
  <c r="K1167" i="5"/>
  <c r="L1167" i="5"/>
  <c r="M1167" i="5"/>
  <c r="H1168" i="5"/>
  <c r="I1168" i="5"/>
  <c r="J1168" i="5"/>
  <c r="K1168" i="5"/>
  <c r="L1168" i="5"/>
  <c r="M1168" i="5"/>
  <c r="H1169" i="5"/>
  <c r="I1169" i="5"/>
  <c r="J1169" i="5"/>
  <c r="K1169" i="5"/>
  <c r="L1169" i="5"/>
  <c r="M1169" i="5"/>
  <c r="H1170" i="5"/>
  <c r="I1170" i="5"/>
  <c r="J1170" i="5"/>
  <c r="K1170" i="5"/>
  <c r="L1170" i="5"/>
  <c r="M1170" i="5"/>
  <c r="H1171" i="5"/>
  <c r="I1171" i="5"/>
  <c r="J1171" i="5"/>
  <c r="K1171" i="5"/>
  <c r="L1171" i="5"/>
  <c r="M1171" i="5"/>
  <c r="H1172" i="5"/>
  <c r="I1172" i="5"/>
  <c r="J1172" i="5"/>
  <c r="K1172" i="5"/>
  <c r="L1172" i="5"/>
  <c r="M1172" i="5"/>
  <c r="H1173" i="5"/>
  <c r="I1173" i="5"/>
  <c r="J1173" i="5"/>
  <c r="K1173" i="5"/>
  <c r="L1173" i="5"/>
  <c r="M1173" i="5"/>
  <c r="H1174" i="5"/>
  <c r="I1174" i="5"/>
  <c r="J1174" i="5"/>
  <c r="K1174" i="5"/>
  <c r="L1174" i="5"/>
  <c r="M1174" i="5"/>
  <c r="H1175" i="5"/>
  <c r="I1175" i="5"/>
  <c r="J1175" i="5"/>
  <c r="K1175" i="5"/>
  <c r="L1175" i="5"/>
  <c r="M1175" i="5"/>
  <c r="H1176" i="5"/>
  <c r="I1176" i="5"/>
  <c r="J1176" i="5"/>
  <c r="K1176" i="5"/>
  <c r="L1176" i="5"/>
  <c r="M1176" i="5"/>
  <c r="H1177" i="5"/>
  <c r="I1177" i="5"/>
  <c r="J1177" i="5"/>
  <c r="K1177" i="5"/>
  <c r="L1177" i="5"/>
  <c r="M1177" i="5"/>
  <c r="H1178" i="5"/>
  <c r="I1178" i="5"/>
  <c r="J1178" i="5"/>
  <c r="K1178" i="5"/>
  <c r="L1178" i="5"/>
  <c r="M1178" i="5"/>
  <c r="H1179" i="5"/>
  <c r="I1179" i="5"/>
  <c r="J1179" i="5"/>
  <c r="K1179" i="5"/>
  <c r="L1179" i="5"/>
  <c r="M1179" i="5"/>
  <c r="H1180" i="5"/>
  <c r="I1180" i="5"/>
  <c r="J1180" i="5"/>
  <c r="K1180" i="5"/>
  <c r="L1180" i="5"/>
  <c r="M1180" i="5"/>
  <c r="H1181" i="5"/>
  <c r="I1181" i="5"/>
  <c r="J1181" i="5"/>
  <c r="K1181" i="5"/>
  <c r="N1181" i="5" s="1"/>
  <c r="L1181" i="5"/>
  <c r="M1181" i="5"/>
  <c r="H1182" i="5"/>
  <c r="I1182" i="5"/>
  <c r="J1182" i="5"/>
  <c r="K1182" i="5"/>
  <c r="L1182" i="5"/>
  <c r="M1182" i="5"/>
  <c r="H1183" i="5"/>
  <c r="I1183" i="5"/>
  <c r="J1183" i="5"/>
  <c r="K1183" i="5"/>
  <c r="L1183" i="5"/>
  <c r="M1183" i="5"/>
  <c r="H1184" i="5"/>
  <c r="I1184" i="5"/>
  <c r="J1184" i="5"/>
  <c r="K1184" i="5"/>
  <c r="L1184" i="5"/>
  <c r="M1184" i="5"/>
  <c r="H1185" i="5"/>
  <c r="I1185" i="5"/>
  <c r="J1185" i="5"/>
  <c r="K1185" i="5"/>
  <c r="L1185" i="5"/>
  <c r="M1185" i="5"/>
  <c r="H1186" i="5"/>
  <c r="I1186" i="5"/>
  <c r="J1186" i="5"/>
  <c r="K1186" i="5"/>
  <c r="L1186" i="5"/>
  <c r="M1186" i="5"/>
  <c r="H1187" i="5"/>
  <c r="I1187" i="5"/>
  <c r="J1187" i="5"/>
  <c r="K1187" i="5"/>
  <c r="L1187" i="5"/>
  <c r="M1187" i="5"/>
  <c r="H1188" i="5"/>
  <c r="I1188" i="5"/>
  <c r="J1188" i="5"/>
  <c r="K1188" i="5"/>
  <c r="L1188" i="5"/>
  <c r="M1188" i="5"/>
  <c r="H1189" i="5"/>
  <c r="I1189" i="5"/>
  <c r="J1189" i="5"/>
  <c r="K1189" i="5"/>
  <c r="N1189" i="5" s="1"/>
  <c r="L1189" i="5"/>
  <c r="M1189" i="5"/>
  <c r="H1190" i="5"/>
  <c r="I1190" i="5"/>
  <c r="J1190" i="5"/>
  <c r="K1190" i="5"/>
  <c r="L1190" i="5"/>
  <c r="M1190" i="5"/>
  <c r="H1191" i="5"/>
  <c r="I1191" i="5"/>
  <c r="J1191" i="5"/>
  <c r="K1191" i="5"/>
  <c r="L1191" i="5"/>
  <c r="M1191" i="5"/>
  <c r="H1192" i="5"/>
  <c r="I1192" i="5"/>
  <c r="J1192" i="5"/>
  <c r="K1192" i="5"/>
  <c r="L1192" i="5"/>
  <c r="M1192" i="5"/>
  <c r="H1193" i="5"/>
  <c r="I1193" i="5"/>
  <c r="J1193" i="5"/>
  <c r="K1193" i="5"/>
  <c r="L1193" i="5"/>
  <c r="M1193" i="5"/>
  <c r="H1194" i="5"/>
  <c r="I1194" i="5"/>
  <c r="J1194" i="5"/>
  <c r="K1194" i="5"/>
  <c r="L1194" i="5"/>
  <c r="M1194" i="5"/>
  <c r="H1195" i="5"/>
  <c r="I1195" i="5"/>
  <c r="J1195" i="5"/>
  <c r="K1195" i="5"/>
  <c r="L1195" i="5"/>
  <c r="M1195" i="5"/>
  <c r="H1196" i="5"/>
  <c r="I1196" i="5"/>
  <c r="J1196" i="5"/>
  <c r="K1196" i="5"/>
  <c r="L1196" i="5"/>
  <c r="M1196" i="5"/>
  <c r="H1197" i="5"/>
  <c r="I1197" i="5"/>
  <c r="J1197" i="5"/>
  <c r="K1197" i="5"/>
  <c r="L1197" i="5"/>
  <c r="M1197" i="5"/>
  <c r="H1198" i="5"/>
  <c r="I1198" i="5"/>
  <c r="J1198" i="5"/>
  <c r="K1198" i="5"/>
  <c r="L1198" i="5"/>
  <c r="M1198" i="5"/>
  <c r="H1199" i="5"/>
  <c r="I1199" i="5"/>
  <c r="J1199" i="5"/>
  <c r="K1199" i="5"/>
  <c r="L1199" i="5"/>
  <c r="M1199" i="5"/>
  <c r="H1200" i="5"/>
  <c r="I1200" i="5"/>
  <c r="J1200" i="5"/>
  <c r="K1200" i="5"/>
  <c r="L1200" i="5"/>
  <c r="M1200" i="5"/>
  <c r="H1201" i="5"/>
  <c r="I1201" i="5"/>
  <c r="J1201" i="5"/>
  <c r="K1201" i="5"/>
  <c r="L1201" i="5"/>
  <c r="M1201" i="5"/>
  <c r="H1202" i="5"/>
  <c r="I1202" i="5"/>
  <c r="J1202" i="5"/>
  <c r="K1202" i="5"/>
  <c r="L1202" i="5"/>
  <c r="M1202" i="5"/>
  <c r="H1203" i="5"/>
  <c r="I1203" i="5"/>
  <c r="J1203" i="5"/>
  <c r="K1203" i="5"/>
  <c r="L1203" i="5"/>
  <c r="M1203" i="5"/>
  <c r="H1204" i="5"/>
  <c r="I1204" i="5"/>
  <c r="J1204" i="5"/>
  <c r="K1204" i="5"/>
  <c r="L1204" i="5"/>
  <c r="M1204" i="5"/>
  <c r="H1205" i="5"/>
  <c r="I1205" i="5"/>
  <c r="J1205" i="5"/>
  <c r="K1205" i="5"/>
  <c r="L1205" i="5"/>
  <c r="M1205" i="5"/>
  <c r="H1206" i="5"/>
  <c r="I1206" i="5"/>
  <c r="J1206" i="5"/>
  <c r="K1206" i="5"/>
  <c r="L1206" i="5"/>
  <c r="M1206" i="5"/>
  <c r="H1207" i="5"/>
  <c r="I1207" i="5"/>
  <c r="J1207" i="5"/>
  <c r="K1207" i="5"/>
  <c r="L1207" i="5"/>
  <c r="M1207" i="5"/>
  <c r="H1208" i="5"/>
  <c r="I1208" i="5"/>
  <c r="J1208" i="5"/>
  <c r="K1208" i="5"/>
  <c r="L1208" i="5"/>
  <c r="M1208" i="5"/>
  <c r="H1209" i="5"/>
  <c r="I1209" i="5"/>
  <c r="J1209" i="5"/>
  <c r="K1209" i="5"/>
  <c r="L1209" i="5"/>
  <c r="M1209" i="5"/>
  <c r="H1210" i="5"/>
  <c r="I1210" i="5"/>
  <c r="J1210" i="5"/>
  <c r="K1210" i="5"/>
  <c r="L1210" i="5"/>
  <c r="M1210" i="5"/>
  <c r="H1211" i="5"/>
  <c r="I1211" i="5"/>
  <c r="J1211" i="5"/>
  <c r="K1211" i="5"/>
  <c r="L1211" i="5"/>
  <c r="M1211" i="5"/>
  <c r="H1212" i="5"/>
  <c r="I1212" i="5"/>
  <c r="J1212" i="5"/>
  <c r="K1212" i="5"/>
  <c r="L1212" i="5"/>
  <c r="M1212" i="5"/>
  <c r="H1213" i="5"/>
  <c r="I1213" i="5"/>
  <c r="J1213" i="5"/>
  <c r="K1213" i="5"/>
  <c r="L1213" i="5"/>
  <c r="M1213" i="5"/>
  <c r="H1214" i="5"/>
  <c r="I1214" i="5"/>
  <c r="J1214" i="5"/>
  <c r="K1214" i="5"/>
  <c r="L1214" i="5"/>
  <c r="M1214" i="5"/>
  <c r="H1215" i="5"/>
  <c r="I1215" i="5"/>
  <c r="J1215" i="5"/>
  <c r="K1215" i="5"/>
  <c r="L1215" i="5"/>
  <c r="M1215" i="5"/>
  <c r="H1216" i="5"/>
  <c r="I1216" i="5"/>
  <c r="J1216" i="5"/>
  <c r="K1216" i="5"/>
  <c r="L1216" i="5"/>
  <c r="M1216" i="5"/>
  <c r="H1217" i="5"/>
  <c r="I1217" i="5"/>
  <c r="J1217" i="5"/>
  <c r="K1217" i="5"/>
  <c r="L1217" i="5"/>
  <c r="M1217" i="5"/>
  <c r="H1218" i="5"/>
  <c r="I1218" i="5"/>
  <c r="J1218" i="5"/>
  <c r="K1218" i="5"/>
  <c r="L1218" i="5"/>
  <c r="M1218" i="5"/>
  <c r="H1219" i="5"/>
  <c r="I1219" i="5"/>
  <c r="J1219" i="5"/>
  <c r="K1219" i="5"/>
  <c r="L1219" i="5"/>
  <c r="M1219" i="5"/>
  <c r="H1220" i="5"/>
  <c r="I1220" i="5"/>
  <c r="J1220" i="5"/>
  <c r="K1220" i="5"/>
  <c r="L1220" i="5"/>
  <c r="M1220" i="5"/>
  <c r="H1221" i="5"/>
  <c r="I1221" i="5"/>
  <c r="J1221" i="5"/>
  <c r="K1221" i="5"/>
  <c r="L1221" i="5"/>
  <c r="M1221" i="5"/>
  <c r="H1222" i="5"/>
  <c r="I1222" i="5"/>
  <c r="J1222" i="5"/>
  <c r="K1222" i="5"/>
  <c r="L1222" i="5"/>
  <c r="M1222" i="5"/>
  <c r="H1223" i="5"/>
  <c r="I1223" i="5"/>
  <c r="J1223" i="5"/>
  <c r="K1223" i="5"/>
  <c r="L1223" i="5"/>
  <c r="M1223" i="5"/>
  <c r="H1224" i="5"/>
  <c r="I1224" i="5"/>
  <c r="J1224" i="5"/>
  <c r="K1224" i="5"/>
  <c r="L1224" i="5"/>
  <c r="M1224" i="5"/>
  <c r="H1225" i="5"/>
  <c r="I1225" i="5"/>
  <c r="J1225" i="5"/>
  <c r="K1225" i="5"/>
  <c r="L1225" i="5"/>
  <c r="M1225" i="5"/>
  <c r="H1226" i="5"/>
  <c r="I1226" i="5"/>
  <c r="J1226" i="5"/>
  <c r="K1226" i="5"/>
  <c r="L1226" i="5"/>
  <c r="M1226" i="5"/>
  <c r="H1227" i="5"/>
  <c r="I1227" i="5"/>
  <c r="J1227" i="5"/>
  <c r="K1227" i="5"/>
  <c r="L1227" i="5"/>
  <c r="M1227" i="5"/>
  <c r="H1228" i="5"/>
  <c r="I1228" i="5"/>
  <c r="J1228" i="5"/>
  <c r="K1228" i="5"/>
  <c r="L1228" i="5"/>
  <c r="M1228" i="5"/>
  <c r="H1229" i="5"/>
  <c r="I1229" i="5"/>
  <c r="J1229" i="5"/>
  <c r="K1229" i="5"/>
  <c r="L1229" i="5"/>
  <c r="M1229" i="5"/>
  <c r="H1230" i="5"/>
  <c r="I1230" i="5"/>
  <c r="J1230" i="5"/>
  <c r="K1230" i="5"/>
  <c r="L1230" i="5"/>
  <c r="M1230" i="5"/>
  <c r="H1231" i="5"/>
  <c r="I1231" i="5"/>
  <c r="J1231" i="5"/>
  <c r="K1231" i="5"/>
  <c r="L1231" i="5"/>
  <c r="M1231" i="5"/>
  <c r="H1232" i="5"/>
  <c r="I1232" i="5"/>
  <c r="J1232" i="5"/>
  <c r="K1232" i="5"/>
  <c r="L1232" i="5"/>
  <c r="M1232" i="5"/>
  <c r="H1233" i="5"/>
  <c r="I1233" i="5"/>
  <c r="J1233" i="5"/>
  <c r="K1233" i="5"/>
  <c r="L1233" i="5"/>
  <c r="M1233" i="5"/>
  <c r="H6" i="3"/>
  <c r="I6" i="3"/>
  <c r="J6" i="3"/>
  <c r="K6" i="3"/>
  <c r="L6" i="3"/>
  <c r="M6" i="3"/>
  <c r="H7" i="3"/>
  <c r="I7" i="3"/>
  <c r="J7" i="3"/>
  <c r="K7" i="3"/>
  <c r="L7" i="3"/>
  <c r="M7" i="3"/>
  <c r="H8" i="3"/>
  <c r="I8" i="3"/>
  <c r="J8" i="3"/>
  <c r="K8" i="3"/>
  <c r="L8" i="3"/>
  <c r="M8" i="3"/>
  <c r="H9" i="3"/>
  <c r="I9" i="3"/>
  <c r="J9" i="3"/>
  <c r="K9" i="3"/>
  <c r="L9" i="3"/>
  <c r="M9" i="3"/>
  <c r="H10" i="3"/>
  <c r="I10" i="3"/>
  <c r="J10" i="3"/>
  <c r="K10" i="3"/>
  <c r="L10" i="3"/>
  <c r="M10" i="3"/>
  <c r="H11" i="3"/>
  <c r="I11" i="3"/>
  <c r="J11" i="3"/>
  <c r="K11" i="3"/>
  <c r="L11" i="3"/>
  <c r="M11" i="3"/>
  <c r="H12" i="3"/>
  <c r="I12" i="3"/>
  <c r="J12" i="3"/>
  <c r="K12" i="3"/>
  <c r="L12" i="3"/>
  <c r="M12" i="3"/>
  <c r="H13" i="3"/>
  <c r="I13" i="3"/>
  <c r="J13" i="3"/>
  <c r="K13" i="3"/>
  <c r="L13" i="3"/>
  <c r="M13" i="3"/>
  <c r="H14" i="3"/>
  <c r="I14" i="3"/>
  <c r="J14" i="3"/>
  <c r="K14" i="3"/>
  <c r="L14" i="3"/>
  <c r="M14" i="3"/>
  <c r="H15" i="3"/>
  <c r="I15" i="3"/>
  <c r="J15" i="3"/>
  <c r="K15" i="3"/>
  <c r="L15" i="3"/>
  <c r="M15" i="3"/>
  <c r="H16" i="3"/>
  <c r="I16" i="3"/>
  <c r="J16" i="3"/>
  <c r="K16" i="3"/>
  <c r="L16" i="3"/>
  <c r="M16" i="3"/>
  <c r="H17" i="3"/>
  <c r="I17" i="3"/>
  <c r="J17" i="3"/>
  <c r="K17" i="3"/>
  <c r="L17" i="3"/>
  <c r="M17" i="3"/>
  <c r="H18" i="3"/>
  <c r="I18" i="3"/>
  <c r="J18" i="3"/>
  <c r="K18" i="3"/>
  <c r="L18" i="3"/>
  <c r="M18" i="3"/>
  <c r="H19" i="3"/>
  <c r="I19" i="3"/>
  <c r="J19" i="3"/>
  <c r="K19" i="3"/>
  <c r="L19" i="3"/>
  <c r="M19" i="3"/>
  <c r="H20" i="3"/>
  <c r="I20" i="3"/>
  <c r="J20" i="3"/>
  <c r="K20" i="3"/>
  <c r="L20" i="3"/>
  <c r="M20" i="3"/>
  <c r="H21" i="3"/>
  <c r="I21" i="3"/>
  <c r="J21" i="3"/>
  <c r="K21" i="3"/>
  <c r="L21" i="3"/>
  <c r="M21" i="3"/>
  <c r="H22" i="3"/>
  <c r="I22" i="3"/>
  <c r="J22" i="3"/>
  <c r="K22" i="3"/>
  <c r="L22" i="3"/>
  <c r="M22" i="3"/>
  <c r="H23" i="3"/>
  <c r="I23" i="3"/>
  <c r="J23" i="3"/>
  <c r="K23" i="3"/>
  <c r="L23" i="3"/>
  <c r="M23" i="3"/>
  <c r="H24" i="3"/>
  <c r="I24" i="3"/>
  <c r="J24" i="3"/>
  <c r="K24" i="3"/>
  <c r="L24" i="3"/>
  <c r="M24" i="3"/>
  <c r="H25" i="3"/>
  <c r="I25" i="3"/>
  <c r="J25" i="3"/>
  <c r="K25" i="3"/>
  <c r="L25" i="3"/>
  <c r="M25" i="3"/>
  <c r="H26" i="3"/>
  <c r="I26" i="3"/>
  <c r="J26" i="3"/>
  <c r="K26" i="3"/>
  <c r="L26" i="3"/>
  <c r="M26" i="3"/>
  <c r="H27" i="3"/>
  <c r="I27" i="3"/>
  <c r="J27" i="3"/>
  <c r="K27" i="3"/>
  <c r="L27" i="3"/>
  <c r="M27" i="3"/>
  <c r="H28" i="3"/>
  <c r="I28" i="3"/>
  <c r="J28" i="3"/>
  <c r="K28" i="3"/>
  <c r="L28" i="3"/>
  <c r="M28" i="3"/>
  <c r="H29" i="3"/>
  <c r="I29" i="3"/>
  <c r="J29" i="3"/>
  <c r="K29" i="3"/>
  <c r="L29" i="3"/>
  <c r="M29" i="3"/>
  <c r="H30" i="3"/>
  <c r="I30" i="3"/>
  <c r="J30" i="3"/>
  <c r="K30" i="3"/>
  <c r="L30" i="3"/>
  <c r="M30" i="3"/>
  <c r="H31" i="3"/>
  <c r="I31" i="3"/>
  <c r="J31" i="3"/>
  <c r="K31" i="3"/>
  <c r="L31" i="3"/>
  <c r="M31" i="3"/>
  <c r="H32" i="3"/>
  <c r="I32" i="3"/>
  <c r="J32" i="3"/>
  <c r="K32" i="3"/>
  <c r="L32" i="3"/>
  <c r="M32" i="3"/>
  <c r="H33" i="3"/>
  <c r="I33" i="3"/>
  <c r="J33" i="3"/>
  <c r="K33" i="3"/>
  <c r="L33" i="3"/>
  <c r="M33" i="3"/>
  <c r="H34" i="3"/>
  <c r="I34" i="3"/>
  <c r="J34" i="3"/>
  <c r="K34" i="3"/>
  <c r="L34" i="3"/>
  <c r="M34" i="3"/>
  <c r="H35" i="3"/>
  <c r="I35" i="3"/>
  <c r="J35" i="3"/>
  <c r="K35" i="3"/>
  <c r="L35" i="3"/>
  <c r="M35" i="3"/>
  <c r="H36" i="3"/>
  <c r="I36" i="3"/>
  <c r="J36" i="3"/>
  <c r="K36" i="3"/>
  <c r="L36" i="3"/>
  <c r="M36" i="3"/>
  <c r="H37" i="3"/>
  <c r="I37" i="3"/>
  <c r="J37" i="3"/>
  <c r="K37" i="3"/>
  <c r="L37" i="3"/>
  <c r="M37" i="3"/>
  <c r="H38" i="3"/>
  <c r="I38" i="3"/>
  <c r="J38" i="3"/>
  <c r="K38" i="3"/>
  <c r="L38" i="3"/>
  <c r="M38" i="3"/>
  <c r="H39" i="3"/>
  <c r="I39" i="3"/>
  <c r="J39" i="3"/>
  <c r="K39" i="3"/>
  <c r="L39" i="3"/>
  <c r="M39" i="3"/>
  <c r="H40" i="3"/>
  <c r="I40" i="3"/>
  <c r="J40" i="3"/>
  <c r="K40" i="3"/>
  <c r="L40" i="3"/>
  <c r="M40" i="3"/>
  <c r="H41" i="3"/>
  <c r="I41" i="3"/>
  <c r="J41" i="3"/>
  <c r="K41" i="3"/>
  <c r="L41" i="3"/>
  <c r="M41" i="3"/>
  <c r="H42" i="3"/>
  <c r="I42" i="3"/>
  <c r="J42" i="3"/>
  <c r="K42" i="3"/>
  <c r="L42" i="3"/>
  <c r="M42" i="3"/>
  <c r="H43" i="3"/>
  <c r="I43" i="3"/>
  <c r="J43" i="3"/>
  <c r="K43" i="3"/>
  <c r="L43" i="3"/>
  <c r="M43" i="3"/>
  <c r="H44" i="3"/>
  <c r="I44" i="3"/>
  <c r="J44" i="3"/>
  <c r="K44" i="3"/>
  <c r="L44" i="3"/>
  <c r="M44" i="3"/>
  <c r="H45" i="3"/>
  <c r="I45" i="3"/>
  <c r="J45" i="3"/>
  <c r="K45" i="3"/>
  <c r="L45" i="3"/>
  <c r="M45" i="3"/>
  <c r="H46" i="3"/>
  <c r="I46" i="3"/>
  <c r="J46" i="3"/>
  <c r="K46" i="3"/>
  <c r="L46" i="3"/>
  <c r="M46" i="3"/>
  <c r="H47" i="3"/>
  <c r="I47" i="3"/>
  <c r="J47" i="3"/>
  <c r="K47" i="3"/>
  <c r="L47" i="3"/>
  <c r="M47" i="3"/>
  <c r="H48" i="3"/>
  <c r="I48" i="3"/>
  <c r="J48" i="3"/>
  <c r="K48" i="3"/>
  <c r="L48" i="3"/>
  <c r="M48" i="3"/>
  <c r="H49" i="3"/>
  <c r="I49" i="3"/>
  <c r="J49" i="3"/>
  <c r="K49" i="3"/>
  <c r="L49" i="3"/>
  <c r="M49" i="3"/>
  <c r="H50" i="3"/>
  <c r="I50" i="3"/>
  <c r="J50" i="3"/>
  <c r="K50" i="3"/>
  <c r="L50" i="3"/>
  <c r="M50" i="3"/>
  <c r="H51" i="3"/>
  <c r="I51" i="3"/>
  <c r="J51" i="3"/>
  <c r="K51" i="3"/>
  <c r="L51" i="3"/>
  <c r="M51" i="3"/>
  <c r="H52" i="3"/>
  <c r="I52" i="3"/>
  <c r="J52" i="3"/>
  <c r="K52" i="3"/>
  <c r="L52" i="3"/>
  <c r="M52" i="3"/>
  <c r="H53" i="3"/>
  <c r="I53" i="3"/>
  <c r="J53" i="3"/>
  <c r="K53" i="3"/>
  <c r="L53" i="3"/>
  <c r="M53" i="3"/>
  <c r="H54" i="3"/>
  <c r="I54" i="3"/>
  <c r="J54" i="3"/>
  <c r="K54" i="3"/>
  <c r="L54" i="3"/>
  <c r="M54" i="3"/>
  <c r="H55" i="3"/>
  <c r="I55" i="3"/>
  <c r="J55" i="3"/>
  <c r="K55" i="3"/>
  <c r="L55" i="3"/>
  <c r="M55" i="3"/>
  <c r="H56" i="3"/>
  <c r="I56" i="3"/>
  <c r="J56" i="3"/>
  <c r="K56" i="3"/>
  <c r="L56" i="3"/>
  <c r="M56" i="3"/>
  <c r="H57" i="3"/>
  <c r="I57" i="3"/>
  <c r="J57" i="3"/>
  <c r="K57" i="3"/>
  <c r="L57" i="3"/>
  <c r="M57" i="3"/>
  <c r="H58" i="3"/>
  <c r="I58" i="3"/>
  <c r="J58" i="3"/>
  <c r="K58" i="3"/>
  <c r="L58" i="3"/>
  <c r="M58" i="3"/>
  <c r="H59" i="3"/>
  <c r="I59" i="3"/>
  <c r="J59" i="3"/>
  <c r="K59" i="3"/>
  <c r="L59" i="3"/>
  <c r="M59" i="3"/>
  <c r="H60" i="3"/>
  <c r="I60" i="3"/>
  <c r="J60" i="3"/>
  <c r="K60" i="3"/>
  <c r="L60" i="3"/>
  <c r="M60" i="3"/>
  <c r="H61" i="3"/>
  <c r="I61" i="3"/>
  <c r="J61" i="3"/>
  <c r="K61" i="3"/>
  <c r="L61" i="3"/>
  <c r="M61" i="3"/>
  <c r="H62" i="3"/>
  <c r="I62" i="3"/>
  <c r="J62" i="3"/>
  <c r="K62" i="3"/>
  <c r="L62" i="3"/>
  <c r="M62" i="3"/>
  <c r="H63" i="3"/>
  <c r="I63" i="3"/>
  <c r="J63" i="3"/>
  <c r="K63" i="3"/>
  <c r="L63" i="3"/>
  <c r="M63" i="3"/>
  <c r="H64" i="3"/>
  <c r="I64" i="3"/>
  <c r="J64" i="3"/>
  <c r="K64" i="3"/>
  <c r="L64" i="3"/>
  <c r="M64" i="3"/>
  <c r="H65" i="3"/>
  <c r="I65" i="3"/>
  <c r="J65" i="3"/>
  <c r="K65" i="3"/>
  <c r="L65" i="3"/>
  <c r="M65" i="3"/>
  <c r="H66" i="3"/>
  <c r="I66" i="3"/>
  <c r="J66" i="3"/>
  <c r="K66" i="3"/>
  <c r="L66" i="3"/>
  <c r="M66" i="3"/>
  <c r="H67" i="3"/>
  <c r="I67" i="3"/>
  <c r="J67" i="3"/>
  <c r="K67" i="3"/>
  <c r="L67" i="3"/>
  <c r="M67" i="3"/>
  <c r="H68" i="3"/>
  <c r="I68" i="3"/>
  <c r="J68" i="3"/>
  <c r="K68" i="3"/>
  <c r="L68" i="3"/>
  <c r="M68" i="3"/>
  <c r="H69" i="3"/>
  <c r="I69" i="3"/>
  <c r="J69" i="3"/>
  <c r="K69" i="3"/>
  <c r="L69" i="3"/>
  <c r="M69" i="3"/>
  <c r="H70" i="3"/>
  <c r="I70" i="3"/>
  <c r="J70" i="3"/>
  <c r="K70" i="3"/>
  <c r="L70" i="3"/>
  <c r="M70" i="3"/>
  <c r="H71" i="3"/>
  <c r="I71" i="3"/>
  <c r="J71" i="3"/>
  <c r="K71" i="3"/>
  <c r="L71" i="3"/>
  <c r="M71" i="3"/>
  <c r="H72" i="3"/>
  <c r="I72" i="3"/>
  <c r="J72" i="3"/>
  <c r="K72" i="3"/>
  <c r="L72" i="3"/>
  <c r="M72" i="3"/>
  <c r="H73" i="3"/>
  <c r="I73" i="3"/>
  <c r="J73" i="3"/>
  <c r="K73" i="3"/>
  <c r="L73" i="3"/>
  <c r="M73" i="3"/>
  <c r="H74" i="3"/>
  <c r="I74" i="3"/>
  <c r="J74" i="3"/>
  <c r="K74" i="3"/>
  <c r="L74" i="3"/>
  <c r="M74" i="3"/>
  <c r="H75" i="3"/>
  <c r="I75" i="3"/>
  <c r="J75" i="3"/>
  <c r="K75" i="3"/>
  <c r="L75" i="3"/>
  <c r="M75" i="3"/>
  <c r="H76" i="3"/>
  <c r="I76" i="3"/>
  <c r="J76" i="3"/>
  <c r="K76" i="3"/>
  <c r="L76" i="3"/>
  <c r="M76" i="3"/>
  <c r="H77" i="3"/>
  <c r="I77" i="3"/>
  <c r="J77" i="3"/>
  <c r="K77" i="3"/>
  <c r="L77" i="3"/>
  <c r="M77" i="3"/>
  <c r="H78" i="3"/>
  <c r="I78" i="3"/>
  <c r="J78" i="3"/>
  <c r="K78" i="3"/>
  <c r="L78" i="3"/>
  <c r="M78" i="3"/>
  <c r="H79" i="3"/>
  <c r="I79" i="3"/>
  <c r="J79" i="3"/>
  <c r="K79" i="3"/>
  <c r="L79" i="3"/>
  <c r="M79" i="3"/>
  <c r="H80" i="3"/>
  <c r="I80" i="3"/>
  <c r="J80" i="3"/>
  <c r="K80" i="3"/>
  <c r="L80" i="3"/>
  <c r="M80" i="3"/>
  <c r="H81" i="3"/>
  <c r="I81" i="3"/>
  <c r="J81" i="3"/>
  <c r="K81" i="3"/>
  <c r="L81" i="3"/>
  <c r="M81" i="3"/>
  <c r="H82" i="3"/>
  <c r="I82" i="3"/>
  <c r="J82" i="3"/>
  <c r="K82" i="3"/>
  <c r="L82" i="3"/>
  <c r="M82" i="3"/>
  <c r="H83" i="3"/>
  <c r="I83" i="3"/>
  <c r="J83" i="3"/>
  <c r="K83" i="3"/>
  <c r="L83" i="3"/>
  <c r="M83" i="3"/>
  <c r="H84" i="3"/>
  <c r="I84" i="3"/>
  <c r="J84" i="3"/>
  <c r="K84" i="3"/>
  <c r="L84" i="3"/>
  <c r="M84" i="3"/>
  <c r="H85" i="3"/>
  <c r="I85" i="3"/>
  <c r="J85" i="3"/>
  <c r="K85" i="3"/>
  <c r="L85" i="3"/>
  <c r="M85" i="3"/>
  <c r="H86" i="3"/>
  <c r="I86" i="3"/>
  <c r="J86" i="3"/>
  <c r="K86" i="3"/>
  <c r="L86" i="3"/>
  <c r="M86" i="3"/>
  <c r="H87" i="3"/>
  <c r="I87" i="3"/>
  <c r="J87" i="3"/>
  <c r="K87" i="3"/>
  <c r="L87" i="3"/>
  <c r="M87" i="3"/>
  <c r="H88" i="3"/>
  <c r="I88" i="3"/>
  <c r="J88" i="3"/>
  <c r="K88" i="3"/>
  <c r="L88" i="3"/>
  <c r="M88" i="3"/>
  <c r="H89" i="3"/>
  <c r="I89" i="3"/>
  <c r="J89" i="3"/>
  <c r="K89" i="3"/>
  <c r="L89" i="3"/>
  <c r="M89" i="3"/>
  <c r="H90" i="3"/>
  <c r="I90" i="3"/>
  <c r="J90" i="3"/>
  <c r="K90" i="3"/>
  <c r="L90" i="3"/>
  <c r="M90" i="3"/>
  <c r="H91" i="3"/>
  <c r="I91" i="3"/>
  <c r="J91" i="3"/>
  <c r="K91" i="3"/>
  <c r="L91" i="3"/>
  <c r="M91" i="3"/>
  <c r="H92" i="3"/>
  <c r="I92" i="3"/>
  <c r="J92" i="3"/>
  <c r="K92" i="3"/>
  <c r="L92" i="3"/>
  <c r="M92" i="3"/>
  <c r="H93" i="3"/>
  <c r="I93" i="3"/>
  <c r="J93" i="3"/>
  <c r="K93" i="3"/>
  <c r="L93" i="3"/>
  <c r="M93" i="3"/>
  <c r="H94" i="3"/>
  <c r="I94" i="3"/>
  <c r="J94" i="3"/>
  <c r="K94" i="3"/>
  <c r="L94" i="3"/>
  <c r="M94" i="3"/>
  <c r="H95" i="3"/>
  <c r="I95" i="3"/>
  <c r="J95" i="3"/>
  <c r="K95" i="3"/>
  <c r="L95" i="3"/>
  <c r="M95" i="3"/>
  <c r="H96" i="3"/>
  <c r="I96" i="3"/>
  <c r="J96" i="3"/>
  <c r="K96" i="3"/>
  <c r="L96" i="3"/>
  <c r="M96" i="3"/>
  <c r="H97" i="3"/>
  <c r="I97" i="3"/>
  <c r="J97" i="3"/>
  <c r="K97" i="3"/>
  <c r="L97" i="3"/>
  <c r="M97" i="3"/>
  <c r="H98" i="3"/>
  <c r="I98" i="3"/>
  <c r="J98" i="3"/>
  <c r="K98" i="3"/>
  <c r="L98" i="3"/>
  <c r="M98" i="3"/>
  <c r="H99" i="3"/>
  <c r="I99" i="3"/>
  <c r="J99" i="3"/>
  <c r="K99" i="3"/>
  <c r="L99" i="3"/>
  <c r="M99" i="3"/>
  <c r="H100" i="3"/>
  <c r="I100" i="3"/>
  <c r="J100" i="3"/>
  <c r="K100" i="3"/>
  <c r="L100" i="3"/>
  <c r="M100" i="3"/>
  <c r="H101" i="3"/>
  <c r="I101" i="3"/>
  <c r="J101" i="3"/>
  <c r="K101" i="3"/>
  <c r="L101" i="3"/>
  <c r="M101" i="3"/>
  <c r="H102" i="3"/>
  <c r="I102" i="3"/>
  <c r="J102" i="3"/>
  <c r="K102" i="3"/>
  <c r="L102" i="3"/>
  <c r="M102" i="3"/>
  <c r="H103" i="3"/>
  <c r="I103" i="3"/>
  <c r="J103" i="3"/>
  <c r="K103" i="3"/>
  <c r="L103" i="3"/>
  <c r="M103" i="3"/>
  <c r="H104" i="3"/>
  <c r="I104" i="3"/>
  <c r="J104" i="3"/>
  <c r="K104" i="3"/>
  <c r="L104" i="3"/>
  <c r="M104" i="3"/>
  <c r="H105" i="3"/>
  <c r="I105" i="3"/>
  <c r="J105" i="3"/>
  <c r="K105" i="3"/>
  <c r="L105" i="3"/>
  <c r="M105" i="3"/>
  <c r="H106" i="3"/>
  <c r="I106" i="3"/>
  <c r="J106" i="3"/>
  <c r="K106" i="3"/>
  <c r="L106" i="3"/>
  <c r="M106" i="3"/>
  <c r="H107" i="3"/>
  <c r="I107" i="3"/>
  <c r="J107" i="3"/>
  <c r="K107" i="3"/>
  <c r="L107" i="3"/>
  <c r="M107" i="3"/>
  <c r="H108" i="3"/>
  <c r="I108" i="3"/>
  <c r="J108" i="3"/>
  <c r="K108" i="3"/>
  <c r="L108" i="3"/>
  <c r="M108" i="3"/>
  <c r="H109" i="3"/>
  <c r="I109" i="3"/>
  <c r="J109" i="3"/>
  <c r="K109" i="3"/>
  <c r="L109" i="3"/>
  <c r="M109" i="3"/>
  <c r="H110" i="3"/>
  <c r="I110" i="3"/>
  <c r="J110" i="3"/>
  <c r="K110" i="3"/>
  <c r="L110" i="3"/>
  <c r="M110" i="3"/>
  <c r="H111" i="3"/>
  <c r="I111" i="3"/>
  <c r="J111" i="3"/>
  <c r="K111" i="3"/>
  <c r="L111" i="3"/>
  <c r="M111" i="3"/>
  <c r="H112" i="3"/>
  <c r="I112" i="3"/>
  <c r="J112" i="3"/>
  <c r="K112" i="3"/>
  <c r="L112" i="3"/>
  <c r="M112" i="3"/>
  <c r="H113" i="3"/>
  <c r="I113" i="3"/>
  <c r="J113" i="3"/>
  <c r="K113" i="3"/>
  <c r="L113" i="3"/>
  <c r="M113" i="3"/>
  <c r="H114" i="3"/>
  <c r="I114" i="3"/>
  <c r="J114" i="3"/>
  <c r="K114" i="3"/>
  <c r="L114" i="3"/>
  <c r="M114" i="3"/>
  <c r="H115" i="3"/>
  <c r="I115" i="3"/>
  <c r="J115" i="3"/>
  <c r="K115" i="3"/>
  <c r="L115" i="3"/>
  <c r="M115" i="3"/>
  <c r="H116" i="3"/>
  <c r="I116" i="3"/>
  <c r="J116" i="3"/>
  <c r="K116" i="3"/>
  <c r="L116" i="3"/>
  <c r="M116" i="3"/>
  <c r="H117" i="3"/>
  <c r="I117" i="3"/>
  <c r="J117" i="3"/>
  <c r="K117" i="3"/>
  <c r="L117" i="3"/>
  <c r="M117" i="3"/>
  <c r="H118" i="3"/>
  <c r="I118" i="3"/>
  <c r="J118" i="3"/>
  <c r="K118" i="3"/>
  <c r="L118" i="3"/>
  <c r="M118" i="3"/>
  <c r="H119" i="3"/>
  <c r="I119" i="3"/>
  <c r="J119" i="3"/>
  <c r="K119" i="3"/>
  <c r="L119" i="3"/>
  <c r="M119" i="3"/>
  <c r="H120" i="3"/>
  <c r="I120" i="3"/>
  <c r="J120" i="3"/>
  <c r="K120" i="3"/>
  <c r="L120" i="3"/>
  <c r="M120" i="3"/>
  <c r="H121" i="3"/>
  <c r="I121" i="3"/>
  <c r="J121" i="3"/>
  <c r="K121" i="3"/>
  <c r="L121" i="3"/>
  <c r="M121" i="3"/>
  <c r="H122" i="3"/>
  <c r="I122" i="3"/>
  <c r="J122" i="3"/>
  <c r="K122" i="3"/>
  <c r="L122" i="3"/>
  <c r="M122" i="3"/>
  <c r="H123" i="3"/>
  <c r="I123" i="3"/>
  <c r="J123" i="3"/>
  <c r="K123" i="3"/>
  <c r="L123" i="3"/>
  <c r="M123" i="3"/>
  <c r="H124" i="3"/>
  <c r="I124" i="3"/>
  <c r="J124" i="3"/>
  <c r="K124" i="3"/>
  <c r="L124" i="3"/>
  <c r="M124" i="3"/>
  <c r="H125" i="3"/>
  <c r="I125" i="3"/>
  <c r="J125" i="3"/>
  <c r="K125" i="3"/>
  <c r="L125" i="3"/>
  <c r="M125" i="3"/>
  <c r="H126" i="3"/>
  <c r="I126" i="3"/>
  <c r="J126" i="3"/>
  <c r="K126" i="3"/>
  <c r="L126" i="3"/>
  <c r="M126" i="3"/>
  <c r="H127" i="3"/>
  <c r="I127" i="3"/>
  <c r="J127" i="3"/>
  <c r="K127" i="3"/>
  <c r="L127" i="3"/>
  <c r="M127" i="3"/>
  <c r="H128" i="3"/>
  <c r="I128" i="3"/>
  <c r="J128" i="3"/>
  <c r="K128" i="3"/>
  <c r="L128" i="3"/>
  <c r="M128" i="3"/>
  <c r="H129" i="3"/>
  <c r="I129" i="3"/>
  <c r="J129" i="3"/>
  <c r="K129" i="3"/>
  <c r="L129" i="3"/>
  <c r="M129" i="3"/>
  <c r="H130" i="3"/>
  <c r="I130" i="3"/>
  <c r="J130" i="3"/>
  <c r="K130" i="3"/>
  <c r="L130" i="3"/>
  <c r="M130" i="3"/>
  <c r="H131" i="3"/>
  <c r="I131" i="3"/>
  <c r="J131" i="3"/>
  <c r="K131" i="3"/>
  <c r="L131" i="3"/>
  <c r="M131" i="3"/>
  <c r="H132" i="3"/>
  <c r="I132" i="3"/>
  <c r="J132" i="3"/>
  <c r="K132" i="3"/>
  <c r="L132" i="3"/>
  <c r="M132" i="3"/>
  <c r="H133" i="3"/>
  <c r="I133" i="3"/>
  <c r="J133" i="3"/>
  <c r="K133" i="3"/>
  <c r="L133" i="3"/>
  <c r="M133" i="3"/>
  <c r="H134" i="3"/>
  <c r="I134" i="3"/>
  <c r="J134" i="3"/>
  <c r="K134" i="3"/>
  <c r="L134" i="3"/>
  <c r="M134" i="3"/>
  <c r="H135" i="3"/>
  <c r="I135" i="3"/>
  <c r="J135" i="3"/>
  <c r="K135" i="3"/>
  <c r="L135" i="3"/>
  <c r="M135" i="3"/>
  <c r="H136" i="3"/>
  <c r="I136" i="3"/>
  <c r="J136" i="3"/>
  <c r="K136" i="3"/>
  <c r="L136" i="3"/>
  <c r="M136" i="3"/>
  <c r="H137" i="3"/>
  <c r="I137" i="3"/>
  <c r="J137" i="3"/>
  <c r="K137" i="3"/>
  <c r="L137" i="3"/>
  <c r="M137" i="3"/>
  <c r="H138" i="3"/>
  <c r="I138" i="3"/>
  <c r="J138" i="3"/>
  <c r="K138" i="3"/>
  <c r="L138" i="3"/>
  <c r="M138" i="3"/>
  <c r="H139" i="3"/>
  <c r="I139" i="3"/>
  <c r="J139" i="3"/>
  <c r="K139" i="3"/>
  <c r="L139" i="3"/>
  <c r="M139" i="3"/>
  <c r="H140" i="3"/>
  <c r="I140" i="3"/>
  <c r="J140" i="3"/>
  <c r="K140" i="3"/>
  <c r="L140" i="3"/>
  <c r="M140" i="3"/>
  <c r="H141" i="3"/>
  <c r="I141" i="3"/>
  <c r="J141" i="3"/>
  <c r="K141" i="3"/>
  <c r="L141" i="3"/>
  <c r="M141" i="3"/>
  <c r="H142" i="3"/>
  <c r="I142" i="3"/>
  <c r="J142" i="3"/>
  <c r="K142" i="3"/>
  <c r="L142" i="3"/>
  <c r="M142" i="3"/>
  <c r="H143" i="3"/>
  <c r="I143" i="3"/>
  <c r="J143" i="3"/>
  <c r="K143" i="3"/>
  <c r="L143" i="3"/>
  <c r="M143" i="3"/>
  <c r="H144" i="3"/>
  <c r="I144" i="3"/>
  <c r="J144" i="3"/>
  <c r="K144" i="3"/>
  <c r="L144" i="3"/>
  <c r="M144" i="3"/>
  <c r="H145" i="3"/>
  <c r="I145" i="3"/>
  <c r="J145" i="3"/>
  <c r="K145" i="3"/>
  <c r="L145" i="3"/>
  <c r="M145" i="3"/>
  <c r="H146" i="3"/>
  <c r="I146" i="3"/>
  <c r="J146" i="3"/>
  <c r="K146" i="3"/>
  <c r="L146" i="3"/>
  <c r="M146" i="3"/>
  <c r="H147" i="3"/>
  <c r="I147" i="3"/>
  <c r="J147" i="3"/>
  <c r="K147" i="3"/>
  <c r="L147" i="3"/>
  <c r="M147" i="3"/>
  <c r="H148" i="3"/>
  <c r="I148" i="3"/>
  <c r="J148" i="3"/>
  <c r="K148" i="3"/>
  <c r="L148" i="3"/>
  <c r="M148" i="3"/>
  <c r="H149" i="3"/>
  <c r="I149" i="3"/>
  <c r="J149" i="3"/>
  <c r="K149" i="3"/>
  <c r="L149" i="3"/>
  <c r="M149" i="3"/>
  <c r="H150" i="3"/>
  <c r="I150" i="3"/>
  <c r="J150" i="3"/>
  <c r="K150" i="3"/>
  <c r="L150" i="3"/>
  <c r="M150" i="3"/>
  <c r="H151" i="3"/>
  <c r="I151" i="3"/>
  <c r="J151" i="3"/>
  <c r="K151" i="3"/>
  <c r="L151" i="3"/>
  <c r="M151" i="3"/>
  <c r="H152" i="3"/>
  <c r="I152" i="3"/>
  <c r="J152" i="3"/>
  <c r="K152" i="3"/>
  <c r="L152" i="3"/>
  <c r="M152" i="3"/>
  <c r="H153" i="3"/>
  <c r="I153" i="3"/>
  <c r="J153" i="3"/>
  <c r="K153" i="3"/>
  <c r="L153" i="3"/>
  <c r="M153" i="3"/>
  <c r="H154" i="3"/>
  <c r="I154" i="3"/>
  <c r="J154" i="3"/>
  <c r="K154" i="3"/>
  <c r="L154" i="3"/>
  <c r="M154" i="3"/>
  <c r="H155" i="3"/>
  <c r="I155" i="3"/>
  <c r="J155" i="3"/>
  <c r="K155" i="3"/>
  <c r="L155" i="3"/>
  <c r="M155" i="3"/>
  <c r="H156" i="3"/>
  <c r="I156" i="3"/>
  <c r="J156" i="3"/>
  <c r="K156" i="3"/>
  <c r="L156" i="3"/>
  <c r="M156" i="3"/>
  <c r="H157" i="3"/>
  <c r="I157" i="3"/>
  <c r="J157" i="3"/>
  <c r="K157" i="3"/>
  <c r="L157" i="3"/>
  <c r="M157" i="3"/>
  <c r="H158" i="3"/>
  <c r="I158" i="3"/>
  <c r="J158" i="3"/>
  <c r="K158" i="3"/>
  <c r="L158" i="3"/>
  <c r="M158" i="3"/>
  <c r="H159" i="3"/>
  <c r="I159" i="3"/>
  <c r="J159" i="3"/>
  <c r="K159" i="3"/>
  <c r="L159" i="3"/>
  <c r="M159" i="3"/>
  <c r="H160" i="3"/>
  <c r="I160" i="3"/>
  <c r="J160" i="3"/>
  <c r="K160" i="3"/>
  <c r="L160" i="3"/>
  <c r="M160" i="3"/>
  <c r="H161" i="3"/>
  <c r="I161" i="3"/>
  <c r="J161" i="3"/>
  <c r="K161" i="3"/>
  <c r="L161" i="3"/>
  <c r="M161" i="3"/>
  <c r="H162" i="3"/>
  <c r="I162" i="3"/>
  <c r="J162" i="3"/>
  <c r="K162" i="3"/>
  <c r="L162" i="3"/>
  <c r="M162" i="3"/>
  <c r="H163" i="3"/>
  <c r="I163" i="3"/>
  <c r="J163" i="3"/>
  <c r="K163" i="3"/>
  <c r="L163" i="3"/>
  <c r="M163" i="3"/>
  <c r="H164" i="3"/>
  <c r="I164" i="3"/>
  <c r="J164" i="3"/>
  <c r="K164" i="3"/>
  <c r="L164" i="3"/>
  <c r="M164" i="3"/>
  <c r="H165" i="3"/>
  <c r="I165" i="3"/>
  <c r="J165" i="3"/>
  <c r="K165" i="3"/>
  <c r="L165" i="3"/>
  <c r="M165" i="3"/>
  <c r="H166" i="3"/>
  <c r="I166" i="3"/>
  <c r="J166" i="3"/>
  <c r="K166" i="3"/>
  <c r="L166" i="3"/>
  <c r="M166" i="3"/>
  <c r="H167" i="3"/>
  <c r="I167" i="3"/>
  <c r="J167" i="3"/>
  <c r="K167" i="3"/>
  <c r="L167" i="3"/>
  <c r="M167" i="3"/>
  <c r="H168" i="3"/>
  <c r="I168" i="3"/>
  <c r="J168" i="3"/>
  <c r="K168" i="3"/>
  <c r="L168" i="3"/>
  <c r="M168" i="3"/>
  <c r="H169" i="3"/>
  <c r="I169" i="3"/>
  <c r="J169" i="3"/>
  <c r="K169" i="3"/>
  <c r="L169" i="3"/>
  <c r="M169" i="3"/>
  <c r="H170" i="3"/>
  <c r="I170" i="3"/>
  <c r="J170" i="3"/>
  <c r="K170" i="3"/>
  <c r="L170" i="3"/>
  <c r="M170" i="3"/>
  <c r="H171" i="3"/>
  <c r="I171" i="3"/>
  <c r="J171" i="3"/>
  <c r="K171" i="3"/>
  <c r="L171" i="3"/>
  <c r="M171" i="3"/>
  <c r="H172" i="3"/>
  <c r="I172" i="3"/>
  <c r="J172" i="3"/>
  <c r="K172" i="3"/>
  <c r="L172" i="3"/>
  <c r="M172" i="3"/>
  <c r="H173" i="3"/>
  <c r="I173" i="3"/>
  <c r="J173" i="3"/>
  <c r="K173" i="3"/>
  <c r="L173" i="3"/>
  <c r="M173" i="3"/>
  <c r="H174" i="3"/>
  <c r="I174" i="3"/>
  <c r="J174" i="3"/>
  <c r="K174" i="3"/>
  <c r="L174" i="3"/>
  <c r="M174" i="3"/>
  <c r="H175" i="3"/>
  <c r="I175" i="3"/>
  <c r="J175" i="3"/>
  <c r="K175" i="3"/>
  <c r="L175" i="3"/>
  <c r="M175" i="3"/>
  <c r="H176" i="3"/>
  <c r="I176" i="3"/>
  <c r="J176" i="3"/>
  <c r="K176" i="3"/>
  <c r="L176" i="3"/>
  <c r="M176" i="3"/>
  <c r="H177" i="3"/>
  <c r="I177" i="3"/>
  <c r="J177" i="3"/>
  <c r="K177" i="3"/>
  <c r="L177" i="3"/>
  <c r="M177" i="3"/>
  <c r="H178" i="3"/>
  <c r="I178" i="3"/>
  <c r="J178" i="3"/>
  <c r="K178" i="3"/>
  <c r="L178" i="3"/>
  <c r="M178" i="3"/>
  <c r="H179" i="3"/>
  <c r="I179" i="3"/>
  <c r="J179" i="3"/>
  <c r="K179" i="3"/>
  <c r="L179" i="3"/>
  <c r="M179" i="3"/>
  <c r="H180" i="3"/>
  <c r="I180" i="3"/>
  <c r="J180" i="3"/>
  <c r="K180" i="3"/>
  <c r="L180" i="3"/>
  <c r="M180" i="3"/>
  <c r="H181" i="3"/>
  <c r="I181" i="3"/>
  <c r="J181" i="3"/>
  <c r="K181" i="3"/>
  <c r="L181" i="3"/>
  <c r="M181" i="3"/>
  <c r="H182" i="3"/>
  <c r="I182" i="3"/>
  <c r="J182" i="3"/>
  <c r="K182" i="3"/>
  <c r="L182" i="3"/>
  <c r="M182" i="3"/>
  <c r="H183" i="3"/>
  <c r="I183" i="3"/>
  <c r="J183" i="3"/>
  <c r="K183" i="3"/>
  <c r="L183" i="3"/>
  <c r="M183" i="3"/>
  <c r="H184" i="3"/>
  <c r="I184" i="3"/>
  <c r="J184" i="3"/>
  <c r="K184" i="3"/>
  <c r="L184" i="3"/>
  <c r="M184" i="3"/>
  <c r="H185" i="3"/>
  <c r="I185" i="3"/>
  <c r="J185" i="3"/>
  <c r="K185" i="3"/>
  <c r="L185" i="3"/>
  <c r="M185" i="3"/>
  <c r="H186" i="3"/>
  <c r="I186" i="3"/>
  <c r="J186" i="3"/>
  <c r="K186" i="3"/>
  <c r="L186" i="3"/>
  <c r="M186" i="3"/>
  <c r="H187" i="3"/>
  <c r="I187" i="3"/>
  <c r="J187" i="3"/>
  <c r="K187" i="3"/>
  <c r="L187" i="3"/>
  <c r="M187" i="3"/>
  <c r="H188" i="3"/>
  <c r="I188" i="3"/>
  <c r="J188" i="3"/>
  <c r="K188" i="3"/>
  <c r="L188" i="3"/>
  <c r="M188" i="3"/>
  <c r="H189" i="3"/>
  <c r="I189" i="3"/>
  <c r="J189" i="3"/>
  <c r="K189" i="3"/>
  <c r="L189" i="3"/>
  <c r="M189" i="3"/>
  <c r="H190" i="3"/>
  <c r="I190" i="3"/>
  <c r="J190" i="3"/>
  <c r="K190" i="3"/>
  <c r="L190" i="3"/>
  <c r="M190" i="3"/>
  <c r="H191" i="3"/>
  <c r="I191" i="3"/>
  <c r="J191" i="3"/>
  <c r="K191" i="3"/>
  <c r="L191" i="3"/>
  <c r="M191" i="3"/>
  <c r="H192" i="3"/>
  <c r="I192" i="3"/>
  <c r="J192" i="3"/>
  <c r="K192" i="3"/>
  <c r="L192" i="3"/>
  <c r="M192" i="3"/>
  <c r="H193" i="3"/>
  <c r="I193" i="3"/>
  <c r="J193" i="3"/>
  <c r="K193" i="3"/>
  <c r="L193" i="3"/>
  <c r="M193" i="3"/>
  <c r="H194" i="3"/>
  <c r="I194" i="3"/>
  <c r="J194" i="3"/>
  <c r="K194" i="3"/>
  <c r="L194" i="3"/>
  <c r="M194" i="3"/>
  <c r="H195" i="3"/>
  <c r="I195" i="3"/>
  <c r="J195" i="3"/>
  <c r="K195" i="3"/>
  <c r="L195" i="3"/>
  <c r="M195" i="3"/>
  <c r="H196" i="3"/>
  <c r="I196" i="3"/>
  <c r="J196" i="3"/>
  <c r="K196" i="3"/>
  <c r="L196" i="3"/>
  <c r="M196" i="3"/>
  <c r="H197" i="3"/>
  <c r="I197" i="3"/>
  <c r="J197" i="3"/>
  <c r="K197" i="3"/>
  <c r="L197" i="3"/>
  <c r="M197" i="3"/>
  <c r="H198" i="3"/>
  <c r="I198" i="3"/>
  <c r="J198" i="3"/>
  <c r="K198" i="3"/>
  <c r="L198" i="3"/>
  <c r="M198" i="3"/>
  <c r="H199" i="3"/>
  <c r="I199" i="3"/>
  <c r="J199" i="3"/>
  <c r="K199" i="3"/>
  <c r="L199" i="3"/>
  <c r="M199" i="3"/>
  <c r="H200" i="3"/>
  <c r="I200" i="3"/>
  <c r="J200" i="3"/>
  <c r="K200" i="3"/>
  <c r="L200" i="3"/>
  <c r="M200" i="3"/>
  <c r="H201" i="3"/>
  <c r="I201" i="3"/>
  <c r="J201" i="3"/>
  <c r="K201" i="3"/>
  <c r="L201" i="3"/>
  <c r="M201" i="3"/>
  <c r="H202" i="3"/>
  <c r="I202" i="3"/>
  <c r="J202" i="3"/>
  <c r="K202" i="3"/>
  <c r="L202" i="3"/>
  <c r="M202" i="3"/>
  <c r="H203" i="3"/>
  <c r="I203" i="3"/>
  <c r="J203" i="3"/>
  <c r="K203" i="3"/>
  <c r="L203" i="3"/>
  <c r="M203" i="3"/>
  <c r="H204" i="3"/>
  <c r="I204" i="3"/>
  <c r="J204" i="3"/>
  <c r="K204" i="3"/>
  <c r="L204" i="3"/>
  <c r="M204" i="3"/>
  <c r="H205" i="3"/>
  <c r="I205" i="3"/>
  <c r="J205" i="3"/>
  <c r="K205" i="3"/>
  <c r="L205" i="3"/>
  <c r="M205" i="3"/>
  <c r="H206" i="3"/>
  <c r="I206" i="3"/>
  <c r="J206" i="3"/>
  <c r="K206" i="3"/>
  <c r="L206" i="3"/>
  <c r="M206" i="3"/>
  <c r="H207" i="3"/>
  <c r="I207" i="3"/>
  <c r="J207" i="3"/>
  <c r="K207" i="3"/>
  <c r="L207" i="3"/>
  <c r="M207" i="3"/>
  <c r="H208" i="3"/>
  <c r="I208" i="3"/>
  <c r="J208" i="3"/>
  <c r="K208" i="3"/>
  <c r="L208" i="3"/>
  <c r="M208" i="3"/>
  <c r="H209" i="3"/>
  <c r="I209" i="3"/>
  <c r="J209" i="3"/>
  <c r="K209" i="3"/>
  <c r="L209" i="3"/>
  <c r="M209" i="3"/>
  <c r="H210" i="3"/>
  <c r="I210" i="3"/>
  <c r="J210" i="3"/>
  <c r="K210" i="3"/>
  <c r="L210" i="3"/>
  <c r="M210" i="3"/>
  <c r="H211" i="3"/>
  <c r="I211" i="3"/>
  <c r="J211" i="3"/>
  <c r="K211" i="3"/>
  <c r="L211" i="3"/>
  <c r="M211" i="3"/>
  <c r="H212" i="3"/>
  <c r="I212" i="3"/>
  <c r="J212" i="3"/>
  <c r="K212" i="3"/>
  <c r="L212" i="3"/>
  <c r="M212" i="3"/>
  <c r="H213" i="3"/>
  <c r="I213" i="3"/>
  <c r="J213" i="3"/>
  <c r="K213" i="3"/>
  <c r="L213" i="3"/>
  <c r="M213" i="3"/>
  <c r="H214" i="3"/>
  <c r="I214" i="3"/>
  <c r="J214" i="3"/>
  <c r="K214" i="3"/>
  <c r="L214" i="3"/>
  <c r="M214" i="3"/>
  <c r="H215" i="3"/>
  <c r="I215" i="3"/>
  <c r="J215" i="3"/>
  <c r="K215" i="3"/>
  <c r="L215" i="3"/>
  <c r="M215" i="3"/>
  <c r="H216" i="3"/>
  <c r="I216" i="3"/>
  <c r="J216" i="3"/>
  <c r="K216" i="3"/>
  <c r="L216" i="3"/>
  <c r="M216" i="3"/>
  <c r="H217" i="3"/>
  <c r="I217" i="3"/>
  <c r="J217" i="3"/>
  <c r="K217" i="3"/>
  <c r="L217" i="3"/>
  <c r="M217" i="3"/>
  <c r="H218" i="3"/>
  <c r="I218" i="3"/>
  <c r="J218" i="3"/>
  <c r="K218" i="3"/>
  <c r="L218" i="3"/>
  <c r="M218" i="3"/>
  <c r="H219" i="3"/>
  <c r="I219" i="3"/>
  <c r="J219" i="3"/>
  <c r="K219" i="3"/>
  <c r="L219" i="3"/>
  <c r="M219" i="3"/>
  <c r="H220" i="3"/>
  <c r="I220" i="3"/>
  <c r="J220" i="3"/>
  <c r="K220" i="3"/>
  <c r="L220" i="3"/>
  <c r="M220" i="3"/>
  <c r="H221" i="3"/>
  <c r="I221" i="3"/>
  <c r="J221" i="3"/>
  <c r="K221" i="3"/>
  <c r="L221" i="3"/>
  <c r="M221" i="3"/>
  <c r="H222" i="3"/>
  <c r="I222" i="3"/>
  <c r="J222" i="3"/>
  <c r="K222" i="3"/>
  <c r="L222" i="3"/>
  <c r="M222" i="3"/>
  <c r="H223" i="3"/>
  <c r="I223" i="3"/>
  <c r="J223" i="3"/>
  <c r="K223" i="3"/>
  <c r="L223" i="3"/>
  <c r="M223" i="3"/>
  <c r="H224" i="3"/>
  <c r="I224" i="3"/>
  <c r="J224" i="3"/>
  <c r="K224" i="3"/>
  <c r="L224" i="3"/>
  <c r="M224" i="3"/>
  <c r="H225" i="3"/>
  <c r="I225" i="3"/>
  <c r="J225" i="3"/>
  <c r="K225" i="3"/>
  <c r="L225" i="3"/>
  <c r="M225" i="3"/>
  <c r="H226" i="3"/>
  <c r="I226" i="3"/>
  <c r="J226" i="3"/>
  <c r="K226" i="3"/>
  <c r="L226" i="3"/>
  <c r="M226" i="3"/>
  <c r="H227" i="3"/>
  <c r="I227" i="3"/>
  <c r="J227" i="3"/>
  <c r="K227" i="3"/>
  <c r="L227" i="3"/>
  <c r="M227" i="3"/>
  <c r="H228" i="3"/>
  <c r="I228" i="3"/>
  <c r="J228" i="3"/>
  <c r="K228" i="3"/>
  <c r="L228" i="3"/>
  <c r="M228" i="3"/>
  <c r="H229" i="3"/>
  <c r="I229" i="3"/>
  <c r="J229" i="3"/>
  <c r="K229" i="3"/>
  <c r="L229" i="3"/>
  <c r="M229" i="3"/>
  <c r="H230" i="3"/>
  <c r="I230" i="3"/>
  <c r="J230" i="3"/>
  <c r="K230" i="3"/>
  <c r="L230" i="3"/>
  <c r="M230" i="3"/>
  <c r="H231" i="3"/>
  <c r="I231" i="3"/>
  <c r="J231" i="3"/>
  <c r="K231" i="3"/>
  <c r="L231" i="3"/>
  <c r="M231" i="3"/>
  <c r="H232" i="3"/>
  <c r="I232" i="3"/>
  <c r="J232" i="3"/>
  <c r="K232" i="3"/>
  <c r="L232" i="3"/>
  <c r="M232" i="3"/>
  <c r="H233" i="3"/>
  <c r="I233" i="3"/>
  <c r="J233" i="3"/>
  <c r="K233" i="3"/>
  <c r="L233" i="3"/>
  <c r="M233" i="3"/>
  <c r="H234" i="3"/>
  <c r="I234" i="3"/>
  <c r="J234" i="3"/>
  <c r="K234" i="3"/>
  <c r="L234" i="3"/>
  <c r="M234" i="3"/>
  <c r="H235" i="3"/>
  <c r="I235" i="3"/>
  <c r="J235" i="3"/>
  <c r="K235" i="3"/>
  <c r="L235" i="3"/>
  <c r="M235" i="3"/>
  <c r="H236" i="3"/>
  <c r="I236" i="3"/>
  <c r="J236" i="3"/>
  <c r="K236" i="3"/>
  <c r="L236" i="3"/>
  <c r="M236" i="3"/>
  <c r="H237" i="3"/>
  <c r="I237" i="3"/>
  <c r="J237" i="3"/>
  <c r="K237" i="3"/>
  <c r="L237" i="3"/>
  <c r="M237" i="3"/>
  <c r="H238" i="3"/>
  <c r="I238" i="3"/>
  <c r="J238" i="3"/>
  <c r="K238" i="3"/>
  <c r="L238" i="3"/>
  <c r="M238" i="3"/>
  <c r="H239" i="3"/>
  <c r="I239" i="3"/>
  <c r="J239" i="3"/>
  <c r="K239" i="3"/>
  <c r="L239" i="3"/>
  <c r="M239" i="3"/>
  <c r="H240" i="3"/>
  <c r="I240" i="3"/>
  <c r="J240" i="3"/>
  <c r="K240" i="3"/>
  <c r="L240" i="3"/>
  <c r="M240" i="3"/>
  <c r="H241" i="3"/>
  <c r="I241" i="3"/>
  <c r="J241" i="3"/>
  <c r="K241" i="3"/>
  <c r="L241" i="3"/>
  <c r="M241" i="3"/>
  <c r="H242" i="3"/>
  <c r="I242" i="3"/>
  <c r="J242" i="3"/>
  <c r="K242" i="3"/>
  <c r="L242" i="3"/>
  <c r="M242" i="3"/>
  <c r="H243" i="3"/>
  <c r="I243" i="3"/>
  <c r="J243" i="3"/>
  <c r="K243" i="3"/>
  <c r="L243" i="3"/>
  <c r="M243" i="3"/>
  <c r="H244" i="3"/>
  <c r="I244" i="3"/>
  <c r="J244" i="3"/>
  <c r="K244" i="3"/>
  <c r="L244" i="3"/>
  <c r="M244" i="3"/>
  <c r="H245" i="3"/>
  <c r="I245" i="3"/>
  <c r="J245" i="3"/>
  <c r="K245" i="3"/>
  <c r="L245" i="3"/>
  <c r="M245" i="3"/>
  <c r="H246" i="3"/>
  <c r="I246" i="3"/>
  <c r="J246" i="3"/>
  <c r="K246" i="3"/>
  <c r="L246" i="3"/>
  <c r="M246" i="3"/>
  <c r="H247" i="3"/>
  <c r="I247" i="3"/>
  <c r="J247" i="3"/>
  <c r="K247" i="3"/>
  <c r="L247" i="3"/>
  <c r="M247" i="3"/>
  <c r="H248" i="3"/>
  <c r="I248" i="3"/>
  <c r="J248" i="3"/>
  <c r="K248" i="3"/>
  <c r="L248" i="3"/>
  <c r="M248" i="3"/>
  <c r="H249" i="3"/>
  <c r="I249" i="3"/>
  <c r="J249" i="3"/>
  <c r="K249" i="3"/>
  <c r="L249" i="3"/>
  <c r="M249" i="3"/>
  <c r="H250" i="3"/>
  <c r="I250" i="3"/>
  <c r="J250" i="3"/>
  <c r="K250" i="3"/>
  <c r="L250" i="3"/>
  <c r="M250" i="3"/>
  <c r="H251" i="3"/>
  <c r="I251" i="3"/>
  <c r="J251" i="3"/>
  <c r="K251" i="3"/>
  <c r="L251" i="3"/>
  <c r="M251" i="3"/>
  <c r="H252" i="3"/>
  <c r="I252" i="3"/>
  <c r="J252" i="3"/>
  <c r="K252" i="3"/>
  <c r="L252" i="3"/>
  <c r="M252" i="3"/>
  <c r="H253" i="3"/>
  <c r="I253" i="3"/>
  <c r="J253" i="3"/>
  <c r="K253" i="3"/>
  <c r="L253" i="3"/>
  <c r="M253" i="3"/>
  <c r="H254" i="3"/>
  <c r="I254" i="3"/>
  <c r="J254" i="3"/>
  <c r="K254" i="3"/>
  <c r="L254" i="3"/>
  <c r="M254" i="3"/>
  <c r="H255" i="3"/>
  <c r="I255" i="3"/>
  <c r="J255" i="3"/>
  <c r="K255" i="3"/>
  <c r="L255" i="3"/>
  <c r="M255" i="3"/>
  <c r="H256" i="3"/>
  <c r="I256" i="3"/>
  <c r="J256" i="3"/>
  <c r="K256" i="3"/>
  <c r="L256" i="3"/>
  <c r="M256" i="3"/>
  <c r="H257" i="3"/>
  <c r="I257" i="3"/>
  <c r="J257" i="3"/>
  <c r="K257" i="3"/>
  <c r="L257" i="3"/>
  <c r="M257" i="3"/>
  <c r="H258" i="3"/>
  <c r="I258" i="3"/>
  <c r="J258" i="3"/>
  <c r="K258" i="3"/>
  <c r="L258" i="3"/>
  <c r="M258" i="3"/>
  <c r="H259" i="3"/>
  <c r="I259" i="3"/>
  <c r="J259" i="3"/>
  <c r="K259" i="3"/>
  <c r="L259" i="3"/>
  <c r="M259" i="3"/>
  <c r="H260" i="3"/>
  <c r="I260" i="3"/>
  <c r="J260" i="3"/>
  <c r="K260" i="3"/>
  <c r="L260" i="3"/>
  <c r="M260" i="3"/>
  <c r="H261" i="3"/>
  <c r="I261" i="3"/>
  <c r="J261" i="3"/>
  <c r="K261" i="3"/>
  <c r="L261" i="3"/>
  <c r="M261" i="3"/>
  <c r="H262" i="3"/>
  <c r="I262" i="3"/>
  <c r="J262" i="3"/>
  <c r="K262" i="3"/>
  <c r="L262" i="3"/>
  <c r="M262" i="3"/>
  <c r="H263" i="3"/>
  <c r="I263" i="3"/>
  <c r="J263" i="3"/>
  <c r="K263" i="3"/>
  <c r="L263" i="3"/>
  <c r="M263" i="3"/>
  <c r="H264" i="3"/>
  <c r="I264" i="3"/>
  <c r="J264" i="3"/>
  <c r="K264" i="3"/>
  <c r="L264" i="3"/>
  <c r="M264" i="3"/>
  <c r="H265" i="3"/>
  <c r="I265" i="3"/>
  <c r="J265" i="3"/>
  <c r="K265" i="3"/>
  <c r="L265" i="3"/>
  <c r="M265" i="3"/>
  <c r="H266" i="3"/>
  <c r="I266" i="3"/>
  <c r="J266" i="3"/>
  <c r="K266" i="3"/>
  <c r="L266" i="3"/>
  <c r="M266" i="3"/>
  <c r="H267" i="3"/>
  <c r="I267" i="3"/>
  <c r="J267" i="3"/>
  <c r="K267" i="3"/>
  <c r="L267" i="3"/>
  <c r="M267" i="3"/>
  <c r="H268" i="3"/>
  <c r="I268" i="3"/>
  <c r="J268" i="3"/>
  <c r="K268" i="3"/>
  <c r="L268" i="3"/>
  <c r="M268" i="3"/>
  <c r="H269" i="3"/>
  <c r="I269" i="3"/>
  <c r="J269" i="3"/>
  <c r="K269" i="3"/>
  <c r="L269" i="3"/>
  <c r="M269" i="3"/>
  <c r="H270" i="3"/>
  <c r="I270" i="3"/>
  <c r="J270" i="3"/>
  <c r="K270" i="3"/>
  <c r="L270" i="3"/>
  <c r="M270" i="3"/>
  <c r="H271" i="3"/>
  <c r="I271" i="3"/>
  <c r="J271" i="3"/>
  <c r="K271" i="3"/>
  <c r="L271" i="3"/>
  <c r="M271" i="3"/>
  <c r="H272" i="3"/>
  <c r="I272" i="3"/>
  <c r="J272" i="3"/>
  <c r="K272" i="3"/>
  <c r="L272" i="3"/>
  <c r="M272" i="3"/>
  <c r="H273" i="3"/>
  <c r="I273" i="3"/>
  <c r="J273" i="3"/>
  <c r="K273" i="3"/>
  <c r="L273" i="3"/>
  <c r="M273" i="3"/>
  <c r="H274" i="3"/>
  <c r="I274" i="3"/>
  <c r="J274" i="3"/>
  <c r="K274" i="3"/>
  <c r="L274" i="3"/>
  <c r="M274" i="3"/>
  <c r="H275" i="3"/>
  <c r="I275" i="3"/>
  <c r="J275" i="3"/>
  <c r="K275" i="3"/>
  <c r="L275" i="3"/>
  <c r="M275" i="3"/>
  <c r="H276" i="3"/>
  <c r="I276" i="3"/>
  <c r="J276" i="3"/>
  <c r="K276" i="3"/>
  <c r="L276" i="3"/>
  <c r="M276" i="3"/>
  <c r="H277" i="3"/>
  <c r="I277" i="3"/>
  <c r="J277" i="3"/>
  <c r="K277" i="3"/>
  <c r="L277" i="3"/>
  <c r="M277" i="3"/>
  <c r="H278" i="3"/>
  <c r="I278" i="3"/>
  <c r="J278" i="3"/>
  <c r="K278" i="3"/>
  <c r="L278" i="3"/>
  <c r="M278" i="3"/>
  <c r="H279" i="3"/>
  <c r="I279" i="3"/>
  <c r="J279" i="3"/>
  <c r="K279" i="3"/>
  <c r="L279" i="3"/>
  <c r="M279" i="3"/>
  <c r="H280" i="3"/>
  <c r="I280" i="3"/>
  <c r="J280" i="3"/>
  <c r="K280" i="3"/>
  <c r="L280" i="3"/>
  <c r="M280" i="3"/>
  <c r="H281" i="3"/>
  <c r="I281" i="3"/>
  <c r="J281" i="3"/>
  <c r="K281" i="3"/>
  <c r="L281" i="3"/>
  <c r="M281" i="3"/>
  <c r="H282" i="3"/>
  <c r="I282" i="3"/>
  <c r="J282" i="3"/>
  <c r="K282" i="3"/>
  <c r="L282" i="3"/>
  <c r="M282" i="3"/>
  <c r="H283" i="3"/>
  <c r="I283" i="3"/>
  <c r="J283" i="3"/>
  <c r="K283" i="3"/>
  <c r="L283" i="3"/>
  <c r="M283" i="3"/>
  <c r="H284" i="3"/>
  <c r="I284" i="3"/>
  <c r="J284" i="3"/>
  <c r="K284" i="3"/>
  <c r="L284" i="3"/>
  <c r="M284" i="3"/>
  <c r="H285" i="3"/>
  <c r="I285" i="3"/>
  <c r="J285" i="3"/>
  <c r="K285" i="3"/>
  <c r="L285" i="3"/>
  <c r="M285" i="3"/>
  <c r="H286" i="3"/>
  <c r="I286" i="3"/>
  <c r="J286" i="3"/>
  <c r="K286" i="3"/>
  <c r="L286" i="3"/>
  <c r="M286" i="3"/>
  <c r="H287" i="3"/>
  <c r="I287" i="3"/>
  <c r="J287" i="3"/>
  <c r="K287" i="3"/>
  <c r="L287" i="3"/>
  <c r="M287" i="3"/>
  <c r="H288" i="3"/>
  <c r="I288" i="3"/>
  <c r="J288" i="3"/>
  <c r="K288" i="3"/>
  <c r="L288" i="3"/>
  <c r="M288" i="3"/>
  <c r="H289" i="3"/>
  <c r="I289" i="3"/>
  <c r="J289" i="3"/>
  <c r="K289" i="3"/>
  <c r="L289" i="3"/>
  <c r="M289" i="3"/>
  <c r="H290" i="3"/>
  <c r="I290" i="3"/>
  <c r="J290" i="3"/>
  <c r="K290" i="3"/>
  <c r="L290" i="3"/>
  <c r="M290" i="3"/>
  <c r="H291" i="3"/>
  <c r="I291" i="3"/>
  <c r="J291" i="3"/>
  <c r="K291" i="3"/>
  <c r="L291" i="3"/>
  <c r="M291" i="3"/>
  <c r="H292" i="3"/>
  <c r="I292" i="3"/>
  <c r="J292" i="3"/>
  <c r="K292" i="3"/>
  <c r="L292" i="3"/>
  <c r="M292" i="3"/>
  <c r="H293" i="3"/>
  <c r="I293" i="3"/>
  <c r="J293" i="3"/>
  <c r="K293" i="3"/>
  <c r="L293" i="3"/>
  <c r="M293" i="3"/>
  <c r="H294" i="3"/>
  <c r="I294" i="3"/>
  <c r="J294" i="3"/>
  <c r="K294" i="3"/>
  <c r="L294" i="3"/>
  <c r="M294" i="3"/>
  <c r="H295" i="3"/>
  <c r="I295" i="3"/>
  <c r="J295" i="3"/>
  <c r="K295" i="3"/>
  <c r="L295" i="3"/>
  <c r="M295" i="3"/>
  <c r="H296" i="3"/>
  <c r="I296" i="3"/>
  <c r="J296" i="3"/>
  <c r="K296" i="3"/>
  <c r="L296" i="3"/>
  <c r="M296" i="3"/>
  <c r="H297" i="3"/>
  <c r="I297" i="3"/>
  <c r="J297" i="3"/>
  <c r="K297" i="3"/>
  <c r="L297" i="3"/>
  <c r="M297" i="3"/>
  <c r="H298" i="3"/>
  <c r="I298" i="3"/>
  <c r="J298" i="3"/>
  <c r="K298" i="3"/>
  <c r="L298" i="3"/>
  <c r="M298" i="3"/>
  <c r="H299" i="3"/>
  <c r="I299" i="3"/>
  <c r="J299" i="3"/>
  <c r="K299" i="3"/>
  <c r="L299" i="3"/>
  <c r="M299" i="3"/>
  <c r="H300" i="3"/>
  <c r="I300" i="3"/>
  <c r="J300" i="3"/>
  <c r="K300" i="3"/>
  <c r="L300" i="3"/>
  <c r="M300" i="3"/>
  <c r="H301" i="3"/>
  <c r="I301" i="3"/>
  <c r="J301" i="3"/>
  <c r="K301" i="3"/>
  <c r="L301" i="3"/>
  <c r="M301" i="3"/>
  <c r="H302" i="3"/>
  <c r="I302" i="3"/>
  <c r="J302" i="3"/>
  <c r="K302" i="3"/>
  <c r="L302" i="3"/>
  <c r="M302" i="3"/>
  <c r="H303" i="3"/>
  <c r="I303" i="3"/>
  <c r="J303" i="3"/>
  <c r="K303" i="3"/>
  <c r="L303" i="3"/>
  <c r="M303" i="3"/>
  <c r="H304" i="3"/>
  <c r="I304" i="3"/>
  <c r="J304" i="3"/>
  <c r="K304" i="3"/>
  <c r="L304" i="3"/>
  <c r="M304" i="3"/>
  <c r="H305" i="3"/>
  <c r="I305" i="3"/>
  <c r="J305" i="3"/>
  <c r="K305" i="3"/>
  <c r="L305" i="3"/>
  <c r="M305" i="3"/>
  <c r="H306" i="3"/>
  <c r="I306" i="3"/>
  <c r="J306" i="3"/>
  <c r="K306" i="3"/>
  <c r="L306" i="3"/>
  <c r="M306" i="3"/>
  <c r="H307" i="3"/>
  <c r="I307" i="3"/>
  <c r="J307" i="3"/>
  <c r="K307" i="3"/>
  <c r="L307" i="3"/>
  <c r="M307" i="3"/>
  <c r="H308" i="3"/>
  <c r="I308" i="3"/>
  <c r="J308" i="3"/>
  <c r="K308" i="3"/>
  <c r="L308" i="3"/>
  <c r="M308" i="3"/>
  <c r="H309" i="3"/>
  <c r="I309" i="3"/>
  <c r="J309" i="3"/>
  <c r="K309" i="3"/>
  <c r="L309" i="3"/>
  <c r="M309" i="3"/>
  <c r="H310" i="3"/>
  <c r="I310" i="3"/>
  <c r="J310" i="3"/>
  <c r="K310" i="3"/>
  <c r="L310" i="3"/>
  <c r="M310" i="3"/>
  <c r="H311" i="3"/>
  <c r="I311" i="3"/>
  <c r="J311" i="3"/>
  <c r="K311" i="3"/>
  <c r="L311" i="3"/>
  <c r="M311" i="3"/>
  <c r="H312" i="3"/>
  <c r="I312" i="3"/>
  <c r="J312" i="3"/>
  <c r="K312" i="3"/>
  <c r="L312" i="3"/>
  <c r="M312" i="3"/>
  <c r="H313" i="3"/>
  <c r="I313" i="3"/>
  <c r="J313" i="3"/>
  <c r="K313" i="3"/>
  <c r="L313" i="3"/>
  <c r="M313" i="3"/>
  <c r="H314" i="3"/>
  <c r="I314" i="3"/>
  <c r="J314" i="3"/>
  <c r="K314" i="3"/>
  <c r="L314" i="3"/>
  <c r="M314" i="3"/>
  <c r="H315" i="3"/>
  <c r="I315" i="3"/>
  <c r="J315" i="3"/>
  <c r="K315" i="3"/>
  <c r="L315" i="3"/>
  <c r="M315" i="3"/>
  <c r="H316" i="3"/>
  <c r="I316" i="3"/>
  <c r="J316" i="3"/>
  <c r="K316" i="3"/>
  <c r="L316" i="3"/>
  <c r="M316" i="3"/>
  <c r="H317" i="3"/>
  <c r="I317" i="3"/>
  <c r="J317" i="3"/>
  <c r="K317" i="3"/>
  <c r="L317" i="3"/>
  <c r="M317" i="3"/>
  <c r="H318" i="3"/>
  <c r="I318" i="3"/>
  <c r="J318" i="3"/>
  <c r="K318" i="3"/>
  <c r="L318" i="3"/>
  <c r="M318" i="3"/>
  <c r="H319" i="3"/>
  <c r="I319" i="3"/>
  <c r="J319" i="3"/>
  <c r="K319" i="3"/>
  <c r="L319" i="3"/>
  <c r="M319" i="3"/>
  <c r="H320" i="3"/>
  <c r="I320" i="3"/>
  <c r="J320" i="3"/>
  <c r="K320" i="3"/>
  <c r="L320" i="3"/>
  <c r="M320" i="3"/>
  <c r="H321" i="3"/>
  <c r="I321" i="3"/>
  <c r="J321" i="3"/>
  <c r="K321" i="3"/>
  <c r="L321" i="3"/>
  <c r="M321" i="3"/>
  <c r="H322" i="3"/>
  <c r="I322" i="3"/>
  <c r="J322" i="3"/>
  <c r="K322" i="3"/>
  <c r="L322" i="3"/>
  <c r="M322" i="3"/>
  <c r="H323" i="3"/>
  <c r="I323" i="3"/>
  <c r="J323" i="3"/>
  <c r="K323" i="3"/>
  <c r="L323" i="3"/>
  <c r="M323" i="3"/>
  <c r="H324" i="3"/>
  <c r="I324" i="3"/>
  <c r="J324" i="3"/>
  <c r="K324" i="3"/>
  <c r="L324" i="3"/>
  <c r="M324" i="3"/>
  <c r="H325" i="3"/>
  <c r="I325" i="3"/>
  <c r="J325" i="3"/>
  <c r="K325" i="3"/>
  <c r="L325" i="3"/>
  <c r="M325" i="3"/>
  <c r="H326" i="3"/>
  <c r="I326" i="3"/>
  <c r="J326" i="3"/>
  <c r="K326" i="3"/>
  <c r="L326" i="3"/>
  <c r="M326" i="3"/>
  <c r="H327" i="3"/>
  <c r="I327" i="3"/>
  <c r="J327" i="3"/>
  <c r="K327" i="3"/>
  <c r="L327" i="3"/>
  <c r="M327" i="3"/>
  <c r="H328" i="3"/>
  <c r="I328" i="3"/>
  <c r="J328" i="3"/>
  <c r="K328" i="3"/>
  <c r="L328" i="3"/>
  <c r="M328" i="3"/>
  <c r="H329" i="3"/>
  <c r="I329" i="3"/>
  <c r="J329" i="3"/>
  <c r="K329" i="3"/>
  <c r="L329" i="3"/>
  <c r="M329" i="3"/>
  <c r="H330" i="3"/>
  <c r="I330" i="3"/>
  <c r="J330" i="3"/>
  <c r="K330" i="3"/>
  <c r="L330" i="3"/>
  <c r="M330" i="3"/>
  <c r="H331" i="3"/>
  <c r="I331" i="3"/>
  <c r="J331" i="3"/>
  <c r="K331" i="3"/>
  <c r="L331" i="3"/>
  <c r="M331" i="3"/>
  <c r="H332" i="3"/>
  <c r="I332" i="3"/>
  <c r="J332" i="3"/>
  <c r="K332" i="3"/>
  <c r="L332" i="3"/>
  <c r="M332" i="3"/>
  <c r="H333" i="3"/>
  <c r="I333" i="3"/>
  <c r="J333" i="3"/>
  <c r="K333" i="3"/>
  <c r="L333" i="3"/>
  <c r="M333" i="3"/>
  <c r="H334" i="3"/>
  <c r="I334" i="3"/>
  <c r="J334" i="3"/>
  <c r="K334" i="3"/>
  <c r="L334" i="3"/>
  <c r="M334" i="3"/>
  <c r="H335" i="3"/>
  <c r="I335" i="3"/>
  <c r="J335" i="3"/>
  <c r="K335" i="3"/>
  <c r="L335" i="3"/>
  <c r="M335" i="3"/>
  <c r="H336" i="3"/>
  <c r="I336" i="3"/>
  <c r="J336" i="3"/>
  <c r="K336" i="3"/>
  <c r="L336" i="3"/>
  <c r="M336" i="3"/>
  <c r="H337" i="3"/>
  <c r="I337" i="3"/>
  <c r="J337" i="3"/>
  <c r="K337" i="3"/>
  <c r="L337" i="3"/>
  <c r="M337" i="3"/>
  <c r="H338" i="3"/>
  <c r="I338" i="3"/>
  <c r="J338" i="3"/>
  <c r="K338" i="3"/>
  <c r="L338" i="3"/>
  <c r="M338" i="3"/>
  <c r="H339" i="3"/>
  <c r="I339" i="3"/>
  <c r="J339" i="3"/>
  <c r="K339" i="3"/>
  <c r="L339" i="3"/>
  <c r="M339" i="3"/>
  <c r="H340" i="3"/>
  <c r="I340" i="3"/>
  <c r="J340" i="3"/>
  <c r="K340" i="3"/>
  <c r="L340" i="3"/>
  <c r="M340" i="3"/>
  <c r="H341" i="3"/>
  <c r="I341" i="3"/>
  <c r="J341" i="3"/>
  <c r="K341" i="3"/>
  <c r="L341" i="3"/>
  <c r="M341" i="3"/>
  <c r="H342" i="3"/>
  <c r="I342" i="3"/>
  <c r="J342" i="3"/>
  <c r="K342" i="3"/>
  <c r="L342" i="3"/>
  <c r="M342" i="3"/>
  <c r="H343" i="3"/>
  <c r="I343" i="3"/>
  <c r="J343" i="3"/>
  <c r="K343" i="3"/>
  <c r="L343" i="3"/>
  <c r="M343" i="3"/>
  <c r="H344" i="3"/>
  <c r="I344" i="3"/>
  <c r="J344" i="3"/>
  <c r="K344" i="3"/>
  <c r="L344" i="3"/>
  <c r="M344" i="3"/>
  <c r="H345" i="3"/>
  <c r="I345" i="3"/>
  <c r="J345" i="3"/>
  <c r="K345" i="3"/>
  <c r="L345" i="3"/>
  <c r="M345" i="3"/>
  <c r="H346" i="3"/>
  <c r="I346" i="3"/>
  <c r="J346" i="3"/>
  <c r="K346" i="3"/>
  <c r="L346" i="3"/>
  <c r="M346" i="3"/>
  <c r="H347" i="3"/>
  <c r="I347" i="3"/>
  <c r="J347" i="3"/>
  <c r="K347" i="3"/>
  <c r="L347" i="3"/>
  <c r="M347" i="3"/>
  <c r="H348" i="3"/>
  <c r="I348" i="3"/>
  <c r="J348" i="3"/>
  <c r="K348" i="3"/>
  <c r="L348" i="3"/>
  <c r="M348" i="3"/>
  <c r="H349" i="3"/>
  <c r="I349" i="3"/>
  <c r="J349" i="3"/>
  <c r="K349" i="3"/>
  <c r="L349" i="3"/>
  <c r="M349" i="3"/>
  <c r="H350" i="3"/>
  <c r="I350" i="3"/>
  <c r="J350" i="3"/>
  <c r="K350" i="3"/>
  <c r="L350" i="3"/>
  <c r="M350" i="3"/>
  <c r="H351" i="3"/>
  <c r="I351" i="3"/>
  <c r="J351" i="3"/>
  <c r="K351" i="3"/>
  <c r="L351" i="3"/>
  <c r="M351" i="3"/>
  <c r="H352" i="3"/>
  <c r="I352" i="3"/>
  <c r="J352" i="3"/>
  <c r="K352" i="3"/>
  <c r="L352" i="3"/>
  <c r="M352" i="3"/>
  <c r="H353" i="3"/>
  <c r="I353" i="3"/>
  <c r="J353" i="3"/>
  <c r="K353" i="3"/>
  <c r="L353" i="3"/>
  <c r="M353" i="3"/>
  <c r="H354" i="3"/>
  <c r="I354" i="3"/>
  <c r="J354" i="3"/>
  <c r="K354" i="3"/>
  <c r="L354" i="3"/>
  <c r="M354" i="3"/>
  <c r="H355" i="3"/>
  <c r="I355" i="3"/>
  <c r="J355" i="3"/>
  <c r="K355" i="3"/>
  <c r="L355" i="3"/>
  <c r="M355" i="3"/>
  <c r="H356" i="3"/>
  <c r="I356" i="3"/>
  <c r="J356" i="3"/>
  <c r="K356" i="3"/>
  <c r="L356" i="3"/>
  <c r="M356" i="3"/>
  <c r="H357" i="3"/>
  <c r="I357" i="3"/>
  <c r="J357" i="3"/>
  <c r="K357" i="3"/>
  <c r="L357" i="3"/>
  <c r="M357" i="3"/>
  <c r="H358" i="3"/>
  <c r="I358" i="3"/>
  <c r="J358" i="3"/>
  <c r="K358" i="3"/>
  <c r="L358" i="3"/>
  <c r="M358" i="3"/>
  <c r="H359" i="3"/>
  <c r="I359" i="3"/>
  <c r="J359" i="3"/>
  <c r="K359" i="3"/>
  <c r="L359" i="3"/>
  <c r="M359" i="3"/>
  <c r="H360" i="3"/>
  <c r="I360" i="3"/>
  <c r="J360" i="3"/>
  <c r="K360" i="3"/>
  <c r="L360" i="3"/>
  <c r="M360" i="3"/>
  <c r="H361" i="3"/>
  <c r="I361" i="3"/>
  <c r="J361" i="3"/>
  <c r="K361" i="3"/>
  <c r="L361" i="3"/>
  <c r="M361" i="3"/>
  <c r="H362" i="3"/>
  <c r="I362" i="3"/>
  <c r="J362" i="3"/>
  <c r="K362" i="3"/>
  <c r="L362" i="3"/>
  <c r="M362" i="3"/>
  <c r="H363" i="3"/>
  <c r="I363" i="3"/>
  <c r="J363" i="3"/>
  <c r="K363" i="3"/>
  <c r="L363" i="3"/>
  <c r="M363" i="3"/>
  <c r="H364" i="3"/>
  <c r="I364" i="3"/>
  <c r="J364" i="3"/>
  <c r="K364" i="3"/>
  <c r="L364" i="3"/>
  <c r="M364" i="3"/>
  <c r="H365" i="3"/>
  <c r="I365" i="3"/>
  <c r="J365" i="3"/>
  <c r="K365" i="3"/>
  <c r="L365" i="3"/>
  <c r="M365" i="3"/>
  <c r="H366" i="3"/>
  <c r="I366" i="3"/>
  <c r="J366" i="3"/>
  <c r="K366" i="3"/>
  <c r="L366" i="3"/>
  <c r="M366" i="3"/>
  <c r="H367" i="3"/>
  <c r="I367" i="3"/>
  <c r="J367" i="3"/>
  <c r="K367" i="3"/>
  <c r="L367" i="3"/>
  <c r="M367" i="3"/>
  <c r="H368" i="3"/>
  <c r="I368" i="3"/>
  <c r="J368" i="3"/>
  <c r="K368" i="3"/>
  <c r="L368" i="3"/>
  <c r="M368" i="3"/>
  <c r="H369" i="3"/>
  <c r="I369" i="3"/>
  <c r="J369" i="3"/>
  <c r="K369" i="3"/>
  <c r="L369" i="3"/>
  <c r="M369" i="3"/>
  <c r="H370" i="3"/>
  <c r="I370" i="3"/>
  <c r="J370" i="3"/>
  <c r="K370" i="3"/>
  <c r="L370" i="3"/>
  <c r="M370" i="3"/>
  <c r="H371" i="3"/>
  <c r="I371" i="3"/>
  <c r="J371" i="3"/>
  <c r="K371" i="3"/>
  <c r="L371" i="3"/>
  <c r="M371" i="3"/>
  <c r="H372" i="3"/>
  <c r="I372" i="3"/>
  <c r="J372" i="3"/>
  <c r="K372" i="3"/>
  <c r="L372" i="3"/>
  <c r="M372" i="3"/>
  <c r="H373" i="3"/>
  <c r="I373" i="3"/>
  <c r="J373" i="3"/>
  <c r="K373" i="3"/>
  <c r="L373" i="3"/>
  <c r="M373" i="3"/>
  <c r="H374" i="3"/>
  <c r="I374" i="3"/>
  <c r="J374" i="3"/>
  <c r="K374" i="3"/>
  <c r="L374" i="3"/>
  <c r="M374" i="3"/>
  <c r="H375" i="3"/>
  <c r="I375" i="3"/>
  <c r="J375" i="3"/>
  <c r="K375" i="3"/>
  <c r="L375" i="3"/>
  <c r="M375" i="3"/>
  <c r="H376" i="3"/>
  <c r="I376" i="3"/>
  <c r="J376" i="3"/>
  <c r="K376" i="3"/>
  <c r="L376" i="3"/>
  <c r="M376" i="3"/>
  <c r="H377" i="3"/>
  <c r="I377" i="3"/>
  <c r="J377" i="3"/>
  <c r="K377" i="3"/>
  <c r="L377" i="3"/>
  <c r="M377" i="3"/>
  <c r="H378" i="3"/>
  <c r="I378" i="3"/>
  <c r="J378" i="3"/>
  <c r="K378" i="3"/>
  <c r="L378" i="3"/>
  <c r="M378" i="3"/>
  <c r="H379" i="3"/>
  <c r="I379" i="3"/>
  <c r="J379" i="3"/>
  <c r="K379" i="3"/>
  <c r="L379" i="3"/>
  <c r="M379" i="3"/>
  <c r="H380" i="3"/>
  <c r="I380" i="3"/>
  <c r="J380" i="3"/>
  <c r="K380" i="3"/>
  <c r="L380" i="3"/>
  <c r="M380" i="3"/>
  <c r="H381" i="3"/>
  <c r="I381" i="3"/>
  <c r="J381" i="3"/>
  <c r="K381" i="3"/>
  <c r="L381" i="3"/>
  <c r="M381" i="3"/>
  <c r="H382" i="3"/>
  <c r="I382" i="3"/>
  <c r="J382" i="3"/>
  <c r="K382" i="3"/>
  <c r="L382" i="3"/>
  <c r="M382" i="3"/>
  <c r="H383" i="3"/>
  <c r="I383" i="3"/>
  <c r="J383" i="3"/>
  <c r="K383" i="3"/>
  <c r="L383" i="3"/>
  <c r="M383" i="3"/>
  <c r="H384" i="3"/>
  <c r="I384" i="3"/>
  <c r="J384" i="3"/>
  <c r="K384" i="3"/>
  <c r="L384" i="3"/>
  <c r="M384" i="3"/>
  <c r="H385" i="3"/>
  <c r="I385" i="3"/>
  <c r="J385" i="3"/>
  <c r="K385" i="3"/>
  <c r="L385" i="3"/>
  <c r="M385" i="3"/>
  <c r="H386" i="3"/>
  <c r="I386" i="3"/>
  <c r="J386" i="3"/>
  <c r="K386" i="3"/>
  <c r="L386" i="3"/>
  <c r="M386" i="3"/>
  <c r="H387" i="3"/>
  <c r="I387" i="3"/>
  <c r="J387" i="3"/>
  <c r="K387" i="3"/>
  <c r="L387" i="3"/>
  <c r="M387" i="3"/>
  <c r="H388" i="3"/>
  <c r="I388" i="3"/>
  <c r="J388" i="3"/>
  <c r="K388" i="3"/>
  <c r="L388" i="3"/>
  <c r="M388" i="3"/>
  <c r="H389" i="3"/>
  <c r="I389" i="3"/>
  <c r="J389" i="3"/>
  <c r="K389" i="3"/>
  <c r="L389" i="3"/>
  <c r="M389" i="3"/>
  <c r="H390" i="3"/>
  <c r="I390" i="3"/>
  <c r="J390" i="3"/>
  <c r="K390" i="3"/>
  <c r="L390" i="3"/>
  <c r="M390" i="3"/>
  <c r="H391" i="3"/>
  <c r="I391" i="3"/>
  <c r="J391" i="3"/>
  <c r="K391" i="3"/>
  <c r="L391" i="3"/>
  <c r="M391" i="3"/>
  <c r="H392" i="3"/>
  <c r="I392" i="3"/>
  <c r="J392" i="3"/>
  <c r="K392" i="3"/>
  <c r="L392" i="3"/>
  <c r="M392" i="3"/>
  <c r="H393" i="3"/>
  <c r="I393" i="3"/>
  <c r="J393" i="3"/>
  <c r="K393" i="3"/>
  <c r="L393" i="3"/>
  <c r="M393" i="3"/>
  <c r="H394" i="3"/>
  <c r="I394" i="3"/>
  <c r="J394" i="3"/>
  <c r="K394" i="3"/>
  <c r="L394" i="3"/>
  <c r="M394" i="3"/>
  <c r="H395" i="3"/>
  <c r="I395" i="3"/>
  <c r="J395" i="3"/>
  <c r="K395" i="3"/>
  <c r="L395" i="3"/>
  <c r="M395" i="3"/>
  <c r="H396" i="3"/>
  <c r="I396" i="3"/>
  <c r="J396" i="3"/>
  <c r="K396" i="3"/>
  <c r="L396" i="3"/>
  <c r="M396" i="3"/>
  <c r="H397" i="3"/>
  <c r="I397" i="3"/>
  <c r="J397" i="3"/>
  <c r="K397" i="3"/>
  <c r="L397" i="3"/>
  <c r="M397" i="3"/>
  <c r="H398" i="3"/>
  <c r="I398" i="3"/>
  <c r="J398" i="3"/>
  <c r="K398" i="3"/>
  <c r="L398" i="3"/>
  <c r="M398" i="3"/>
  <c r="H399" i="3"/>
  <c r="I399" i="3"/>
  <c r="J399" i="3"/>
  <c r="K399" i="3"/>
  <c r="L399" i="3"/>
  <c r="M399" i="3"/>
  <c r="H400" i="3"/>
  <c r="I400" i="3"/>
  <c r="J400" i="3"/>
  <c r="K400" i="3"/>
  <c r="L400" i="3"/>
  <c r="M400" i="3"/>
  <c r="H401" i="3"/>
  <c r="I401" i="3"/>
  <c r="J401" i="3"/>
  <c r="K401" i="3"/>
  <c r="L401" i="3"/>
  <c r="M401" i="3"/>
  <c r="H402" i="3"/>
  <c r="I402" i="3"/>
  <c r="J402" i="3"/>
  <c r="K402" i="3"/>
  <c r="L402" i="3"/>
  <c r="M402" i="3"/>
  <c r="H403" i="3"/>
  <c r="I403" i="3"/>
  <c r="J403" i="3"/>
  <c r="K403" i="3"/>
  <c r="L403" i="3"/>
  <c r="M403" i="3"/>
  <c r="H404" i="3"/>
  <c r="I404" i="3"/>
  <c r="J404" i="3"/>
  <c r="K404" i="3"/>
  <c r="L404" i="3"/>
  <c r="M404" i="3"/>
  <c r="H405" i="3"/>
  <c r="I405" i="3"/>
  <c r="J405" i="3"/>
  <c r="K405" i="3"/>
  <c r="L405" i="3"/>
  <c r="M405" i="3"/>
  <c r="H406" i="3"/>
  <c r="I406" i="3"/>
  <c r="J406" i="3"/>
  <c r="K406" i="3"/>
  <c r="L406" i="3"/>
  <c r="M406" i="3"/>
  <c r="H407" i="3"/>
  <c r="I407" i="3"/>
  <c r="J407" i="3"/>
  <c r="K407" i="3"/>
  <c r="L407" i="3"/>
  <c r="M407" i="3"/>
  <c r="H408" i="3"/>
  <c r="I408" i="3"/>
  <c r="J408" i="3"/>
  <c r="K408" i="3"/>
  <c r="L408" i="3"/>
  <c r="M408" i="3"/>
  <c r="H409" i="3"/>
  <c r="I409" i="3"/>
  <c r="J409" i="3"/>
  <c r="K409" i="3"/>
  <c r="L409" i="3"/>
  <c r="M409" i="3"/>
  <c r="H410" i="3"/>
  <c r="I410" i="3"/>
  <c r="J410" i="3"/>
  <c r="K410" i="3"/>
  <c r="L410" i="3"/>
  <c r="M410" i="3"/>
  <c r="H411" i="3"/>
  <c r="I411" i="3"/>
  <c r="J411" i="3"/>
  <c r="K411" i="3"/>
  <c r="L411" i="3"/>
  <c r="M411" i="3"/>
  <c r="H412" i="3"/>
  <c r="I412" i="3"/>
  <c r="J412" i="3"/>
  <c r="K412" i="3"/>
  <c r="L412" i="3"/>
  <c r="M412" i="3"/>
  <c r="H413" i="3"/>
  <c r="I413" i="3"/>
  <c r="J413" i="3"/>
  <c r="K413" i="3"/>
  <c r="L413" i="3"/>
  <c r="M413" i="3"/>
  <c r="H414" i="3"/>
  <c r="I414" i="3"/>
  <c r="J414" i="3"/>
  <c r="K414" i="3"/>
  <c r="L414" i="3"/>
  <c r="M414" i="3"/>
  <c r="H415" i="3"/>
  <c r="I415" i="3"/>
  <c r="J415" i="3"/>
  <c r="K415" i="3"/>
  <c r="L415" i="3"/>
  <c r="M415" i="3"/>
  <c r="H416" i="3"/>
  <c r="I416" i="3"/>
  <c r="J416" i="3"/>
  <c r="K416" i="3"/>
  <c r="L416" i="3"/>
  <c r="M416" i="3"/>
  <c r="H417" i="3"/>
  <c r="I417" i="3"/>
  <c r="J417" i="3"/>
  <c r="K417" i="3"/>
  <c r="L417" i="3"/>
  <c r="M417" i="3"/>
  <c r="H418" i="3"/>
  <c r="I418" i="3"/>
  <c r="J418" i="3"/>
  <c r="K418" i="3"/>
  <c r="L418" i="3"/>
  <c r="M418" i="3"/>
  <c r="H419" i="3"/>
  <c r="I419" i="3"/>
  <c r="J419" i="3"/>
  <c r="K419" i="3"/>
  <c r="L419" i="3"/>
  <c r="M419" i="3"/>
  <c r="H420" i="3"/>
  <c r="I420" i="3"/>
  <c r="J420" i="3"/>
  <c r="K420" i="3"/>
  <c r="L420" i="3"/>
  <c r="M420" i="3"/>
  <c r="H421" i="3"/>
  <c r="I421" i="3"/>
  <c r="J421" i="3"/>
  <c r="K421" i="3"/>
  <c r="L421" i="3"/>
  <c r="M421" i="3"/>
  <c r="H422" i="3"/>
  <c r="I422" i="3"/>
  <c r="J422" i="3"/>
  <c r="K422" i="3"/>
  <c r="L422" i="3"/>
  <c r="M422" i="3"/>
  <c r="H423" i="3"/>
  <c r="I423" i="3"/>
  <c r="J423" i="3"/>
  <c r="K423" i="3"/>
  <c r="L423" i="3"/>
  <c r="M423" i="3"/>
  <c r="H424" i="3"/>
  <c r="I424" i="3"/>
  <c r="J424" i="3"/>
  <c r="K424" i="3"/>
  <c r="L424" i="3"/>
  <c r="M424" i="3"/>
  <c r="H425" i="3"/>
  <c r="I425" i="3"/>
  <c r="J425" i="3"/>
  <c r="K425" i="3"/>
  <c r="L425" i="3"/>
  <c r="M425" i="3"/>
  <c r="H426" i="3"/>
  <c r="I426" i="3"/>
  <c r="J426" i="3"/>
  <c r="K426" i="3"/>
  <c r="L426" i="3"/>
  <c r="M426" i="3"/>
  <c r="H427" i="3"/>
  <c r="I427" i="3"/>
  <c r="J427" i="3"/>
  <c r="K427" i="3"/>
  <c r="L427" i="3"/>
  <c r="M427" i="3"/>
  <c r="H428" i="3"/>
  <c r="I428" i="3"/>
  <c r="J428" i="3"/>
  <c r="K428" i="3"/>
  <c r="L428" i="3"/>
  <c r="M428" i="3"/>
  <c r="H429" i="3"/>
  <c r="I429" i="3"/>
  <c r="J429" i="3"/>
  <c r="K429" i="3"/>
  <c r="L429" i="3"/>
  <c r="M429" i="3"/>
  <c r="H430" i="3"/>
  <c r="I430" i="3"/>
  <c r="J430" i="3"/>
  <c r="K430" i="3"/>
  <c r="L430" i="3"/>
  <c r="M430" i="3"/>
  <c r="H431" i="3"/>
  <c r="I431" i="3"/>
  <c r="J431" i="3"/>
  <c r="K431" i="3"/>
  <c r="L431" i="3"/>
  <c r="M431" i="3"/>
  <c r="H432" i="3"/>
  <c r="I432" i="3"/>
  <c r="J432" i="3"/>
  <c r="K432" i="3"/>
  <c r="L432" i="3"/>
  <c r="M432" i="3"/>
  <c r="H433" i="3"/>
  <c r="I433" i="3"/>
  <c r="J433" i="3"/>
  <c r="K433" i="3"/>
  <c r="L433" i="3"/>
  <c r="M433" i="3"/>
  <c r="H434" i="3"/>
  <c r="I434" i="3"/>
  <c r="J434" i="3"/>
  <c r="K434" i="3"/>
  <c r="L434" i="3"/>
  <c r="M434" i="3"/>
  <c r="H435" i="3"/>
  <c r="I435" i="3"/>
  <c r="J435" i="3"/>
  <c r="K435" i="3"/>
  <c r="L435" i="3"/>
  <c r="M435" i="3"/>
  <c r="H436" i="3"/>
  <c r="I436" i="3"/>
  <c r="J436" i="3"/>
  <c r="K436" i="3"/>
  <c r="L436" i="3"/>
  <c r="M436" i="3"/>
  <c r="H437" i="3"/>
  <c r="I437" i="3"/>
  <c r="J437" i="3"/>
  <c r="K437" i="3"/>
  <c r="L437" i="3"/>
  <c r="M437" i="3"/>
  <c r="H438" i="3"/>
  <c r="I438" i="3"/>
  <c r="J438" i="3"/>
  <c r="K438" i="3"/>
  <c r="L438" i="3"/>
  <c r="M438" i="3"/>
  <c r="H439" i="3"/>
  <c r="I439" i="3"/>
  <c r="J439" i="3"/>
  <c r="K439" i="3"/>
  <c r="L439" i="3"/>
  <c r="M439" i="3"/>
  <c r="H440" i="3"/>
  <c r="I440" i="3"/>
  <c r="J440" i="3"/>
  <c r="K440" i="3"/>
  <c r="L440" i="3"/>
  <c r="M440" i="3"/>
  <c r="H441" i="3"/>
  <c r="I441" i="3"/>
  <c r="J441" i="3"/>
  <c r="K441" i="3"/>
  <c r="L441" i="3"/>
  <c r="M441" i="3"/>
  <c r="H442" i="3"/>
  <c r="I442" i="3"/>
  <c r="J442" i="3"/>
  <c r="K442" i="3"/>
  <c r="L442" i="3"/>
  <c r="M442" i="3"/>
  <c r="H443" i="3"/>
  <c r="I443" i="3"/>
  <c r="J443" i="3"/>
  <c r="K443" i="3"/>
  <c r="L443" i="3"/>
  <c r="M443" i="3"/>
  <c r="H444" i="3"/>
  <c r="I444" i="3"/>
  <c r="J444" i="3"/>
  <c r="K444" i="3"/>
  <c r="L444" i="3"/>
  <c r="M444" i="3"/>
  <c r="H445" i="3"/>
  <c r="I445" i="3"/>
  <c r="J445" i="3"/>
  <c r="K445" i="3"/>
  <c r="L445" i="3"/>
  <c r="M445" i="3"/>
  <c r="H446" i="3"/>
  <c r="I446" i="3"/>
  <c r="J446" i="3"/>
  <c r="K446" i="3"/>
  <c r="L446" i="3"/>
  <c r="M446" i="3"/>
  <c r="H447" i="3"/>
  <c r="I447" i="3"/>
  <c r="J447" i="3"/>
  <c r="K447" i="3"/>
  <c r="L447" i="3"/>
  <c r="M447" i="3"/>
  <c r="H448" i="3"/>
  <c r="I448" i="3"/>
  <c r="J448" i="3"/>
  <c r="K448" i="3"/>
  <c r="L448" i="3"/>
  <c r="M448" i="3"/>
  <c r="H449" i="3"/>
  <c r="I449" i="3"/>
  <c r="J449" i="3"/>
  <c r="K449" i="3"/>
  <c r="L449" i="3"/>
  <c r="M449" i="3"/>
  <c r="H450" i="3"/>
  <c r="I450" i="3"/>
  <c r="J450" i="3"/>
  <c r="K450" i="3"/>
  <c r="L450" i="3"/>
  <c r="M450" i="3"/>
  <c r="H451" i="3"/>
  <c r="I451" i="3"/>
  <c r="J451" i="3"/>
  <c r="K451" i="3"/>
  <c r="L451" i="3"/>
  <c r="M451" i="3"/>
  <c r="H452" i="3"/>
  <c r="I452" i="3"/>
  <c r="J452" i="3"/>
  <c r="K452" i="3"/>
  <c r="L452" i="3"/>
  <c r="M452" i="3"/>
  <c r="H453" i="3"/>
  <c r="I453" i="3"/>
  <c r="J453" i="3"/>
  <c r="K453" i="3"/>
  <c r="L453" i="3"/>
  <c r="M453" i="3"/>
  <c r="H454" i="3"/>
  <c r="I454" i="3"/>
  <c r="J454" i="3"/>
  <c r="K454" i="3"/>
  <c r="L454" i="3"/>
  <c r="M454" i="3"/>
  <c r="H455" i="3"/>
  <c r="I455" i="3"/>
  <c r="J455" i="3"/>
  <c r="K455" i="3"/>
  <c r="L455" i="3"/>
  <c r="M455" i="3"/>
  <c r="H456" i="3"/>
  <c r="I456" i="3"/>
  <c r="J456" i="3"/>
  <c r="K456" i="3"/>
  <c r="L456" i="3"/>
  <c r="M456" i="3"/>
  <c r="H457" i="3"/>
  <c r="I457" i="3"/>
  <c r="J457" i="3"/>
  <c r="K457" i="3"/>
  <c r="L457" i="3"/>
  <c r="M457" i="3"/>
  <c r="H458" i="3"/>
  <c r="I458" i="3"/>
  <c r="J458" i="3"/>
  <c r="K458" i="3"/>
  <c r="L458" i="3"/>
  <c r="M458" i="3"/>
  <c r="H459" i="3"/>
  <c r="I459" i="3"/>
  <c r="J459" i="3"/>
  <c r="K459" i="3"/>
  <c r="L459" i="3"/>
  <c r="M459" i="3"/>
  <c r="H460" i="3"/>
  <c r="I460" i="3"/>
  <c r="J460" i="3"/>
  <c r="K460" i="3"/>
  <c r="L460" i="3"/>
  <c r="M460" i="3"/>
  <c r="H461" i="3"/>
  <c r="I461" i="3"/>
  <c r="J461" i="3"/>
  <c r="K461" i="3"/>
  <c r="L461" i="3"/>
  <c r="M461" i="3"/>
  <c r="H462" i="3"/>
  <c r="I462" i="3"/>
  <c r="J462" i="3"/>
  <c r="K462" i="3"/>
  <c r="L462" i="3"/>
  <c r="M462" i="3"/>
  <c r="H463" i="3"/>
  <c r="I463" i="3"/>
  <c r="J463" i="3"/>
  <c r="K463" i="3"/>
  <c r="L463" i="3"/>
  <c r="M463" i="3"/>
  <c r="H464" i="3"/>
  <c r="I464" i="3"/>
  <c r="J464" i="3"/>
  <c r="K464" i="3"/>
  <c r="L464" i="3"/>
  <c r="M464" i="3"/>
  <c r="H465" i="3"/>
  <c r="I465" i="3"/>
  <c r="J465" i="3"/>
  <c r="K465" i="3"/>
  <c r="L465" i="3"/>
  <c r="M465" i="3"/>
  <c r="H466" i="3"/>
  <c r="I466" i="3"/>
  <c r="J466" i="3"/>
  <c r="K466" i="3"/>
  <c r="L466" i="3"/>
  <c r="M466" i="3"/>
  <c r="H467" i="3"/>
  <c r="I467" i="3"/>
  <c r="J467" i="3"/>
  <c r="K467" i="3"/>
  <c r="L467" i="3"/>
  <c r="M467" i="3"/>
  <c r="H468" i="3"/>
  <c r="I468" i="3"/>
  <c r="J468" i="3"/>
  <c r="K468" i="3"/>
  <c r="L468" i="3"/>
  <c r="M468" i="3"/>
  <c r="H469" i="3"/>
  <c r="I469" i="3"/>
  <c r="J469" i="3"/>
  <c r="K469" i="3"/>
  <c r="L469" i="3"/>
  <c r="M469" i="3"/>
  <c r="H470" i="3"/>
  <c r="I470" i="3"/>
  <c r="J470" i="3"/>
  <c r="K470" i="3"/>
  <c r="L470" i="3"/>
  <c r="M470" i="3"/>
  <c r="H471" i="3"/>
  <c r="I471" i="3"/>
  <c r="J471" i="3"/>
  <c r="K471" i="3"/>
  <c r="L471" i="3"/>
  <c r="M471" i="3"/>
  <c r="H472" i="3"/>
  <c r="I472" i="3"/>
  <c r="J472" i="3"/>
  <c r="K472" i="3"/>
  <c r="L472" i="3"/>
  <c r="M472" i="3"/>
  <c r="H473" i="3"/>
  <c r="I473" i="3"/>
  <c r="J473" i="3"/>
  <c r="K473" i="3"/>
  <c r="L473" i="3"/>
  <c r="M473" i="3"/>
  <c r="H474" i="3"/>
  <c r="I474" i="3"/>
  <c r="J474" i="3"/>
  <c r="K474" i="3"/>
  <c r="L474" i="3"/>
  <c r="M474" i="3"/>
  <c r="H475" i="3"/>
  <c r="I475" i="3"/>
  <c r="J475" i="3"/>
  <c r="K475" i="3"/>
  <c r="L475" i="3"/>
  <c r="M475" i="3"/>
  <c r="H476" i="3"/>
  <c r="I476" i="3"/>
  <c r="J476" i="3"/>
  <c r="K476" i="3"/>
  <c r="L476" i="3"/>
  <c r="M476" i="3"/>
  <c r="H477" i="3"/>
  <c r="I477" i="3"/>
  <c r="J477" i="3"/>
  <c r="K477" i="3"/>
  <c r="L477" i="3"/>
  <c r="M477" i="3"/>
  <c r="H478" i="3"/>
  <c r="I478" i="3"/>
  <c r="J478" i="3"/>
  <c r="K478" i="3"/>
  <c r="L478" i="3"/>
  <c r="M478" i="3"/>
  <c r="H479" i="3"/>
  <c r="I479" i="3"/>
  <c r="J479" i="3"/>
  <c r="K479" i="3"/>
  <c r="L479" i="3"/>
  <c r="M479" i="3"/>
  <c r="H480" i="3"/>
  <c r="I480" i="3"/>
  <c r="J480" i="3"/>
  <c r="K480" i="3"/>
  <c r="L480" i="3"/>
  <c r="M480" i="3"/>
  <c r="H481" i="3"/>
  <c r="I481" i="3"/>
  <c r="J481" i="3"/>
  <c r="K481" i="3"/>
  <c r="L481" i="3"/>
  <c r="M481" i="3"/>
  <c r="H482" i="3"/>
  <c r="I482" i="3"/>
  <c r="J482" i="3"/>
  <c r="K482" i="3"/>
  <c r="L482" i="3"/>
  <c r="M482" i="3"/>
  <c r="H483" i="3"/>
  <c r="I483" i="3"/>
  <c r="J483" i="3"/>
  <c r="K483" i="3"/>
  <c r="L483" i="3"/>
  <c r="M483" i="3"/>
  <c r="H484" i="3"/>
  <c r="I484" i="3"/>
  <c r="J484" i="3"/>
  <c r="K484" i="3"/>
  <c r="L484" i="3"/>
  <c r="M484" i="3"/>
  <c r="H485" i="3"/>
  <c r="I485" i="3"/>
  <c r="J485" i="3"/>
  <c r="K485" i="3"/>
  <c r="L485" i="3"/>
  <c r="M485" i="3"/>
  <c r="H486" i="3"/>
  <c r="I486" i="3"/>
  <c r="J486" i="3"/>
  <c r="K486" i="3"/>
  <c r="L486" i="3"/>
  <c r="M486" i="3"/>
  <c r="H487" i="3"/>
  <c r="I487" i="3"/>
  <c r="J487" i="3"/>
  <c r="K487" i="3"/>
  <c r="L487" i="3"/>
  <c r="M487" i="3"/>
  <c r="H488" i="3"/>
  <c r="I488" i="3"/>
  <c r="J488" i="3"/>
  <c r="K488" i="3"/>
  <c r="L488" i="3"/>
  <c r="M488" i="3"/>
  <c r="H489" i="3"/>
  <c r="I489" i="3"/>
  <c r="J489" i="3"/>
  <c r="K489" i="3"/>
  <c r="L489" i="3"/>
  <c r="M489" i="3"/>
  <c r="H490" i="3"/>
  <c r="I490" i="3"/>
  <c r="J490" i="3"/>
  <c r="K490" i="3"/>
  <c r="L490" i="3"/>
  <c r="M490" i="3"/>
  <c r="H491" i="3"/>
  <c r="I491" i="3"/>
  <c r="J491" i="3"/>
  <c r="K491" i="3"/>
  <c r="L491" i="3"/>
  <c r="M491" i="3"/>
  <c r="H492" i="3"/>
  <c r="I492" i="3"/>
  <c r="J492" i="3"/>
  <c r="K492" i="3"/>
  <c r="L492" i="3"/>
  <c r="M492" i="3"/>
  <c r="H493" i="3"/>
  <c r="I493" i="3"/>
  <c r="J493" i="3"/>
  <c r="K493" i="3"/>
  <c r="L493" i="3"/>
  <c r="M493" i="3"/>
  <c r="H494" i="3"/>
  <c r="I494" i="3"/>
  <c r="J494" i="3"/>
  <c r="K494" i="3"/>
  <c r="L494" i="3"/>
  <c r="M494" i="3"/>
  <c r="H495" i="3"/>
  <c r="I495" i="3"/>
  <c r="J495" i="3"/>
  <c r="K495" i="3"/>
  <c r="L495" i="3"/>
  <c r="M495" i="3"/>
  <c r="H496" i="3"/>
  <c r="I496" i="3"/>
  <c r="J496" i="3"/>
  <c r="K496" i="3"/>
  <c r="L496" i="3"/>
  <c r="M496" i="3"/>
  <c r="H497" i="3"/>
  <c r="I497" i="3"/>
  <c r="J497" i="3"/>
  <c r="K497" i="3"/>
  <c r="L497" i="3"/>
  <c r="M497" i="3"/>
  <c r="H498" i="3"/>
  <c r="I498" i="3"/>
  <c r="J498" i="3"/>
  <c r="K498" i="3"/>
  <c r="L498" i="3"/>
  <c r="M498" i="3"/>
  <c r="H499" i="3"/>
  <c r="I499" i="3"/>
  <c r="J499" i="3"/>
  <c r="K499" i="3"/>
  <c r="L499" i="3"/>
  <c r="M499" i="3"/>
  <c r="H500" i="3"/>
  <c r="I500" i="3"/>
  <c r="J500" i="3"/>
  <c r="K500" i="3"/>
  <c r="L500" i="3"/>
  <c r="M500" i="3"/>
  <c r="H501" i="3"/>
  <c r="I501" i="3"/>
  <c r="J501" i="3"/>
  <c r="K501" i="3"/>
  <c r="L501" i="3"/>
  <c r="M501" i="3"/>
  <c r="H502" i="3"/>
  <c r="I502" i="3"/>
  <c r="J502" i="3"/>
  <c r="K502" i="3"/>
  <c r="L502" i="3"/>
  <c r="M502" i="3"/>
  <c r="H503" i="3"/>
  <c r="I503" i="3"/>
  <c r="J503" i="3"/>
  <c r="K503" i="3"/>
  <c r="L503" i="3"/>
  <c r="M503" i="3"/>
  <c r="H504" i="3"/>
  <c r="I504" i="3"/>
  <c r="J504" i="3"/>
  <c r="K504" i="3"/>
  <c r="L504" i="3"/>
  <c r="M504" i="3"/>
  <c r="H505" i="3"/>
  <c r="I505" i="3"/>
  <c r="J505" i="3"/>
  <c r="K505" i="3"/>
  <c r="L505" i="3"/>
  <c r="M505" i="3"/>
  <c r="H506" i="3"/>
  <c r="I506" i="3"/>
  <c r="J506" i="3"/>
  <c r="K506" i="3"/>
  <c r="L506" i="3"/>
  <c r="M506" i="3"/>
  <c r="H507" i="3"/>
  <c r="I507" i="3"/>
  <c r="J507" i="3"/>
  <c r="K507" i="3"/>
  <c r="L507" i="3"/>
  <c r="M507" i="3"/>
  <c r="H508" i="3"/>
  <c r="I508" i="3"/>
  <c r="J508" i="3"/>
  <c r="K508" i="3"/>
  <c r="L508" i="3"/>
  <c r="M508" i="3"/>
  <c r="H509" i="3"/>
  <c r="I509" i="3"/>
  <c r="J509" i="3"/>
  <c r="K509" i="3"/>
  <c r="L509" i="3"/>
  <c r="M509" i="3"/>
  <c r="H510" i="3"/>
  <c r="I510" i="3"/>
  <c r="J510" i="3"/>
  <c r="K510" i="3"/>
  <c r="L510" i="3"/>
  <c r="M510" i="3"/>
  <c r="H511" i="3"/>
  <c r="I511" i="3"/>
  <c r="J511" i="3"/>
  <c r="K511" i="3"/>
  <c r="L511" i="3"/>
  <c r="M511" i="3"/>
  <c r="H512" i="3"/>
  <c r="I512" i="3"/>
  <c r="J512" i="3"/>
  <c r="K512" i="3"/>
  <c r="L512" i="3"/>
  <c r="M512" i="3"/>
  <c r="H513" i="3"/>
  <c r="I513" i="3"/>
  <c r="J513" i="3"/>
  <c r="K513" i="3"/>
  <c r="L513" i="3"/>
  <c r="M513" i="3"/>
  <c r="H514" i="3"/>
  <c r="I514" i="3"/>
  <c r="J514" i="3"/>
  <c r="K514" i="3"/>
  <c r="L514" i="3"/>
  <c r="M514" i="3"/>
  <c r="H515" i="3"/>
  <c r="I515" i="3"/>
  <c r="J515" i="3"/>
  <c r="K515" i="3"/>
  <c r="L515" i="3"/>
  <c r="M515" i="3"/>
  <c r="H516" i="3"/>
  <c r="I516" i="3"/>
  <c r="J516" i="3"/>
  <c r="K516" i="3"/>
  <c r="L516" i="3"/>
  <c r="M516" i="3"/>
  <c r="H517" i="3"/>
  <c r="I517" i="3"/>
  <c r="J517" i="3"/>
  <c r="K517" i="3"/>
  <c r="L517" i="3"/>
  <c r="M517" i="3"/>
  <c r="H518" i="3"/>
  <c r="I518" i="3"/>
  <c r="J518" i="3"/>
  <c r="K518" i="3"/>
  <c r="L518" i="3"/>
  <c r="M518" i="3"/>
  <c r="H519" i="3"/>
  <c r="I519" i="3"/>
  <c r="J519" i="3"/>
  <c r="K519" i="3"/>
  <c r="L519" i="3"/>
  <c r="M519" i="3"/>
  <c r="H520" i="3"/>
  <c r="I520" i="3"/>
  <c r="J520" i="3"/>
  <c r="K520" i="3"/>
  <c r="L520" i="3"/>
  <c r="M520" i="3"/>
  <c r="H521" i="3"/>
  <c r="I521" i="3"/>
  <c r="J521" i="3"/>
  <c r="K521" i="3"/>
  <c r="L521" i="3"/>
  <c r="M521" i="3"/>
  <c r="H522" i="3"/>
  <c r="I522" i="3"/>
  <c r="J522" i="3"/>
  <c r="K522" i="3"/>
  <c r="L522" i="3"/>
  <c r="M522" i="3"/>
  <c r="H523" i="3"/>
  <c r="I523" i="3"/>
  <c r="J523" i="3"/>
  <c r="K523" i="3"/>
  <c r="L523" i="3"/>
  <c r="M523" i="3"/>
  <c r="H524" i="3"/>
  <c r="I524" i="3"/>
  <c r="J524" i="3"/>
  <c r="K524" i="3"/>
  <c r="L524" i="3"/>
  <c r="M524" i="3"/>
  <c r="H525" i="3"/>
  <c r="I525" i="3"/>
  <c r="J525" i="3"/>
  <c r="K525" i="3"/>
  <c r="L525" i="3"/>
  <c r="M525" i="3"/>
  <c r="H526" i="3"/>
  <c r="I526" i="3"/>
  <c r="J526" i="3"/>
  <c r="K526" i="3"/>
  <c r="L526" i="3"/>
  <c r="M526" i="3"/>
  <c r="H527" i="3"/>
  <c r="I527" i="3"/>
  <c r="J527" i="3"/>
  <c r="K527" i="3"/>
  <c r="L527" i="3"/>
  <c r="M527" i="3"/>
  <c r="H528" i="3"/>
  <c r="I528" i="3"/>
  <c r="J528" i="3"/>
  <c r="K528" i="3"/>
  <c r="L528" i="3"/>
  <c r="M528" i="3"/>
  <c r="H529" i="3"/>
  <c r="I529" i="3"/>
  <c r="J529" i="3"/>
  <c r="K529" i="3"/>
  <c r="L529" i="3"/>
  <c r="M529" i="3"/>
  <c r="H530" i="3"/>
  <c r="I530" i="3"/>
  <c r="J530" i="3"/>
  <c r="K530" i="3"/>
  <c r="L530" i="3"/>
  <c r="M530" i="3"/>
  <c r="H531" i="3"/>
  <c r="I531" i="3"/>
  <c r="J531" i="3"/>
  <c r="K531" i="3"/>
  <c r="L531" i="3"/>
  <c r="M531" i="3"/>
  <c r="H532" i="3"/>
  <c r="I532" i="3"/>
  <c r="J532" i="3"/>
  <c r="K532" i="3"/>
  <c r="L532" i="3"/>
  <c r="M532" i="3"/>
  <c r="H533" i="3"/>
  <c r="I533" i="3"/>
  <c r="J533" i="3"/>
  <c r="K533" i="3"/>
  <c r="L533" i="3"/>
  <c r="M533" i="3"/>
  <c r="H534" i="3"/>
  <c r="I534" i="3"/>
  <c r="J534" i="3"/>
  <c r="K534" i="3"/>
  <c r="L534" i="3"/>
  <c r="M534" i="3"/>
  <c r="H535" i="3"/>
  <c r="I535" i="3"/>
  <c r="J535" i="3"/>
  <c r="K535" i="3"/>
  <c r="L535" i="3"/>
  <c r="M535" i="3"/>
  <c r="H536" i="3"/>
  <c r="I536" i="3"/>
  <c r="J536" i="3"/>
  <c r="K536" i="3"/>
  <c r="L536" i="3"/>
  <c r="M536" i="3"/>
  <c r="H537" i="3"/>
  <c r="I537" i="3"/>
  <c r="J537" i="3"/>
  <c r="K537" i="3"/>
  <c r="L537" i="3"/>
  <c r="M537" i="3"/>
  <c r="H538" i="3"/>
  <c r="I538" i="3"/>
  <c r="J538" i="3"/>
  <c r="K538" i="3"/>
  <c r="L538" i="3"/>
  <c r="M538" i="3"/>
  <c r="H539" i="3"/>
  <c r="I539" i="3"/>
  <c r="J539" i="3"/>
  <c r="K539" i="3"/>
  <c r="L539" i="3"/>
  <c r="M539" i="3"/>
  <c r="H540" i="3"/>
  <c r="I540" i="3"/>
  <c r="J540" i="3"/>
  <c r="K540" i="3"/>
  <c r="L540" i="3"/>
  <c r="M540" i="3"/>
  <c r="H541" i="3"/>
  <c r="I541" i="3"/>
  <c r="J541" i="3"/>
  <c r="K541" i="3"/>
  <c r="L541" i="3"/>
  <c r="M541" i="3"/>
  <c r="H542" i="3"/>
  <c r="I542" i="3"/>
  <c r="J542" i="3"/>
  <c r="K542" i="3"/>
  <c r="L542" i="3"/>
  <c r="M542" i="3"/>
  <c r="H543" i="3"/>
  <c r="I543" i="3"/>
  <c r="J543" i="3"/>
  <c r="K543" i="3"/>
  <c r="L543" i="3"/>
  <c r="M543" i="3"/>
  <c r="H544" i="3"/>
  <c r="I544" i="3"/>
  <c r="J544" i="3"/>
  <c r="K544" i="3"/>
  <c r="L544" i="3"/>
  <c r="M544" i="3"/>
  <c r="H545" i="3"/>
  <c r="I545" i="3"/>
  <c r="J545" i="3"/>
  <c r="K545" i="3"/>
  <c r="L545" i="3"/>
  <c r="M545" i="3"/>
  <c r="H546" i="3"/>
  <c r="I546" i="3"/>
  <c r="J546" i="3"/>
  <c r="K546" i="3"/>
  <c r="L546" i="3"/>
  <c r="M546" i="3"/>
  <c r="H547" i="3"/>
  <c r="I547" i="3"/>
  <c r="J547" i="3"/>
  <c r="K547" i="3"/>
  <c r="L547" i="3"/>
  <c r="M547" i="3"/>
  <c r="H548" i="3"/>
  <c r="I548" i="3"/>
  <c r="J548" i="3"/>
  <c r="K548" i="3"/>
  <c r="L548" i="3"/>
  <c r="M548" i="3"/>
  <c r="H549" i="3"/>
  <c r="I549" i="3"/>
  <c r="J549" i="3"/>
  <c r="K549" i="3"/>
  <c r="L549" i="3"/>
  <c r="M549" i="3"/>
  <c r="H550" i="3"/>
  <c r="I550" i="3"/>
  <c r="J550" i="3"/>
  <c r="K550" i="3"/>
  <c r="L550" i="3"/>
  <c r="M550" i="3"/>
  <c r="H551" i="3"/>
  <c r="I551" i="3"/>
  <c r="J551" i="3"/>
  <c r="K551" i="3"/>
  <c r="L551" i="3"/>
  <c r="M551" i="3"/>
  <c r="H552" i="3"/>
  <c r="I552" i="3"/>
  <c r="J552" i="3"/>
  <c r="K552" i="3"/>
  <c r="L552" i="3"/>
  <c r="M552" i="3"/>
  <c r="H553" i="3"/>
  <c r="I553" i="3"/>
  <c r="J553" i="3"/>
  <c r="K553" i="3"/>
  <c r="L553" i="3"/>
  <c r="M553" i="3"/>
  <c r="H554" i="3"/>
  <c r="I554" i="3"/>
  <c r="J554" i="3"/>
  <c r="K554" i="3"/>
  <c r="L554" i="3"/>
  <c r="M554" i="3"/>
  <c r="H555" i="3"/>
  <c r="I555" i="3"/>
  <c r="J555" i="3"/>
  <c r="K555" i="3"/>
  <c r="L555" i="3"/>
  <c r="M555" i="3"/>
  <c r="H556" i="3"/>
  <c r="I556" i="3"/>
  <c r="J556" i="3"/>
  <c r="K556" i="3"/>
  <c r="L556" i="3"/>
  <c r="M556" i="3"/>
  <c r="H557" i="3"/>
  <c r="I557" i="3"/>
  <c r="J557" i="3"/>
  <c r="K557" i="3"/>
  <c r="L557" i="3"/>
  <c r="M557" i="3"/>
  <c r="H558" i="3"/>
  <c r="I558" i="3"/>
  <c r="J558" i="3"/>
  <c r="K558" i="3"/>
  <c r="L558" i="3"/>
  <c r="M558" i="3"/>
  <c r="H559" i="3"/>
  <c r="I559" i="3"/>
  <c r="J559" i="3"/>
  <c r="K559" i="3"/>
  <c r="L559" i="3"/>
  <c r="M559" i="3"/>
  <c r="H560" i="3"/>
  <c r="I560" i="3"/>
  <c r="J560" i="3"/>
  <c r="K560" i="3"/>
  <c r="L560" i="3"/>
  <c r="M560" i="3"/>
  <c r="H561" i="3"/>
  <c r="I561" i="3"/>
  <c r="J561" i="3"/>
  <c r="K561" i="3"/>
  <c r="L561" i="3"/>
  <c r="M561" i="3"/>
  <c r="H562" i="3"/>
  <c r="I562" i="3"/>
  <c r="J562" i="3"/>
  <c r="K562" i="3"/>
  <c r="L562" i="3"/>
  <c r="M562" i="3"/>
  <c r="H563" i="3"/>
  <c r="I563" i="3"/>
  <c r="J563" i="3"/>
  <c r="K563" i="3"/>
  <c r="L563" i="3"/>
  <c r="M563" i="3"/>
  <c r="H564" i="3"/>
  <c r="I564" i="3"/>
  <c r="J564" i="3"/>
  <c r="K564" i="3"/>
  <c r="L564" i="3"/>
  <c r="M564" i="3"/>
  <c r="H565" i="3"/>
  <c r="I565" i="3"/>
  <c r="J565" i="3"/>
  <c r="K565" i="3"/>
  <c r="L565" i="3"/>
  <c r="M565" i="3"/>
  <c r="H566" i="3"/>
  <c r="I566" i="3"/>
  <c r="J566" i="3"/>
  <c r="K566" i="3"/>
  <c r="L566" i="3"/>
  <c r="M566" i="3"/>
  <c r="H567" i="3"/>
  <c r="I567" i="3"/>
  <c r="J567" i="3"/>
  <c r="K567" i="3"/>
  <c r="L567" i="3"/>
  <c r="M567" i="3"/>
  <c r="H568" i="3"/>
  <c r="I568" i="3"/>
  <c r="J568" i="3"/>
  <c r="K568" i="3"/>
  <c r="L568" i="3"/>
  <c r="M568" i="3"/>
  <c r="H569" i="3"/>
  <c r="I569" i="3"/>
  <c r="J569" i="3"/>
  <c r="K569" i="3"/>
  <c r="L569" i="3"/>
  <c r="M569" i="3"/>
  <c r="H570" i="3"/>
  <c r="I570" i="3"/>
  <c r="J570" i="3"/>
  <c r="K570" i="3"/>
  <c r="L570" i="3"/>
  <c r="M570" i="3"/>
  <c r="H571" i="3"/>
  <c r="I571" i="3"/>
  <c r="J571" i="3"/>
  <c r="K571" i="3"/>
  <c r="L571" i="3"/>
  <c r="M571" i="3"/>
  <c r="H572" i="3"/>
  <c r="I572" i="3"/>
  <c r="J572" i="3"/>
  <c r="K572" i="3"/>
  <c r="L572" i="3"/>
  <c r="M572" i="3"/>
  <c r="H573" i="3"/>
  <c r="I573" i="3"/>
  <c r="J573" i="3"/>
  <c r="K573" i="3"/>
  <c r="L573" i="3"/>
  <c r="M573" i="3"/>
  <c r="H574" i="3"/>
  <c r="I574" i="3"/>
  <c r="J574" i="3"/>
  <c r="K574" i="3"/>
  <c r="L574" i="3"/>
  <c r="M574" i="3"/>
  <c r="H575" i="3"/>
  <c r="I575" i="3"/>
  <c r="J575" i="3"/>
  <c r="K575" i="3"/>
  <c r="L575" i="3"/>
  <c r="M575" i="3"/>
  <c r="H576" i="3"/>
  <c r="I576" i="3"/>
  <c r="J576" i="3"/>
  <c r="K576" i="3"/>
  <c r="L576" i="3"/>
  <c r="M576" i="3"/>
  <c r="H577" i="3"/>
  <c r="I577" i="3"/>
  <c r="J577" i="3"/>
  <c r="K577" i="3"/>
  <c r="L577" i="3"/>
  <c r="M577" i="3"/>
  <c r="H578" i="3"/>
  <c r="I578" i="3"/>
  <c r="J578" i="3"/>
  <c r="K578" i="3"/>
  <c r="L578" i="3"/>
  <c r="M578" i="3"/>
  <c r="H579" i="3"/>
  <c r="I579" i="3"/>
  <c r="J579" i="3"/>
  <c r="K579" i="3"/>
  <c r="L579" i="3"/>
  <c r="M579" i="3"/>
  <c r="H580" i="3"/>
  <c r="I580" i="3"/>
  <c r="J580" i="3"/>
  <c r="K580" i="3"/>
  <c r="L580" i="3"/>
  <c r="M580" i="3"/>
  <c r="H581" i="3"/>
  <c r="I581" i="3"/>
  <c r="J581" i="3"/>
  <c r="K581" i="3"/>
  <c r="L581" i="3"/>
  <c r="M581" i="3"/>
  <c r="H582" i="3"/>
  <c r="I582" i="3"/>
  <c r="J582" i="3"/>
  <c r="K582" i="3"/>
  <c r="L582" i="3"/>
  <c r="M582" i="3"/>
  <c r="H583" i="3"/>
  <c r="I583" i="3"/>
  <c r="J583" i="3"/>
  <c r="K583" i="3"/>
  <c r="L583" i="3"/>
  <c r="M583" i="3"/>
  <c r="H584" i="3"/>
  <c r="I584" i="3"/>
  <c r="J584" i="3"/>
  <c r="K584" i="3"/>
  <c r="L584" i="3"/>
  <c r="M584" i="3"/>
  <c r="H585" i="3"/>
  <c r="I585" i="3"/>
  <c r="J585" i="3"/>
  <c r="K585" i="3"/>
  <c r="L585" i="3"/>
  <c r="M585" i="3"/>
  <c r="H586" i="3"/>
  <c r="I586" i="3"/>
  <c r="J586" i="3"/>
  <c r="K586" i="3"/>
  <c r="L586" i="3"/>
  <c r="M586" i="3"/>
  <c r="H587" i="3"/>
  <c r="I587" i="3"/>
  <c r="J587" i="3"/>
  <c r="K587" i="3"/>
  <c r="L587" i="3"/>
  <c r="M587" i="3"/>
  <c r="H588" i="3"/>
  <c r="I588" i="3"/>
  <c r="J588" i="3"/>
  <c r="K588" i="3"/>
  <c r="L588" i="3"/>
  <c r="M588" i="3"/>
  <c r="H589" i="3"/>
  <c r="I589" i="3"/>
  <c r="J589" i="3"/>
  <c r="K589" i="3"/>
  <c r="L589" i="3"/>
  <c r="M589" i="3"/>
  <c r="H590" i="3"/>
  <c r="I590" i="3"/>
  <c r="J590" i="3"/>
  <c r="K590" i="3"/>
  <c r="L590" i="3"/>
  <c r="M590" i="3"/>
  <c r="H591" i="3"/>
  <c r="I591" i="3"/>
  <c r="J591" i="3"/>
  <c r="K591" i="3"/>
  <c r="L591" i="3"/>
  <c r="M591" i="3"/>
  <c r="H592" i="3"/>
  <c r="I592" i="3"/>
  <c r="J592" i="3"/>
  <c r="K592" i="3"/>
  <c r="L592" i="3"/>
  <c r="M592" i="3"/>
  <c r="H593" i="3"/>
  <c r="I593" i="3"/>
  <c r="J593" i="3"/>
  <c r="K593" i="3"/>
  <c r="L593" i="3"/>
  <c r="M593" i="3"/>
  <c r="H594" i="3"/>
  <c r="I594" i="3"/>
  <c r="J594" i="3"/>
  <c r="K594" i="3"/>
  <c r="L594" i="3"/>
  <c r="M594" i="3"/>
  <c r="H595" i="3"/>
  <c r="I595" i="3"/>
  <c r="J595" i="3"/>
  <c r="K595" i="3"/>
  <c r="L595" i="3"/>
  <c r="M595" i="3"/>
  <c r="H596" i="3"/>
  <c r="I596" i="3"/>
  <c r="J596" i="3"/>
  <c r="K596" i="3"/>
  <c r="L596" i="3"/>
  <c r="M596" i="3"/>
  <c r="H597" i="3"/>
  <c r="I597" i="3"/>
  <c r="J597" i="3"/>
  <c r="K597" i="3"/>
  <c r="L597" i="3"/>
  <c r="M597" i="3"/>
  <c r="H598" i="3"/>
  <c r="I598" i="3"/>
  <c r="J598" i="3"/>
  <c r="K598" i="3"/>
  <c r="L598" i="3"/>
  <c r="M598" i="3"/>
  <c r="H599" i="3"/>
  <c r="I599" i="3"/>
  <c r="J599" i="3"/>
  <c r="K599" i="3"/>
  <c r="L599" i="3"/>
  <c r="M599" i="3"/>
  <c r="H600" i="3"/>
  <c r="I600" i="3"/>
  <c r="J600" i="3"/>
  <c r="K600" i="3"/>
  <c r="L600" i="3"/>
  <c r="M600" i="3"/>
  <c r="H601" i="3"/>
  <c r="I601" i="3"/>
  <c r="J601" i="3"/>
  <c r="K601" i="3"/>
  <c r="L601" i="3"/>
  <c r="M601" i="3"/>
  <c r="H602" i="3"/>
  <c r="I602" i="3"/>
  <c r="J602" i="3"/>
  <c r="K602" i="3"/>
  <c r="L602" i="3"/>
  <c r="M602" i="3"/>
  <c r="H603" i="3"/>
  <c r="I603" i="3"/>
  <c r="J603" i="3"/>
  <c r="K603" i="3"/>
  <c r="L603" i="3"/>
  <c r="M603" i="3"/>
  <c r="H604" i="3"/>
  <c r="I604" i="3"/>
  <c r="J604" i="3"/>
  <c r="K604" i="3"/>
  <c r="L604" i="3"/>
  <c r="M604" i="3"/>
  <c r="H605" i="3"/>
  <c r="I605" i="3"/>
  <c r="J605" i="3"/>
  <c r="K605" i="3"/>
  <c r="L605" i="3"/>
  <c r="M605" i="3"/>
  <c r="H606" i="3"/>
  <c r="I606" i="3"/>
  <c r="J606" i="3"/>
  <c r="K606" i="3"/>
  <c r="L606" i="3"/>
  <c r="M606" i="3"/>
  <c r="H607" i="3"/>
  <c r="I607" i="3"/>
  <c r="J607" i="3"/>
  <c r="K607" i="3"/>
  <c r="L607" i="3"/>
  <c r="M607" i="3"/>
  <c r="H608" i="3"/>
  <c r="I608" i="3"/>
  <c r="J608" i="3"/>
  <c r="K608" i="3"/>
  <c r="L608" i="3"/>
  <c r="M608" i="3"/>
  <c r="H609" i="3"/>
  <c r="I609" i="3"/>
  <c r="J609" i="3"/>
  <c r="K609" i="3"/>
  <c r="L609" i="3"/>
  <c r="M609" i="3"/>
  <c r="H610" i="3"/>
  <c r="I610" i="3"/>
  <c r="J610" i="3"/>
  <c r="K610" i="3"/>
  <c r="L610" i="3"/>
  <c r="M610" i="3"/>
  <c r="H611" i="3"/>
  <c r="I611" i="3"/>
  <c r="J611" i="3"/>
  <c r="K611" i="3"/>
  <c r="L611" i="3"/>
  <c r="M611" i="3"/>
  <c r="H612" i="3"/>
  <c r="I612" i="3"/>
  <c r="J612" i="3"/>
  <c r="K612" i="3"/>
  <c r="L612" i="3"/>
  <c r="M612" i="3"/>
  <c r="H613" i="3"/>
  <c r="I613" i="3"/>
  <c r="J613" i="3"/>
  <c r="K613" i="3"/>
  <c r="L613" i="3"/>
  <c r="M613" i="3"/>
  <c r="H614" i="3"/>
  <c r="I614" i="3"/>
  <c r="J614" i="3"/>
  <c r="K614" i="3"/>
  <c r="L614" i="3"/>
  <c r="M614" i="3"/>
  <c r="H615" i="3"/>
  <c r="I615" i="3"/>
  <c r="J615" i="3"/>
  <c r="K615" i="3"/>
  <c r="L615" i="3"/>
  <c r="M615" i="3"/>
  <c r="H616" i="3"/>
  <c r="I616" i="3"/>
  <c r="J616" i="3"/>
  <c r="K616" i="3"/>
  <c r="L616" i="3"/>
  <c r="M616" i="3"/>
  <c r="H617" i="3"/>
  <c r="I617" i="3"/>
  <c r="J617" i="3"/>
  <c r="K617" i="3"/>
  <c r="L617" i="3"/>
  <c r="M617" i="3"/>
  <c r="H618" i="3"/>
  <c r="I618" i="3"/>
  <c r="J618" i="3"/>
  <c r="K618" i="3"/>
  <c r="L618" i="3"/>
  <c r="M618" i="3"/>
  <c r="H619" i="3"/>
  <c r="I619" i="3"/>
  <c r="J619" i="3"/>
  <c r="K619" i="3"/>
  <c r="L619" i="3"/>
  <c r="M619" i="3"/>
  <c r="H620" i="3"/>
  <c r="I620" i="3"/>
  <c r="J620" i="3"/>
  <c r="K620" i="3"/>
  <c r="L620" i="3"/>
  <c r="M620" i="3"/>
  <c r="H621" i="3"/>
  <c r="I621" i="3"/>
  <c r="J621" i="3"/>
  <c r="K621" i="3"/>
  <c r="L621" i="3"/>
  <c r="M621" i="3"/>
  <c r="H622" i="3"/>
  <c r="I622" i="3"/>
  <c r="J622" i="3"/>
  <c r="K622" i="3"/>
  <c r="L622" i="3"/>
  <c r="M622" i="3"/>
  <c r="H623" i="3"/>
  <c r="I623" i="3"/>
  <c r="J623" i="3"/>
  <c r="K623" i="3"/>
  <c r="L623" i="3"/>
  <c r="M623" i="3"/>
  <c r="H624" i="3"/>
  <c r="I624" i="3"/>
  <c r="J624" i="3"/>
  <c r="K624" i="3"/>
  <c r="L624" i="3"/>
  <c r="M624" i="3"/>
  <c r="H625" i="3"/>
  <c r="I625" i="3"/>
  <c r="J625" i="3"/>
  <c r="K625" i="3"/>
  <c r="L625" i="3"/>
  <c r="M625" i="3"/>
  <c r="H626" i="3"/>
  <c r="I626" i="3"/>
  <c r="J626" i="3"/>
  <c r="K626" i="3"/>
  <c r="L626" i="3"/>
  <c r="M626" i="3"/>
  <c r="H627" i="3"/>
  <c r="I627" i="3"/>
  <c r="J627" i="3"/>
  <c r="K627" i="3"/>
  <c r="L627" i="3"/>
  <c r="M627" i="3"/>
  <c r="H628" i="3"/>
  <c r="I628" i="3"/>
  <c r="J628" i="3"/>
  <c r="K628" i="3"/>
  <c r="L628" i="3"/>
  <c r="M628" i="3"/>
  <c r="H629" i="3"/>
  <c r="I629" i="3"/>
  <c r="J629" i="3"/>
  <c r="K629" i="3"/>
  <c r="L629" i="3"/>
  <c r="M629" i="3"/>
  <c r="H630" i="3"/>
  <c r="I630" i="3"/>
  <c r="J630" i="3"/>
  <c r="K630" i="3"/>
  <c r="L630" i="3"/>
  <c r="M630" i="3"/>
  <c r="H631" i="3"/>
  <c r="I631" i="3"/>
  <c r="J631" i="3"/>
  <c r="K631" i="3"/>
  <c r="L631" i="3"/>
  <c r="M631" i="3"/>
  <c r="H632" i="3"/>
  <c r="I632" i="3"/>
  <c r="J632" i="3"/>
  <c r="K632" i="3"/>
  <c r="L632" i="3"/>
  <c r="M632" i="3"/>
  <c r="H633" i="3"/>
  <c r="I633" i="3"/>
  <c r="J633" i="3"/>
  <c r="K633" i="3"/>
  <c r="L633" i="3"/>
  <c r="M633" i="3"/>
  <c r="H634" i="3"/>
  <c r="I634" i="3"/>
  <c r="J634" i="3"/>
  <c r="K634" i="3"/>
  <c r="L634" i="3"/>
  <c r="M634" i="3"/>
  <c r="H635" i="3"/>
  <c r="I635" i="3"/>
  <c r="J635" i="3"/>
  <c r="K635" i="3"/>
  <c r="L635" i="3"/>
  <c r="M635" i="3"/>
  <c r="H636" i="3"/>
  <c r="I636" i="3"/>
  <c r="J636" i="3"/>
  <c r="K636" i="3"/>
  <c r="L636" i="3"/>
  <c r="M636" i="3"/>
  <c r="H637" i="3"/>
  <c r="I637" i="3"/>
  <c r="J637" i="3"/>
  <c r="K637" i="3"/>
  <c r="L637" i="3"/>
  <c r="M637" i="3"/>
  <c r="H638" i="3"/>
  <c r="I638" i="3"/>
  <c r="J638" i="3"/>
  <c r="K638" i="3"/>
  <c r="L638" i="3"/>
  <c r="M638" i="3"/>
  <c r="H639" i="3"/>
  <c r="I639" i="3"/>
  <c r="J639" i="3"/>
  <c r="K639" i="3"/>
  <c r="L639" i="3"/>
  <c r="M639" i="3"/>
  <c r="H640" i="3"/>
  <c r="I640" i="3"/>
  <c r="J640" i="3"/>
  <c r="K640" i="3"/>
  <c r="L640" i="3"/>
  <c r="M640" i="3"/>
  <c r="H641" i="3"/>
  <c r="I641" i="3"/>
  <c r="J641" i="3"/>
  <c r="K641" i="3"/>
  <c r="L641" i="3"/>
  <c r="M641" i="3"/>
  <c r="H642" i="3"/>
  <c r="I642" i="3"/>
  <c r="J642" i="3"/>
  <c r="K642" i="3"/>
  <c r="L642" i="3"/>
  <c r="M642" i="3"/>
  <c r="H643" i="3"/>
  <c r="I643" i="3"/>
  <c r="J643" i="3"/>
  <c r="K643" i="3"/>
  <c r="L643" i="3"/>
  <c r="M643" i="3"/>
  <c r="H644" i="3"/>
  <c r="I644" i="3"/>
  <c r="J644" i="3"/>
  <c r="K644" i="3"/>
  <c r="L644" i="3"/>
  <c r="M644" i="3"/>
  <c r="H645" i="3"/>
  <c r="I645" i="3"/>
  <c r="J645" i="3"/>
  <c r="K645" i="3"/>
  <c r="L645" i="3"/>
  <c r="M645" i="3"/>
  <c r="H646" i="3"/>
  <c r="I646" i="3"/>
  <c r="J646" i="3"/>
  <c r="K646" i="3"/>
  <c r="L646" i="3"/>
  <c r="M646" i="3"/>
  <c r="H647" i="3"/>
  <c r="I647" i="3"/>
  <c r="J647" i="3"/>
  <c r="K647" i="3"/>
  <c r="L647" i="3"/>
  <c r="M647" i="3"/>
  <c r="H648" i="3"/>
  <c r="I648" i="3"/>
  <c r="J648" i="3"/>
  <c r="K648" i="3"/>
  <c r="L648" i="3"/>
  <c r="M648" i="3"/>
  <c r="H649" i="3"/>
  <c r="I649" i="3"/>
  <c r="J649" i="3"/>
  <c r="K649" i="3"/>
  <c r="L649" i="3"/>
  <c r="M649" i="3"/>
  <c r="H650" i="3"/>
  <c r="I650" i="3"/>
  <c r="J650" i="3"/>
  <c r="K650" i="3"/>
  <c r="L650" i="3"/>
  <c r="M650" i="3"/>
  <c r="H651" i="3"/>
  <c r="I651" i="3"/>
  <c r="J651" i="3"/>
  <c r="K651" i="3"/>
  <c r="L651" i="3"/>
  <c r="M651" i="3"/>
  <c r="H652" i="3"/>
  <c r="I652" i="3"/>
  <c r="J652" i="3"/>
  <c r="K652" i="3"/>
  <c r="L652" i="3"/>
  <c r="M652" i="3"/>
  <c r="H653" i="3"/>
  <c r="I653" i="3"/>
  <c r="J653" i="3"/>
  <c r="K653" i="3"/>
  <c r="L653" i="3"/>
  <c r="M653" i="3"/>
  <c r="H654" i="3"/>
  <c r="I654" i="3"/>
  <c r="J654" i="3"/>
  <c r="K654" i="3"/>
  <c r="L654" i="3"/>
  <c r="M654" i="3"/>
  <c r="H655" i="3"/>
  <c r="I655" i="3"/>
  <c r="J655" i="3"/>
  <c r="K655" i="3"/>
  <c r="L655" i="3"/>
  <c r="M655" i="3"/>
  <c r="H656" i="3"/>
  <c r="I656" i="3"/>
  <c r="J656" i="3"/>
  <c r="K656" i="3"/>
  <c r="L656" i="3"/>
  <c r="M656" i="3"/>
  <c r="H657" i="3"/>
  <c r="I657" i="3"/>
  <c r="J657" i="3"/>
  <c r="K657" i="3"/>
  <c r="L657" i="3"/>
  <c r="M657" i="3"/>
  <c r="H658" i="3"/>
  <c r="I658" i="3"/>
  <c r="J658" i="3"/>
  <c r="K658" i="3"/>
  <c r="L658" i="3"/>
  <c r="M658" i="3"/>
  <c r="H659" i="3"/>
  <c r="I659" i="3"/>
  <c r="J659" i="3"/>
  <c r="K659" i="3"/>
  <c r="L659" i="3"/>
  <c r="M659" i="3"/>
  <c r="H660" i="3"/>
  <c r="I660" i="3"/>
  <c r="J660" i="3"/>
  <c r="K660" i="3"/>
  <c r="L660" i="3"/>
  <c r="M660" i="3"/>
  <c r="H661" i="3"/>
  <c r="I661" i="3"/>
  <c r="J661" i="3"/>
  <c r="K661" i="3"/>
  <c r="L661" i="3"/>
  <c r="M661" i="3"/>
  <c r="H662" i="3"/>
  <c r="I662" i="3"/>
  <c r="J662" i="3"/>
  <c r="K662" i="3"/>
  <c r="L662" i="3"/>
  <c r="M662" i="3"/>
  <c r="H663" i="3"/>
  <c r="I663" i="3"/>
  <c r="J663" i="3"/>
  <c r="K663" i="3"/>
  <c r="L663" i="3"/>
  <c r="M663" i="3"/>
  <c r="H664" i="3"/>
  <c r="I664" i="3"/>
  <c r="J664" i="3"/>
  <c r="K664" i="3"/>
  <c r="L664" i="3"/>
  <c r="M664" i="3"/>
  <c r="H665" i="3"/>
  <c r="I665" i="3"/>
  <c r="J665" i="3"/>
  <c r="K665" i="3"/>
  <c r="L665" i="3"/>
  <c r="M665" i="3"/>
  <c r="H666" i="3"/>
  <c r="I666" i="3"/>
  <c r="J666" i="3"/>
  <c r="K666" i="3"/>
  <c r="L666" i="3"/>
  <c r="M666" i="3"/>
  <c r="H667" i="3"/>
  <c r="I667" i="3"/>
  <c r="J667" i="3"/>
  <c r="K667" i="3"/>
  <c r="L667" i="3"/>
  <c r="M667" i="3"/>
  <c r="H668" i="3"/>
  <c r="I668" i="3"/>
  <c r="J668" i="3"/>
  <c r="K668" i="3"/>
  <c r="L668" i="3"/>
  <c r="M668" i="3"/>
  <c r="H669" i="3"/>
  <c r="I669" i="3"/>
  <c r="J669" i="3"/>
  <c r="K669" i="3"/>
  <c r="L669" i="3"/>
  <c r="M669" i="3"/>
  <c r="H670" i="3"/>
  <c r="I670" i="3"/>
  <c r="J670" i="3"/>
  <c r="K670" i="3"/>
  <c r="L670" i="3"/>
  <c r="M670" i="3"/>
  <c r="H671" i="3"/>
  <c r="I671" i="3"/>
  <c r="J671" i="3"/>
  <c r="K671" i="3"/>
  <c r="L671" i="3"/>
  <c r="M671" i="3"/>
  <c r="H672" i="3"/>
  <c r="I672" i="3"/>
  <c r="J672" i="3"/>
  <c r="K672" i="3"/>
  <c r="L672" i="3"/>
  <c r="M672" i="3"/>
  <c r="H673" i="3"/>
  <c r="I673" i="3"/>
  <c r="J673" i="3"/>
  <c r="K673" i="3"/>
  <c r="L673" i="3"/>
  <c r="M673" i="3"/>
  <c r="H674" i="3"/>
  <c r="I674" i="3"/>
  <c r="J674" i="3"/>
  <c r="K674" i="3"/>
  <c r="L674" i="3"/>
  <c r="M674" i="3"/>
  <c r="H675" i="3"/>
  <c r="I675" i="3"/>
  <c r="J675" i="3"/>
  <c r="K675" i="3"/>
  <c r="L675" i="3"/>
  <c r="M675" i="3"/>
  <c r="H676" i="3"/>
  <c r="I676" i="3"/>
  <c r="J676" i="3"/>
  <c r="K676" i="3"/>
  <c r="L676" i="3"/>
  <c r="M676" i="3"/>
  <c r="H677" i="3"/>
  <c r="I677" i="3"/>
  <c r="J677" i="3"/>
  <c r="K677" i="3"/>
  <c r="L677" i="3"/>
  <c r="M677" i="3"/>
  <c r="H678" i="3"/>
  <c r="I678" i="3"/>
  <c r="J678" i="3"/>
  <c r="K678" i="3"/>
  <c r="L678" i="3"/>
  <c r="M678" i="3"/>
  <c r="H679" i="3"/>
  <c r="I679" i="3"/>
  <c r="J679" i="3"/>
  <c r="K679" i="3"/>
  <c r="L679" i="3"/>
  <c r="M679" i="3"/>
  <c r="H680" i="3"/>
  <c r="I680" i="3"/>
  <c r="J680" i="3"/>
  <c r="K680" i="3"/>
  <c r="L680" i="3"/>
  <c r="M680" i="3"/>
  <c r="H681" i="3"/>
  <c r="I681" i="3"/>
  <c r="J681" i="3"/>
  <c r="K681" i="3"/>
  <c r="L681" i="3"/>
  <c r="M681" i="3"/>
  <c r="H682" i="3"/>
  <c r="I682" i="3"/>
  <c r="J682" i="3"/>
  <c r="K682" i="3"/>
  <c r="L682" i="3"/>
  <c r="M682" i="3"/>
  <c r="H683" i="3"/>
  <c r="I683" i="3"/>
  <c r="J683" i="3"/>
  <c r="K683" i="3"/>
  <c r="L683" i="3"/>
  <c r="M683" i="3"/>
  <c r="H684" i="3"/>
  <c r="I684" i="3"/>
  <c r="J684" i="3"/>
  <c r="K684" i="3"/>
  <c r="L684" i="3"/>
  <c r="M684" i="3"/>
  <c r="H685" i="3"/>
  <c r="I685" i="3"/>
  <c r="J685" i="3"/>
  <c r="K685" i="3"/>
  <c r="L685" i="3"/>
  <c r="M685" i="3"/>
  <c r="H686" i="3"/>
  <c r="I686" i="3"/>
  <c r="J686" i="3"/>
  <c r="K686" i="3"/>
  <c r="L686" i="3"/>
  <c r="M686" i="3"/>
  <c r="H687" i="3"/>
  <c r="I687" i="3"/>
  <c r="J687" i="3"/>
  <c r="K687" i="3"/>
  <c r="L687" i="3"/>
  <c r="M687" i="3"/>
  <c r="H688" i="3"/>
  <c r="I688" i="3"/>
  <c r="J688" i="3"/>
  <c r="K688" i="3"/>
  <c r="L688" i="3"/>
  <c r="M688" i="3"/>
  <c r="H689" i="3"/>
  <c r="I689" i="3"/>
  <c r="J689" i="3"/>
  <c r="K689" i="3"/>
  <c r="L689" i="3"/>
  <c r="M689" i="3"/>
  <c r="H690" i="3"/>
  <c r="I690" i="3"/>
  <c r="J690" i="3"/>
  <c r="K690" i="3"/>
  <c r="L690" i="3"/>
  <c r="M690" i="3"/>
  <c r="T690" i="3" s="1"/>
  <c r="H691" i="3"/>
  <c r="I691" i="3"/>
  <c r="J691" i="3"/>
  <c r="K691" i="3"/>
  <c r="L691" i="3"/>
  <c r="M691" i="3"/>
  <c r="T691" i="3" s="1"/>
  <c r="H692" i="3"/>
  <c r="I692" i="3"/>
  <c r="J692" i="3"/>
  <c r="K692" i="3"/>
  <c r="L692" i="3"/>
  <c r="M692" i="3"/>
  <c r="H693" i="3"/>
  <c r="I693" i="3"/>
  <c r="J693" i="3"/>
  <c r="K693" i="3"/>
  <c r="L693" i="3"/>
  <c r="M693" i="3"/>
  <c r="T693" i="3" s="1"/>
  <c r="H694" i="3"/>
  <c r="I694" i="3"/>
  <c r="J694" i="3"/>
  <c r="K694" i="3"/>
  <c r="L694" i="3"/>
  <c r="M694" i="3"/>
  <c r="T694" i="3" s="1"/>
  <c r="H695" i="3"/>
  <c r="I695" i="3"/>
  <c r="J695" i="3"/>
  <c r="K695" i="3"/>
  <c r="N695" i="3" s="1"/>
  <c r="L695" i="3"/>
  <c r="M695" i="3"/>
  <c r="T695" i="3" s="1"/>
  <c r="H696" i="3"/>
  <c r="I696" i="3"/>
  <c r="J696" i="3"/>
  <c r="K696" i="3"/>
  <c r="L696" i="3"/>
  <c r="M696" i="3"/>
  <c r="T696" i="3" s="1"/>
  <c r="H697" i="3"/>
  <c r="I697" i="3"/>
  <c r="J697" i="3"/>
  <c r="K697" i="3"/>
  <c r="L697" i="3"/>
  <c r="M697" i="3"/>
  <c r="T697" i="3" s="1"/>
  <c r="H698" i="3"/>
  <c r="I698" i="3"/>
  <c r="J698" i="3"/>
  <c r="K698" i="3"/>
  <c r="L698" i="3"/>
  <c r="M698" i="3"/>
  <c r="T698" i="3" s="1"/>
  <c r="H699" i="3"/>
  <c r="I699" i="3"/>
  <c r="J699" i="3"/>
  <c r="K699" i="3"/>
  <c r="N699" i="3" s="1"/>
  <c r="L699" i="3"/>
  <c r="M699" i="3"/>
  <c r="T699" i="3" s="1"/>
  <c r="H700" i="3"/>
  <c r="I700" i="3"/>
  <c r="J700" i="3"/>
  <c r="K700" i="3"/>
  <c r="L700" i="3"/>
  <c r="M700" i="3"/>
  <c r="T700" i="3" s="1"/>
  <c r="H701" i="3"/>
  <c r="I701" i="3"/>
  <c r="J701" i="3"/>
  <c r="K701" i="3"/>
  <c r="L701" i="3"/>
  <c r="M701" i="3"/>
  <c r="T701" i="3" s="1"/>
  <c r="H702" i="3"/>
  <c r="I702" i="3"/>
  <c r="J702" i="3"/>
  <c r="K702" i="3"/>
  <c r="L702" i="3"/>
  <c r="M702" i="3"/>
  <c r="T702" i="3" s="1"/>
  <c r="H703" i="3"/>
  <c r="I703" i="3"/>
  <c r="J703" i="3"/>
  <c r="K703" i="3"/>
  <c r="N703" i="3" s="1"/>
  <c r="L703" i="3"/>
  <c r="M703" i="3"/>
  <c r="T703" i="3" s="1"/>
  <c r="H704" i="3"/>
  <c r="I704" i="3"/>
  <c r="J704" i="3"/>
  <c r="K704" i="3"/>
  <c r="N704" i="3" s="1"/>
  <c r="L704" i="3"/>
  <c r="M704" i="3"/>
  <c r="T704" i="3" s="1"/>
  <c r="H705" i="3"/>
  <c r="I705" i="3"/>
  <c r="J705" i="3"/>
  <c r="K705" i="3"/>
  <c r="L705" i="3"/>
  <c r="M705" i="3"/>
  <c r="T705" i="3" s="1"/>
  <c r="H706" i="3"/>
  <c r="I706" i="3"/>
  <c r="J706" i="3"/>
  <c r="K706" i="3"/>
  <c r="N706" i="3" s="1"/>
  <c r="L706" i="3"/>
  <c r="M706" i="3"/>
  <c r="T706" i="3" s="1"/>
  <c r="H707" i="3"/>
  <c r="I707" i="3"/>
  <c r="J707" i="3"/>
  <c r="K707" i="3"/>
  <c r="L707" i="3"/>
  <c r="M707" i="3"/>
  <c r="T707" i="3" s="1"/>
  <c r="H708" i="3"/>
  <c r="I708" i="3"/>
  <c r="J708" i="3"/>
  <c r="K708" i="3"/>
  <c r="L708" i="3"/>
  <c r="M708" i="3"/>
  <c r="H709" i="3"/>
  <c r="I709" i="3"/>
  <c r="J709" i="3"/>
  <c r="K709" i="3"/>
  <c r="L709" i="3"/>
  <c r="M709" i="3"/>
  <c r="T709" i="3" s="1"/>
  <c r="H710" i="3"/>
  <c r="I710" i="3"/>
  <c r="J710" i="3"/>
  <c r="K710" i="3"/>
  <c r="L710" i="3"/>
  <c r="M710" i="3"/>
  <c r="T710" i="3" s="1"/>
  <c r="H711" i="3"/>
  <c r="I711" i="3"/>
  <c r="J711" i="3"/>
  <c r="K711" i="3"/>
  <c r="L711" i="3"/>
  <c r="M711" i="3"/>
  <c r="T711" i="3" s="1"/>
  <c r="H712" i="3"/>
  <c r="I712" i="3"/>
  <c r="J712" i="3"/>
  <c r="K712" i="3"/>
  <c r="L712" i="3"/>
  <c r="M712" i="3"/>
  <c r="T712" i="3" s="1"/>
  <c r="H713" i="3"/>
  <c r="I713" i="3"/>
  <c r="J713" i="3"/>
  <c r="K713" i="3"/>
  <c r="L713" i="3"/>
  <c r="M713" i="3"/>
  <c r="T713" i="3" s="1"/>
  <c r="H714" i="3"/>
  <c r="I714" i="3"/>
  <c r="J714" i="3"/>
  <c r="K714" i="3"/>
  <c r="L714" i="3"/>
  <c r="M714" i="3"/>
  <c r="T714" i="3" s="1"/>
  <c r="H715" i="3"/>
  <c r="I715" i="3"/>
  <c r="J715" i="3"/>
  <c r="K715" i="3"/>
  <c r="N715" i="3" s="1"/>
  <c r="L715" i="3"/>
  <c r="M715" i="3"/>
  <c r="T715" i="3" s="1"/>
  <c r="H716" i="3"/>
  <c r="I716" i="3"/>
  <c r="J716" i="3"/>
  <c r="K716" i="3"/>
  <c r="L716" i="3"/>
  <c r="M716" i="3"/>
  <c r="T716" i="3" s="1"/>
  <c r="H717" i="3"/>
  <c r="I717" i="3"/>
  <c r="J717" i="3"/>
  <c r="K717" i="3"/>
  <c r="N717" i="3" s="1"/>
  <c r="L717" i="3"/>
  <c r="M717" i="3"/>
  <c r="T717" i="3" s="1"/>
  <c r="H718" i="3"/>
  <c r="I718" i="3"/>
  <c r="J718" i="3"/>
  <c r="K718" i="3"/>
  <c r="L718" i="3"/>
  <c r="M718" i="3"/>
  <c r="T718" i="3" s="1"/>
  <c r="H719" i="3"/>
  <c r="I719" i="3"/>
  <c r="J719" i="3"/>
  <c r="K719" i="3"/>
  <c r="O719" i="3" s="1"/>
  <c r="L719" i="3"/>
  <c r="M719" i="3"/>
  <c r="T719" i="3" s="1"/>
  <c r="H720" i="3"/>
  <c r="I720" i="3"/>
  <c r="J720" i="3"/>
  <c r="K720" i="3"/>
  <c r="L720" i="3"/>
  <c r="M720" i="3"/>
  <c r="T720" i="3" s="1"/>
  <c r="H721" i="3"/>
  <c r="I721" i="3"/>
  <c r="J721" i="3"/>
  <c r="K721" i="3"/>
  <c r="L721" i="3"/>
  <c r="M721" i="3"/>
  <c r="T721" i="3" s="1"/>
  <c r="H722" i="3"/>
  <c r="I722" i="3"/>
  <c r="J722" i="3"/>
  <c r="K722" i="3"/>
  <c r="N722" i="3" s="1"/>
  <c r="L722" i="3"/>
  <c r="M722" i="3"/>
  <c r="H723" i="3"/>
  <c r="I723" i="3"/>
  <c r="J723" i="3"/>
  <c r="K723" i="3"/>
  <c r="L723" i="3"/>
  <c r="M723" i="3"/>
  <c r="T723" i="3" s="1"/>
  <c r="H724" i="3"/>
  <c r="I724" i="3"/>
  <c r="J724" i="3"/>
  <c r="K724" i="3"/>
  <c r="L724" i="3"/>
  <c r="M724" i="3"/>
  <c r="T724" i="3" s="1"/>
  <c r="H725" i="3"/>
  <c r="I725" i="3"/>
  <c r="J725" i="3"/>
  <c r="K725" i="3"/>
  <c r="L725" i="3"/>
  <c r="M725" i="3"/>
  <c r="T725" i="3" s="1"/>
  <c r="H726" i="3"/>
  <c r="I726" i="3"/>
  <c r="J726" i="3"/>
  <c r="K726" i="3"/>
  <c r="L726" i="3"/>
  <c r="M726" i="3"/>
  <c r="T726" i="3" s="1"/>
  <c r="H727" i="3"/>
  <c r="I727" i="3"/>
  <c r="J727" i="3"/>
  <c r="K727" i="3"/>
  <c r="L727" i="3"/>
  <c r="M727" i="3"/>
  <c r="T727" i="3" s="1"/>
  <c r="H728" i="3"/>
  <c r="I728" i="3"/>
  <c r="J728" i="3"/>
  <c r="K728" i="3"/>
  <c r="L728" i="3"/>
  <c r="M728" i="3"/>
  <c r="T728" i="3" s="1"/>
  <c r="H729" i="3"/>
  <c r="I729" i="3"/>
  <c r="J729" i="3"/>
  <c r="K729" i="3"/>
  <c r="L729" i="3"/>
  <c r="M729" i="3"/>
  <c r="T729" i="3" s="1"/>
  <c r="H730" i="3"/>
  <c r="I730" i="3"/>
  <c r="J730" i="3"/>
  <c r="K730" i="3"/>
  <c r="L730" i="3"/>
  <c r="M730" i="3"/>
  <c r="T730" i="3" s="1"/>
  <c r="H731" i="3"/>
  <c r="I731" i="3"/>
  <c r="J731" i="3"/>
  <c r="K731" i="3"/>
  <c r="O731" i="3" s="1"/>
  <c r="L731" i="3"/>
  <c r="M731" i="3"/>
  <c r="T731" i="3" s="1"/>
  <c r="H732" i="3"/>
  <c r="I732" i="3"/>
  <c r="J732" i="3"/>
  <c r="K732" i="3"/>
  <c r="L732" i="3"/>
  <c r="M732" i="3"/>
  <c r="T732" i="3" s="1"/>
  <c r="H733" i="3"/>
  <c r="I733" i="3"/>
  <c r="J733" i="3"/>
  <c r="K733" i="3"/>
  <c r="L733" i="3"/>
  <c r="M733" i="3"/>
  <c r="T733" i="3" s="1"/>
  <c r="H734" i="3"/>
  <c r="I734" i="3"/>
  <c r="J734" i="3"/>
  <c r="K734" i="3"/>
  <c r="L734" i="3"/>
  <c r="M734" i="3"/>
  <c r="T734" i="3" s="1"/>
  <c r="H735" i="3"/>
  <c r="I735" i="3"/>
  <c r="J735" i="3"/>
  <c r="K735" i="3"/>
  <c r="N735" i="3" s="1"/>
  <c r="L735" i="3"/>
  <c r="M735" i="3"/>
  <c r="T735" i="3" s="1"/>
  <c r="H736" i="3"/>
  <c r="I736" i="3"/>
  <c r="J736" i="3"/>
  <c r="K736" i="3"/>
  <c r="L736" i="3"/>
  <c r="M736" i="3"/>
  <c r="T736" i="3" s="1"/>
  <c r="H737" i="3"/>
  <c r="I737" i="3"/>
  <c r="J737" i="3"/>
  <c r="K737" i="3"/>
  <c r="L737" i="3"/>
  <c r="M737" i="3"/>
  <c r="T737" i="3" s="1"/>
  <c r="H738" i="3"/>
  <c r="I738" i="3"/>
  <c r="J738" i="3"/>
  <c r="K738" i="3"/>
  <c r="L738" i="3"/>
  <c r="M738" i="3"/>
  <c r="T738" i="3" s="1"/>
  <c r="H739" i="3"/>
  <c r="I739" i="3"/>
  <c r="J739" i="3"/>
  <c r="K739" i="3"/>
  <c r="O739" i="3" s="1"/>
  <c r="L739" i="3"/>
  <c r="M739" i="3"/>
  <c r="T739" i="3" s="1"/>
  <c r="H740" i="3"/>
  <c r="I740" i="3"/>
  <c r="J740" i="3"/>
  <c r="K740" i="3"/>
  <c r="L740" i="3"/>
  <c r="M740" i="3"/>
  <c r="T740" i="3" s="1"/>
  <c r="H741" i="3"/>
  <c r="I741" i="3"/>
  <c r="J741" i="3"/>
  <c r="K741" i="3"/>
  <c r="N741" i="3" s="1"/>
  <c r="L741" i="3"/>
  <c r="M741" i="3"/>
  <c r="T741" i="3" s="1"/>
  <c r="H742" i="3"/>
  <c r="I742" i="3"/>
  <c r="J742" i="3"/>
  <c r="K742" i="3"/>
  <c r="L742" i="3"/>
  <c r="M742" i="3"/>
  <c r="T742" i="3" s="1"/>
  <c r="H743" i="3"/>
  <c r="I743" i="3"/>
  <c r="J743" i="3"/>
  <c r="K743" i="3"/>
  <c r="L743" i="3"/>
  <c r="M743" i="3"/>
  <c r="T743" i="3" s="1"/>
  <c r="H744" i="3"/>
  <c r="I744" i="3"/>
  <c r="J744" i="3"/>
  <c r="K744" i="3"/>
  <c r="L744" i="3"/>
  <c r="M744" i="3"/>
  <c r="T744" i="3" s="1"/>
  <c r="H745" i="3"/>
  <c r="I745" i="3"/>
  <c r="J745" i="3"/>
  <c r="K745" i="3"/>
  <c r="L745" i="3"/>
  <c r="M745" i="3"/>
  <c r="T745" i="3" s="1"/>
  <c r="H746" i="3"/>
  <c r="I746" i="3"/>
  <c r="J746" i="3"/>
  <c r="K746" i="3"/>
  <c r="L746" i="3"/>
  <c r="M746" i="3"/>
  <c r="T746" i="3" s="1"/>
  <c r="H747" i="3"/>
  <c r="I747" i="3"/>
  <c r="J747" i="3"/>
  <c r="K747" i="3"/>
  <c r="O747" i="3" s="1"/>
  <c r="L747" i="3"/>
  <c r="M747" i="3"/>
  <c r="T747" i="3" s="1"/>
  <c r="H748" i="3"/>
  <c r="I748" i="3"/>
  <c r="J748" i="3"/>
  <c r="K748" i="3"/>
  <c r="L748" i="3"/>
  <c r="M748" i="3"/>
  <c r="T748" i="3" s="1"/>
  <c r="H749" i="3"/>
  <c r="I749" i="3"/>
  <c r="J749" i="3"/>
  <c r="K749" i="3"/>
  <c r="L749" i="3"/>
  <c r="M749" i="3"/>
  <c r="T749" i="3" s="1"/>
  <c r="H750" i="3"/>
  <c r="I750" i="3"/>
  <c r="J750" i="3"/>
  <c r="K750" i="3"/>
  <c r="L750" i="3"/>
  <c r="M750" i="3"/>
  <c r="T750" i="3" s="1"/>
  <c r="H751" i="3"/>
  <c r="I751" i="3"/>
  <c r="J751" i="3"/>
  <c r="K751" i="3"/>
  <c r="L751" i="3"/>
  <c r="M751" i="3"/>
  <c r="T751" i="3" s="1"/>
  <c r="H752" i="3"/>
  <c r="I752" i="3"/>
  <c r="J752" i="3"/>
  <c r="K752" i="3"/>
  <c r="L752" i="3"/>
  <c r="M752" i="3"/>
  <c r="T752" i="3" s="1"/>
  <c r="H753" i="3"/>
  <c r="I753" i="3"/>
  <c r="J753" i="3"/>
  <c r="K753" i="3"/>
  <c r="L753" i="3"/>
  <c r="M753" i="3"/>
  <c r="T753" i="3" s="1"/>
  <c r="H754" i="3"/>
  <c r="I754" i="3"/>
  <c r="J754" i="3"/>
  <c r="K754" i="3"/>
  <c r="L754" i="3"/>
  <c r="M754" i="3"/>
  <c r="T754" i="3" s="1"/>
  <c r="H755" i="3"/>
  <c r="I755" i="3"/>
  <c r="J755" i="3"/>
  <c r="K755" i="3"/>
  <c r="L755" i="3"/>
  <c r="M755" i="3"/>
  <c r="T755" i="3" s="1"/>
  <c r="H756" i="3"/>
  <c r="I756" i="3"/>
  <c r="J756" i="3"/>
  <c r="K756" i="3"/>
  <c r="N756" i="3" s="1"/>
  <c r="L756" i="3"/>
  <c r="M756" i="3"/>
  <c r="T756" i="3" s="1"/>
  <c r="H757" i="3"/>
  <c r="I757" i="3"/>
  <c r="J757" i="3"/>
  <c r="K757" i="3"/>
  <c r="N757" i="3" s="1"/>
  <c r="L757" i="3"/>
  <c r="M757" i="3"/>
  <c r="T757" i="3" s="1"/>
  <c r="H758" i="3"/>
  <c r="I758" i="3"/>
  <c r="J758" i="3"/>
  <c r="K758" i="3"/>
  <c r="L758" i="3"/>
  <c r="M758" i="3"/>
  <c r="T758" i="3" s="1"/>
  <c r="H759" i="3"/>
  <c r="I759" i="3"/>
  <c r="J759" i="3"/>
  <c r="K759" i="3"/>
  <c r="L759" i="3"/>
  <c r="M759" i="3"/>
  <c r="T759" i="3" s="1"/>
  <c r="H760" i="3"/>
  <c r="I760" i="3"/>
  <c r="J760" i="3"/>
  <c r="K760" i="3"/>
  <c r="L760" i="3"/>
  <c r="M760" i="3"/>
  <c r="T760" i="3" s="1"/>
  <c r="H761" i="3"/>
  <c r="I761" i="3"/>
  <c r="J761" i="3"/>
  <c r="K761" i="3"/>
  <c r="L761" i="3"/>
  <c r="M761" i="3"/>
  <c r="T761" i="3" s="1"/>
  <c r="H762" i="3"/>
  <c r="I762" i="3"/>
  <c r="J762" i="3"/>
  <c r="K762" i="3"/>
  <c r="L762" i="3"/>
  <c r="M762" i="3"/>
  <c r="T762" i="3" s="1"/>
  <c r="H763" i="3"/>
  <c r="I763" i="3"/>
  <c r="J763" i="3"/>
  <c r="K763" i="3"/>
  <c r="L763" i="3"/>
  <c r="M763" i="3"/>
  <c r="T763" i="3" s="1"/>
  <c r="H764" i="3"/>
  <c r="I764" i="3"/>
  <c r="J764" i="3"/>
  <c r="K764" i="3"/>
  <c r="L764" i="3"/>
  <c r="M764" i="3"/>
  <c r="T764" i="3" s="1"/>
  <c r="H765" i="3"/>
  <c r="I765" i="3"/>
  <c r="J765" i="3"/>
  <c r="K765" i="3"/>
  <c r="L765" i="3"/>
  <c r="M765" i="3"/>
  <c r="T765" i="3" s="1"/>
  <c r="H766" i="3"/>
  <c r="I766" i="3"/>
  <c r="J766" i="3"/>
  <c r="K766" i="3"/>
  <c r="L766" i="3"/>
  <c r="M766" i="3"/>
  <c r="T766" i="3" s="1"/>
  <c r="H767" i="3"/>
  <c r="I767" i="3"/>
  <c r="J767" i="3"/>
  <c r="K767" i="3"/>
  <c r="N767" i="3" s="1"/>
  <c r="L767" i="3"/>
  <c r="M767" i="3"/>
  <c r="T767" i="3" s="1"/>
  <c r="H768" i="3"/>
  <c r="I768" i="3"/>
  <c r="J768" i="3"/>
  <c r="K768" i="3"/>
  <c r="L768" i="3"/>
  <c r="M768" i="3"/>
  <c r="T768" i="3" s="1"/>
  <c r="H769" i="3"/>
  <c r="I769" i="3"/>
  <c r="J769" i="3"/>
  <c r="K769" i="3"/>
  <c r="L769" i="3"/>
  <c r="M769" i="3"/>
  <c r="T769" i="3" s="1"/>
  <c r="H770" i="3"/>
  <c r="I770" i="3"/>
  <c r="J770" i="3"/>
  <c r="K770" i="3"/>
  <c r="L770" i="3"/>
  <c r="M770" i="3"/>
  <c r="H771" i="3"/>
  <c r="I771" i="3"/>
  <c r="J771" i="3"/>
  <c r="K771" i="3"/>
  <c r="N771" i="3" s="1"/>
  <c r="L771" i="3"/>
  <c r="M771" i="3"/>
  <c r="T771" i="3" s="1"/>
  <c r="H772" i="3"/>
  <c r="I772" i="3"/>
  <c r="J772" i="3"/>
  <c r="K772" i="3"/>
  <c r="L772" i="3"/>
  <c r="M772" i="3"/>
  <c r="H773" i="3"/>
  <c r="I773" i="3"/>
  <c r="J773" i="3"/>
  <c r="K773" i="3"/>
  <c r="L773" i="3"/>
  <c r="M773" i="3"/>
  <c r="T773" i="3" s="1"/>
  <c r="H774" i="3"/>
  <c r="I774" i="3"/>
  <c r="J774" i="3"/>
  <c r="K774" i="3"/>
  <c r="N774" i="3" s="1"/>
  <c r="L774" i="3"/>
  <c r="M774" i="3"/>
  <c r="T774" i="3" s="1"/>
  <c r="H775" i="3"/>
  <c r="I775" i="3"/>
  <c r="J775" i="3"/>
  <c r="K775" i="3"/>
  <c r="L775" i="3"/>
  <c r="M775" i="3"/>
  <c r="T775" i="3" s="1"/>
  <c r="H776" i="3"/>
  <c r="I776" i="3"/>
  <c r="J776" i="3"/>
  <c r="K776" i="3"/>
  <c r="L776" i="3"/>
  <c r="M776" i="3"/>
  <c r="T776" i="3" s="1"/>
  <c r="H777" i="3"/>
  <c r="I777" i="3"/>
  <c r="J777" i="3"/>
  <c r="K777" i="3"/>
  <c r="O777" i="3" s="1"/>
  <c r="L777" i="3"/>
  <c r="M777" i="3"/>
  <c r="T777" i="3" s="1"/>
  <c r="H778" i="3"/>
  <c r="I778" i="3"/>
  <c r="J778" i="3"/>
  <c r="K778" i="3"/>
  <c r="L778" i="3"/>
  <c r="M778" i="3"/>
  <c r="T778" i="3" s="1"/>
  <c r="H779" i="3"/>
  <c r="I779" i="3"/>
  <c r="J779" i="3"/>
  <c r="K779" i="3"/>
  <c r="L779" i="3"/>
  <c r="M779" i="3"/>
  <c r="T779" i="3" s="1"/>
  <c r="H780" i="3"/>
  <c r="I780" i="3"/>
  <c r="J780" i="3"/>
  <c r="K780" i="3"/>
  <c r="L780" i="3"/>
  <c r="M780" i="3"/>
  <c r="T780" i="3" s="1"/>
  <c r="H781" i="3"/>
  <c r="I781" i="3"/>
  <c r="J781" i="3"/>
  <c r="K781" i="3"/>
  <c r="O781" i="3" s="1"/>
  <c r="L781" i="3"/>
  <c r="M781" i="3"/>
  <c r="T781" i="3" s="1"/>
  <c r="H782" i="3"/>
  <c r="I782" i="3"/>
  <c r="J782" i="3"/>
  <c r="K782" i="3"/>
  <c r="L782" i="3"/>
  <c r="M782" i="3"/>
  <c r="T782" i="3" s="1"/>
  <c r="H783" i="3"/>
  <c r="I783" i="3"/>
  <c r="J783" i="3"/>
  <c r="K783" i="3"/>
  <c r="L783" i="3"/>
  <c r="M783" i="3"/>
  <c r="T783" i="3" s="1"/>
  <c r="H784" i="3"/>
  <c r="I784" i="3"/>
  <c r="J784" i="3"/>
  <c r="K784" i="3"/>
  <c r="L784" i="3"/>
  <c r="M784" i="3"/>
  <c r="T784" i="3" s="1"/>
  <c r="H785" i="3"/>
  <c r="I785" i="3"/>
  <c r="J785" i="3"/>
  <c r="K785" i="3"/>
  <c r="L785" i="3"/>
  <c r="M785" i="3"/>
  <c r="T785" i="3" s="1"/>
  <c r="H786" i="3"/>
  <c r="I786" i="3"/>
  <c r="J786" i="3"/>
  <c r="K786" i="3"/>
  <c r="L786" i="3"/>
  <c r="M786" i="3"/>
  <c r="T786" i="3" s="1"/>
  <c r="H787" i="3"/>
  <c r="I787" i="3"/>
  <c r="J787" i="3"/>
  <c r="K787" i="3"/>
  <c r="O787" i="3" s="1"/>
  <c r="L787" i="3"/>
  <c r="M787" i="3"/>
  <c r="T787" i="3" s="1"/>
  <c r="H788" i="3"/>
  <c r="I788" i="3"/>
  <c r="J788" i="3"/>
  <c r="K788" i="3"/>
  <c r="L788" i="3"/>
  <c r="M788" i="3"/>
  <c r="H789" i="3"/>
  <c r="I789" i="3"/>
  <c r="J789" i="3"/>
  <c r="K789" i="3"/>
  <c r="L789" i="3"/>
  <c r="M789" i="3"/>
  <c r="T789" i="3" s="1"/>
  <c r="H790" i="3"/>
  <c r="I790" i="3"/>
  <c r="J790" i="3"/>
  <c r="K790" i="3"/>
  <c r="L790" i="3"/>
  <c r="M790" i="3"/>
  <c r="T790" i="3" s="1"/>
  <c r="H791" i="3"/>
  <c r="I791" i="3"/>
  <c r="J791" i="3"/>
  <c r="K791" i="3"/>
  <c r="L791" i="3"/>
  <c r="M791" i="3"/>
  <c r="T791" i="3" s="1"/>
  <c r="H792" i="3"/>
  <c r="I792" i="3"/>
  <c r="J792" i="3"/>
  <c r="K792" i="3"/>
  <c r="L792" i="3"/>
  <c r="M792" i="3"/>
  <c r="T792" i="3" s="1"/>
  <c r="H793" i="3"/>
  <c r="I793" i="3"/>
  <c r="J793" i="3"/>
  <c r="K793" i="3"/>
  <c r="L793" i="3"/>
  <c r="M793" i="3"/>
  <c r="T793" i="3" s="1"/>
  <c r="H794" i="3"/>
  <c r="I794" i="3"/>
  <c r="J794" i="3"/>
  <c r="K794" i="3"/>
  <c r="L794" i="3"/>
  <c r="M794" i="3"/>
  <c r="T794" i="3" s="1"/>
  <c r="H795" i="3"/>
  <c r="I795" i="3"/>
  <c r="J795" i="3"/>
  <c r="K795" i="3"/>
  <c r="L795" i="3"/>
  <c r="M795" i="3"/>
  <c r="T795" i="3" s="1"/>
  <c r="H796" i="3"/>
  <c r="I796" i="3"/>
  <c r="J796" i="3"/>
  <c r="K796" i="3"/>
  <c r="L796" i="3"/>
  <c r="M796" i="3"/>
  <c r="T796" i="3" s="1"/>
  <c r="H797" i="3"/>
  <c r="I797" i="3"/>
  <c r="J797" i="3"/>
  <c r="K797" i="3"/>
  <c r="O797" i="3" s="1"/>
  <c r="L797" i="3"/>
  <c r="M797" i="3"/>
  <c r="T797" i="3" s="1"/>
  <c r="H798" i="3"/>
  <c r="I798" i="3"/>
  <c r="J798" i="3"/>
  <c r="K798" i="3"/>
  <c r="L798" i="3"/>
  <c r="M798" i="3"/>
  <c r="T798" i="3" s="1"/>
  <c r="H799" i="3"/>
  <c r="I799" i="3"/>
  <c r="J799" i="3"/>
  <c r="K799" i="3"/>
  <c r="L799" i="3"/>
  <c r="M799" i="3"/>
  <c r="T799" i="3" s="1"/>
  <c r="H800" i="3"/>
  <c r="I800" i="3"/>
  <c r="J800" i="3"/>
  <c r="K800" i="3"/>
  <c r="L800" i="3"/>
  <c r="M800" i="3"/>
  <c r="T800" i="3" s="1"/>
  <c r="H801" i="3"/>
  <c r="I801" i="3"/>
  <c r="J801" i="3"/>
  <c r="K801" i="3"/>
  <c r="L801" i="3"/>
  <c r="M801" i="3"/>
  <c r="T801" i="3" s="1"/>
  <c r="H802" i="3"/>
  <c r="I802" i="3"/>
  <c r="J802" i="3"/>
  <c r="K802" i="3"/>
  <c r="L802" i="3"/>
  <c r="M802" i="3"/>
  <c r="T802" i="3" s="1"/>
  <c r="H803" i="3"/>
  <c r="I803" i="3"/>
  <c r="J803" i="3"/>
  <c r="K803" i="3"/>
  <c r="L803" i="3"/>
  <c r="M803" i="3"/>
  <c r="T803" i="3" s="1"/>
  <c r="H804" i="3"/>
  <c r="I804" i="3"/>
  <c r="J804" i="3"/>
  <c r="K804" i="3"/>
  <c r="L804" i="3"/>
  <c r="M804" i="3"/>
  <c r="T804" i="3" s="1"/>
  <c r="H805" i="3"/>
  <c r="I805" i="3"/>
  <c r="J805" i="3"/>
  <c r="K805" i="3"/>
  <c r="N805" i="3" s="1"/>
  <c r="L805" i="3"/>
  <c r="M805" i="3"/>
  <c r="T805" i="3" s="1"/>
  <c r="H806" i="3"/>
  <c r="I806" i="3"/>
  <c r="J806" i="3"/>
  <c r="K806" i="3"/>
  <c r="L806" i="3"/>
  <c r="M806" i="3"/>
  <c r="T806" i="3" s="1"/>
  <c r="H807" i="3"/>
  <c r="I807" i="3"/>
  <c r="J807" i="3"/>
  <c r="K807" i="3"/>
  <c r="N807" i="3" s="1"/>
  <c r="L807" i="3"/>
  <c r="M807" i="3"/>
  <c r="T807" i="3" s="1"/>
  <c r="H808" i="3"/>
  <c r="I808" i="3"/>
  <c r="J808" i="3"/>
  <c r="K808" i="3"/>
  <c r="L808" i="3"/>
  <c r="M808" i="3"/>
  <c r="T808" i="3" s="1"/>
  <c r="H809" i="3"/>
  <c r="I809" i="3"/>
  <c r="J809" i="3"/>
  <c r="K809" i="3"/>
  <c r="L809" i="3"/>
  <c r="M809" i="3"/>
  <c r="T809" i="3" s="1"/>
  <c r="H810" i="3"/>
  <c r="I810" i="3"/>
  <c r="J810" i="3"/>
  <c r="K810" i="3"/>
  <c r="L810" i="3"/>
  <c r="M810" i="3"/>
  <c r="T810" i="3" s="1"/>
  <c r="H811" i="3"/>
  <c r="I811" i="3"/>
  <c r="J811" i="3"/>
  <c r="K811" i="3"/>
  <c r="O811" i="3" s="1"/>
  <c r="L811" i="3"/>
  <c r="M811" i="3"/>
  <c r="T811" i="3" s="1"/>
  <c r="H812" i="3"/>
  <c r="I812" i="3"/>
  <c r="J812" i="3"/>
  <c r="K812" i="3"/>
  <c r="L812" i="3"/>
  <c r="M812" i="3"/>
  <c r="T812" i="3" s="1"/>
  <c r="H813" i="3"/>
  <c r="I813" i="3"/>
  <c r="J813" i="3"/>
  <c r="K813" i="3"/>
  <c r="L813" i="3"/>
  <c r="M813" i="3"/>
  <c r="T813" i="3" s="1"/>
  <c r="H814" i="3"/>
  <c r="I814" i="3"/>
  <c r="J814" i="3"/>
  <c r="K814" i="3"/>
  <c r="L814" i="3"/>
  <c r="M814" i="3"/>
  <c r="T814" i="3" s="1"/>
  <c r="H815" i="3"/>
  <c r="I815" i="3"/>
  <c r="J815" i="3"/>
  <c r="K815" i="3"/>
  <c r="N815" i="3" s="1"/>
  <c r="L815" i="3"/>
  <c r="M815" i="3"/>
  <c r="T815" i="3" s="1"/>
  <c r="H816" i="3"/>
  <c r="I816" i="3"/>
  <c r="J816" i="3"/>
  <c r="K816" i="3"/>
  <c r="L816" i="3"/>
  <c r="M816" i="3"/>
  <c r="T816" i="3" s="1"/>
  <c r="H817" i="3"/>
  <c r="I817" i="3"/>
  <c r="J817" i="3"/>
  <c r="K817" i="3"/>
  <c r="L817" i="3"/>
  <c r="M817" i="3"/>
  <c r="T817" i="3" s="1"/>
  <c r="H818" i="3"/>
  <c r="I818" i="3"/>
  <c r="J818" i="3"/>
  <c r="K818" i="3"/>
  <c r="L818" i="3"/>
  <c r="M818" i="3"/>
  <c r="T818" i="3" s="1"/>
  <c r="H819" i="3"/>
  <c r="I819" i="3"/>
  <c r="J819" i="3"/>
  <c r="K819" i="3"/>
  <c r="O819" i="3" s="1"/>
  <c r="L819" i="3"/>
  <c r="M819" i="3"/>
  <c r="T819" i="3" s="1"/>
  <c r="H820" i="3"/>
  <c r="I820" i="3"/>
  <c r="J820" i="3"/>
  <c r="K820" i="3"/>
  <c r="N820" i="3" s="1"/>
  <c r="L820" i="3"/>
  <c r="M820" i="3"/>
  <c r="T820" i="3" s="1"/>
  <c r="H821" i="3"/>
  <c r="I821" i="3"/>
  <c r="J821" i="3"/>
  <c r="K821" i="3"/>
  <c r="L821" i="3"/>
  <c r="M821" i="3"/>
  <c r="T821" i="3" s="1"/>
  <c r="H822" i="3"/>
  <c r="I822" i="3"/>
  <c r="J822" i="3"/>
  <c r="K822" i="3"/>
  <c r="L822" i="3"/>
  <c r="M822" i="3"/>
  <c r="T822" i="3" s="1"/>
  <c r="H823" i="3"/>
  <c r="I823" i="3"/>
  <c r="J823" i="3"/>
  <c r="K823" i="3"/>
  <c r="L823" i="3"/>
  <c r="M823" i="3"/>
  <c r="T823" i="3" s="1"/>
  <c r="H824" i="3"/>
  <c r="I824" i="3"/>
  <c r="J824" i="3"/>
  <c r="K824" i="3"/>
  <c r="L824" i="3"/>
  <c r="M824" i="3"/>
  <c r="T824" i="3" s="1"/>
  <c r="H825" i="3"/>
  <c r="I825" i="3"/>
  <c r="J825" i="3"/>
  <c r="K825" i="3"/>
  <c r="L825" i="3"/>
  <c r="M825" i="3"/>
  <c r="T825" i="3" s="1"/>
  <c r="H826" i="3"/>
  <c r="I826" i="3"/>
  <c r="J826" i="3"/>
  <c r="K826" i="3"/>
  <c r="L826" i="3"/>
  <c r="M826" i="3"/>
  <c r="T826" i="3" s="1"/>
  <c r="H827" i="3"/>
  <c r="I827" i="3"/>
  <c r="J827" i="3"/>
  <c r="K827" i="3"/>
  <c r="L827" i="3"/>
  <c r="M827" i="3"/>
  <c r="T827" i="3" s="1"/>
  <c r="H828" i="3"/>
  <c r="I828" i="3"/>
  <c r="J828" i="3"/>
  <c r="K828" i="3"/>
  <c r="L828" i="3"/>
  <c r="M828" i="3"/>
  <c r="T828" i="3" s="1"/>
  <c r="H829" i="3"/>
  <c r="I829" i="3"/>
  <c r="J829" i="3"/>
  <c r="K829" i="3"/>
  <c r="N829" i="3" s="1"/>
  <c r="L829" i="3"/>
  <c r="M829" i="3"/>
  <c r="T829" i="3" s="1"/>
  <c r="H830" i="3"/>
  <c r="I830" i="3"/>
  <c r="J830" i="3"/>
  <c r="K830" i="3"/>
  <c r="L830" i="3"/>
  <c r="M830" i="3"/>
  <c r="T830" i="3" s="1"/>
  <c r="H831" i="3"/>
  <c r="I831" i="3"/>
  <c r="J831" i="3"/>
  <c r="K831" i="3"/>
  <c r="L831" i="3"/>
  <c r="M831" i="3"/>
  <c r="T831" i="3" s="1"/>
  <c r="H832" i="3"/>
  <c r="I832" i="3"/>
  <c r="J832" i="3"/>
  <c r="K832" i="3"/>
  <c r="L832" i="3"/>
  <c r="M832" i="3"/>
  <c r="T832" i="3" s="1"/>
  <c r="H833" i="3"/>
  <c r="I833" i="3"/>
  <c r="J833" i="3"/>
  <c r="K833" i="3"/>
  <c r="L833" i="3"/>
  <c r="M833" i="3"/>
  <c r="T833" i="3" s="1"/>
  <c r="H834" i="3"/>
  <c r="I834" i="3"/>
  <c r="J834" i="3"/>
  <c r="K834" i="3"/>
  <c r="L834" i="3"/>
  <c r="M834" i="3"/>
  <c r="T834" i="3" s="1"/>
  <c r="H835" i="3"/>
  <c r="I835" i="3"/>
  <c r="J835" i="3"/>
  <c r="K835" i="3"/>
  <c r="N835" i="3" s="1"/>
  <c r="L835" i="3"/>
  <c r="M835" i="3"/>
  <c r="T835" i="3" s="1"/>
  <c r="H836" i="3"/>
  <c r="I836" i="3"/>
  <c r="J836" i="3"/>
  <c r="K836" i="3"/>
  <c r="L836" i="3"/>
  <c r="M836" i="3"/>
  <c r="T836" i="3" s="1"/>
  <c r="H837" i="3"/>
  <c r="I837" i="3"/>
  <c r="J837" i="3"/>
  <c r="K837" i="3"/>
  <c r="L837" i="3"/>
  <c r="M837" i="3"/>
  <c r="T837" i="3" s="1"/>
  <c r="H838" i="3"/>
  <c r="I838" i="3"/>
  <c r="J838" i="3"/>
  <c r="K838" i="3"/>
  <c r="L838" i="3"/>
  <c r="M838" i="3"/>
  <c r="T838" i="3" s="1"/>
  <c r="H839" i="3"/>
  <c r="I839" i="3"/>
  <c r="J839" i="3"/>
  <c r="K839" i="3"/>
  <c r="N839" i="3" s="1"/>
  <c r="L839" i="3"/>
  <c r="M839" i="3"/>
  <c r="T839" i="3" s="1"/>
  <c r="H840" i="3"/>
  <c r="I840" i="3"/>
  <c r="J840" i="3"/>
  <c r="K840" i="3"/>
  <c r="L840" i="3"/>
  <c r="M840" i="3"/>
  <c r="T840" i="3" s="1"/>
  <c r="H841" i="3"/>
  <c r="I841" i="3"/>
  <c r="J841" i="3"/>
  <c r="K841" i="3"/>
  <c r="L841" i="3"/>
  <c r="M841" i="3"/>
  <c r="T841" i="3" s="1"/>
  <c r="H842" i="3"/>
  <c r="I842" i="3"/>
  <c r="J842" i="3"/>
  <c r="K842" i="3"/>
  <c r="L842" i="3"/>
  <c r="M842" i="3"/>
  <c r="T842" i="3" s="1"/>
  <c r="H843" i="3"/>
  <c r="I843" i="3"/>
  <c r="J843" i="3"/>
  <c r="K843" i="3"/>
  <c r="O843" i="3" s="1"/>
  <c r="L843" i="3"/>
  <c r="M843" i="3"/>
  <c r="T843" i="3" s="1"/>
  <c r="H844" i="3"/>
  <c r="I844" i="3"/>
  <c r="J844" i="3"/>
  <c r="K844" i="3"/>
  <c r="L844" i="3"/>
  <c r="M844" i="3"/>
  <c r="T844" i="3" s="1"/>
  <c r="H845" i="3"/>
  <c r="I845" i="3"/>
  <c r="J845" i="3"/>
  <c r="K845" i="3"/>
  <c r="N845" i="3" s="1"/>
  <c r="L845" i="3"/>
  <c r="M845" i="3"/>
  <c r="T845" i="3" s="1"/>
  <c r="H846" i="3"/>
  <c r="I846" i="3"/>
  <c r="J846" i="3"/>
  <c r="K846" i="3"/>
  <c r="L846" i="3"/>
  <c r="M846" i="3"/>
  <c r="T846" i="3" s="1"/>
  <c r="H847" i="3"/>
  <c r="I847" i="3"/>
  <c r="J847" i="3"/>
  <c r="K847" i="3"/>
  <c r="L847" i="3"/>
  <c r="M847" i="3"/>
  <c r="T847" i="3" s="1"/>
  <c r="H848" i="3"/>
  <c r="I848" i="3"/>
  <c r="J848" i="3"/>
  <c r="K848" i="3"/>
  <c r="L848" i="3"/>
  <c r="M848" i="3"/>
  <c r="T848" i="3" s="1"/>
  <c r="H849" i="3"/>
  <c r="I849" i="3"/>
  <c r="J849" i="3"/>
  <c r="K849" i="3"/>
  <c r="L849" i="3"/>
  <c r="M849" i="3"/>
  <c r="T849" i="3" s="1"/>
  <c r="H850" i="3"/>
  <c r="I850" i="3"/>
  <c r="J850" i="3"/>
  <c r="K850" i="3"/>
  <c r="L850" i="3"/>
  <c r="M850" i="3"/>
  <c r="T850" i="3" s="1"/>
  <c r="H851" i="3"/>
  <c r="I851" i="3"/>
  <c r="J851" i="3"/>
  <c r="K851" i="3"/>
  <c r="N851" i="3" s="1"/>
  <c r="L851" i="3"/>
  <c r="M851" i="3"/>
  <c r="T851" i="3" s="1"/>
  <c r="H852" i="3"/>
  <c r="I852" i="3"/>
  <c r="J852" i="3"/>
  <c r="K852" i="3"/>
  <c r="L852" i="3"/>
  <c r="M852" i="3"/>
  <c r="T852" i="3" s="1"/>
  <c r="H853" i="3"/>
  <c r="I853" i="3"/>
  <c r="J853" i="3"/>
  <c r="K853" i="3"/>
  <c r="L853" i="3"/>
  <c r="M853" i="3"/>
  <c r="T853" i="3" s="1"/>
  <c r="H854" i="3"/>
  <c r="I854" i="3"/>
  <c r="J854" i="3"/>
  <c r="K854" i="3"/>
  <c r="L854" i="3"/>
  <c r="M854" i="3"/>
  <c r="T854" i="3" s="1"/>
  <c r="H855" i="3"/>
  <c r="I855" i="3"/>
  <c r="J855" i="3"/>
  <c r="K855" i="3"/>
  <c r="O855" i="3" s="1"/>
  <c r="L855" i="3"/>
  <c r="M855" i="3"/>
  <c r="T855" i="3" s="1"/>
  <c r="H856" i="3"/>
  <c r="I856" i="3"/>
  <c r="J856" i="3"/>
  <c r="K856" i="3"/>
  <c r="L856" i="3"/>
  <c r="M856" i="3"/>
  <c r="T856" i="3" s="1"/>
  <c r="H857" i="3"/>
  <c r="I857" i="3"/>
  <c r="J857" i="3"/>
  <c r="K857" i="3"/>
  <c r="L857" i="3"/>
  <c r="M857" i="3"/>
  <c r="T857" i="3" s="1"/>
  <c r="H858" i="3"/>
  <c r="I858" i="3"/>
  <c r="J858" i="3"/>
  <c r="K858" i="3"/>
  <c r="N858" i="3" s="1"/>
  <c r="L858" i="3"/>
  <c r="M858" i="3"/>
  <c r="T858" i="3" s="1"/>
  <c r="H859" i="3"/>
  <c r="I859" i="3"/>
  <c r="J859" i="3"/>
  <c r="K859" i="3"/>
  <c r="L859" i="3"/>
  <c r="M859" i="3"/>
  <c r="T859" i="3" s="1"/>
  <c r="H860" i="3"/>
  <c r="I860" i="3"/>
  <c r="J860" i="3"/>
  <c r="K860" i="3"/>
  <c r="L860" i="3"/>
  <c r="M860" i="3"/>
  <c r="T860" i="3" s="1"/>
  <c r="H861" i="3"/>
  <c r="I861" i="3"/>
  <c r="J861" i="3"/>
  <c r="K861" i="3"/>
  <c r="L861" i="3"/>
  <c r="M861" i="3"/>
  <c r="T861" i="3" s="1"/>
  <c r="H862" i="3"/>
  <c r="I862" i="3"/>
  <c r="J862" i="3"/>
  <c r="K862" i="3"/>
  <c r="L862" i="3"/>
  <c r="M862" i="3"/>
  <c r="T862" i="3" s="1"/>
  <c r="H863" i="3"/>
  <c r="I863" i="3"/>
  <c r="J863" i="3"/>
  <c r="K863" i="3"/>
  <c r="L863" i="3"/>
  <c r="M863" i="3"/>
  <c r="T863" i="3" s="1"/>
  <c r="H864" i="3"/>
  <c r="I864" i="3"/>
  <c r="J864" i="3"/>
  <c r="K864" i="3"/>
  <c r="L864" i="3"/>
  <c r="M864" i="3"/>
  <c r="T864" i="3" s="1"/>
  <c r="H865" i="3"/>
  <c r="I865" i="3"/>
  <c r="J865" i="3"/>
  <c r="K865" i="3"/>
  <c r="L865" i="3"/>
  <c r="M865" i="3"/>
  <c r="T865" i="3" s="1"/>
  <c r="H866" i="3"/>
  <c r="I866" i="3"/>
  <c r="J866" i="3"/>
  <c r="K866" i="3"/>
  <c r="L866" i="3"/>
  <c r="M866" i="3"/>
  <c r="T866" i="3" s="1"/>
  <c r="H867" i="3"/>
  <c r="I867" i="3"/>
  <c r="J867" i="3"/>
  <c r="K867" i="3"/>
  <c r="L867" i="3"/>
  <c r="M867" i="3"/>
  <c r="T867" i="3" s="1"/>
  <c r="H868" i="3"/>
  <c r="I868" i="3"/>
  <c r="J868" i="3"/>
  <c r="K868" i="3"/>
  <c r="N868" i="3" s="1"/>
  <c r="L868" i="3"/>
  <c r="M868" i="3"/>
  <c r="T868" i="3" s="1"/>
  <c r="H869" i="3"/>
  <c r="I869" i="3"/>
  <c r="J869" i="3"/>
  <c r="K869" i="3"/>
  <c r="O869" i="3" s="1"/>
  <c r="L869" i="3"/>
  <c r="M869" i="3"/>
  <c r="T869" i="3" s="1"/>
  <c r="H870" i="3"/>
  <c r="I870" i="3"/>
  <c r="J870" i="3"/>
  <c r="K870" i="3"/>
  <c r="L870" i="3"/>
  <c r="M870" i="3"/>
  <c r="T870" i="3" s="1"/>
  <c r="H871" i="3"/>
  <c r="I871" i="3"/>
  <c r="J871" i="3"/>
  <c r="K871" i="3"/>
  <c r="L871" i="3"/>
  <c r="M871" i="3"/>
  <c r="T871" i="3" s="1"/>
  <c r="H872" i="3"/>
  <c r="I872" i="3"/>
  <c r="J872" i="3"/>
  <c r="K872" i="3"/>
  <c r="L872" i="3"/>
  <c r="M872" i="3"/>
  <c r="T872" i="3" s="1"/>
  <c r="H873" i="3"/>
  <c r="I873" i="3"/>
  <c r="J873" i="3"/>
  <c r="K873" i="3"/>
  <c r="L873" i="3"/>
  <c r="M873" i="3"/>
  <c r="T873" i="3" s="1"/>
  <c r="H874" i="3"/>
  <c r="I874" i="3"/>
  <c r="J874" i="3"/>
  <c r="K874" i="3"/>
  <c r="L874" i="3"/>
  <c r="M874" i="3"/>
  <c r="T874" i="3" s="1"/>
  <c r="H875" i="3"/>
  <c r="I875" i="3"/>
  <c r="J875" i="3"/>
  <c r="K875" i="3"/>
  <c r="L875" i="3"/>
  <c r="M875" i="3"/>
  <c r="T875" i="3" s="1"/>
  <c r="H876" i="3"/>
  <c r="I876" i="3"/>
  <c r="J876" i="3"/>
  <c r="K876" i="3"/>
  <c r="L876" i="3"/>
  <c r="M876" i="3"/>
  <c r="T876" i="3" s="1"/>
  <c r="H877" i="3"/>
  <c r="I877" i="3"/>
  <c r="J877" i="3"/>
  <c r="K877" i="3"/>
  <c r="O877" i="3" s="1"/>
  <c r="L877" i="3"/>
  <c r="M877" i="3"/>
  <c r="T877" i="3" s="1"/>
  <c r="H878" i="3"/>
  <c r="I878" i="3"/>
  <c r="J878" i="3"/>
  <c r="K878" i="3"/>
  <c r="O878" i="3" s="1"/>
  <c r="L878" i="3"/>
  <c r="M878" i="3"/>
  <c r="T878" i="3" s="1"/>
  <c r="H879" i="3"/>
  <c r="I879" i="3"/>
  <c r="J879" i="3"/>
  <c r="K879" i="3"/>
  <c r="O879" i="3" s="1"/>
  <c r="L879" i="3"/>
  <c r="M879" i="3"/>
  <c r="T879" i="3" s="1"/>
  <c r="H880" i="3"/>
  <c r="I880" i="3"/>
  <c r="J880" i="3"/>
  <c r="K880" i="3"/>
  <c r="L880" i="3"/>
  <c r="M880" i="3"/>
  <c r="T880" i="3" s="1"/>
  <c r="H881" i="3"/>
  <c r="I881" i="3"/>
  <c r="J881" i="3"/>
  <c r="K881" i="3"/>
  <c r="N881" i="3" s="1"/>
  <c r="L881" i="3"/>
  <c r="M881" i="3"/>
  <c r="T881" i="3" s="1"/>
  <c r="H882" i="3"/>
  <c r="I882" i="3"/>
  <c r="J882" i="3"/>
  <c r="K882" i="3"/>
  <c r="L882" i="3"/>
  <c r="M882" i="3"/>
  <c r="T882" i="3" s="1"/>
  <c r="H883" i="3"/>
  <c r="I883" i="3"/>
  <c r="J883" i="3"/>
  <c r="K883" i="3"/>
  <c r="N883" i="3" s="1"/>
  <c r="L883" i="3"/>
  <c r="M883" i="3"/>
  <c r="T883" i="3" s="1"/>
  <c r="H884" i="3"/>
  <c r="I884" i="3"/>
  <c r="J884" i="3"/>
  <c r="K884" i="3"/>
  <c r="L884" i="3"/>
  <c r="M884" i="3"/>
  <c r="T884" i="3" s="1"/>
  <c r="H885" i="3"/>
  <c r="I885" i="3"/>
  <c r="J885" i="3"/>
  <c r="K885" i="3"/>
  <c r="L885" i="3"/>
  <c r="M885" i="3"/>
  <c r="T885" i="3" s="1"/>
  <c r="H886" i="3"/>
  <c r="I886" i="3"/>
  <c r="J886" i="3"/>
  <c r="K886" i="3"/>
  <c r="L886" i="3"/>
  <c r="M886" i="3"/>
  <c r="T886" i="3" s="1"/>
  <c r="H887" i="3"/>
  <c r="I887" i="3"/>
  <c r="J887" i="3"/>
  <c r="K887" i="3"/>
  <c r="N887" i="3" s="1"/>
  <c r="L887" i="3"/>
  <c r="M887" i="3"/>
  <c r="T887" i="3" s="1"/>
  <c r="H888" i="3"/>
  <c r="I888" i="3"/>
  <c r="J888" i="3"/>
  <c r="K888" i="3"/>
  <c r="L888" i="3"/>
  <c r="M888" i="3"/>
  <c r="T888" i="3" s="1"/>
  <c r="H889" i="3"/>
  <c r="I889" i="3"/>
  <c r="J889" i="3"/>
  <c r="K889" i="3"/>
  <c r="L889" i="3"/>
  <c r="M889" i="3"/>
  <c r="T889" i="3" s="1"/>
  <c r="H890" i="3"/>
  <c r="I890" i="3"/>
  <c r="J890" i="3"/>
  <c r="K890" i="3"/>
  <c r="L890" i="3"/>
  <c r="M890" i="3"/>
  <c r="T890" i="3" s="1"/>
  <c r="H891" i="3"/>
  <c r="I891" i="3"/>
  <c r="J891" i="3"/>
  <c r="K891" i="3"/>
  <c r="L891" i="3"/>
  <c r="M891" i="3"/>
  <c r="T891" i="3" s="1"/>
  <c r="H892" i="3"/>
  <c r="I892" i="3"/>
  <c r="J892" i="3"/>
  <c r="K892" i="3"/>
  <c r="L892" i="3"/>
  <c r="M892" i="3"/>
  <c r="T892" i="3" s="1"/>
  <c r="H893" i="3"/>
  <c r="I893" i="3"/>
  <c r="J893" i="3"/>
  <c r="K893" i="3"/>
  <c r="N893" i="3" s="1"/>
  <c r="L893" i="3"/>
  <c r="M893" i="3"/>
  <c r="T893" i="3" s="1"/>
  <c r="H894" i="3"/>
  <c r="I894" i="3"/>
  <c r="J894" i="3"/>
  <c r="K894" i="3"/>
  <c r="L894" i="3"/>
  <c r="M894" i="3"/>
  <c r="T894" i="3" s="1"/>
  <c r="H895" i="3"/>
  <c r="I895" i="3"/>
  <c r="J895" i="3"/>
  <c r="K895" i="3"/>
  <c r="O895" i="3" s="1"/>
  <c r="L895" i="3"/>
  <c r="M895" i="3"/>
  <c r="T895" i="3" s="1"/>
  <c r="H896" i="3"/>
  <c r="I896" i="3"/>
  <c r="J896" i="3"/>
  <c r="K896" i="3"/>
  <c r="L896" i="3"/>
  <c r="M896" i="3"/>
  <c r="T896" i="3" s="1"/>
  <c r="H897" i="3"/>
  <c r="I897" i="3"/>
  <c r="J897" i="3"/>
  <c r="K897" i="3"/>
  <c r="L897" i="3"/>
  <c r="M897" i="3"/>
  <c r="T897" i="3" s="1"/>
  <c r="H898" i="3"/>
  <c r="I898" i="3"/>
  <c r="J898" i="3"/>
  <c r="K898" i="3"/>
  <c r="L898" i="3"/>
  <c r="M898" i="3"/>
  <c r="T898" i="3" s="1"/>
  <c r="H899" i="3"/>
  <c r="I899" i="3"/>
  <c r="J899" i="3"/>
  <c r="K899" i="3"/>
  <c r="O899" i="3" s="1"/>
  <c r="L899" i="3"/>
  <c r="M899" i="3"/>
  <c r="T899" i="3" s="1"/>
  <c r="H900" i="3"/>
  <c r="I900" i="3"/>
  <c r="J900" i="3"/>
  <c r="K900" i="3"/>
  <c r="L900" i="3"/>
  <c r="M900" i="3"/>
  <c r="H901" i="3"/>
  <c r="I901" i="3"/>
  <c r="J901" i="3"/>
  <c r="K901" i="3"/>
  <c r="L901" i="3"/>
  <c r="M901" i="3"/>
  <c r="T901" i="3" s="1"/>
  <c r="H902" i="3"/>
  <c r="I902" i="3"/>
  <c r="J902" i="3"/>
  <c r="K902" i="3"/>
  <c r="L902" i="3"/>
  <c r="M902" i="3"/>
  <c r="T902" i="3" s="1"/>
  <c r="H903" i="3"/>
  <c r="I903" i="3"/>
  <c r="J903" i="3"/>
  <c r="K903" i="3"/>
  <c r="N903" i="3" s="1"/>
  <c r="L903" i="3"/>
  <c r="M903" i="3"/>
  <c r="T903" i="3" s="1"/>
  <c r="H904" i="3"/>
  <c r="I904" i="3"/>
  <c r="J904" i="3"/>
  <c r="K904" i="3"/>
  <c r="L904" i="3"/>
  <c r="M904" i="3"/>
  <c r="T904" i="3" s="1"/>
  <c r="H905" i="3"/>
  <c r="I905" i="3"/>
  <c r="J905" i="3"/>
  <c r="K905" i="3"/>
  <c r="L905" i="3"/>
  <c r="M905" i="3"/>
  <c r="T905" i="3" s="1"/>
  <c r="H906" i="3"/>
  <c r="I906" i="3"/>
  <c r="J906" i="3"/>
  <c r="K906" i="3"/>
  <c r="L906" i="3"/>
  <c r="M906" i="3"/>
  <c r="T906" i="3" s="1"/>
  <c r="H907" i="3"/>
  <c r="I907" i="3"/>
  <c r="J907" i="3"/>
  <c r="K907" i="3"/>
  <c r="O907" i="3" s="1"/>
  <c r="L907" i="3"/>
  <c r="M907" i="3"/>
  <c r="T907" i="3" s="1"/>
  <c r="H908" i="3"/>
  <c r="I908" i="3"/>
  <c r="J908" i="3"/>
  <c r="K908" i="3"/>
  <c r="L908" i="3"/>
  <c r="M908" i="3"/>
  <c r="T908" i="3" s="1"/>
  <c r="H909" i="3"/>
  <c r="I909" i="3"/>
  <c r="J909" i="3"/>
  <c r="K909" i="3"/>
  <c r="L909" i="3"/>
  <c r="M909" i="3"/>
  <c r="T909" i="3" s="1"/>
  <c r="H910" i="3"/>
  <c r="I910" i="3"/>
  <c r="J910" i="3"/>
  <c r="K910" i="3"/>
  <c r="L910" i="3"/>
  <c r="M910" i="3"/>
  <c r="T910" i="3" s="1"/>
  <c r="H911" i="3"/>
  <c r="I911" i="3"/>
  <c r="J911" i="3"/>
  <c r="K911" i="3"/>
  <c r="L911" i="3"/>
  <c r="M911" i="3"/>
  <c r="T911" i="3" s="1"/>
  <c r="H912" i="3"/>
  <c r="I912" i="3"/>
  <c r="J912" i="3"/>
  <c r="K912" i="3"/>
  <c r="L912" i="3"/>
  <c r="M912" i="3"/>
  <c r="T912" i="3" s="1"/>
  <c r="H913" i="3"/>
  <c r="I913" i="3"/>
  <c r="J913" i="3"/>
  <c r="K913" i="3"/>
  <c r="L913" i="3"/>
  <c r="M913" i="3"/>
  <c r="T913" i="3" s="1"/>
  <c r="H914" i="3"/>
  <c r="I914" i="3"/>
  <c r="J914" i="3"/>
  <c r="K914" i="3"/>
  <c r="L914" i="3"/>
  <c r="M914" i="3"/>
  <c r="T914" i="3" s="1"/>
  <c r="H915" i="3"/>
  <c r="I915" i="3"/>
  <c r="J915" i="3"/>
  <c r="K915" i="3"/>
  <c r="L915" i="3"/>
  <c r="M915" i="3"/>
  <c r="T915" i="3" s="1"/>
  <c r="H916" i="3"/>
  <c r="I916" i="3"/>
  <c r="J916" i="3"/>
  <c r="K916" i="3"/>
  <c r="L916" i="3"/>
  <c r="M916" i="3"/>
  <c r="T916" i="3" s="1"/>
  <c r="H917" i="3"/>
  <c r="I917" i="3"/>
  <c r="J917" i="3"/>
  <c r="K917" i="3"/>
  <c r="N917" i="3" s="1"/>
  <c r="L917" i="3"/>
  <c r="M917" i="3"/>
  <c r="T917" i="3" s="1"/>
  <c r="H918" i="3"/>
  <c r="I918" i="3"/>
  <c r="J918" i="3"/>
  <c r="K918" i="3"/>
  <c r="L918" i="3"/>
  <c r="M918" i="3"/>
  <c r="T918" i="3" s="1"/>
  <c r="H919" i="3"/>
  <c r="I919" i="3"/>
  <c r="J919" i="3"/>
  <c r="K919" i="3"/>
  <c r="L919" i="3"/>
  <c r="M919" i="3"/>
  <c r="T919" i="3" s="1"/>
  <c r="H920" i="3"/>
  <c r="I920" i="3"/>
  <c r="J920" i="3"/>
  <c r="K920" i="3"/>
  <c r="L920" i="3"/>
  <c r="M920" i="3"/>
  <c r="T920" i="3" s="1"/>
  <c r="H921" i="3"/>
  <c r="I921" i="3"/>
  <c r="J921" i="3"/>
  <c r="K921" i="3"/>
  <c r="L921" i="3"/>
  <c r="M921" i="3"/>
  <c r="T921" i="3" s="1"/>
  <c r="H922" i="3"/>
  <c r="I922" i="3"/>
  <c r="J922" i="3"/>
  <c r="K922" i="3"/>
  <c r="L922" i="3"/>
  <c r="M922" i="3"/>
  <c r="T922" i="3" s="1"/>
  <c r="H923" i="3"/>
  <c r="I923" i="3"/>
  <c r="J923" i="3"/>
  <c r="K923" i="3"/>
  <c r="N923" i="3" s="1"/>
  <c r="L923" i="3"/>
  <c r="M923" i="3"/>
  <c r="T923" i="3" s="1"/>
  <c r="H924" i="3"/>
  <c r="I924" i="3"/>
  <c r="J924" i="3"/>
  <c r="K924" i="3"/>
  <c r="L924" i="3"/>
  <c r="M924" i="3"/>
  <c r="T924" i="3" s="1"/>
  <c r="H925" i="3"/>
  <c r="I925" i="3"/>
  <c r="J925" i="3"/>
  <c r="K925" i="3"/>
  <c r="L925" i="3"/>
  <c r="M925" i="3"/>
  <c r="T925" i="3" s="1"/>
  <c r="H926" i="3"/>
  <c r="I926" i="3"/>
  <c r="J926" i="3"/>
  <c r="K926" i="3"/>
  <c r="L926" i="3"/>
  <c r="M926" i="3"/>
  <c r="T926" i="3" s="1"/>
  <c r="H927" i="3"/>
  <c r="I927" i="3"/>
  <c r="J927" i="3"/>
  <c r="K927" i="3"/>
  <c r="N927" i="3" s="1"/>
  <c r="L927" i="3"/>
  <c r="M927" i="3"/>
  <c r="T927" i="3" s="1"/>
  <c r="H928" i="3"/>
  <c r="I928" i="3"/>
  <c r="J928" i="3"/>
  <c r="K928" i="3"/>
  <c r="L928" i="3"/>
  <c r="M928" i="3"/>
  <c r="T928" i="3" s="1"/>
  <c r="H929" i="3"/>
  <c r="I929" i="3"/>
  <c r="J929" i="3"/>
  <c r="K929" i="3"/>
  <c r="L929" i="3"/>
  <c r="M929" i="3"/>
  <c r="T929" i="3" s="1"/>
  <c r="H930" i="3"/>
  <c r="I930" i="3"/>
  <c r="J930" i="3"/>
  <c r="K930" i="3"/>
  <c r="L930" i="3"/>
  <c r="M930" i="3"/>
  <c r="T930" i="3" s="1"/>
  <c r="H931" i="3"/>
  <c r="I931" i="3"/>
  <c r="J931" i="3"/>
  <c r="K931" i="3"/>
  <c r="L931" i="3"/>
  <c r="M931" i="3"/>
  <c r="T931" i="3" s="1"/>
  <c r="H932" i="3"/>
  <c r="I932" i="3"/>
  <c r="J932" i="3"/>
  <c r="K932" i="3"/>
  <c r="L932" i="3"/>
  <c r="M932" i="3"/>
  <c r="H933" i="3"/>
  <c r="I933" i="3"/>
  <c r="J933" i="3"/>
  <c r="K933" i="3"/>
  <c r="O933" i="3" s="1"/>
  <c r="L933" i="3"/>
  <c r="M933" i="3"/>
  <c r="T933" i="3" s="1"/>
  <c r="H934" i="3"/>
  <c r="I934" i="3"/>
  <c r="J934" i="3"/>
  <c r="K934" i="3"/>
  <c r="L934" i="3"/>
  <c r="M934" i="3"/>
  <c r="T934" i="3" s="1"/>
  <c r="H935" i="3"/>
  <c r="I935" i="3"/>
  <c r="J935" i="3"/>
  <c r="K935" i="3"/>
  <c r="L935" i="3"/>
  <c r="M935" i="3"/>
  <c r="T935" i="3" s="1"/>
  <c r="H936" i="3"/>
  <c r="I936" i="3"/>
  <c r="J936" i="3"/>
  <c r="K936" i="3"/>
  <c r="L936" i="3"/>
  <c r="M936" i="3"/>
  <c r="T936" i="3" s="1"/>
  <c r="H937" i="3"/>
  <c r="I937" i="3"/>
  <c r="J937" i="3"/>
  <c r="K937" i="3"/>
  <c r="L937" i="3"/>
  <c r="M937" i="3"/>
  <c r="T937" i="3" s="1"/>
  <c r="H938" i="3"/>
  <c r="I938" i="3"/>
  <c r="J938" i="3"/>
  <c r="K938" i="3"/>
  <c r="L938" i="3"/>
  <c r="M938" i="3"/>
  <c r="T938" i="3" s="1"/>
  <c r="H939" i="3"/>
  <c r="I939" i="3"/>
  <c r="J939" i="3"/>
  <c r="K939" i="3"/>
  <c r="L939" i="3"/>
  <c r="M939" i="3"/>
  <c r="T939" i="3" s="1"/>
  <c r="H940" i="3"/>
  <c r="I940" i="3"/>
  <c r="J940" i="3"/>
  <c r="K940" i="3"/>
  <c r="L940" i="3"/>
  <c r="M940" i="3"/>
  <c r="T940" i="3" s="1"/>
  <c r="H941" i="3"/>
  <c r="I941" i="3"/>
  <c r="J941" i="3"/>
  <c r="K941" i="3"/>
  <c r="L941" i="3"/>
  <c r="M941" i="3"/>
  <c r="T941" i="3" s="1"/>
  <c r="H942" i="3"/>
  <c r="I942" i="3"/>
  <c r="J942" i="3"/>
  <c r="K942" i="3"/>
  <c r="L942" i="3"/>
  <c r="M942" i="3"/>
  <c r="T942" i="3" s="1"/>
  <c r="H943" i="3"/>
  <c r="I943" i="3"/>
  <c r="J943" i="3"/>
  <c r="K943" i="3"/>
  <c r="N943" i="3" s="1"/>
  <c r="L943" i="3"/>
  <c r="M943" i="3"/>
  <c r="T943" i="3" s="1"/>
  <c r="H944" i="3"/>
  <c r="I944" i="3"/>
  <c r="J944" i="3"/>
  <c r="K944" i="3"/>
  <c r="L944" i="3"/>
  <c r="M944" i="3"/>
  <c r="T944" i="3" s="1"/>
  <c r="H945" i="3"/>
  <c r="I945" i="3"/>
  <c r="J945" i="3"/>
  <c r="K945" i="3"/>
  <c r="L945" i="3"/>
  <c r="M945" i="3"/>
  <c r="T945" i="3" s="1"/>
  <c r="H946" i="3"/>
  <c r="I946" i="3"/>
  <c r="J946" i="3"/>
  <c r="K946" i="3"/>
  <c r="L946" i="3"/>
  <c r="M946" i="3"/>
  <c r="T946" i="3" s="1"/>
  <c r="H947" i="3"/>
  <c r="I947" i="3"/>
  <c r="J947" i="3"/>
  <c r="K947" i="3"/>
  <c r="N947" i="3" s="1"/>
  <c r="L947" i="3"/>
  <c r="M947" i="3"/>
  <c r="T947" i="3" s="1"/>
  <c r="H948" i="3"/>
  <c r="I948" i="3"/>
  <c r="J948" i="3"/>
  <c r="K948" i="3"/>
  <c r="L948" i="3"/>
  <c r="M948" i="3"/>
  <c r="T948" i="3" s="1"/>
  <c r="H949" i="3"/>
  <c r="I949" i="3"/>
  <c r="J949" i="3"/>
  <c r="K949" i="3"/>
  <c r="L949" i="3"/>
  <c r="M949" i="3"/>
  <c r="T949" i="3" s="1"/>
  <c r="H950" i="3"/>
  <c r="I950" i="3"/>
  <c r="J950" i="3"/>
  <c r="K950" i="3"/>
  <c r="L950" i="3"/>
  <c r="M950" i="3"/>
  <c r="T950" i="3" s="1"/>
  <c r="H951" i="3"/>
  <c r="I951" i="3"/>
  <c r="J951" i="3"/>
  <c r="K951" i="3"/>
  <c r="L951" i="3"/>
  <c r="M951" i="3"/>
  <c r="T951" i="3" s="1"/>
  <c r="H952" i="3"/>
  <c r="I952" i="3"/>
  <c r="J952" i="3"/>
  <c r="K952" i="3"/>
  <c r="L952" i="3"/>
  <c r="M952" i="3"/>
  <c r="T952" i="3" s="1"/>
  <c r="H953" i="3"/>
  <c r="I953" i="3"/>
  <c r="J953" i="3"/>
  <c r="K953" i="3"/>
  <c r="L953" i="3"/>
  <c r="M953" i="3"/>
  <c r="T953" i="3" s="1"/>
  <c r="H954" i="3"/>
  <c r="I954" i="3"/>
  <c r="J954" i="3"/>
  <c r="K954" i="3"/>
  <c r="L954" i="3"/>
  <c r="M954" i="3"/>
  <c r="T954" i="3" s="1"/>
  <c r="H955" i="3"/>
  <c r="I955" i="3"/>
  <c r="J955" i="3"/>
  <c r="K955" i="3"/>
  <c r="O955" i="3" s="1"/>
  <c r="L955" i="3"/>
  <c r="M955" i="3"/>
  <c r="T955" i="3" s="1"/>
  <c r="H956" i="3"/>
  <c r="I956" i="3"/>
  <c r="J956" i="3"/>
  <c r="K956" i="3"/>
  <c r="L956" i="3"/>
  <c r="M956" i="3"/>
  <c r="T956" i="3" s="1"/>
  <c r="H957" i="3"/>
  <c r="I957" i="3"/>
  <c r="J957" i="3"/>
  <c r="K957" i="3"/>
  <c r="N957" i="3" s="1"/>
  <c r="L957" i="3"/>
  <c r="M957" i="3"/>
  <c r="T957" i="3" s="1"/>
  <c r="H958" i="3"/>
  <c r="I958" i="3"/>
  <c r="J958" i="3"/>
  <c r="K958" i="3"/>
  <c r="L958" i="3"/>
  <c r="M958" i="3"/>
  <c r="T958" i="3" s="1"/>
  <c r="H959" i="3"/>
  <c r="I959" i="3"/>
  <c r="J959" i="3"/>
  <c r="K959" i="3"/>
  <c r="L959" i="3"/>
  <c r="M959" i="3"/>
  <c r="T959" i="3" s="1"/>
  <c r="H960" i="3"/>
  <c r="I960" i="3"/>
  <c r="J960" i="3"/>
  <c r="K960" i="3"/>
  <c r="L960" i="3"/>
  <c r="M960" i="3"/>
  <c r="T960" i="3" s="1"/>
  <c r="H961" i="3"/>
  <c r="I961" i="3"/>
  <c r="J961" i="3"/>
  <c r="K961" i="3"/>
  <c r="L961" i="3"/>
  <c r="M961" i="3"/>
  <c r="T961" i="3" s="1"/>
  <c r="H962" i="3"/>
  <c r="I962" i="3"/>
  <c r="J962" i="3"/>
  <c r="K962" i="3"/>
  <c r="L962" i="3"/>
  <c r="M962" i="3"/>
  <c r="T962" i="3" s="1"/>
  <c r="H963" i="3"/>
  <c r="I963" i="3"/>
  <c r="J963" i="3"/>
  <c r="K963" i="3"/>
  <c r="L963" i="3"/>
  <c r="M963" i="3"/>
  <c r="T963" i="3" s="1"/>
  <c r="H964" i="3"/>
  <c r="I964" i="3"/>
  <c r="J964" i="3"/>
  <c r="K964" i="3"/>
  <c r="L964" i="3"/>
  <c r="M964" i="3"/>
  <c r="T964" i="3" s="1"/>
  <c r="H965" i="3"/>
  <c r="I965" i="3"/>
  <c r="J965" i="3"/>
  <c r="K965" i="3"/>
  <c r="N965" i="3" s="1"/>
  <c r="L965" i="3"/>
  <c r="M965" i="3"/>
  <c r="T965" i="3" s="1"/>
  <c r="H966" i="3"/>
  <c r="I966" i="3"/>
  <c r="J966" i="3"/>
  <c r="K966" i="3"/>
  <c r="L966" i="3"/>
  <c r="M966" i="3"/>
  <c r="T966" i="3" s="1"/>
  <c r="H967" i="3"/>
  <c r="I967" i="3"/>
  <c r="J967" i="3"/>
  <c r="K967" i="3"/>
  <c r="O967" i="3" s="1"/>
  <c r="L967" i="3"/>
  <c r="M967" i="3"/>
  <c r="T967" i="3" s="1"/>
  <c r="H968" i="3"/>
  <c r="I968" i="3"/>
  <c r="J968" i="3"/>
  <c r="K968" i="3"/>
  <c r="L968" i="3"/>
  <c r="M968" i="3"/>
  <c r="T968" i="3" s="1"/>
  <c r="H969" i="3"/>
  <c r="I969" i="3"/>
  <c r="J969" i="3"/>
  <c r="K969" i="3"/>
  <c r="L969" i="3"/>
  <c r="M969" i="3"/>
  <c r="T969" i="3" s="1"/>
  <c r="H970" i="3"/>
  <c r="I970" i="3"/>
  <c r="J970" i="3"/>
  <c r="K970" i="3"/>
  <c r="L970" i="3"/>
  <c r="M970" i="3"/>
  <c r="T970" i="3" s="1"/>
  <c r="H971" i="3"/>
  <c r="I971" i="3"/>
  <c r="J971" i="3"/>
  <c r="K971" i="3"/>
  <c r="L971" i="3"/>
  <c r="M971" i="3"/>
  <c r="T971" i="3" s="1"/>
  <c r="H972" i="3"/>
  <c r="I972" i="3"/>
  <c r="J972" i="3"/>
  <c r="K972" i="3"/>
  <c r="L972" i="3"/>
  <c r="M972" i="3"/>
  <c r="T972" i="3" s="1"/>
  <c r="H973" i="3"/>
  <c r="I973" i="3"/>
  <c r="J973" i="3"/>
  <c r="K973" i="3"/>
  <c r="L973" i="3"/>
  <c r="M973" i="3"/>
  <c r="T973" i="3" s="1"/>
  <c r="H974" i="3"/>
  <c r="I974" i="3"/>
  <c r="J974" i="3"/>
  <c r="K974" i="3"/>
  <c r="N974" i="3" s="1"/>
  <c r="L974" i="3"/>
  <c r="M974" i="3"/>
  <c r="T974" i="3" s="1"/>
  <c r="H975" i="3"/>
  <c r="I975" i="3"/>
  <c r="J975" i="3"/>
  <c r="K975" i="3"/>
  <c r="O975" i="3" s="1"/>
  <c r="L975" i="3"/>
  <c r="M975" i="3"/>
  <c r="T975" i="3" s="1"/>
  <c r="H976" i="3"/>
  <c r="I976" i="3"/>
  <c r="J976" i="3"/>
  <c r="K976" i="3"/>
  <c r="L976" i="3"/>
  <c r="M976" i="3"/>
  <c r="T976" i="3" s="1"/>
  <c r="H977" i="3"/>
  <c r="I977" i="3"/>
  <c r="J977" i="3"/>
  <c r="K977" i="3"/>
  <c r="O977" i="3" s="1"/>
  <c r="L977" i="3"/>
  <c r="M977" i="3"/>
  <c r="T977" i="3" s="1"/>
  <c r="H978" i="3"/>
  <c r="I978" i="3"/>
  <c r="J978" i="3"/>
  <c r="K978" i="3"/>
  <c r="L978" i="3"/>
  <c r="M978" i="3"/>
  <c r="T978" i="3" s="1"/>
  <c r="H979" i="3"/>
  <c r="I979" i="3"/>
  <c r="J979" i="3"/>
  <c r="K979" i="3"/>
  <c r="L979" i="3"/>
  <c r="M979" i="3"/>
  <c r="T979" i="3" s="1"/>
  <c r="H980" i="3"/>
  <c r="I980" i="3"/>
  <c r="J980" i="3"/>
  <c r="K980" i="3"/>
  <c r="L980" i="3"/>
  <c r="M980" i="3"/>
  <c r="T980" i="3" s="1"/>
  <c r="H981" i="3"/>
  <c r="I981" i="3"/>
  <c r="J981" i="3"/>
  <c r="K981" i="3"/>
  <c r="L981" i="3"/>
  <c r="M981" i="3"/>
  <c r="T981" i="3" s="1"/>
  <c r="H982" i="3"/>
  <c r="I982" i="3"/>
  <c r="J982" i="3"/>
  <c r="K982" i="3"/>
  <c r="L982" i="3"/>
  <c r="M982" i="3"/>
  <c r="T982" i="3" s="1"/>
  <c r="H983" i="3"/>
  <c r="I983" i="3"/>
  <c r="J983" i="3"/>
  <c r="K983" i="3"/>
  <c r="L983" i="3"/>
  <c r="M983" i="3"/>
  <c r="T983" i="3" s="1"/>
  <c r="H984" i="3"/>
  <c r="I984" i="3"/>
  <c r="J984" i="3"/>
  <c r="K984" i="3"/>
  <c r="L984" i="3"/>
  <c r="M984" i="3"/>
  <c r="T984" i="3" s="1"/>
  <c r="H985" i="3"/>
  <c r="I985" i="3"/>
  <c r="J985" i="3"/>
  <c r="K985" i="3"/>
  <c r="L985" i="3"/>
  <c r="M985" i="3"/>
  <c r="T985" i="3" s="1"/>
  <c r="H986" i="3"/>
  <c r="I986" i="3"/>
  <c r="J986" i="3"/>
  <c r="K986" i="3"/>
  <c r="L986" i="3"/>
  <c r="M986" i="3"/>
  <c r="T986" i="3" s="1"/>
  <c r="H987" i="3"/>
  <c r="I987" i="3"/>
  <c r="J987" i="3"/>
  <c r="K987" i="3"/>
  <c r="N987" i="3" s="1"/>
  <c r="L987" i="3"/>
  <c r="M987" i="3"/>
  <c r="T987" i="3" s="1"/>
  <c r="H988" i="3"/>
  <c r="I988" i="3"/>
  <c r="J988" i="3"/>
  <c r="K988" i="3"/>
  <c r="N988" i="3" s="1"/>
  <c r="L988" i="3"/>
  <c r="M988" i="3"/>
  <c r="H989" i="3"/>
  <c r="I989" i="3"/>
  <c r="J989" i="3"/>
  <c r="K989" i="3"/>
  <c r="N989" i="3" s="1"/>
  <c r="L989" i="3"/>
  <c r="M989" i="3"/>
  <c r="T989" i="3" s="1"/>
  <c r="H990" i="3"/>
  <c r="I990" i="3"/>
  <c r="J990" i="3"/>
  <c r="K990" i="3"/>
  <c r="L990" i="3"/>
  <c r="M990" i="3"/>
  <c r="T990" i="3" s="1"/>
  <c r="H991" i="3"/>
  <c r="I991" i="3"/>
  <c r="J991" i="3"/>
  <c r="K991" i="3"/>
  <c r="L991" i="3"/>
  <c r="M991" i="3"/>
  <c r="T991" i="3" s="1"/>
  <c r="H992" i="3"/>
  <c r="I992" i="3"/>
  <c r="J992" i="3"/>
  <c r="K992" i="3"/>
  <c r="L992" i="3"/>
  <c r="M992" i="3"/>
  <c r="T992" i="3" s="1"/>
  <c r="H993" i="3"/>
  <c r="I993" i="3"/>
  <c r="J993" i="3"/>
  <c r="K993" i="3"/>
  <c r="L993" i="3"/>
  <c r="M993" i="3"/>
  <c r="T993" i="3" s="1"/>
  <c r="H994" i="3"/>
  <c r="I994" i="3"/>
  <c r="J994" i="3"/>
  <c r="K994" i="3"/>
  <c r="L994" i="3"/>
  <c r="M994" i="3"/>
  <c r="T994" i="3" s="1"/>
  <c r="H995" i="3"/>
  <c r="I995" i="3"/>
  <c r="J995" i="3"/>
  <c r="K995" i="3"/>
  <c r="N995" i="3" s="1"/>
  <c r="L995" i="3"/>
  <c r="M995" i="3"/>
  <c r="T995" i="3" s="1"/>
  <c r="H996" i="3"/>
  <c r="I996" i="3"/>
  <c r="J996" i="3"/>
  <c r="K996" i="3"/>
  <c r="L996" i="3"/>
  <c r="M996" i="3"/>
  <c r="T996" i="3" s="1"/>
  <c r="H997" i="3"/>
  <c r="I997" i="3"/>
  <c r="J997" i="3"/>
  <c r="K997" i="3"/>
  <c r="N997" i="3" s="1"/>
  <c r="L997" i="3"/>
  <c r="M997" i="3"/>
  <c r="T997" i="3" s="1"/>
  <c r="H998" i="3"/>
  <c r="I998" i="3"/>
  <c r="J998" i="3"/>
  <c r="K998" i="3"/>
  <c r="L998" i="3"/>
  <c r="M998" i="3"/>
  <c r="T998" i="3" s="1"/>
  <c r="H999" i="3"/>
  <c r="I999" i="3"/>
  <c r="J999" i="3"/>
  <c r="K999" i="3"/>
  <c r="N999" i="3" s="1"/>
  <c r="L999" i="3"/>
  <c r="M999" i="3"/>
  <c r="T999" i="3" s="1"/>
  <c r="H1000" i="3"/>
  <c r="I1000" i="3"/>
  <c r="J1000" i="3"/>
  <c r="K1000" i="3"/>
  <c r="L1000" i="3"/>
  <c r="M1000" i="3"/>
  <c r="T1000" i="3" s="1"/>
  <c r="H1001" i="3"/>
  <c r="I1001" i="3"/>
  <c r="J1001" i="3"/>
  <c r="K1001" i="3"/>
  <c r="L1001" i="3"/>
  <c r="M1001" i="3"/>
  <c r="T1001" i="3" s="1"/>
  <c r="H1002" i="3"/>
  <c r="I1002" i="3"/>
  <c r="J1002" i="3"/>
  <c r="K1002" i="3"/>
  <c r="L1002" i="3"/>
  <c r="M1002" i="3"/>
  <c r="T1002" i="3" s="1"/>
  <c r="H1003" i="3"/>
  <c r="I1003" i="3"/>
  <c r="J1003" i="3"/>
  <c r="K1003" i="3"/>
  <c r="L1003" i="3"/>
  <c r="M1003" i="3"/>
  <c r="T1003" i="3" s="1"/>
  <c r="H1004" i="3"/>
  <c r="I1004" i="3"/>
  <c r="J1004" i="3"/>
  <c r="K1004" i="3"/>
  <c r="L1004" i="3"/>
  <c r="M1004" i="3"/>
  <c r="H1005" i="3"/>
  <c r="I1005" i="3"/>
  <c r="J1005" i="3"/>
  <c r="K1005" i="3"/>
  <c r="O1005" i="3" s="1"/>
  <c r="L1005" i="3"/>
  <c r="M1005" i="3"/>
  <c r="T1005" i="3" s="1"/>
  <c r="H1006" i="3"/>
  <c r="I1006" i="3"/>
  <c r="J1006" i="3"/>
  <c r="K1006" i="3"/>
  <c r="L1006" i="3"/>
  <c r="M1006" i="3"/>
  <c r="T1006" i="3" s="1"/>
  <c r="H1007" i="3"/>
  <c r="I1007" i="3"/>
  <c r="J1007" i="3"/>
  <c r="K1007" i="3"/>
  <c r="N1007" i="3" s="1"/>
  <c r="L1007" i="3"/>
  <c r="M1007" i="3"/>
  <c r="T1007" i="3" s="1"/>
  <c r="H1008" i="3"/>
  <c r="I1008" i="3"/>
  <c r="J1008" i="3"/>
  <c r="K1008" i="3"/>
  <c r="L1008" i="3"/>
  <c r="M1008" i="3"/>
  <c r="T1008" i="3" s="1"/>
  <c r="H1009" i="3"/>
  <c r="I1009" i="3"/>
  <c r="J1009" i="3"/>
  <c r="K1009" i="3"/>
  <c r="L1009" i="3"/>
  <c r="M1009" i="3"/>
  <c r="T1009" i="3" s="1"/>
  <c r="H1010" i="3"/>
  <c r="I1010" i="3"/>
  <c r="J1010" i="3"/>
  <c r="K1010" i="3"/>
  <c r="L1010" i="3"/>
  <c r="M1010" i="3"/>
  <c r="T1010" i="3" s="1"/>
  <c r="H1011" i="3"/>
  <c r="I1011" i="3"/>
  <c r="J1011" i="3"/>
  <c r="K1011" i="3"/>
  <c r="N1011" i="3" s="1"/>
  <c r="L1011" i="3"/>
  <c r="M1011" i="3"/>
  <c r="T1011" i="3" s="1"/>
  <c r="H1012" i="3"/>
  <c r="I1012" i="3"/>
  <c r="J1012" i="3"/>
  <c r="K1012" i="3"/>
  <c r="L1012" i="3"/>
  <c r="M1012" i="3"/>
  <c r="T1012" i="3" s="1"/>
  <c r="H1013" i="3"/>
  <c r="I1013" i="3"/>
  <c r="J1013" i="3"/>
  <c r="K1013" i="3"/>
  <c r="L1013" i="3"/>
  <c r="M1013" i="3"/>
  <c r="T1013" i="3" s="1"/>
  <c r="H1014" i="3"/>
  <c r="I1014" i="3"/>
  <c r="J1014" i="3"/>
  <c r="K1014" i="3"/>
  <c r="L1014" i="3"/>
  <c r="M1014" i="3"/>
  <c r="T1014" i="3" s="1"/>
  <c r="H1015" i="3"/>
  <c r="I1015" i="3"/>
  <c r="J1015" i="3"/>
  <c r="K1015" i="3"/>
  <c r="N1015" i="3" s="1"/>
  <c r="L1015" i="3"/>
  <c r="M1015" i="3"/>
  <c r="T1015" i="3" s="1"/>
  <c r="H1016" i="3"/>
  <c r="I1016" i="3"/>
  <c r="J1016" i="3"/>
  <c r="K1016" i="3"/>
  <c r="N1016" i="3" s="1"/>
  <c r="L1016" i="3"/>
  <c r="M1016" i="3"/>
  <c r="T1016" i="3" s="1"/>
  <c r="H1017" i="3"/>
  <c r="I1017" i="3"/>
  <c r="J1017" i="3"/>
  <c r="K1017" i="3"/>
  <c r="L1017" i="3"/>
  <c r="M1017" i="3"/>
  <c r="T1017" i="3" s="1"/>
  <c r="H1018" i="3"/>
  <c r="I1018" i="3"/>
  <c r="J1018" i="3"/>
  <c r="K1018" i="3"/>
  <c r="L1018" i="3"/>
  <c r="M1018" i="3"/>
  <c r="T1018" i="3" s="1"/>
  <c r="H1019" i="3"/>
  <c r="I1019" i="3"/>
  <c r="J1019" i="3"/>
  <c r="K1019" i="3"/>
  <c r="N1019" i="3" s="1"/>
  <c r="L1019" i="3"/>
  <c r="M1019" i="3"/>
  <c r="T1019" i="3" s="1"/>
  <c r="H1020" i="3"/>
  <c r="I1020" i="3"/>
  <c r="J1020" i="3"/>
  <c r="K1020" i="3"/>
  <c r="L1020" i="3"/>
  <c r="M1020" i="3"/>
  <c r="H1021" i="3"/>
  <c r="I1021" i="3"/>
  <c r="J1021" i="3"/>
  <c r="K1021" i="3"/>
  <c r="L1021" i="3"/>
  <c r="M1021" i="3"/>
  <c r="T1021" i="3" s="1"/>
  <c r="H1022" i="3"/>
  <c r="I1022" i="3"/>
  <c r="J1022" i="3"/>
  <c r="K1022" i="3"/>
  <c r="L1022" i="3"/>
  <c r="M1022" i="3"/>
  <c r="T1022" i="3" s="1"/>
  <c r="H1023" i="3"/>
  <c r="I1023" i="3"/>
  <c r="J1023" i="3"/>
  <c r="K1023" i="3"/>
  <c r="L1023" i="3"/>
  <c r="M1023" i="3"/>
  <c r="T1023" i="3" s="1"/>
  <c r="H1024" i="3"/>
  <c r="I1024" i="3"/>
  <c r="J1024" i="3"/>
  <c r="K1024" i="3"/>
  <c r="L1024" i="3"/>
  <c r="M1024" i="3"/>
  <c r="T1024" i="3" s="1"/>
  <c r="H1025" i="3"/>
  <c r="I1025" i="3"/>
  <c r="J1025" i="3"/>
  <c r="K1025" i="3"/>
  <c r="L1025" i="3"/>
  <c r="M1025" i="3"/>
  <c r="T1025" i="3" s="1"/>
  <c r="H1026" i="3"/>
  <c r="I1026" i="3"/>
  <c r="J1026" i="3"/>
  <c r="K1026" i="3"/>
  <c r="L1026" i="3"/>
  <c r="M1026" i="3"/>
  <c r="T1026" i="3" s="1"/>
  <c r="H1027" i="3"/>
  <c r="I1027" i="3"/>
  <c r="J1027" i="3"/>
  <c r="K1027" i="3"/>
  <c r="L1027" i="3"/>
  <c r="M1027" i="3"/>
  <c r="T1027" i="3" s="1"/>
  <c r="H1028" i="3"/>
  <c r="I1028" i="3"/>
  <c r="J1028" i="3"/>
  <c r="K1028" i="3"/>
  <c r="L1028" i="3"/>
  <c r="M1028" i="3"/>
  <c r="T1028" i="3" s="1"/>
  <c r="H1029" i="3"/>
  <c r="I1029" i="3"/>
  <c r="J1029" i="3"/>
  <c r="K1029" i="3"/>
  <c r="N1029" i="3" s="1"/>
  <c r="L1029" i="3"/>
  <c r="M1029" i="3"/>
  <c r="T1029" i="3" s="1"/>
  <c r="H1030" i="3"/>
  <c r="I1030" i="3"/>
  <c r="J1030" i="3"/>
  <c r="K1030" i="3"/>
  <c r="L1030" i="3"/>
  <c r="M1030" i="3"/>
  <c r="T1030" i="3" s="1"/>
  <c r="H1031" i="3"/>
  <c r="I1031" i="3"/>
  <c r="J1031" i="3"/>
  <c r="K1031" i="3"/>
  <c r="L1031" i="3"/>
  <c r="M1031" i="3"/>
  <c r="T1031" i="3" s="1"/>
  <c r="H1032" i="3"/>
  <c r="I1032" i="3"/>
  <c r="J1032" i="3"/>
  <c r="K1032" i="3"/>
  <c r="L1032" i="3"/>
  <c r="M1032" i="3"/>
  <c r="T1032" i="3" s="1"/>
  <c r="H1033" i="3"/>
  <c r="I1033" i="3"/>
  <c r="J1033" i="3"/>
  <c r="K1033" i="3"/>
  <c r="L1033" i="3"/>
  <c r="M1033" i="3"/>
  <c r="T1033" i="3" s="1"/>
  <c r="H1034" i="3"/>
  <c r="I1034" i="3"/>
  <c r="J1034" i="3"/>
  <c r="K1034" i="3"/>
  <c r="L1034" i="3"/>
  <c r="M1034" i="3"/>
  <c r="H1035" i="3"/>
  <c r="I1035" i="3"/>
  <c r="J1035" i="3"/>
  <c r="K1035" i="3"/>
  <c r="N1035" i="3" s="1"/>
  <c r="L1035" i="3"/>
  <c r="M1035" i="3"/>
  <c r="T1035" i="3" s="1"/>
  <c r="H1036" i="3"/>
  <c r="I1036" i="3"/>
  <c r="J1036" i="3"/>
  <c r="K1036" i="3"/>
  <c r="N1036" i="3" s="1"/>
  <c r="L1036" i="3"/>
  <c r="M1036" i="3"/>
  <c r="T1036" i="3" s="1"/>
  <c r="H1037" i="3"/>
  <c r="I1037" i="3"/>
  <c r="J1037" i="3"/>
  <c r="K1037" i="3"/>
  <c r="N1037" i="3" s="1"/>
  <c r="L1037" i="3"/>
  <c r="M1037" i="3"/>
  <c r="T1037" i="3" s="1"/>
  <c r="H1038" i="3"/>
  <c r="I1038" i="3"/>
  <c r="J1038" i="3"/>
  <c r="K1038" i="3"/>
  <c r="L1038" i="3"/>
  <c r="M1038" i="3"/>
  <c r="T1038" i="3" s="1"/>
  <c r="H1039" i="3"/>
  <c r="I1039" i="3"/>
  <c r="J1039" i="3"/>
  <c r="K1039" i="3"/>
  <c r="O1039" i="3" s="1"/>
  <c r="L1039" i="3"/>
  <c r="M1039" i="3"/>
  <c r="T1039" i="3" s="1"/>
  <c r="H1040" i="3"/>
  <c r="I1040" i="3"/>
  <c r="J1040" i="3"/>
  <c r="K1040" i="3"/>
  <c r="L1040" i="3"/>
  <c r="M1040" i="3"/>
  <c r="T1040" i="3" s="1"/>
  <c r="H1041" i="3"/>
  <c r="I1041" i="3"/>
  <c r="J1041" i="3"/>
  <c r="K1041" i="3"/>
  <c r="L1041" i="3"/>
  <c r="M1041" i="3"/>
  <c r="T1041" i="3" s="1"/>
  <c r="H1042" i="3"/>
  <c r="I1042" i="3"/>
  <c r="J1042" i="3"/>
  <c r="K1042" i="3"/>
  <c r="L1042" i="3"/>
  <c r="M1042" i="3"/>
  <c r="T1042" i="3" s="1"/>
  <c r="H1043" i="3"/>
  <c r="I1043" i="3"/>
  <c r="J1043" i="3"/>
  <c r="K1043" i="3"/>
  <c r="N1043" i="3" s="1"/>
  <c r="L1043" i="3"/>
  <c r="M1043" i="3"/>
  <c r="T1043" i="3" s="1"/>
  <c r="H1044" i="3"/>
  <c r="I1044" i="3"/>
  <c r="J1044" i="3"/>
  <c r="K1044" i="3"/>
  <c r="L1044" i="3"/>
  <c r="M1044" i="3"/>
  <c r="T1044" i="3" s="1"/>
  <c r="H1045" i="3"/>
  <c r="I1045" i="3"/>
  <c r="J1045" i="3"/>
  <c r="K1045" i="3"/>
  <c r="N1045" i="3" s="1"/>
  <c r="L1045" i="3"/>
  <c r="M1045" i="3"/>
  <c r="T1045" i="3" s="1"/>
  <c r="H1046" i="3"/>
  <c r="I1046" i="3"/>
  <c r="J1046" i="3"/>
  <c r="K1046" i="3"/>
  <c r="L1046" i="3"/>
  <c r="M1046" i="3"/>
  <c r="T1046" i="3" s="1"/>
  <c r="H1047" i="3"/>
  <c r="I1047" i="3"/>
  <c r="J1047" i="3"/>
  <c r="K1047" i="3"/>
  <c r="N1047" i="3" s="1"/>
  <c r="L1047" i="3"/>
  <c r="M1047" i="3"/>
  <c r="T1047" i="3" s="1"/>
  <c r="H1048" i="3"/>
  <c r="I1048" i="3"/>
  <c r="J1048" i="3"/>
  <c r="K1048" i="3"/>
  <c r="L1048" i="3"/>
  <c r="M1048" i="3"/>
  <c r="T1048" i="3" s="1"/>
  <c r="H1049" i="3"/>
  <c r="I1049" i="3"/>
  <c r="J1049" i="3"/>
  <c r="K1049" i="3"/>
  <c r="L1049" i="3"/>
  <c r="M1049" i="3"/>
  <c r="T1049" i="3" s="1"/>
  <c r="H1050" i="3"/>
  <c r="I1050" i="3"/>
  <c r="J1050" i="3"/>
  <c r="K1050" i="3"/>
  <c r="L1050" i="3"/>
  <c r="M1050" i="3"/>
  <c r="T1050" i="3" s="1"/>
  <c r="H1051" i="3"/>
  <c r="I1051" i="3"/>
  <c r="J1051" i="3"/>
  <c r="K1051" i="3"/>
  <c r="N1051" i="3" s="1"/>
  <c r="L1051" i="3"/>
  <c r="M1051" i="3"/>
  <c r="T1051" i="3" s="1"/>
  <c r="H1052" i="3"/>
  <c r="I1052" i="3"/>
  <c r="J1052" i="3"/>
  <c r="K1052" i="3"/>
  <c r="L1052" i="3"/>
  <c r="M1052" i="3"/>
  <c r="H1053" i="3"/>
  <c r="I1053" i="3"/>
  <c r="J1053" i="3"/>
  <c r="K1053" i="3"/>
  <c r="L1053" i="3"/>
  <c r="M1053" i="3"/>
  <c r="T1053" i="3" s="1"/>
  <c r="H1054" i="3"/>
  <c r="I1054" i="3"/>
  <c r="J1054" i="3"/>
  <c r="K1054" i="3"/>
  <c r="N1054" i="3" s="1"/>
  <c r="L1054" i="3"/>
  <c r="M1054" i="3"/>
  <c r="T1054" i="3" s="1"/>
  <c r="H1055" i="3"/>
  <c r="I1055" i="3"/>
  <c r="J1055" i="3"/>
  <c r="K1055" i="3"/>
  <c r="O1055" i="3" s="1"/>
  <c r="L1055" i="3"/>
  <c r="M1055" i="3"/>
  <c r="T1055" i="3" s="1"/>
  <c r="H1056" i="3"/>
  <c r="I1056" i="3"/>
  <c r="J1056" i="3"/>
  <c r="K1056" i="3"/>
  <c r="L1056" i="3"/>
  <c r="M1056" i="3"/>
  <c r="T1056" i="3" s="1"/>
  <c r="H1057" i="3"/>
  <c r="I1057" i="3"/>
  <c r="J1057" i="3"/>
  <c r="K1057" i="3"/>
  <c r="O1057" i="3" s="1"/>
  <c r="L1057" i="3"/>
  <c r="M1057" i="3"/>
  <c r="T1057" i="3" s="1"/>
  <c r="H1058" i="3"/>
  <c r="I1058" i="3"/>
  <c r="J1058" i="3"/>
  <c r="K1058" i="3"/>
  <c r="L1058" i="3"/>
  <c r="M1058" i="3"/>
  <c r="T1058" i="3" s="1"/>
  <c r="H1059" i="3"/>
  <c r="I1059" i="3"/>
  <c r="J1059" i="3"/>
  <c r="K1059" i="3"/>
  <c r="O1059" i="3" s="1"/>
  <c r="L1059" i="3"/>
  <c r="M1059" i="3"/>
  <c r="T1059" i="3" s="1"/>
  <c r="H1060" i="3"/>
  <c r="I1060" i="3"/>
  <c r="J1060" i="3"/>
  <c r="K1060" i="3"/>
  <c r="L1060" i="3"/>
  <c r="M1060" i="3"/>
  <c r="T1060" i="3" s="1"/>
  <c r="H1061" i="3"/>
  <c r="I1061" i="3"/>
  <c r="J1061" i="3"/>
  <c r="K1061" i="3"/>
  <c r="L1061" i="3"/>
  <c r="M1061" i="3"/>
  <c r="T1061" i="3" s="1"/>
  <c r="H1062" i="3"/>
  <c r="I1062" i="3"/>
  <c r="J1062" i="3"/>
  <c r="K1062" i="3"/>
  <c r="L1062" i="3"/>
  <c r="M1062" i="3"/>
  <c r="T1062" i="3" s="1"/>
  <c r="H1063" i="3"/>
  <c r="I1063" i="3"/>
  <c r="J1063" i="3"/>
  <c r="K1063" i="3"/>
  <c r="N1063" i="3" s="1"/>
  <c r="L1063" i="3"/>
  <c r="M1063" i="3"/>
  <c r="T1063" i="3" s="1"/>
  <c r="H1064" i="3"/>
  <c r="I1064" i="3"/>
  <c r="J1064" i="3"/>
  <c r="K1064" i="3"/>
  <c r="L1064" i="3"/>
  <c r="M1064" i="3"/>
  <c r="T1064" i="3" s="1"/>
  <c r="H1065" i="3"/>
  <c r="I1065" i="3"/>
  <c r="J1065" i="3"/>
  <c r="K1065" i="3"/>
  <c r="L1065" i="3"/>
  <c r="M1065" i="3"/>
  <c r="T1065" i="3" s="1"/>
  <c r="H1066" i="3"/>
  <c r="I1066" i="3"/>
  <c r="J1066" i="3"/>
  <c r="K1066" i="3"/>
  <c r="L1066" i="3"/>
  <c r="M1066" i="3"/>
  <c r="T1066" i="3" s="1"/>
  <c r="H1067" i="3"/>
  <c r="I1067" i="3"/>
  <c r="J1067" i="3"/>
  <c r="K1067" i="3"/>
  <c r="L1067" i="3"/>
  <c r="M1067" i="3"/>
  <c r="T1067" i="3" s="1"/>
  <c r="H1068" i="3"/>
  <c r="I1068" i="3"/>
  <c r="J1068" i="3"/>
  <c r="K1068" i="3"/>
  <c r="L1068" i="3"/>
  <c r="M1068" i="3"/>
  <c r="T1068" i="3" s="1"/>
  <c r="H1069" i="3"/>
  <c r="I1069" i="3"/>
  <c r="J1069" i="3"/>
  <c r="K1069" i="3"/>
  <c r="O1069" i="3" s="1"/>
  <c r="L1069" i="3"/>
  <c r="M1069" i="3"/>
  <c r="T1069" i="3" s="1"/>
  <c r="H1070" i="3"/>
  <c r="I1070" i="3"/>
  <c r="J1070" i="3"/>
  <c r="K1070" i="3"/>
  <c r="L1070" i="3"/>
  <c r="M1070" i="3"/>
  <c r="T1070" i="3" s="1"/>
  <c r="H1071" i="3"/>
  <c r="I1071" i="3"/>
  <c r="J1071" i="3"/>
  <c r="K1071" i="3"/>
  <c r="L1071" i="3"/>
  <c r="M1071" i="3"/>
  <c r="T1071" i="3" s="1"/>
  <c r="H1072" i="3"/>
  <c r="I1072" i="3"/>
  <c r="J1072" i="3"/>
  <c r="K1072" i="3"/>
  <c r="L1072" i="3"/>
  <c r="M1072" i="3"/>
  <c r="T1072" i="3" s="1"/>
  <c r="H1073" i="3"/>
  <c r="I1073" i="3"/>
  <c r="J1073" i="3"/>
  <c r="K1073" i="3"/>
  <c r="L1073" i="3"/>
  <c r="M1073" i="3"/>
  <c r="T1073" i="3" s="1"/>
  <c r="H1074" i="3"/>
  <c r="I1074" i="3"/>
  <c r="J1074" i="3"/>
  <c r="K1074" i="3"/>
  <c r="L1074" i="3"/>
  <c r="M1074" i="3"/>
  <c r="T1074" i="3" s="1"/>
  <c r="H1075" i="3"/>
  <c r="I1075" i="3"/>
  <c r="J1075" i="3"/>
  <c r="K1075" i="3"/>
  <c r="O1075" i="3" s="1"/>
  <c r="L1075" i="3"/>
  <c r="M1075" i="3"/>
  <c r="T1075" i="3" s="1"/>
  <c r="H1076" i="3"/>
  <c r="I1076" i="3"/>
  <c r="J1076" i="3"/>
  <c r="K1076" i="3"/>
  <c r="N1076" i="3" s="1"/>
  <c r="L1076" i="3"/>
  <c r="M1076" i="3"/>
  <c r="T1076" i="3" s="1"/>
  <c r="H1077" i="3"/>
  <c r="I1077" i="3"/>
  <c r="J1077" i="3"/>
  <c r="K1077" i="3"/>
  <c r="N1077" i="3" s="1"/>
  <c r="L1077" i="3"/>
  <c r="M1077" i="3"/>
  <c r="T1077" i="3" s="1"/>
  <c r="H1078" i="3"/>
  <c r="I1078" i="3"/>
  <c r="J1078" i="3"/>
  <c r="K1078" i="3"/>
  <c r="L1078" i="3"/>
  <c r="M1078" i="3"/>
  <c r="T1078" i="3" s="1"/>
  <c r="H1079" i="3"/>
  <c r="I1079" i="3"/>
  <c r="J1079" i="3"/>
  <c r="K1079" i="3"/>
  <c r="L1079" i="3"/>
  <c r="M1079" i="3"/>
  <c r="T1079" i="3" s="1"/>
  <c r="H1080" i="3"/>
  <c r="I1080" i="3"/>
  <c r="J1080" i="3"/>
  <c r="K1080" i="3"/>
  <c r="L1080" i="3"/>
  <c r="M1080" i="3"/>
  <c r="T1080" i="3" s="1"/>
  <c r="H1081" i="3"/>
  <c r="I1081" i="3"/>
  <c r="J1081" i="3"/>
  <c r="K1081" i="3"/>
  <c r="L1081" i="3"/>
  <c r="M1081" i="3"/>
  <c r="T1081" i="3" s="1"/>
  <c r="H1082" i="3"/>
  <c r="I1082" i="3"/>
  <c r="J1082" i="3"/>
  <c r="K1082" i="3"/>
  <c r="L1082" i="3"/>
  <c r="M1082" i="3"/>
  <c r="T1082" i="3" s="1"/>
  <c r="H1083" i="3"/>
  <c r="I1083" i="3"/>
  <c r="J1083" i="3"/>
  <c r="K1083" i="3"/>
  <c r="N1083" i="3" s="1"/>
  <c r="L1083" i="3"/>
  <c r="M1083" i="3"/>
  <c r="T1083" i="3" s="1"/>
  <c r="H1084" i="3"/>
  <c r="I1084" i="3"/>
  <c r="J1084" i="3"/>
  <c r="K1084" i="3"/>
  <c r="L1084" i="3"/>
  <c r="M1084" i="3"/>
  <c r="T1084" i="3" s="1"/>
  <c r="H1085" i="3"/>
  <c r="I1085" i="3"/>
  <c r="J1085" i="3"/>
  <c r="K1085" i="3"/>
  <c r="N1085" i="3" s="1"/>
  <c r="L1085" i="3"/>
  <c r="M1085" i="3"/>
  <c r="T1085" i="3" s="1"/>
  <c r="H1086" i="3"/>
  <c r="I1086" i="3"/>
  <c r="J1086" i="3"/>
  <c r="K1086" i="3"/>
  <c r="L1086" i="3"/>
  <c r="M1086" i="3"/>
  <c r="T1086" i="3" s="1"/>
  <c r="H1087" i="3"/>
  <c r="I1087" i="3"/>
  <c r="J1087" i="3"/>
  <c r="K1087" i="3"/>
  <c r="N1087" i="3" s="1"/>
  <c r="L1087" i="3"/>
  <c r="M1087" i="3"/>
  <c r="T1087" i="3" s="1"/>
  <c r="H1088" i="3"/>
  <c r="I1088" i="3"/>
  <c r="J1088" i="3"/>
  <c r="K1088" i="3"/>
  <c r="L1088" i="3"/>
  <c r="M1088" i="3"/>
  <c r="T1088" i="3" s="1"/>
  <c r="H1089" i="3"/>
  <c r="I1089" i="3"/>
  <c r="J1089" i="3"/>
  <c r="K1089" i="3"/>
  <c r="L1089" i="3"/>
  <c r="R1089" i="3" s="1"/>
  <c r="M1089" i="3"/>
  <c r="T1089" i="3" s="1"/>
  <c r="H1090" i="3"/>
  <c r="I1090" i="3"/>
  <c r="J1090" i="3"/>
  <c r="K1090" i="3"/>
  <c r="L1090" i="3"/>
  <c r="M1090" i="3"/>
  <c r="T1090" i="3" s="1"/>
  <c r="H1091" i="3"/>
  <c r="I1091" i="3"/>
  <c r="J1091" i="3"/>
  <c r="K1091" i="3"/>
  <c r="L1091" i="3"/>
  <c r="M1091" i="3"/>
  <c r="T1091" i="3" s="1"/>
  <c r="H1092" i="3"/>
  <c r="I1092" i="3"/>
  <c r="J1092" i="3"/>
  <c r="K1092" i="3"/>
  <c r="L1092" i="3"/>
  <c r="M1092" i="3"/>
  <c r="T1092" i="3" s="1"/>
  <c r="H1093" i="3"/>
  <c r="I1093" i="3"/>
  <c r="J1093" i="3"/>
  <c r="K1093" i="3"/>
  <c r="N1093" i="3" s="1"/>
  <c r="L1093" i="3"/>
  <c r="M1093" i="3"/>
  <c r="T1093" i="3" s="1"/>
  <c r="H1094" i="3"/>
  <c r="I1094" i="3"/>
  <c r="J1094" i="3"/>
  <c r="K1094" i="3"/>
  <c r="L1094" i="3"/>
  <c r="M1094" i="3"/>
  <c r="T1094" i="3" s="1"/>
  <c r="H1095" i="3"/>
  <c r="I1095" i="3"/>
  <c r="J1095" i="3"/>
  <c r="K1095" i="3"/>
  <c r="L1095" i="3"/>
  <c r="M1095" i="3"/>
  <c r="T1095" i="3" s="1"/>
  <c r="H1096" i="3"/>
  <c r="I1096" i="3"/>
  <c r="J1096" i="3"/>
  <c r="K1096" i="3"/>
  <c r="N1096" i="3" s="1"/>
  <c r="L1096" i="3"/>
  <c r="M1096" i="3"/>
  <c r="T1096" i="3" s="1"/>
  <c r="H1097" i="3"/>
  <c r="I1097" i="3"/>
  <c r="J1097" i="3"/>
  <c r="K1097" i="3"/>
  <c r="L1097" i="3"/>
  <c r="M1097" i="3"/>
  <c r="T1097" i="3" s="1"/>
  <c r="H1098" i="3"/>
  <c r="I1098" i="3"/>
  <c r="J1098" i="3"/>
  <c r="K1098" i="3"/>
  <c r="L1098" i="3"/>
  <c r="M1098" i="3"/>
  <c r="H1099" i="3"/>
  <c r="I1099" i="3"/>
  <c r="J1099" i="3"/>
  <c r="K1099" i="3"/>
  <c r="L1099" i="3"/>
  <c r="M1099" i="3"/>
  <c r="T1099" i="3" s="1"/>
  <c r="H1100" i="3"/>
  <c r="I1100" i="3"/>
  <c r="J1100" i="3"/>
  <c r="K1100" i="3"/>
  <c r="L1100" i="3"/>
  <c r="M1100" i="3"/>
  <c r="T1100" i="3" s="1"/>
  <c r="H1101" i="3"/>
  <c r="I1101" i="3"/>
  <c r="J1101" i="3"/>
  <c r="K1101" i="3"/>
  <c r="L1101" i="3"/>
  <c r="M1101" i="3"/>
  <c r="T1101" i="3" s="1"/>
  <c r="H1102" i="3"/>
  <c r="I1102" i="3"/>
  <c r="J1102" i="3"/>
  <c r="K1102" i="3"/>
  <c r="L1102" i="3"/>
  <c r="M1102" i="3"/>
  <c r="T1102" i="3" s="1"/>
  <c r="H1103" i="3"/>
  <c r="I1103" i="3"/>
  <c r="J1103" i="3"/>
  <c r="K1103" i="3"/>
  <c r="N1103" i="3" s="1"/>
  <c r="L1103" i="3"/>
  <c r="M1103" i="3"/>
  <c r="T1103" i="3" s="1"/>
  <c r="H1104" i="3"/>
  <c r="I1104" i="3"/>
  <c r="J1104" i="3"/>
  <c r="K1104" i="3"/>
  <c r="L1104" i="3"/>
  <c r="M1104" i="3"/>
  <c r="T1104" i="3" s="1"/>
  <c r="H1105" i="3"/>
  <c r="I1105" i="3"/>
  <c r="J1105" i="3"/>
  <c r="K1105" i="3"/>
  <c r="L1105" i="3"/>
  <c r="R1105" i="3" s="1"/>
  <c r="M1105" i="3"/>
  <c r="T1105" i="3" s="1"/>
  <c r="H1106" i="3"/>
  <c r="I1106" i="3"/>
  <c r="J1106" i="3"/>
  <c r="K1106" i="3"/>
  <c r="L1106" i="3"/>
  <c r="M1106" i="3"/>
  <c r="T1106" i="3" s="1"/>
  <c r="H1107" i="3"/>
  <c r="I1107" i="3"/>
  <c r="J1107" i="3"/>
  <c r="K1107" i="3"/>
  <c r="N1107" i="3" s="1"/>
  <c r="L1107" i="3"/>
  <c r="M1107" i="3"/>
  <c r="T1107" i="3" s="1"/>
  <c r="H1108" i="3"/>
  <c r="I1108" i="3"/>
  <c r="J1108" i="3"/>
  <c r="K1108" i="3"/>
  <c r="L1108" i="3"/>
  <c r="M1108" i="3"/>
  <c r="T1108" i="3" s="1"/>
  <c r="H1109" i="3"/>
  <c r="I1109" i="3"/>
  <c r="J1109" i="3"/>
  <c r="K1109" i="3"/>
  <c r="L1109" i="3"/>
  <c r="M1109" i="3"/>
  <c r="T1109" i="3" s="1"/>
  <c r="H1110" i="3"/>
  <c r="I1110" i="3"/>
  <c r="J1110" i="3"/>
  <c r="K1110" i="3"/>
  <c r="L1110" i="3"/>
  <c r="M1110" i="3"/>
  <c r="T1110" i="3" s="1"/>
  <c r="H1111" i="3"/>
  <c r="I1111" i="3"/>
  <c r="J1111" i="3"/>
  <c r="K1111" i="3"/>
  <c r="L1111" i="3"/>
  <c r="M1111" i="3"/>
  <c r="T1111" i="3" s="1"/>
  <c r="H1112" i="3"/>
  <c r="I1112" i="3"/>
  <c r="J1112" i="3"/>
  <c r="K1112" i="3"/>
  <c r="L1112" i="3"/>
  <c r="M1112" i="3"/>
  <c r="T1112" i="3" s="1"/>
  <c r="H1113" i="3"/>
  <c r="I1113" i="3"/>
  <c r="J1113" i="3"/>
  <c r="K1113" i="3"/>
  <c r="L1113" i="3"/>
  <c r="M1113" i="3"/>
  <c r="T1113" i="3" s="1"/>
  <c r="H1114" i="3"/>
  <c r="I1114" i="3"/>
  <c r="J1114" i="3"/>
  <c r="K1114" i="3"/>
  <c r="L1114" i="3"/>
  <c r="M1114" i="3"/>
  <c r="T1114" i="3" s="1"/>
  <c r="H1115" i="3"/>
  <c r="I1115" i="3"/>
  <c r="J1115" i="3"/>
  <c r="K1115" i="3"/>
  <c r="L1115" i="3"/>
  <c r="M1115" i="3"/>
  <c r="T1115" i="3" s="1"/>
  <c r="H1116" i="3"/>
  <c r="I1116" i="3"/>
  <c r="J1116" i="3"/>
  <c r="K1116" i="3"/>
  <c r="N1116" i="3" s="1"/>
  <c r="L1116" i="3"/>
  <c r="M1116" i="3"/>
  <c r="T1116" i="3" s="1"/>
  <c r="H1117" i="3"/>
  <c r="I1117" i="3"/>
  <c r="J1117" i="3"/>
  <c r="K1117" i="3"/>
  <c r="O1117" i="3" s="1"/>
  <c r="L1117" i="3"/>
  <c r="M1117" i="3"/>
  <c r="T1117" i="3" s="1"/>
  <c r="H1118" i="3"/>
  <c r="I1118" i="3"/>
  <c r="J1118" i="3"/>
  <c r="K1118" i="3"/>
  <c r="L1118" i="3"/>
  <c r="M1118" i="3"/>
  <c r="T1118" i="3" s="1"/>
  <c r="H1119" i="3"/>
  <c r="I1119" i="3"/>
  <c r="J1119" i="3"/>
  <c r="K1119" i="3"/>
  <c r="L1119" i="3"/>
  <c r="M1119" i="3"/>
  <c r="T1119" i="3" s="1"/>
  <c r="H1120" i="3"/>
  <c r="I1120" i="3"/>
  <c r="J1120" i="3"/>
  <c r="K1120" i="3"/>
  <c r="L1120" i="3"/>
  <c r="M1120" i="3"/>
  <c r="T1120" i="3" s="1"/>
  <c r="H1121" i="3"/>
  <c r="I1121" i="3"/>
  <c r="J1121" i="3"/>
  <c r="K1121" i="3"/>
  <c r="L1121" i="3"/>
  <c r="R1121" i="3" s="1"/>
  <c r="M1121" i="3"/>
  <c r="T1121" i="3" s="1"/>
  <c r="H1122" i="3"/>
  <c r="I1122" i="3"/>
  <c r="J1122" i="3"/>
  <c r="K1122" i="3"/>
  <c r="L1122" i="3"/>
  <c r="M1122" i="3"/>
  <c r="T1122" i="3" s="1"/>
  <c r="H1123" i="3"/>
  <c r="I1123" i="3"/>
  <c r="J1123" i="3"/>
  <c r="K1123" i="3"/>
  <c r="N1123" i="3" s="1"/>
  <c r="L1123" i="3"/>
  <c r="M1123" i="3"/>
  <c r="T1123" i="3" s="1"/>
  <c r="H1124" i="3"/>
  <c r="I1124" i="3"/>
  <c r="J1124" i="3"/>
  <c r="K1124" i="3"/>
  <c r="L1124" i="3"/>
  <c r="M1124" i="3"/>
  <c r="T1124" i="3" s="1"/>
  <c r="H1125" i="3"/>
  <c r="I1125" i="3"/>
  <c r="J1125" i="3"/>
  <c r="K1125" i="3"/>
  <c r="O1125" i="3" s="1"/>
  <c r="L1125" i="3"/>
  <c r="M1125" i="3"/>
  <c r="T1125" i="3" s="1"/>
  <c r="H1126" i="3"/>
  <c r="I1126" i="3"/>
  <c r="J1126" i="3"/>
  <c r="K1126" i="3"/>
  <c r="L1126" i="3"/>
  <c r="M1126" i="3"/>
  <c r="T1126" i="3" s="1"/>
  <c r="H1127" i="3"/>
  <c r="I1127" i="3"/>
  <c r="J1127" i="3"/>
  <c r="K1127" i="3"/>
  <c r="N1127" i="3" s="1"/>
  <c r="L1127" i="3"/>
  <c r="M1127" i="3"/>
  <c r="T1127" i="3" s="1"/>
  <c r="H1128" i="3"/>
  <c r="I1128" i="3"/>
  <c r="J1128" i="3"/>
  <c r="K1128" i="3"/>
  <c r="L1128" i="3"/>
  <c r="M1128" i="3"/>
  <c r="T1128" i="3" s="1"/>
  <c r="H1129" i="3"/>
  <c r="I1129" i="3"/>
  <c r="J1129" i="3"/>
  <c r="K1129" i="3"/>
  <c r="L1129" i="3"/>
  <c r="M1129" i="3"/>
  <c r="T1129" i="3" s="1"/>
  <c r="H1130" i="3"/>
  <c r="I1130" i="3"/>
  <c r="J1130" i="3"/>
  <c r="K1130" i="3"/>
  <c r="L1130" i="3"/>
  <c r="M1130" i="3"/>
  <c r="T1130" i="3" s="1"/>
  <c r="H1131" i="3"/>
  <c r="I1131" i="3"/>
  <c r="J1131" i="3"/>
  <c r="K1131" i="3"/>
  <c r="L1131" i="3"/>
  <c r="M1131" i="3"/>
  <c r="T1131" i="3" s="1"/>
  <c r="H1132" i="3"/>
  <c r="I1132" i="3"/>
  <c r="J1132" i="3"/>
  <c r="K1132" i="3"/>
  <c r="L1132" i="3"/>
  <c r="M1132" i="3"/>
  <c r="H1133" i="3"/>
  <c r="I1133" i="3"/>
  <c r="J1133" i="3"/>
  <c r="K1133" i="3"/>
  <c r="N1133" i="3" s="1"/>
  <c r="L1133" i="3"/>
  <c r="M1133" i="3"/>
  <c r="T1133" i="3" s="1"/>
  <c r="H1134" i="3"/>
  <c r="I1134" i="3"/>
  <c r="J1134" i="3"/>
  <c r="K1134" i="3"/>
  <c r="L1134" i="3"/>
  <c r="M1134" i="3"/>
  <c r="T1134" i="3" s="1"/>
  <c r="H1135" i="3"/>
  <c r="I1135" i="3"/>
  <c r="J1135" i="3"/>
  <c r="K1135" i="3"/>
  <c r="N1135" i="3" s="1"/>
  <c r="L1135" i="3"/>
  <c r="M1135" i="3"/>
  <c r="T1135" i="3" s="1"/>
  <c r="H1136" i="3"/>
  <c r="I1136" i="3"/>
  <c r="J1136" i="3"/>
  <c r="K1136" i="3"/>
  <c r="O1136" i="3" s="1"/>
  <c r="L1136" i="3"/>
  <c r="M1136" i="3"/>
  <c r="T1136" i="3" s="1"/>
  <c r="H1137" i="3"/>
  <c r="I1137" i="3"/>
  <c r="J1137" i="3"/>
  <c r="K1137" i="3"/>
  <c r="L1137" i="3"/>
  <c r="R1137" i="3" s="1"/>
  <c r="M1137" i="3"/>
  <c r="T1137" i="3" s="1"/>
  <c r="H1138" i="3"/>
  <c r="I1138" i="3"/>
  <c r="J1138" i="3"/>
  <c r="K1138" i="3"/>
  <c r="L1138" i="3"/>
  <c r="M1138" i="3"/>
  <c r="T1138" i="3" s="1"/>
  <c r="H1139" i="3"/>
  <c r="I1139" i="3"/>
  <c r="J1139" i="3"/>
  <c r="K1139" i="3"/>
  <c r="L1139" i="3"/>
  <c r="M1139" i="3"/>
  <c r="T1139" i="3" s="1"/>
  <c r="H1140" i="3"/>
  <c r="I1140" i="3"/>
  <c r="J1140" i="3"/>
  <c r="K1140" i="3"/>
  <c r="L1140" i="3"/>
  <c r="M1140" i="3"/>
  <c r="T1140" i="3" s="1"/>
  <c r="H1141" i="3"/>
  <c r="I1141" i="3"/>
  <c r="J1141" i="3"/>
  <c r="K1141" i="3"/>
  <c r="L1141" i="3"/>
  <c r="M1141" i="3"/>
  <c r="T1141" i="3" s="1"/>
  <c r="H1142" i="3"/>
  <c r="I1142" i="3"/>
  <c r="J1142" i="3"/>
  <c r="K1142" i="3"/>
  <c r="L1142" i="3"/>
  <c r="M1142" i="3"/>
  <c r="T1142" i="3" s="1"/>
  <c r="H1143" i="3"/>
  <c r="I1143" i="3"/>
  <c r="J1143" i="3"/>
  <c r="K1143" i="3"/>
  <c r="O1143" i="3" s="1"/>
  <c r="L1143" i="3"/>
  <c r="M1143" i="3"/>
  <c r="T1143" i="3" s="1"/>
  <c r="H1144" i="3"/>
  <c r="I1144" i="3"/>
  <c r="J1144" i="3"/>
  <c r="K1144" i="3"/>
  <c r="N1144" i="3" s="1"/>
  <c r="L1144" i="3"/>
  <c r="M1144" i="3"/>
  <c r="T1144" i="3" s="1"/>
  <c r="H1145" i="3"/>
  <c r="I1145" i="3"/>
  <c r="J1145" i="3"/>
  <c r="K1145" i="3"/>
  <c r="L1145" i="3"/>
  <c r="S1145" i="3" s="1"/>
  <c r="M1145" i="3"/>
  <c r="T1145" i="3" s="1"/>
  <c r="H1146" i="3"/>
  <c r="I1146" i="3"/>
  <c r="J1146" i="3"/>
  <c r="K1146" i="3"/>
  <c r="L1146" i="3"/>
  <c r="M1146" i="3"/>
  <c r="T1146" i="3" s="1"/>
  <c r="H1147" i="3"/>
  <c r="I1147" i="3"/>
  <c r="J1147" i="3"/>
  <c r="K1147" i="3"/>
  <c r="N1147" i="3" s="1"/>
  <c r="L1147" i="3"/>
  <c r="M1147" i="3"/>
  <c r="T1147" i="3" s="1"/>
  <c r="H1148" i="3"/>
  <c r="I1148" i="3"/>
  <c r="J1148" i="3"/>
  <c r="K1148" i="3"/>
  <c r="L1148" i="3"/>
  <c r="M1148" i="3"/>
  <c r="H1149" i="3"/>
  <c r="I1149" i="3"/>
  <c r="J1149" i="3"/>
  <c r="K1149" i="3"/>
  <c r="L1149" i="3"/>
  <c r="M1149" i="3"/>
  <c r="T1149" i="3" s="1"/>
  <c r="H1150" i="3"/>
  <c r="I1150" i="3"/>
  <c r="J1150" i="3"/>
  <c r="K1150" i="3"/>
  <c r="N1150" i="3" s="1"/>
  <c r="L1150" i="3"/>
  <c r="M1150" i="3"/>
  <c r="T1150" i="3" s="1"/>
  <c r="H1151" i="3"/>
  <c r="I1151" i="3"/>
  <c r="J1151" i="3"/>
  <c r="K1151" i="3"/>
  <c r="L1151" i="3"/>
  <c r="M1151" i="3"/>
  <c r="T1151" i="3" s="1"/>
  <c r="H1152" i="3"/>
  <c r="I1152" i="3"/>
  <c r="J1152" i="3"/>
  <c r="K1152" i="3"/>
  <c r="L1152" i="3"/>
  <c r="M1152" i="3"/>
  <c r="T1152" i="3" s="1"/>
  <c r="H1153" i="3"/>
  <c r="I1153" i="3"/>
  <c r="J1153" i="3"/>
  <c r="K1153" i="3"/>
  <c r="O1153" i="3" s="1"/>
  <c r="L1153" i="3"/>
  <c r="M1153" i="3"/>
  <c r="T1153" i="3" s="1"/>
  <c r="H1154" i="3"/>
  <c r="I1154" i="3"/>
  <c r="J1154" i="3"/>
  <c r="K1154" i="3"/>
  <c r="L1154" i="3"/>
  <c r="M1154" i="3"/>
  <c r="T1154" i="3" s="1"/>
  <c r="H1155" i="3"/>
  <c r="I1155" i="3"/>
  <c r="J1155" i="3"/>
  <c r="K1155" i="3"/>
  <c r="L1155" i="3"/>
  <c r="M1155" i="3"/>
  <c r="T1155" i="3" s="1"/>
  <c r="H1156" i="3"/>
  <c r="I1156" i="3"/>
  <c r="J1156" i="3"/>
  <c r="K1156" i="3"/>
  <c r="L1156" i="3"/>
  <c r="M1156" i="3"/>
  <c r="T1156" i="3" s="1"/>
  <c r="H1157" i="3"/>
  <c r="I1157" i="3"/>
  <c r="J1157" i="3"/>
  <c r="K1157" i="3"/>
  <c r="N1157" i="3" s="1"/>
  <c r="L1157" i="3"/>
  <c r="M1157" i="3"/>
  <c r="T1157" i="3" s="1"/>
  <c r="H1158" i="3"/>
  <c r="I1158" i="3"/>
  <c r="J1158" i="3"/>
  <c r="K1158" i="3"/>
  <c r="L1158" i="3"/>
  <c r="M1158" i="3"/>
  <c r="T1158" i="3" s="1"/>
  <c r="H1159" i="3"/>
  <c r="I1159" i="3"/>
  <c r="J1159" i="3"/>
  <c r="K1159" i="3"/>
  <c r="L1159" i="3"/>
  <c r="M1159" i="3"/>
  <c r="T1159" i="3" s="1"/>
  <c r="H1160" i="3"/>
  <c r="I1160" i="3"/>
  <c r="J1160" i="3"/>
  <c r="K1160" i="3"/>
  <c r="L1160" i="3"/>
  <c r="M1160" i="3"/>
  <c r="T1160" i="3" s="1"/>
  <c r="H1161" i="3"/>
  <c r="I1161" i="3"/>
  <c r="J1161" i="3"/>
  <c r="K1161" i="3"/>
  <c r="N1161" i="3" s="1"/>
  <c r="L1161" i="3"/>
  <c r="M1161" i="3"/>
  <c r="T1161" i="3" s="1"/>
  <c r="H1162" i="3"/>
  <c r="I1162" i="3"/>
  <c r="J1162" i="3"/>
  <c r="K1162" i="3"/>
  <c r="L1162" i="3"/>
  <c r="M1162" i="3"/>
  <c r="T1162" i="3" s="1"/>
  <c r="H1163" i="3"/>
  <c r="I1163" i="3"/>
  <c r="J1163" i="3"/>
  <c r="K1163" i="3"/>
  <c r="O1163" i="3" s="1"/>
  <c r="L1163" i="3"/>
  <c r="M1163" i="3"/>
  <c r="T1163" i="3" s="1"/>
  <c r="H1164" i="3"/>
  <c r="I1164" i="3"/>
  <c r="J1164" i="3"/>
  <c r="K1164" i="3"/>
  <c r="N1164" i="3" s="1"/>
  <c r="L1164" i="3"/>
  <c r="M1164" i="3"/>
  <c r="H1165" i="3"/>
  <c r="I1165" i="3"/>
  <c r="J1165" i="3"/>
  <c r="K1165" i="3"/>
  <c r="N1165" i="3" s="1"/>
  <c r="L1165" i="3"/>
  <c r="M1165" i="3"/>
  <c r="T1165" i="3" s="1"/>
  <c r="H1166" i="3"/>
  <c r="I1166" i="3"/>
  <c r="J1166" i="3"/>
  <c r="K1166" i="3"/>
  <c r="L1166" i="3"/>
  <c r="M1166" i="3"/>
  <c r="T1166" i="3" s="1"/>
  <c r="H1167" i="3"/>
  <c r="I1167" i="3"/>
  <c r="J1167" i="3"/>
  <c r="K1167" i="3"/>
  <c r="O1167" i="3" s="1"/>
  <c r="L1167" i="3"/>
  <c r="M1167" i="3"/>
  <c r="T1167" i="3" s="1"/>
  <c r="H1168" i="3"/>
  <c r="I1168" i="3"/>
  <c r="J1168" i="3"/>
  <c r="K1168" i="3"/>
  <c r="L1168" i="3"/>
  <c r="M1168" i="3"/>
  <c r="T1168" i="3" s="1"/>
  <c r="H1169" i="3"/>
  <c r="I1169" i="3"/>
  <c r="J1169" i="3"/>
  <c r="K1169" i="3"/>
  <c r="L1169" i="3"/>
  <c r="R1169" i="3" s="1"/>
  <c r="M1169" i="3"/>
  <c r="T1169" i="3" s="1"/>
  <c r="H1170" i="3"/>
  <c r="I1170" i="3"/>
  <c r="J1170" i="3"/>
  <c r="K1170" i="3"/>
  <c r="L1170" i="3"/>
  <c r="M1170" i="3"/>
  <c r="T1170" i="3" s="1"/>
  <c r="H1171" i="3"/>
  <c r="I1171" i="3"/>
  <c r="J1171" i="3"/>
  <c r="K1171" i="3"/>
  <c r="L1171" i="3"/>
  <c r="M1171" i="3"/>
  <c r="T1171" i="3" s="1"/>
  <c r="H1172" i="3"/>
  <c r="I1172" i="3"/>
  <c r="J1172" i="3"/>
  <c r="K1172" i="3"/>
  <c r="L1172" i="3"/>
  <c r="M1172" i="3"/>
  <c r="T1172" i="3" s="1"/>
  <c r="H1173" i="3"/>
  <c r="I1173" i="3"/>
  <c r="J1173" i="3"/>
  <c r="K1173" i="3"/>
  <c r="O1173" i="3" s="1"/>
  <c r="L1173" i="3"/>
  <c r="M1173" i="3"/>
  <c r="T1173" i="3" s="1"/>
  <c r="H1174" i="3"/>
  <c r="I1174" i="3"/>
  <c r="J1174" i="3"/>
  <c r="K1174" i="3"/>
  <c r="L1174" i="3"/>
  <c r="M1174" i="3"/>
  <c r="T1174" i="3" s="1"/>
  <c r="H1175" i="3"/>
  <c r="I1175" i="3"/>
  <c r="J1175" i="3"/>
  <c r="K1175" i="3"/>
  <c r="O1175" i="3" s="1"/>
  <c r="L1175" i="3"/>
  <c r="M1175" i="3"/>
  <c r="T1175" i="3" s="1"/>
  <c r="H1176" i="3"/>
  <c r="I1176" i="3"/>
  <c r="J1176" i="3"/>
  <c r="K1176" i="3"/>
  <c r="L1176" i="3"/>
  <c r="M1176" i="3"/>
  <c r="T1176" i="3" s="1"/>
  <c r="H1177" i="3"/>
  <c r="I1177" i="3"/>
  <c r="J1177" i="3"/>
  <c r="K1177" i="3"/>
  <c r="L1177" i="3"/>
  <c r="M1177" i="3"/>
  <c r="T1177" i="3" s="1"/>
  <c r="H1178" i="3"/>
  <c r="I1178" i="3"/>
  <c r="J1178" i="3"/>
  <c r="K1178" i="3"/>
  <c r="L1178" i="3"/>
  <c r="M1178" i="3"/>
  <c r="T1178" i="3" s="1"/>
  <c r="H1179" i="3"/>
  <c r="I1179" i="3"/>
  <c r="J1179" i="3"/>
  <c r="K1179" i="3"/>
  <c r="L1179" i="3"/>
  <c r="M1179" i="3"/>
  <c r="T1179" i="3" s="1"/>
  <c r="H1180" i="3"/>
  <c r="I1180" i="3"/>
  <c r="J1180" i="3"/>
  <c r="K1180" i="3"/>
  <c r="L1180" i="3"/>
  <c r="M1180" i="3"/>
  <c r="T1180" i="3" s="1"/>
  <c r="H1181" i="3"/>
  <c r="I1181" i="3"/>
  <c r="J1181" i="3"/>
  <c r="K1181" i="3"/>
  <c r="L1181" i="3"/>
  <c r="M1181" i="3"/>
  <c r="T1181" i="3" s="1"/>
  <c r="H1182" i="3"/>
  <c r="I1182" i="3"/>
  <c r="J1182" i="3"/>
  <c r="K1182" i="3"/>
  <c r="L1182" i="3"/>
  <c r="M1182" i="3"/>
  <c r="T1182" i="3" s="1"/>
  <c r="H1183" i="3"/>
  <c r="I1183" i="3"/>
  <c r="J1183" i="3"/>
  <c r="K1183" i="3"/>
  <c r="N1183" i="3" s="1"/>
  <c r="L1183" i="3"/>
  <c r="M1183" i="3"/>
  <c r="T1183" i="3" s="1"/>
  <c r="H1184" i="3"/>
  <c r="I1184" i="3"/>
  <c r="J1184" i="3"/>
  <c r="K1184" i="3"/>
  <c r="L1184" i="3"/>
  <c r="M1184" i="3"/>
  <c r="T1184" i="3" s="1"/>
  <c r="H1185" i="3"/>
  <c r="I1185" i="3"/>
  <c r="J1185" i="3"/>
  <c r="K1185" i="3"/>
  <c r="L1185" i="3"/>
  <c r="R1185" i="3" s="1"/>
  <c r="M1185" i="3"/>
  <c r="T1185" i="3" s="1"/>
  <c r="H1186" i="3"/>
  <c r="I1186" i="3"/>
  <c r="J1186" i="3"/>
  <c r="K1186" i="3"/>
  <c r="L1186" i="3"/>
  <c r="M1186" i="3"/>
  <c r="T1186" i="3" s="1"/>
  <c r="H1187" i="3"/>
  <c r="I1187" i="3"/>
  <c r="J1187" i="3"/>
  <c r="K1187" i="3"/>
  <c r="N1187" i="3" s="1"/>
  <c r="L1187" i="3"/>
  <c r="M1187" i="3"/>
  <c r="T1187" i="3" s="1"/>
  <c r="H1188" i="3"/>
  <c r="I1188" i="3"/>
  <c r="J1188" i="3"/>
  <c r="K1188" i="3"/>
  <c r="L1188" i="3"/>
  <c r="M1188" i="3"/>
  <c r="T1188" i="3" s="1"/>
  <c r="H1189" i="3"/>
  <c r="I1189" i="3"/>
  <c r="J1189" i="3"/>
  <c r="K1189" i="3"/>
  <c r="L1189" i="3"/>
  <c r="M1189" i="3"/>
  <c r="T1189" i="3" s="1"/>
  <c r="H1190" i="3"/>
  <c r="I1190" i="3"/>
  <c r="J1190" i="3"/>
  <c r="K1190" i="3"/>
  <c r="L1190" i="3"/>
  <c r="M1190" i="3"/>
  <c r="T1190" i="3" s="1"/>
  <c r="H1191" i="3"/>
  <c r="I1191" i="3"/>
  <c r="J1191" i="3"/>
  <c r="K1191" i="3"/>
  <c r="N1191" i="3" s="1"/>
  <c r="L1191" i="3"/>
  <c r="M1191" i="3"/>
  <c r="T1191" i="3" s="1"/>
  <c r="H1192" i="3"/>
  <c r="I1192" i="3"/>
  <c r="J1192" i="3"/>
  <c r="K1192" i="3"/>
  <c r="L1192" i="3"/>
  <c r="M1192" i="3"/>
  <c r="T1192" i="3" s="1"/>
  <c r="H1193" i="3"/>
  <c r="I1193" i="3"/>
  <c r="J1193" i="3"/>
  <c r="K1193" i="3"/>
  <c r="L1193" i="3"/>
  <c r="S1193" i="3" s="1"/>
  <c r="M1193" i="3"/>
  <c r="T1193" i="3" s="1"/>
  <c r="H1194" i="3"/>
  <c r="I1194" i="3"/>
  <c r="J1194" i="3"/>
  <c r="K1194" i="3"/>
  <c r="L1194" i="3"/>
  <c r="M1194" i="3"/>
  <c r="T1194" i="3" s="1"/>
  <c r="H1195" i="3"/>
  <c r="I1195" i="3"/>
  <c r="J1195" i="3"/>
  <c r="K1195" i="3"/>
  <c r="L1195" i="3"/>
  <c r="M1195" i="3"/>
  <c r="T1195" i="3" s="1"/>
  <c r="H1196" i="3"/>
  <c r="I1196" i="3"/>
  <c r="J1196" i="3"/>
  <c r="K1196" i="3"/>
  <c r="L1196" i="3"/>
  <c r="M1196" i="3"/>
  <c r="T1196" i="3" s="1"/>
  <c r="H1197" i="3"/>
  <c r="I1197" i="3"/>
  <c r="J1197" i="3"/>
  <c r="K1197" i="3"/>
  <c r="O1197" i="3" s="1"/>
  <c r="L1197" i="3"/>
  <c r="M1197" i="3"/>
  <c r="T1197" i="3" s="1"/>
  <c r="H1198" i="3"/>
  <c r="I1198" i="3"/>
  <c r="J1198" i="3"/>
  <c r="K1198" i="3"/>
  <c r="L1198" i="3"/>
  <c r="M1198" i="3"/>
  <c r="T1198" i="3" s="1"/>
  <c r="H1199" i="3"/>
  <c r="I1199" i="3"/>
  <c r="J1199" i="3"/>
  <c r="K1199" i="3"/>
  <c r="L1199" i="3"/>
  <c r="M1199" i="3"/>
  <c r="T1199" i="3" s="1"/>
  <c r="H1200" i="3"/>
  <c r="I1200" i="3"/>
  <c r="J1200" i="3"/>
  <c r="K1200" i="3"/>
  <c r="L1200" i="3"/>
  <c r="M1200" i="3"/>
  <c r="T1200" i="3" s="1"/>
  <c r="H1201" i="3"/>
  <c r="I1201" i="3"/>
  <c r="J1201" i="3"/>
  <c r="K1201" i="3"/>
  <c r="L1201" i="3"/>
  <c r="M1201" i="3"/>
  <c r="T1201" i="3" s="1"/>
  <c r="H1202" i="3"/>
  <c r="I1202" i="3"/>
  <c r="J1202" i="3"/>
  <c r="K1202" i="3"/>
  <c r="L1202" i="3"/>
  <c r="M1202" i="3"/>
  <c r="T1202" i="3" s="1"/>
  <c r="H1203" i="3"/>
  <c r="I1203" i="3"/>
  <c r="J1203" i="3"/>
  <c r="K1203" i="3"/>
  <c r="L1203" i="3"/>
  <c r="M1203" i="3"/>
  <c r="T1203" i="3" s="1"/>
  <c r="H1204" i="3"/>
  <c r="I1204" i="3"/>
  <c r="J1204" i="3"/>
  <c r="K1204" i="3"/>
  <c r="N1204" i="3" s="1"/>
  <c r="L1204" i="3"/>
  <c r="M1204" i="3"/>
  <c r="T1204" i="3" s="1"/>
  <c r="H1205" i="3"/>
  <c r="I1205" i="3"/>
  <c r="J1205" i="3"/>
  <c r="K1205" i="3"/>
  <c r="N1205" i="3" s="1"/>
  <c r="L1205" i="3"/>
  <c r="M1205" i="3"/>
  <c r="T1205" i="3" s="1"/>
  <c r="H1206" i="3"/>
  <c r="I1206" i="3"/>
  <c r="J1206" i="3"/>
  <c r="K1206" i="3"/>
  <c r="L1206" i="3"/>
  <c r="M1206" i="3"/>
  <c r="T1206" i="3" s="1"/>
  <c r="H1207" i="3"/>
  <c r="I1207" i="3"/>
  <c r="J1207" i="3"/>
  <c r="K1207" i="3"/>
  <c r="L1207" i="3"/>
  <c r="S1207" i="3" s="1"/>
  <c r="M1207" i="3"/>
  <c r="T1207" i="3" s="1"/>
  <c r="H1208" i="3"/>
  <c r="I1208" i="3"/>
  <c r="J1208" i="3"/>
  <c r="K1208" i="3"/>
  <c r="L1208" i="3"/>
  <c r="M1208" i="3"/>
  <c r="T1208" i="3" s="1"/>
  <c r="H1209" i="3"/>
  <c r="I1209" i="3"/>
  <c r="J1209" i="3"/>
  <c r="K1209" i="3"/>
  <c r="L1209" i="3"/>
  <c r="M1209" i="3"/>
  <c r="T1209" i="3" s="1"/>
  <c r="H1210" i="3"/>
  <c r="I1210" i="3"/>
  <c r="J1210" i="3"/>
  <c r="K1210" i="3"/>
  <c r="L1210" i="3"/>
  <c r="M1210" i="3"/>
  <c r="T1210" i="3" s="1"/>
  <c r="H1211" i="3"/>
  <c r="I1211" i="3"/>
  <c r="J1211" i="3"/>
  <c r="K1211" i="3"/>
  <c r="N1211" i="3" s="1"/>
  <c r="L1211" i="3"/>
  <c r="M1211" i="3"/>
  <c r="T1211" i="3" s="1"/>
  <c r="H1212" i="3"/>
  <c r="I1212" i="3"/>
  <c r="J1212" i="3"/>
  <c r="S1212" i="3" s="1"/>
  <c r="K1212" i="3"/>
  <c r="N1212" i="3" s="1"/>
  <c r="L1212" i="3"/>
  <c r="M1212" i="3"/>
  <c r="T1212" i="3" s="1"/>
  <c r="H1213" i="3"/>
  <c r="I1213" i="3"/>
  <c r="J1213" i="3"/>
  <c r="K1213" i="3"/>
  <c r="L1213" i="3"/>
  <c r="M1213" i="3"/>
  <c r="T1213" i="3" s="1"/>
  <c r="H1214" i="3"/>
  <c r="I1214" i="3"/>
  <c r="J1214" i="3"/>
  <c r="K1214" i="3"/>
  <c r="L1214" i="3"/>
  <c r="M1214" i="3"/>
  <c r="T1214" i="3" s="1"/>
  <c r="H1215" i="3"/>
  <c r="I1215" i="3"/>
  <c r="J1215" i="3"/>
  <c r="K1215" i="3"/>
  <c r="N1215" i="3" s="1"/>
  <c r="L1215" i="3"/>
  <c r="M1215" i="3"/>
  <c r="T1215" i="3" s="1"/>
  <c r="H1216" i="3"/>
  <c r="I1216" i="3"/>
  <c r="J1216" i="3"/>
  <c r="K1216" i="3"/>
  <c r="L1216" i="3"/>
  <c r="M1216" i="3"/>
  <c r="T1216" i="3" s="1"/>
  <c r="H1217" i="3"/>
  <c r="I1217" i="3"/>
  <c r="J1217" i="3"/>
  <c r="K1217" i="3"/>
  <c r="L1217" i="3"/>
  <c r="M1217" i="3"/>
  <c r="T1217" i="3" s="1"/>
  <c r="H1218" i="3"/>
  <c r="I1218" i="3"/>
  <c r="J1218" i="3"/>
  <c r="K1218" i="3"/>
  <c r="L1218" i="3"/>
  <c r="M1218" i="3"/>
  <c r="T1218" i="3" s="1"/>
  <c r="H1219" i="3"/>
  <c r="I1219" i="3"/>
  <c r="J1219" i="3"/>
  <c r="K1219" i="3"/>
  <c r="L1219" i="3"/>
  <c r="M1219" i="3"/>
  <c r="T1219" i="3" s="1"/>
  <c r="H1220" i="3"/>
  <c r="I1220" i="3"/>
  <c r="J1220" i="3"/>
  <c r="K1220" i="3"/>
  <c r="L1220" i="3"/>
  <c r="M1220" i="3"/>
  <c r="T1220" i="3" s="1"/>
  <c r="H1221" i="3"/>
  <c r="I1221" i="3"/>
  <c r="J1221" i="3"/>
  <c r="K1221" i="3"/>
  <c r="N1221" i="3" s="1"/>
  <c r="L1221" i="3"/>
  <c r="M1221" i="3"/>
  <c r="T1221" i="3" s="1"/>
  <c r="H1222" i="3"/>
  <c r="I1222" i="3"/>
  <c r="J1222" i="3"/>
  <c r="K1222" i="3"/>
  <c r="L1222" i="3"/>
  <c r="M1222" i="3"/>
  <c r="T1222" i="3" s="1"/>
  <c r="H1223" i="3"/>
  <c r="I1223" i="3"/>
  <c r="J1223" i="3"/>
  <c r="K1223" i="3"/>
  <c r="N1223" i="3" s="1"/>
  <c r="L1223" i="3"/>
  <c r="M1223" i="3"/>
  <c r="T1223" i="3" s="1"/>
  <c r="H1224" i="3"/>
  <c r="I1224" i="3"/>
  <c r="J1224" i="3"/>
  <c r="K1224" i="3"/>
  <c r="L1224" i="3"/>
  <c r="M1224" i="3"/>
  <c r="T1224" i="3" s="1"/>
  <c r="H1225" i="3"/>
  <c r="I1225" i="3"/>
  <c r="J1225" i="3"/>
  <c r="K1225" i="3"/>
  <c r="L1225" i="3"/>
  <c r="R1225" i="3" s="1"/>
  <c r="M1225" i="3"/>
  <c r="T1225" i="3" s="1"/>
  <c r="H1226" i="3"/>
  <c r="I1226" i="3"/>
  <c r="J1226" i="3"/>
  <c r="K1226" i="3"/>
  <c r="L1226" i="3"/>
  <c r="M1226" i="3"/>
  <c r="T1226" i="3" s="1"/>
  <c r="H1227" i="3"/>
  <c r="I1227" i="3"/>
  <c r="J1227" i="3"/>
  <c r="K1227" i="3"/>
  <c r="L1227" i="3"/>
  <c r="M1227" i="3"/>
  <c r="T1227" i="3" s="1"/>
  <c r="H1228" i="3"/>
  <c r="I1228" i="3"/>
  <c r="J1228" i="3"/>
  <c r="R1228" i="3" s="1"/>
  <c r="K1228" i="3"/>
  <c r="L1228" i="3"/>
  <c r="M1228" i="3"/>
  <c r="H1229" i="3"/>
  <c r="I1229" i="3"/>
  <c r="J1229" i="3"/>
  <c r="K1229" i="3"/>
  <c r="L1229" i="3"/>
  <c r="M1229" i="3"/>
  <c r="T1229" i="3" s="1"/>
  <c r="H1230" i="3"/>
  <c r="I1230" i="3"/>
  <c r="J1230" i="3"/>
  <c r="K1230" i="3"/>
  <c r="L1230" i="3"/>
  <c r="M1230" i="3"/>
  <c r="T1230" i="3" s="1"/>
  <c r="H1231" i="3"/>
  <c r="I1231" i="3"/>
  <c r="J1231" i="3"/>
  <c r="K1231" i="3"/>
  <c r="N1231" i="3" s="1"/>
  <c r="L1231" i="3"/>
  <c r="M1231" i="3"/>
  <c r="T1231" i="3" s="1"/>
  <c r="H1232" i="3"/>
  <c r="I1232" i="3"/>
  <c r="J1232" i="3"/>
  <c r="K1232" i="3"/>
  <c r="L1232" i="3"/>
  <c r="M1232" i="3"/>
  <c r="T1232" i="3" s="1"/>
  <c r="H1233" i="3"/>
  <c r="I1233" i="3"/>
  <c r="J1233" i="3"/>
  <c r="K1233" i="3"/>
  <c r="L1233" i="3"/>
  <c r="S1233" i="3" s="1"/>
  <c r="M1233" i="3"/>
  <c r="T1233" i="3" s="1"/>
  <c r="L1234" i="3"/>
  <c r="L1235" i="3"/>
  <c r="L5" i="3"/>
  <c r="L5" i="5"/>
  <c r="M5" i="3"/>
  <c r="M5" i="5"/>
  <c r="K5" i="3"/>
  <c r="K5" i="5"/>
  <c r="H1234" i="3"/>
  <c r="I1234" i="3"/>
  <c r="J1234" i="3"/>
  <c r="H1235" i="3"/>
  <c r="I1235" i="3"/>
  <c r="J1235" i="3"/>
  <c r="I5" i="3"/>
  <c r="J5" i="3"/>
  <c r="H5" i="3"/>
  <c r="H5" i="5"/>
  <c r="M1234" i="5"/>
  <c r="T1234" i="5" s="1"/>
  <c r="M1235" i="5"/>
  <c r="T1235" i="5" s="1"/>
  <c r="N678" i="5"/>
  <c r="K1234" i="5"/>
  <c r="O1234" i="5" s="1"/>
  <c r="K1235" i="5"/>
  <c r="N1235" i="5" s="1"/>
  <c r="H1234" i="5"/>
  <c r="I1234" i="5"/>
  <c r="J1234" i="5"/>
  <c r="L1234" i="5"/>
  <c r="H1235" i="5"/>
  <c r="I1235" i="5"/>
  <c r="J1235" i="5"/>
  <c r="L1235" i="5"/>
  <c r="I5" i="5"/>
  <c r="J5" i="5"/>
  <c r="S11" i="5"/>
  <c r="S19" i="5"/>
  <c r="S59" i="5"/>
  <c r="S67" i="5"/>
  <c r="S99" i="5"/>
  <c r="S107" i="5"/>
  <c r="S115" i="5"/>
  <c r="S123" i="5"/>
  <c r="S131" i="5"/>
  <c r="S147" i="5"/>
  <c r="S155" i="5"/>
  <c r="S163" i="5"/>
  <c r="S203" i="5"/>
  <c r="S211" i="5"/>
  <c r="S219" i="5"/>
  <c r="I4" i="5"/>
  <c r="J4" i="5"/>
  <c r="K4" i="5"/>
  <c r="L4" i="5"/>
  <c r="M4" i="5"/>
  <c r="H4" i="5"/>
  <c r="V1234" i="3"/>
  <c r="V1235" i="3"/>
  <c r="N23" i="3"/>
  <c r="N667" i="3"/>
  <c r="N719" i="3"/>
  <c r="O767" i="3"/>
  <c r="O815" i="3"/>
  <c r="O887" i="3"/>
  <c r="O903" i="3"/>
  <c r="N967" i="3"/>
  <c r="O1007" i="3"/>
  <c r="O1015" i="3"/>
  <c r="N1055" i="3"/>
  <c r="O1135" i="3"/>
  <c r="O1183" i="3"/>
  <c r="O1223" i="3"/>
  <c r="N1234" i="3"/>
  <c r="O1234" i="3"/>
  <c r="N1235" i="3"/>
  <c r="O1235" i="3"/>
  <c r="Q471" i="3"/>
  <c r="T692" i="3"/>
  <c r="T708" i="3"/>
  <c r="T722" i="3"/>
  <c r="T770" i="3"/>
  <c r="T772" i="3"/>
  <c r="T788" i="3"/>
  <c r="T900" i="3"/>
  <c r="T932" i="3"/>
  <c r="T988" i="3"/>
  <c r="T1004" i="3"/>
  <c r="T1020" i="3"/>
  <c r="T1034" i="3"/>
  <c r="T1052" i="3"/>
  <c r="T1098" i="3"/>
  <c r="T1132" i="3"/>
  <c r="T1148" i="3"/>
  <c r="T1164" i="3"/>
  <c r="T1228" i="3"/>
  <c r="T1234" i="3"/>
  <c r="T1235" i="3"/>
  <c r="R1084" i="3" l="1"/>
  <c r="P487" i="5"/>
  <c r="Q407" i="5"/>
  <c r="Q391" i="5"/>
  <c r="Q359" i="5"/>
  <c r="Q327" i="5"/>
  <c r="Q311" i="5"/>
  <c r="P55" i="5"/>
  <c r="Q7" i="5"/>
  <c r="S1203" i="3"/>
  <c r="S1179" i="3"/>
  <c r="S1171" i="3"/>
  <c r="S1155" i="3"/>
  <c r="S1147" i="3"/>
  <c r="S1131" i="3"/>
  <c r="S1099" i="3"/>
  <c r="S1151" i="3"/>
  <c r="S1111" i="3"/>
  <c r="S1047" i="3"/>
  <c r="S967" i="3"/>
  <c r="S935" i="3"/>
  <c r="S919" i="3"/>
  <c r="S871" i="3"/>
  <c r="S839" i="3"/>
  <c r="S759" i="3"/>
  <c r="S751" i="3"/>
  <c r="S711" i="3"/>
  <c r="S703" i="3"/>
  <c r="S687" i="3"/>
  <c r="S655" i="3"/>
  <c r="S639" i="3"/>
  <c r="R583" i="3"/>
  <c r="S551" i="3"/>
  <c r="S503" i="3"/>
  <c r="S487" i="3"/>
  <c r="S391" i="3"/>
  <c r="S367" i="3"/>
  <c r="S359" i="3"/>
  <c r="S231" i="3"/>
  <c r="S223" i="3"/>
  <c r="S199" i="3"/>
  <c r="S191" i="3"/>
  <c r="S143" i="3"/>
  <c r="S79" i="3"/>
  <c r="S23" i="3"/>
  <c r="R563" i="5"/>
  <c r="R555" i="5"/>
  <c r="S547" i="5"/>
  <c r="R539" i="5"/>
  <c r="R531" i="5"/>
  <c r="R523" i="5"/>
  <c r="S515" i="5"/>
  <c r="R499" i="5"/>
  <c r="R491" i="5"/>
  <c r="S483" i="5"/>
  <c r="R467" i="5"/>
  <c r="R459" i="5"/>
  <c r="S451" i="5"/>
  <c r="R435" i="5"/>
  <c r="S427" i="5"/>
  <c r="S419" i="5"/>
  <c r="S411" i="5"/>
  <c r="S403" i="5"/>
  <c r="S395" i="5"/>
  <c r="S387" i="5"/>
  <c r="S379" i="5"/>
  <c r="S355" i="5"/>
  <c r="S347" i="5"/>
  <c r="S339" i="5"/>
  <c r="S331" i="5"/>
  <c r="S323" i="5"/>
  <c r="S275" i="5"/>
  <c r="S267" i="5"/>
  <c r="S259" i="5"/>
  <c r="S227" i="5"/>
  <c r="Q329" i="3"/>
  <c r="P305" i="3"/>
  <c r="O289" i="3"/>
  <c r="P281" i="3"/>
  <c r="P273" i="3"/>
  <c r="N241" i="3"/>
  <c r="P233" i="3"/>
  <c r="P228" i="3"/>
  <c r="N177" i="3"/>
  <c r="O161" i="3"/>
  <c r="P124" i="3"/>
  <c r="Q97" i="3"/>
  <c r="P73" i="3"/>
  <c r="Q57" i="3"/>
  <c r="N49" i="3"/>
  <c r="Q41" i="3"/>
  <c r="O17" i="3"/>
  <c r="S1057" i="3"/>
  <c r="R1041" i="3"/>
  <c r="S977" i="3"/>
  <c r="R961" i="3"/>
  <c r="R945" i="3"/>
  <c r="R929" i="3"/>
  <c r="R913" i="3"/>
  <c r="R881" i="3"/>
  <c r="S865" i="3"/>
  <c r="S833" i="3"/>
  <c r="R817" i="3"/>
  <c r="S1067" i="3"/>
  <c r="S1035" i="3"/>
  <c r="S1019" i="3"/>
  <c r="S987" i="3"/>
  <c r="R979" i="3"/>
  <c r="S963" i="3"/>
  <c r="S955" i="3"/>
  <c r="S923" i="3"/>
  <c r="S899" i="3"/>
  <c r="S891" i="3"/>
  <c r="S859" i="3"/>
  <c r="S843" i="3"/>
  <c r="N5" i="3"/>
  <c r="R1173" i="3"/>
  <c r="V1173" i="3" s="1"/>
  <c r="R1133" i="3"/>
  <c r="S1117" i="3"/>
  <c r="R1101" i="3"/>
  <c r="R1053" i="3"/>
  <c r="R1037" i="3"/>
  <c r="S1021" i="3"/>
  <c r="R989" i="3"/>
  <c r="R973" i="3"/>
  <c r="R957" i="3"/>
  <c r="R941" i="3"/>
  <c r="S925" i="3"/>
  <c r="R893" i="3"/>
  <c r="R877" i="3"/>
  <c r="V877" i="3" s="1"/>
  <c r="S829" i="3"/>
  <c r="R813" i="3"/>
  <c r="S805" i="3"/>
  <c r="R741" i="3"/>
  <c r="R733" i="3"/>
  <c r="R717" i="3"/>
  <c r="R709" i="3"/>
  <c r="R701" i="3"/>
  <c r="S669" i="3"/>
  <c r="N679" i="3"/>
  <c r="O657" i="3"/>
  <c r="N641" i="3"/>
  <c r="N601" i="3"/>
  <c r="N553" i="3"/>
  <c r="P521" i="3"/>
  <c r="N513" i="3"/>
  <c r="Q497" i="3"/>
  <c r="O465" i="3"/>
  <c r="O449" i="3"/>
  <c r="P441" i="3"/>
  <c r="P433" i="3"/>
  <c r="P425" i="3"/>
  <c r="Q409" i="3"/>
  <c r="P377" i="3"/>
  <c r="P361" i="3"/>
  <c r="R801" i="3"/>
  <c r="S785" i="3"/>
  <c r="S761" i="3"/>
  <c r="R753" i="3"/>
  <c r="R721" i="3"/>
  <c r="S705" i="3"/>
  <c r="R697" i="3"/>
  <c r="R689" i="3"/>
  <c r="N1173" i="3"/>
  <c r="S827" i="3"/>
  <c r="S795" i="3"/>
  <c r="S747" i="3"/>
  <c r="S731" i="3"/>
  <c r="S723" i="3"/>
  <c r="R715" i="3"/>
  <c r="N1125" i="3"/>
  <c r="R637" i="3"/>
  <c r="R621" i="3"/>
  <c r="S613" i="3"/>
  <c r="R581" i="3"/>
  <c r="R549" i="3"/>
  <c r="R541" i="3"/>
  <c r="R493" i="3"/>
  <c r="R485" i="3"/>
  <c r="S469" i="3"/>
  <c r="R453" i="3"/>
  <c r="N648" i="5"/>
  <c r="P552" i="5"/>
  <c r="O504" i="5"/>
  <c r="Q472" i="5"/>
  <c r="P424" i="5"/>
  <c r="P392" i="5"/>
  <c r="Q376" i="5"/>
  <c r="Q360" i="5"/>
  <c r="Q328" i="5"/>
  <c r="Q312" i="5"/>
  <c r="P264" i="5"/>
  <c r="Q248" i="5"/>
  <c r="P200" i="5"/>
  <c r="Q168" i="5"/>
  <c r="N136" i="5"/>
  <c r="Q120" i="5"/>
  <c r="O104" i="5"/>
  <c r="Q72" i="5"/>
  <c r="Q40" i="5"/>
  <c r="P24" i="5"/>
  <c r="P8" i="5"/>
  <c r="R665" i="3"/>
  <c r="S657" i="3"/>
  <c r="R652" i="3"/>
  <c r="S649" i="3"/>
  <c r="R641" i="3"/>
  <c r="S625" i="3"/>
  <c r="R601" i="3"/>
  <c r="S593" i="3"/>
  <c r="R577" i="3"/>
  <c r="S561" i="3"/>
  <c r="R537" i="3"/>
  <c r="R513" i="3"/>
  <c r="R489" i="3"/>
  <c r="S473" i="3"/>
  <c r="S468" i="3"/>
  <c r="R441" i="3"/>
  <c r="R425" i="3"/>
  <c r="R409" i="3"/>
  <c r="R385" i="3"/>
  <c r="R369" i="3"/>
  <c r="R361" i="3"/>
  <c r="R313" i="3"/>
  <c r="S305" i="3"/>
  <c r="R289" i="3"/>
  <c r="S281" i="3"/>
  <c r="R273" i="3"/>
  <c r="R257" i="3"/>
  <c r="R249" i="3"/>
  <c r="S225" i="3"/>
  <c r="S193" i="3"/>
  <c r="R185" i="3"/>
  <c r="R177" i="3"/>
  <c r="R169" i="3"/>
  <c r="R161" i="3"/>
  <c r="R124" i="3"/>
  <c r="R113" i="3"/>
  <c r="R97" i="3"/>
  <c r="S81" i="3"/>
  <c r="S65" i="3"/>
  <c r="R33" i="3"/>
  <c r="R20" i="3"/>
  <c r="R1072" i="5"/>
  <c r="S976" i="5"/>
  <c r="S872" i="5"/>
  <c r="R800" i="5"/>
  <c r="S792" i="5"/>
  <c r="S784" i="5"/>
  <c r="S776" i="5"/>
  <c r="R768" i="5"/>
  <c r="R760" i="5"/>
  <c r="R744" i="5"/>
  <c r="S736" i="5"/>
  <c r="R728" i="5"/>
  <c r="S720" i="5"/>
  <c r="R712" i="5"/>
  <c r="S704" i="5"/>
  <c r="S696" i="5"/>
  <c r="S680" i="5"/>
  <c r="R672" i="5"/>
  <c r="S664" i="5"/>
  <c r="S656" i="5"/>
  <c r="R648" i="5"/>
  <c r="R640" i="5"/>
  <c r="S632" i="5"/>
  <c r="R659" i="3"/>
  <c r="S643" i="3"/>
  <c r="S635" i="3"/>
  <c r="S619" i="3"/>
  <c r="S603" i="3"/>
  <c r="S587" i="3"/>
  <c r="S571" i="3"/>
  <c r="R555" i="3"/>
  <c r="S547" i="3"/>
  <c r="S531" i="3"/>
  <c r="S523" i="3"/>
  <c r="S467" i="3"/>
  <c r="S395" i="3"/>
  <c r="S379" i="3"/>
  <c r="S315" i="3"/>
  <c r="S299" i="3"/>
  <c r="S283" i="3"/>
  <c r="S275" i="3"/>
  <c r="S219" i="3"/>
  <c r="S203" i="3"/>
  <c r="S187" i="3"/>
  <c r="S171" i="3"/>
  <c r="S139" i="3"/>
  <c r="S123" i="3"/>
  <c r="S107" i="3"/>
  <c r="S91" i="3"/>
  <c r="S75" i="3"/>
  <c r="R27" i="3"/>
  <c r="Q156" i="5"/>
  <c r="P60" i="5"/>
  <c r="P597" i="3"/>
  <c r="P581" i="3"/>
  <c r="P565" i="3"/>
  <c r="P549" i="3"/>
  <c r="P541" i="3"/>
  <c r="P533" i="3"/>
  <c r="P517" i="3"/>
  <c r="P501" i="3"/>
  <c r="P485" i="3"/>
  <c r="Q477" i="3"/>
  <c r="P469" i="3"/>
  <c r="P453" i="3"/>
  <c r="P445" i="3"/>
  <c r="P437" i="3"/>
  <c r="P421" i="3"/>
  <c r="P405" i="3"/>
  <c r="P389" i="3"/>
  <c r="P381" i="3"/>
  <c r="P373" i="3"/>
  <c r="P365" i="3"/>
  <c r="P357" i="3"/>
  <c r="P349" i="3"/>
  <c r="P341" i="3"/>
  <c r="P333" i="3"/>
  <c r="P325" i="3"/>
  <c r="P309" i="3"/>
  <c r="P293" i="3"/>
  <c r="P285" i="3"/>
  <c r="P277" i="3"/>
  <c r="P261" i="3"/>
  <c r="N221" i="3"/>
  <c r="P157" i="3"/>
  <c r="P141" i="3"/>
  <c r="P125" i="3"/>
  <c r="P101" i="3"/>
  <c r="P85" i="3"/>
  <c r="P69" i="3"/>
  <c r="P53" i="3"/>
  <c r="Q45" i="3"/>
  <c r="P37" i="3"/>
  <c r="P21" i="3"/>
  <c r="O649" i="5"/>
  <c r="S437" i="3"/>
  <c r="R413" i="3"/>
  <c r="S405" i="3"/>
  <c r="R397" i="3"/>
  <c r="S381" i="3"/>
  <c r="R373" i="3"/>
  <c r="R365" i="3"/>
  <c r="R357" i="3"/>
  <c r="R325" i="3"/>
  <c r="S317" i="3"/>
  <c r="S309" i="3"/>
  <c r="R301" i="3"/>
  <c r="S293" i="3"/>
  <c r="R285" i="3"/>
  <c r="S213" i="3"/>
  <c r="R197" i="3"/>
  <c r="S157" i="3"/>
  <c r="S149" i="3"/>
  <c r="R133" i="3"/>
  <c r="S61" i="3"/>
  <c r="S45" i="3"/>
  <c r="R29" i="3"/>
  <c r="S1233" i="5"/>
  <c r="R1225" i="5"/>
  <c r="S1217" i="5"/>
  <c r="S1201" i="5"/>
  <c r="S1193" i="5"/>
  <c r="S1185" i="5"/>
  <c r="S1177" i="5"/>
  <c r="S1169" i="5"/>
  <c r="S1161" i="5"/>
  <c r="S1153" i="5"/>
  <c r="S1137" i="5"/>
  <c r="S1129" i="5"/>
  <c r="S1121" i="5"/>
  <c r="S1113" i="5"/>
  <c r="S1105" i="5"/>
  <c r="S1097" i="5"/>
  <c r="S1089" i="5"/>
  <c r="S1081" i="5"/>
  <c r="S1073" i="5"/>
  <c r="S1057" i="5"/>
  <c r="S1049" i="5"/>
  <c r="S1033" i="5"/>
  <c r="S1025" i="5"/>
  <c r="R1017" i="5"/>
  <c r="S1009" i="5"/>
  <c r="S1001" i="5"/>
  <c r="S977" i="5"/>
  <c r="S937" i="5"/>
  <c r="S929" i="5"/>
  <c r="S921" i="5"/>
  <c r="S913" i="5"/>
  <c r="S905" i="5"/>
  <c r="S897" i="5"/>
  <c r="S889" i="5"/>
  <c r="S881" i="5"/>
  <c r="S873" i="5"/>
  <c r="S865" i="5"/>
  <c r="S857" i="5"/>
  <c r="S849" i="5"/>
  <c r="S841" i="5"/>
  <c r="S833" i="5"/>
  <c r="S825" i="5"/>
  <c r="S817" i="5"/>
  <c r="S809" i="5"/>
  <c r="S801" i="5"/>
  <c r="S793" i="5"/>
  <c r="S785" i="5"/>
  <c r="S777" i="5"/>
  <c r="S769" i="5"/>
  <c r="S761" i="5"/>
  <c r="S753" i="5"/>
  <c r="S745" i="5"/>
  <c r="S737" i="5"/>
  <c r="S729" i="5"/>
  <c r="S721" i="5"/>
  <c r="S713" i="5"/>
  <c r="S705" i="5"/>
  <c r="S697" i="5"/>
  <c r="S689" i="5"/>
  <c r="S681" i="5"/>
  <c r="S673" i="5"/>
  <c r="S665" i="5"/>
  <c r="S657" i="5"/>
  <c r="O674" i="3"/>
  <c r="O1235" i="5"/>
  <c r="V1235" i="5" s="1"/>
  <c r="O667" i="3"/>
  <c r="S649" i="5"/>
  <c r="S641" i="5"/>
  <c r="S633" i="5"/>
  <c r="R625" i="5"/>
  <c r="N877" i="3"/>
  <c r="O829" i="3"/>
  <c r="R922" i="3"/>
  <c r="N142" i="3"/>
  <c r="R886" i="3"/>
  <c r="R854" i="3"/>
  <c r="R694" i="3"/>
  <c r="S670" i="3"/>
  <c r="R646" i="3"/>
  <c r="R614" i="3"/>
  <c r="R254" i="3"/>
  <c r="R174" i="3"/>
  <c r="R134" i="3"/>
  <c r="R86" i="3"/>
  <c r="S584" i="3"/>
  <c r="R1150" i="3"/>
  <c r="R1046" i="3"/>
  <c r="R1014" i="3"/>
  <c r="R870" i="3"/>
  <c r="R838" i="3"/>
  <c r="R774" i="3"/>
  <c r="R638" i="3"/>
  <c r="R542" i="3"/>
  <c r="R494" i="3"/>
  <c r="R470" i="3"/>
  <c r="R422" i="3"/>
  <c r="R390" i="3"/>
  <c r="R358" i="3"/>
  <c r="R262" i="3"/>
  <c r="R214" i="3"/>
  <c r="R182" i="3"/>
  <c r="R150" i="3"/>
  <c r="R118" i="3"/>
  <c r="R70" i="3"/>
  <c r="R1062" i="3"/>
  <c r="R1030" i="3"/>
  <c r="R982" i="3"/>
  <c r="R686" i="3"/>
  <c r="R598" i="3"/>
  <c r="R478" i="3"/>
  <c r="R454" i="3"/>
  <c r="R382" i="3"/>
  <c r="R342" i="3"/>
  <c r="R294" i="3"/>
  <c r="R270" i="3"/>
  <c r="S246" i="3"/>
  <c r="R198" i="3"/>
  <c r="R38" i="3"/>
  <c r="N550" i="3"/>
  <c r="R966" i="3"/>
  <c r="R934" i="3"/>
  <c r="R902" i="3"/>
  <c r="R822" i="3"/>
  <c r="R758" i="3"/>
  <c r="R742" i="3"/>
  <c r="R710" i="3"/>
  <c r="R566" i="3"/>
  <c r="R502" i="3"/>
  <c r="R102" i="3"/>
  <c r="R30" i="3"/>
  <c r="R1158" i="3"/>
  <c r="R998" i="3"/>
  <c r="R950" i="3"/>
  <c r="R806" i="3"/>
  <c r="R750" i="3"/>
  <c r="R726" i="3"/>
  <c r="R678" i="3"/>
  <c r="R582" i="3"/>
  <c r="R518" i="3"/>
  <c r="R438" i="3"/>
  <c r="R318" i="3"/>
  <c r="R54" i="3"/>
  <c r="N566" i="3"/>
  <c r="R918" i="3"/>
  <c r="S894" i="3"/>
  <c r="R790" i="3"/>
  <c r="R662" i="3"/>
  <c r="R630" i="3"/>
  <c r="R550" i="3"/>
  <c r="R534" i="3"/>
  <c r="R486" i="3"/>
  <c r="R462" i="3"/>
  <c r="R406" i="3"/>
  <c r="R374" i="3"/>
  <c r="R326" i="3"/>
  <c r="R310" i="3"/>
  <c r="R278" i="3"/>
  <c r="R230" i="3"/>
  <c r="R206" i="3"/>
  <c r="R166" i="3"/>
  <c r="O611" i="3"/>
  <c r="N603" i="3"/>
  <c r="O595" i="3"/>
  <c r="N579" i="3"/>
  <c r="O555" i="3"/>
  <c r="P539" i="3"/>
  <c r="P523" i="3"/>
  <c r="P515" i="3"/>
  <c r="Q499" i="3"/>
  <c r="N459" i="3"/>
  <c r="Q443" i="3"/>
  <c r="P411" i="3"/>
  <c r="Q371" i="3"/>
  <c r="N155" i="3"/>
  <c r="Q139" i="3"/>
  <c r="Q75" i="3"/>
  <c r="N51" i="3"/>
  <c r="O35" i="3"/>
  <c r="Q27" i="3"/>
  <c r="P583" i="5"/>
  <c r="Q551" i="5"/>
  <c r="P519" i="5"/>
  <c r="Q263" i="5"/>
  <c r="Q247" i="5"/>
  <c r="Q231" i="5"/>
  <c r="Q215" i="5"/>
  <c r="Q167" i="5"/>
  <c r="Q151" i="5"/>
  <c r="P103" i="5"/>
  <c r="P87" i="5"/>
  <c r="Q71" i="5"/>
  <c r="R22" i="3"/>
  <c r="R6" i="3"/>
  <c r="R626" i="5"/>
  <c r="P152" i="3"/>
  <c r="Q72" i="3"/>
  <c r="S320" i="3"/>
  <c r="S248" i="3"/>
  <c r="Q330" i="3"/>
  <c r="N106" i="3"/>
  <c r="R359" i="3"/>
  <c r="T359" i="3" s="1"/>
  <c r="O1211" i="3"/>
  <c r="O1187" i="3"/>
  <c r="R139" i="3"/>
  <c r="T139" i="3" s="1"/>
  <c r="R923" i="3"/>
  <c r="P923" i="3" s="1"/>
  <c r="N1075" i="3"/>
  <c r="N1059" i="3"/>
  <c r="O1147" i="3"/>
  <c r="Q550" i="3"/>
  <c r="N739" i="3"/>
  <c r="R839" i="3"/>
  <c r="P839" i="3" s="1"/>
  <c r="O1029" i="3"/>
  <c r="N731" i="3"/>
  <c r="N1163" i="3"/>
  <c r="O835" i="3"/>
  <c r="O883" i="3"/>
  <c r="P550" i="3"/>
  <c r="Q510" i="3"/>
  <c r="P478" i="3"/>
  <c r="P454" i="3"/>
  <c r="P246" i="3"/>
  <c r="O1051" i="3"/>
  <c r="O715" i="3"/>
  <c r="V715" i="3" s="1"/>
  <c r="S1222" i="3"/>
  <c r="S1206" i="3"/>
  <c r="S1198" i="3"/>
  <c r="S1190" i="3"/>
  <c r="S1182" i="3"/>
  <c r="S1174" i="3"/>
  <c r="S1158" i="3"/>
  <c r="S1142" i="3"/>
  <c r="S1134" i="3"/>
  <c r="S1126" i="3"/>
  <c r="S1110" i="3"/>
  <c r="S1102" i="3"/>
  <c r="S1094" i="3"/>
  <c r="S1078" i="3"/>
  <c r="S998" i="3"/>
  <c r="S934" i="3"/>
  <c r="S870" i="3"/>
  <c r="S550" i="3"/>
  <c r="S342" i="3"/>
  <c r="T342" i="3" s="1"/>
  <c r="S118" i="3"/>
  <c r="S22" i="3"/>
  <c r="N819" i="3"/>
  <c r="O1123" i="3"/>
  <c r="O1107" i="3"/>
  <c r="O774" i="3"/>
  <c r="R246" i="3"/>
  <c r="S715" i="3"/>
  <c r="O987" i="3"/>
  <c r="N787" i="3"/>
  <c r="R1202" i="3"/>
  <c r="R1130" i="3"/>
  <c r="R1098" i="3"/>
  <c r="S1090" i="3"/>
  <c r="R1034" i="3"/>
  <c r="R938" i="3"/>
  <c r="S914" i="3"/>
  <c r="S890" i="3"/>
  <c r="S882" i="3"/>
  <c r="R866" i="3"/>
  <c r="S842" i="3"/>
  <c r="S778" i="3"/>
  <c r="S770" i="3"/>
  <c r="R738" i="3"/>
  <c r="S674" i="3"/>
  <c r="R1147" i="3"/>
  <c r="P1147" i="3" s="1"/>
  <c r="S1194" i="3"/>
  <c r="R1170" i="3"/>
  <c r="R1154" i="3"/>
  <c r="R1066" i="3"/>
  <c r="R1050" i="3"/>
  <c r="R1026" i="3"/>
  <c r="R1002" i="3"/>
  <c r="R970" i="3"/>
  <c r="R954" i="3"/>
  <c r="R874" i="3"/>
  <c r="R858" i="3"/>
  <c r="S826" i="3"/>
  <c r="O1011" i="3"/>
  <c r="S744" i="5"/>
  <c r="S918" i="3"/>
  <c r="R1226" i="3"/>
  <c r="R1178" i="3"/>
  <c r="R1162" i="3"/>
  <c r="S1146" i="3"/>
  <c r="R1114" i="3"/>
  <c r="R1082" i="3"/>
  <c r="R1018" i="3"/>
  <c r="R986" i="3"/>
  <c r="R962" i="3"/>
  <c r="R802" i="3"/>
  <c r="O1085" i="3"/>
  <c r="O965" i="3"/>
  <c r="O771" i="3"/>
  <c r="O923" i="3"/>
  <c r="V923" i="3" s="1"/>
  <c r="N1156" i="3"/>
  <c r="O1156" i="3"/>
  <c r="O908" i="3"/>
  <c r="N908" i="3"/>
  <c r="O748" i="3"/>
  <c r="N748" i="3"/>
  <c r="Q297" i="3"/>
  <c r="P297" i="3"/>
  <c r="O1217" i="3"/>
  <c r="N1217" i="3"/>
  <c r="O1169" i="3"/>
  <c r="N1169" i="3"/>
  <c r="N1145" i="3"/>
  <c r="O1145" i="3"/>
  <c r="N1121" i="3"/>
  <c r="O1121" i="3"/>
  <c r="O1113" i="3"/>
  <c r="N1113" i="3"/>
  <c r="O1017" i="3"/>
  <c r="N1017" i="3"/>
  <c r="N993" i="3"/>
  <c r="O993" i="3"/>
  <c r="O969" i="3"/>
  <c r="N969" i="3"/>
  <c r="O921" i="3"/>
  <c r="N921" i="3"/>
  <c r="O857" i="3"/>
  <c r="N857" i="3"/>
  <c r="O833" i="3"/>
  <c r="N833" i="3"/>
  <c r="N809" i="3"/>
  <c r="O809" i="3"/>
  <c r="O729" i="3"/>
  <c r="N729" i="3"/>
  <c r="O705" i="3"/>
  <c r="N705" i="3"/>
  <c r="O681" i="3"/>
  <c r="N681" i="3"/>
  <c r="Q566" i="3"/>
  <c r="P566" i="3"/>
  <c r="Q470" i="3"/>
  <c r="P470" i="3"/>
  <c r="Q278" i="3"/>
  <c r="P278" i="3"/>
  <c r="P262" i="3"/>
  <c r="Q262" i="3"/>
  <c r="P134" i="3"/>
  <c r="Q134" i="3"/>
  <c r="P102" i="3"/>
  <c r="Q102" i="3"/>
  <c r="Q22" i="3"/>
  <c r="P22" i="3"/>
  <c r="O881" i="3"/>
  <c r="O1206" i="3"/>
  <c r="N1206" i="3"/>
  <c r="N1158" i="3"/>
  <c r="O1158" i="3"/>
  <c r="V1158" i="3" s="1"/>
  <c r="N1126" i="3"/>
  <c r="O1126" i="3"/>
  <c r="V1126" i="3" s="1"/>
  <c r="N1046" i="3"/>
  <c r="O1046" i="3"/>
  <c r="N990" i="3"/>
  <c r="O990" i="3"/>
  <c r="N982" i="3"/>
  <c r="O982" i="3"/>
  <c r="O926" i="3"/>
  <c r="N926" i="3"/>
  <c r="N862" i="3"/>
  <c r="O862" i="3"/>
  <c r="N854" i="3"/>
  <c r="O854" i="3"/>
  <c r="N798" i="3"/>
  <c r="O798" i="3"/>
  <c r="N662" i="3"/>
  <c r="N638" i="3"/>
  <c r="O638" i="3"/>
  <c r="N630" i="3"/>
  <c r="O630" i="3"/>
  <c r="O598" i="3"/>
  <c r="N598" i="3"/>
  <c r="N582" i="3"/>
  <c r="O582" i="3"/>
  <c r="N558" i="3"/>
  <c r="N486" i="3"/>
  <c r="O486" i="3"/>
  <c r="Q347" i="3"/>
  <c r="P347" i="3"/>
  <c r="O278" i="3"/>
  <c r="N278" i="3"/>
  <c r="O222" i="3"/>
  <c r="O182" i="3"/>
  <c r="N182" i="3"/>
  <c r="P171" i="3"/>
  <c r="O171" i="3"/>
  <c r="O70" i="3"/>
  <c r="N70" i="3"/>
  <c r="O6" i="3"/>
  <c r="N6" i="3"/>
  <c r="R1230" i="3"/>
  <c r="R1190" i="3"/>
  <c r="R1142" i="3"/>
  <c r="R1110" i="3"/>
  <c r="R1078" i="3"/>
  <c r="N1068" i="3"/>
  <c r="O1068" i="3"/>
  <c r="N980" i="3"/>
  <c r="O980" i="3"/>
  <c r="O956" i="3"/>
  <c r="N956" i="3"/>
  <c r="N916" i="3"/>
  <c r="O916" i="3"/>
  <c r="N844" i="3"/>
  <c r="O844" i="3"/>
  <c r="O732" i="3"/>
  <c r="N732" i="3"/>
  <c r="O585" i="3"/>
  <c r="Q585" i="3"/>
  <c r="N537" i="3"/>
  <c r="P537" i="3"/>
  <c r="N265" i="3"/>
  <c r="P265" i="3"/>
  <c r="O1209" i="3"/>
  <c r="N1209" i="3"/>
  <c r="O1193" i="3"/>
  <c r="N1193" i="3"/>
  <c r="O1081" i="3"/>
  <c r="N1081" i="3"/>
  <c r="N1009" i="3"/>
  <c r="O1009" i="3"/>
  <c r="N961" i="3"/>
  <c r="O961" i="3"/>
  <c r="N889" i="3"/>
  <c r="O889" i="3"/>
  <c r="N873" i="3"/>
  <c r="O873" i="3"/>
  <c r="O825" i="3"/>
  <c r="N825" i="3"/>
  <c r="N793" i="3"/>
  <c r="O793" i="3"/>
  <c r="O785" i="3"/>
  <c r="N785" i="3"/>
  <c r="N769" i="3"/>
  <c r="O769" i="3"/>
  <c r="O745" i="3"/>
  <c r="N745" i="3"/>
  <c r="N697" i="3"/>
  <c r="O697" i="3"/>
  <c r="N673" i="3"/>
  <c r="O673" i="3"/>
  <c r="P582" i="3"/>
  <c r="Q582" i="3"/>
  <c r="N457" i="3"/>
  <c r="N313" i="3"/>
  <c r="O233" i="3"/>
  <c r="N233" i="3"/>
  <c r="P182" i="3"/>
  <c r="Q182" i="3"/>
  <c r="Q166" i="3"/>
  <c r="P166" i="3"/>
  <c r="P118" i="3"/>
  <c r="Q118" i="3"/>
  <c r="N1198" i="3"/>
  <c r="O1198" i="3"/>
  <c r="N1174" i="3"/>
  <c r="O1174" i="3"/>
  <c r="O1134" i="3"/>
  <c r="N1134" i="3"/>
  <c r="N1102" i="3"/>
  <c r="O1102" i="3"/>
  <c r="N1030" i="3"/>
  <c r="O1030" i="3"/>
  <c r="V1030" i="3" s="1"/>
  <c r="O1006" i="3"/>
  <c r="N1006" i="3"/>
  <c r="O934" i="3"/>
  <c r="V934" i="3" s="1"/>
  <c r="N934" i="3"/>
  <c r="O846" i="3"/>
  <c r="N846" i="3"/>
  <c r="N790" i="3"/>
  <c r="O790" i="3"/>
  <c r="N782" i="3"/>
  <c r="O782" i="3"/>
  <c r="O766" i="3"/>
  <c r="N766" i="3"/>
  <c r="N758" i="3"/>
  <c r="O758" i="3"/>
  <c r="N750" i="3"/>
  <c r="O750" i="3"/>
  <c r="N742" i="3"/>
  <c r="O742" i="3"/>
  <c r="N734" i="3"/>
  <c r="O734" i="3"/>
  <c r="N726" i="3"/>
  <c r="O726" i="3"/>
  <c r="O718" i="3"/>
  <c r="N718" i="3"/>
  <c r="N678" i="3"/>
  <c r="O678" i="3"/>
  <c r="O534" i="3"/>
  <c r="N534" i="3"/>
  <c r="O494" i="3"/>
  <c r="O454" i="3"/>
  <c r="N454" i="3"/>
  <c r="O390" i="3"/>
  <c r="N390" i="3"/>
  <c r="N342" i="3"/>
  <c r="O342" i="3"/>
  <c r="N286" i="3"/>
  <c r="O262" i="3"/>
  <c r="N262" i="3"/>
  <c r="O214" i="3"/>
  <c r="N214" i="3"/>
  <c r="O102" i="3"/>
  <c r="N102" i="3"/>
  <c r="N38" i="3"/>
  <c r="O38" i="3"/>
  <c r="R1222" i="3"/>
  <c r="R1206" i="3"/>
  <c r="R1174" i="3"/>
  <c r="N878" i="3"/>
  <c r="N977" i="3"/>
  <c r="S1046" i="3"/>
  <c r="Q246" i="3"/>
  <c r="N1057" i="3"/>
  <c r="O550" i="3"/>
  <c r="N1084" i="3"/>
  <c r="O1084" i="3"/>
  <c r="N1044" i="3"/>
  <c r="O1044" i="3"/>
  <c r="N964" i="3"/>
  <c r="O964" i="3"/>
  <c r="N780" i="3"/>
  <c r="O780" i="3"/>
  <c r="N489" i="3"/>
  <c r="Q489" i="3"/>
  <c r="P489" i="3"/>
  <c r="N393" i="3"/>
  <c r="P393" i="3"/>
  <c r="Q393" i="3"/>
  <c r="O313" i="3"/>
  <c r="Q313" i="3"/>
  <c r="P313" i="3"/>
  <c r="N169" i="3"/>
  <c r="P169" i="3"/>
  <c r="N1233" i="3"/>
  <c r="O1233" i="3"/>
  <c r="N1177" i="3"/>
  <c r="O1177" i="3"/>
  <c r="N1137" i="3"/>
  <c r="O1137" i="3"/>
  <c r="O1105" i="3"/>
  <c r="N1105" i="3"/>
  <c r="O1065" i="3"/>
  <c r="N1065" i="3"/>
  <c r="O1049" i="3"/>
  <c r="N1049" i="3"/>
  <c r="O1001" i="3"/>
  <c r="N1001" i="3"/>
  <c r="N953" i="3"/>
  <c r="O953" i="3"/>
  <c r="N929" i="3"/>
  <c r="O929" i="3"/>
  <c r="N905" i="3"/>
  <c r="O905" i="3"/>
  <c r="O865" i="3"/>
  <c r="N865" i="3"/>
  <c r="O841" i="3"/>
  <c r="N841" i="3"/>
  <c r="N753" i="3"/>
  <c r="O753" i="3"/>
  <c r="Q598" i="3"/>
  <c r="P598" i="3"/>
  <c r="Q518" i="3"/>
  <c r="P518" i="3"/>
  <c r="O489" i="3"/>
  <c r="Q422" i="3"/>
  <c r="P422" i="3"/>
  <c r="P374" i="3"/>
  <c r="Q374" i="3"/>
  <c r="Q198" i="3"/>
  <c r="P198" i="3"/>
  <c r="P86" i="3"/>
  <c r="Q86" i="3"/>
  <c r="P70" i="3"/>
  <c r="Q70" i="3"/>
  <c r="Q54" i="3"/>
  <c r="P54" i="3"/>
  <c r="P38" i="3"/>
  <c r="Q38" i="3"/>
  <c r="P6" i="3"/>
  <c r="Q6" i="3"/>
  <c r="N1222" i="3"/>
  <c r="O1222" i="3"/>
  <c r="V1222" i="3" s="1"/>
  <c r="O1190" i="3"/>
  <c r="N1190" i="3"/>
  <c r="O1142" i="3"/>
  <c r="V1142" i="3" s="1"/>
  <c r="N1142" i="3"/>
  <c r="O1094" i="3"/>
  <c r="N1094" i="3"/>
  <c r="O1022" i="3"/>
  <c r="N1022" i="3"/>
  <c r="O958" i="3"/>
  <c r="N958" i="3"/>
  <c r="N918" i="3"/>
  <c r="O918" i="3"/>
  <c r="V918" i="3" s="1"/>
  <c r="O910" i="3"/>
  <c r="N910" i="3"/>
  <c r="N814" i="3"/>
  <c r="O814" i="3"/>
  <c r="N710" i="3"/>
  <c r="O710" i="3"/>
  <c r="V710" i="3" s="1"/>
  <c r="N702" i="3"/>
  <c r="O702" i="3"/>
  <c r="N694" i="3"/>
  <c r="O694" i="3"/>
  <c r="N686" i="3"/>
  <c r="O686" i="3"/>
  <c r="N654" i="3"/>
  <c r="O654" i="3"/>
  <c r="O470" i="3"/>
  <c r="N470" i="3"/>
  <c r="N438" i="3"/>
  <c r="O438" i="3"/>
  <c r="O414" i="3"/>
  <c r="N374" i="3"/>
  <c r="O374" i="3"/>
  <c r="O334" i="3"/>
  <c r="N318" i="3"/>
  <c r="O310" i="3"/>
  <c r="N310" i="3"/>
  <c r="N230" i="3"/>
  <c r="O230" i="3"/>
  <c r="O198" i="3"/>
  <c r="N198" i="3"/>
  <c r="O134" i="3"/>
  <c r="N134" i="3"/>
  <c r="Q123" i="3"/>
  <c r="P123" i="3"/>
  <c r="N86" i="3"/>
  <c r="O86" i="3"/>
  <c r="O54" i="3"/>
  <c r="N54" i="3"/>
  <c r="N14" i="3"/>
  <c r="N618" i="5"/>
  <c r="R1214" i="3"/>
  <c r="R1166" i="3"/>
  <c r="R1094" i="3"/>
  <c r="O1212" i="3"/>
  <c r="V1212" i="3" s="1"/>
  <c r="Q441" i="3"/>
  <c r="O974" i="3"/>
  <c r="R1035" i="3"/>
  <c r="P1035" i="3" s="1"/>
  <c r="O1161" i="3"/>
  <c r="N1196" i="3"/>
  <c r="O1196" i="3"/>
  <c r="N1108" i="3"/>
  <c r="O1108" i="3"/>
  <c r="N1028" i="3"/>
  <c r="O1028" i="3"/>
  <c r="N828" i="3"/>
  <c r="O828" i="3"/>
  <c r="O569" i="3"/>
  <c r="Q569" i="3"/>
  <c r="Q9" i="3"/>
  <c r="P9" i="3"/>
  <c r="N1185" i="3"/>
  <c r="O1185" i="3"/>
  <c r="O1129" i="3"/>
  <c r="N1129" i="3"/>
  <c r="O1097" i="3"/>
  <c r="N1097" i="3"/>
  <c r="N1073" i="3"/>
  <c r="O1073" i="3"/>
  <c r="N1033" i="3"/>
  <c r="O1033" i="3"/>
  <c r="N937" i="3"/>
  <c r="O937" i="3"/>
  <c r="N913" i="3"/>
  <c r="O913" i="3"/>
  <c r="N801" i="3"/>
  <c r="O801" i="3"/>
  <c r="O761" i="3"/>
  <c r="N761" i="3"/>
  <c r="N721" i="3"/>
  <c r="O721" i="3"/>
  <c r="O689" i="3"/>
  <c r="N689" i="3"/>
  <c r="O553" i="3"/>
  <c r="P502" i="3"/>
  <c r="Q502" i="3"/>
  <c r="P438" i="3"/>
  <c r="Q438" i="3"/>
  <c r="O345" i="3"/>
  <c r="Q294" i="3"/>
  <c r="P294" i="3"/>
  <c r="O217" i="3"/>
  <c r="R1177" i="3"/>
  <c r="N1230" i="3"/>
  <c r="O1230" i="3"/>
  <c r="N1214" i="3"/>
  <c r="O1214" i="3"/>
  <c r="N1166" i="3"/>
  <c r="O1166" i="3"/>
  <c r="N1118" i="3"/>
  <c r="O1118" i="3"/>
  <c r="N1086" i="3"/>
  <c r="O1086" i="3"/>
  <c r="N1038" i="3"/>
  <c r="O1038" i="3"/>
  <c r="O998" i="3"/>
  <c r="N998" i="3"/>
  <c r="N950" i="3"/>
  <c r="O950" i="3"/>
  <c r="V950" i="3" s="1"/>
  <c r="N894" i="3"/>
  <c r="O894" i="3"/>
  <c r="N886" i="3"/>
  <c r="O886" i="3"/>
  <c r="N830" i="3"/>
  <c r="O830" i="3"/>
  <c r="O822" i="3"/>
  <c r="N822" i="3"/>
  <c r="N670" i="3"/>
  <c r="O670" i="3"/>
  <c r="O646" i="3"/>
  <c r="N646" i="3"/>
  <c r="N622" i="3"/>
  <c r="O622" i="3"/>
  <c r="N614" i="3"/>
  <c r="O614" i="3"/>
  <c r="O566" i="3"/>
  <c r="O518" i="3"/>
  <c r="N518" i="3"/>
  <c r="N502" i="3"/>
  <c r="O502" i="3"/>
  <c r="O422" i="3"/>
  <c r="N422" i="3"/>
  <c r="N406" i="3"/>
  <c r="O406" i="3"/>
  <c r="P395" i="3"/>
  <c r="Q395" i="3"/>
  <c r="N358" i="3"/>
  <c r="O358" i="3"/>
  <c r="N326" i="3"/>
  <c r="O326" i="3"/>
  <c r="O294" i="3"/>
  <c r="N294" i="3"/>
  <c r="O246" i="3"/>
  <c r="N246" i="3"/>
  <c r="N166" i="3"/>
  <c r="O166" i="3"/>
  <c r="N150" i="3"/>
  <c r="O150" i="3"/>
  <c r="N118" i="3"/>
  <c r="O118" i="3"/>
  <c r="Q91" i="3"/>
  <c r="P91" i="3"/>
  <c r="N22" i="3"/>
  <c r="O22" i="3"/>
  <c r="Q454" i="3"/>
  <c r="R1195" i="3"/>
  <c r="S1195" i="3"/>
  <c r="R1126" i="3"/>
  <c r="O662" i="3"/>
  <c r="N1153" i="3"/>
  <c r="O1054" i="3"/>
  <c r="N1172" i="3"/>
  <c r="O1172" i="3"/>
  <c r="N1124" i="3"/>
  <c r="O1124" i="3"/>
  <c r="N996" i="3"/>
  <c r="O996" i="3"/>
  <c r="N796" i="3"/>
  <c r="O796" i="3"/>
  <c r="O457" i="3"/>
  <c r="Q457" i="3"/>
  <c r="P89" i="3"/>
  <c r="Q89" i="3"/>
  <c r="N1225" i="3"/>
  <c r="O1225" i="3"/>
  <c r="O1201" i="3"/>
  <c r="N1201" i="3"/>
  <c r="N1089" i="3"/>
  <c r="O1089" i="3"/>
  <c r="O1041" i="3"/>
  <c r="N1041" i="3"/>
  <c r="N1025" i="3"/>
  <c r="O1025" i="3"/>
  <c r="O985" i="3"/>
  <c r="N985" i="3"/>
  <c r="O945" i="3"/>
  <c r="N945" i="3"/>
  <c r="O897" i="3"/>
  <c r="N897" i="3"/>
  <c r="N849" i="3"/>
  <c r="O849" i="3"/>
  <c r="N817" i="3"/>
  <c r="O817" i="3"/>
  <c r="O737" i="3"/>
  <c r="N737" i="3"/>
  <c r="N713" i="3"/>
  <c r="O713" i="3"/>
  <c r="P534" i="3"/>
  <c r="Q534" i="3"/>
  <c r="P486" i="3"/>
  <c r="Q486" i="3"/>
  <c r="Q406" i="3"/>
  <c r="P406" i="3"/>
  <c r="P390" i="3"/>
  <c r="Q390" i="3"/>
  <c r="N369" i="3"/>
  <c r="P358" i="3"/>
  <c r="Q358" i="3"/>
  <c r="Q342" i="3"/>
  <c r="P342" i="3"/>
  <c r="P326" i="3"/>
  <c r="Q326" i="3"/>
  <c r="Q310" i="3"/>
  <c r="P310" i="3"/>
  <c r="N281" i="3"/>
  <c r="O281" i="3"/>
  <c r="P230" i="3"/>
  <c r="Q230" i="3"/>
  <c r="Q214" i="3"/>
  <c r="P214" i="3"/>
  <c r="Q150" i="3"/>
  <c r="P150" i="3"/>
  <c r="O1182" i="3"/>
  <c r="N1182" i="3"/>
  <c r="O1110" i="3"/>
  <c r="V1110" i="3" s="1"/>
  <c r="N1110" i="3"/>
  <c r="N1078" i="3"/>
  <c r="O1078" i="3"/>
  <c r="N1070" i="3"/>
  <c r="O1070" i="3"/>
  <c r="N1062" i="3"/>
  <c r="O1062" i="3"/>
  <c r="N1014" i="3"/>
  <c r="O1014" i="3"/>
  <c r="O966" i="3"/>
  <c r="N966" i="3"/>
  <c r="N942" i="3"/>
  <c r="O942" i="3"/>
  <c r="N902" i="3"/>
  <c r="O902" i="3"/>
  <c r="N870" i="3"/>
  <c r="O870" i="3"/>
  <c r="V870" i="3" s="1"/>
  <c r="N838" i="3"/>
  <c r="O838" i="3"/>
  <c r="N806" i="3"/>
  <c r="O806" i="3"/>
  <c r="O1150" i="3"/>
  <c r="N777" i="3"/>
  <c r="S1062" i="3"/>
  <c r="S1038" i="3"/>
  <c r="S1030" i="3"/>
  <c r="R1025" i="3"/>
  <c r="S1014" i="3"/>
  <c r="S1006" i="3"/>
  <c r="S982" i="3"/>
  <c r="P982" i="3" s="1"/>
  <c r="S974" i="3"/>
  <c r="S966" i="3"/>
  <c r="P966" i="3" s="1"/>
  <c r="S950" i="3"/>
  <c r="S942" i="3"/>
  <c r="S902" i="3"/>
  <c r="S886" i="3"/>
  <c r="Q886" i="3" s="1"/>
  <c r="S854" i="3"/>
  <c r="S846" i="3"/>
  <c r="S838" i="3"/>
  <c r="S822" i="3"/>
  <c r="S814" i="3"/>
  <c r="S806" i="3"/>
  <c r="S798" i="3"/>
  <c r="S790" i="3"/>
  <c r="S774" i="3"/>
  <c r="P774" i="3" s="1"/>
  <c r="S758" i="3"/>
  <c r="S742" i="3"/>
  <c r="S734" i="3"/>
  <c r="R729" i="3"/>
  <c r="S726" i="3"/>
  <c r="S710" i="3"/>
  <c r="S694" i="3"/>
  <c r="R681" i="3"/>
  <c r="S678" i="3"/>
  <c r="T678" i="3" s="1"/>
  <c r="S662" i="3"/>
  <c r="S646" i="3"/>
  <c r="T646" i="3" s="1"/>
  <c r="S630" i="3"/>
  <c r="S614" i="3"/>
  <c r="T614" i="3" s="1"/>
  <c r="S606" i="3"/>
  <c r="S598" i="3"/>
  <c r="T598" i="3" s="1"/>
  <c r="S590" i="3"/>
  <c r="S582" i="3"/>
  <c r="S574" i="3"/>
  <c r="S566" i="3"/>
  <c r="S534" i="3"/>
  <c r="R529" i="3"/>
  <c r="S526" i="3"/>
  <c r="S518" i="3"/>
  <c r="T518" i="3" s="1"/>
  <c r="S502" i="3"/>
  <c r="S486" i="3"/>
  <c r="S470" i="3"/>
  <c r="T470" i="3" s="1"/>
  <c r="R465" i="3"/>
  <c r="S454" i="3"/>
  <c r="T454" i="3" s="1"/>
  <c r="S438" i="3"/>
  <c r="R433" i="3"/>
  <c r="S430" i="3"/>
  <c r="S406" i="3"/>
  <c r="S390" i="3"/>
  <c r="T390" i="3" s="1"/>
  <c r="S374" i="3"/>
  <c r="S358" i="3"/>
  <c r="R337" i="3"/>
  <c r="R329" i="3"/>
  <c r="S326" i="3"/>
  <c r="T326" i="3" s="1"/>
  <c r="R321" i="3"/>
  <c r="S310" i="3"/>
  <c r="S294" i="3"/>
  <c r="S278" i="3"/>
  <c r="T278" i="3" s="1"/>
  <c r="S262" i="3"/>
  <c r="S238" i="3"/>
  <c r="S230" i="3"/>
  <c r="T230" i="3" s="1"/>
  <c r="R217" i="3"/>
  <c r="S214" i="3"/>
  <c r="T214" i="3" s="1"/>
  <c r="R209" i="3"/>
  <c r="S198" i="3"/>
  <c r="T198" i="3" s="1"/>
  <c r="S182" i="3"/>
  <c r="S166" i="3"/>
  <c r="S150" i="3"/>
  <c r="R145" i="3"/>
  <c r="S142" i="3"/>
  <c r="S134" i="3"/>
  <c r="S102" i="3"/>
  <c r="S86" i="3"/>
  <c r="S70" i="3"/>
  <c r="S54" i="3"/>
  <c r="R49" i="3"/>
  <c r="S38" i="3"/>
  <c r="R9" i="3"/>
  <c r="S6" i="3"/>
  <c r="O299" i="3"/>
  <c r="R1067" i="3"/>
  <c r="P1067" i="3" s="1"/>
  <c r="R507" i="3"/>
  <c r="R323" i="3"/>
  <c r="R651" i="3"/>
  <c r="S651" i="3"/>
  <c r="N571" i="3"/>
  <c r="N91" i="3"/>
  <c r="R1051" i="3"/>
  <c r="R395" i="3"/>
  <c r="T395" i="3" s="1"/>
  <c r="S555" i="3"/>
  <c r="N419" i="3"/>
  <c r="N211" i="3"/>
  <c r="R1131" i="3"/>
  <c r="Q1131" i="3" s="1"/>
  <c r="R795" i="3"/>
  <c r="P795" i="3" s="1"/>
  <c r="R379" i="3"/>
  <c r="T379" i="3" s="1"/>
  <c r="S27" i="3"/>
  <c r="T27" i="3" s="1"/>
  <c r="S422" i="3"/>
  <c r="T422" i="3" s="1"/>
  <c r="O435" i="3"/>
  <c r="O139" i="3"/>
  <c r="R1043" i="3"/>
  <c r="R91" i="3"/>
  <c r="S763" i="3"/>
  <c r="R763" i="3"/>
  <c r="R539" i="3"/>
  <c r="S539" i="3"/>
  <c r="S331" i="3"/>
  <c r="R331" i="3"/>
  <c r="N643" i="3"/>
  <c r="N243" i="3"/>
  <c r="R1083" i="3"/>
  <c r="R411" i="3"/>
  <c r="R187" i="3"/>
  <c r="R827" i="3"/>
  <c r="P827" i="3" s="1"/>
  <c r="R635" i="3"/>
  <c r="T635" i="3" s="1"/>
  <c r="O1227" i="3"/>
  <c r="N1227" i="3"/>
  <c r="N1179" i="3"/>
  <c r="O1179" i="3"/>
  <c r="O1115" i="3"/>
  <c r="N1115" i="3"/>
  <c r="N979" i="3"/>
  <c r="O979" i="3"/>
  <c r="N939" i="3"/>
  <c r="O939" i="3"/>
  <c r="O915" i="3"/>
  <c r="N915" i="3"/>
  <c r="N627" i="3"/>
  <c r="O627" i="3"/>
  <c r="O531" i="3"/>
  <c r="N483" i="3"/>
  <c r="O395" i="3"/>
  <c r="O227" i="3"/>
  <c r="N115" i="3"/>
  <c r="N59" i="3"/>
  <c r="O59" i="3"/>
  <c r="R971" i="3"/>
  <c r="R883" i="3"/>
  <c r="R811" i="3"/>
  <c r="V811" i="3" s="1"/>
  <c r="R699" i="3"/>
  <c r="R571" i="3"/>
  <c r="T571" i="3" s="1"/>
  <c r="R299" i="3"/>
  <c r="T299" i="3" s="1"/>
  <c r="R171" i="3"/>
  <c r="N600" i="3"/>
  <c r="O176" i="3"/>
  <c r="Q16" i="3"/>
  <c r="R1064" i="3"/>
  <c r="R1024" i="3"/>
  <c r="R968" i="3"/>
  <c r="R928" i="3"/>
  <c r="R864" i="3"/>
  <c r="R832" i="3"/>
  <c r="S816" i="3"/>
  <c r="S792" i="3"/>
  <c r="S768" i="3"/>
  <c r="S688" i="3"/>
  <c r="S592" i="3"/>
  <c r="R432" i="3"/>
  <c r="R224" i="3"/>
  <c r="N907" i="3"/>
  <c r="N811" i="3"/>
  <c r="O699" i="3"/>
  <c r="N1067" i="3"/>
  <c r="O1067" i="3"/>
  <c r="V1067" i="3" s="1"/>
  <c r="N1003" i="3"/>
  <c r="O1003" i="3"/>
  <c r="N651" i="3"/>
  <c r="O651" i="3"/>
  <c r="N179" i="3"/>
  <c r="N43" i="3"/>
  <c r="R1115" i="3"/>
  <c r="R1019" i="3"/>
  <c r="R859" i="3"/>
  <c r="Q859" i="3" s="1"/>
  <c r="R667" i="3"/>
  <c r="R491" i="3"/>
  <c r="R427" i="3"/>
  <c r="R315" i="3"/>
  <c r="T315" i="3" s="1"/>
  <c r="R203" i="3"/>
  <c r="T203" i="3" s="1"/>
  <c r="R19" i="3"/>
  <c r="N139" i="3"/>
  <c r="N416" i="3"/>
  <c r="O144" i="3"/>
  <c r="S1056" i="3"/>
  <c r="R1032" i="3"/>
  <c r="S936" i="3"/>
  <c r="R784" i="3"/>
  <c r="R672" i="3"/>
  <c r="R600" i="3"/>
  <c r="R568" i="3"/>
  <c r="S560" i="3"/>
  <c r="R464" i="3"/>
  <c r="S408" i="3"/>
  <c r="R304" i="3"/>
  <c r="R272" i="3"/>
  <c r="R192" i="3"/>
  <c r="R160" i="3"/>
  <c r="S144" i="3"/>
  <c r="O1035" i="3"/>
  <c r="V1035" i="3" s="1"/>
  <c r="O995" i="3"/>
  <c r="N955" i="3"/>
  <c r="O851" i="3"/>
  <c r="N747" i="3"/>
  <c r="O1091" i="3"/>
  <c r="N1091" i="3"/>
  <c r="N1027" i="3"/>
  <c r="O1027" i="3"/>
  <c r="N931" i="3"/>
  <c r="O931" i="3"/>
  <c r="O867" i="3"/>
  <c r="N867" i="3"/>
  <c r="N827" i="3"/>
  <c r="O827" i="3"/>
  <c r="V827" i="3" s="1"/>
  <c r="N795" i="3"/>
  <c r="O795" i="3"/>
  <c r="N707" i="3"/>
  <c r="O707" i="3"/>
  <c r="N675" i="3"/>
  <c r="O675" i="3"/>
  <c r="O659" i="3"/>
  <c r="N659" i="3"/>
  <c r="O603" i="3"/>
  <c r="N467" i="3"/>
  <c r="N355" i="3"/>
  <c r="N339" i="3"/>
  <c r="N123" i="3"/>
  <c r="O123" i="3"/>
  <c r="N19" i="3"/>
  <c r="R1091" i="3"/>
  <c r="R1003" i="3"/>
  <c r="R747" i="3"/>
  <c r="P747" i="3" s="1"/>
  <c r="R443" i="3"/>
  <c r="R283" i="3"/>
  <c r="T283" i="3" s="1"/>
  <c r="R155" i="3"/>
  <c r="O1043" i="3"/>
  <c r="O1184" i="3"/>
  <c r="N1184" i="3"/>
  <c r="P496" i="3"/>
  <c r="S1200" i="3"/>
  <c r="R1104" i="3"/>
  <c r="S1088" i="3"/>
  <c r="R1040" i="3"/>
  <c r="R888" i="3"/>
  <c r="S728" i="3"/>
  <c r="R704" i="3"/>
  <c r="R576" i="3"/>
  <c r="R384" i="3"/>
  <c r="S376" i="3"/>
  <c r="R288" i="3"/>
  <c r="O1083" i="3"/>
  <c r="N899" i="3"/>
  <c r="N843" i="3"/>
  <c r="N1195" i="3"/>
  <c r="O1195" i="3"/>
  <c r="N1099" i="3"/>
  <c r="O1099" i="3"/>
  <c r="N963" i="3"/>
  <c r="O963" i="3"/>
  <c r="O875" i="3"/>
  <c r="N875" i="3"/>
  <c r="N691" i="3"/>
  <c r="O691" i="3"/>
  <c r="N683" i="3"/>
  <c r="O683" i="3"/>
  <c r="O363" i="3"/>
  <c r="N347" i="3"/>
  <c r="N307" i="3"/>
  <c r="N235" i="3"/>
  <c r="O203" i="3"/>
  <c r="N203" i="3"/>
  <c r="O91" i="3"/>
  <c r="R1211" i="3"/>
  <c r="R819" i="3"/>
  <c r="V819" i="3" s="1"/>
  <c r="R107" i="3"/>
  <c r="T107" i="3" s="1"/>
  <c r="P568" i="3"/>
  <c r="N440" i="3"/>
  <c r="P80" i="3"/>
  <c r="S992" i="3"/>
  <c r="R856" i="3"/>
  <c r="S848" i="3"/>
  <c r="R800" i="3"/>
  <c r="S632" i="3"/>
  <c r="S624" i="3"/>
  <c r="R536" i="3"/>
  <c r="S136" i="3"/>
  <c r="O571" i="3"/>
  <c r="O43" i="3"/>
  <c r="N1155" i="3"/>
  <c r="O1155" i="3"/>
  <c r="O1131" i="3"/>
  <c r="V1131" i="3" s="1"/>
  <c r="N1131" i="3"/>
  <c r="N971" i="3"/>
  <c r="O971" i="3"/>
  <c r="N891" i="3"/>
  <c r="O891" i="3"/>
  <c r="O859" i="3"/>
  <c r="N859" i="3"/>
  <c r="N803" i="3"/>
  <c r="O803" i="3"/>
  <c r="N755" i="3"/>
  <c r="O755" i="3"/>
  <c r="O635" i="3"/>
  <c r="N635" i="3"/>
  <c r="O619" i="3"/>
  <c r="N619" i="3"/>
  <c r="N387" i="3"/>
  <c r="N83" i="3"/>
  <c r="R1163" i="3"/>
  <c r="V1163" i="3" s="1"/>
  <c r="R779" i="3"/>
  <c r="R619" i="3"/>
  <c r="R347" i="3"/>
  <c r="R131" i="3"/>
  <c r="N544" i="3"/>
  <c r="N480" i="3"/>
  <c r="O352" i="3"/>
  <c r="P304" i="3"/>
  <c r="N240" i="3"/>
  <c r="R1120" i="3"/>
  <c r="S1096" i="3"/>
  <c r="R1000" i="3"/>
  <c r="R976" i="3"/>
  <c r="R944" i="3"/>
  <c r="S912" i="3"/>
  <c r="R880" i="3"/>
  <c r="R752" i="3"/>
  <c r="R680" i="3"/>
  <c r="S664" i="3"/>
  <c r="S640" i="3"/>
  <c r="S528" i="3"/>
  <c r="S344" i="3"/>
  <c r="S264" i="3"/>
  <c r="R208" i="3"/>
  <c r="S176" i="3"/>
  <c r="S128" i="3"/>
  <c r="O1019" i="3"/>
  <c r="V1019" i="3" s="1"/>
  <c r="O1219" i="3"/>
  <c r="N1219" i="3"/>
  <c r="N1203" i="3"/>
  <c r="O1203" i="3"/>
  <c r="O1171" i="3"/>
  <c r="N1171" i="3"/>
  <c r="O1139" i="3"/>
  <c r="N1139" i="3"/>
  <c r="N779" i="3"/>
  <c r="O779" i="3"/>
  <c r="N763" i="3"/>
  <c r="O763" i="3"/>
  <c r="V763" i="3" s="1"/>
  <c r="O723" i="3"/>
  <c r="N723" i="3"/>
  <c r="O291" i="3"/>
  <c r="N275" i="3"/>
  <c r="N147" i="3"/>
  <c r="N107" i="3"/>
  <c r="N27" i="3"/>
  <c r="O643" i="3"/>
  <c r="R955" i="3"/>
  <c r="P955" i="3" s="1"/>
  <c r="R843" i="3"/>
  <c r="P843" i="3" s="1"/>
  <c r="R675" i="3"/>
  <c r="R587" i="3"/>
  <c r="R523" i="3"/>
  <c r="T523" i="3" s="1"/>
  <c r="R291" i="3"/>
  <c r="R123" i="3"/>
  <c r="T123" i="3" s="1"/>
  <c r="N608" i="3"/>
  <c r="N560" i="3"/>
  <c r="R1232" i="3"/>
  <c r="R1152" i="3"/>
  <c r="S1008" i="3"/>
  <c r="R720" i="3"/>
  <c r="R544" i="3"/>
  <c r="R512" i="3"/>
  <c r="R416" i="3"/>
  <c r="R336" i="3"/>
  <c r="S296" i="3"/>
  <c r="O947" i="3"/>
  <c r="R738" i="5"/>
  <c r="S674" i="5"/>
  <c r="S48" i="3"/>
  <c r="R985" i="5"/>
  <c r="R96" i="3"/>
  <c r="S80" i="3"/>
  <c r="S112" i="3"/>
  <c r="R72" i="3"/>
  <c r="S8" i="3"/>
  <c r="R64" i="3"/>
  <c r="S56" i="3"/>
  <c r="R32" i="3"/>
  <c r="O917" i="3"/>
  <c r="N781" i="3"/>
  <c r="R759" i="3"/>
  <c r="P759" i="3" s="1"/>
  <c r="S807" i="3"/>
  <c r="R807" i="3"/>
  <c r="S530" i="3"/>
  <c r="R458" i="3"/>
  <c r="R370" i="3"/>
  <c r="R282" i="3"/>
  <c r="S170" i="3"/>
  <c r="S130" i="3"/>
  <c r="S122" i="3"/>
  <c r="R106" i="3"/>
  <c r="R98" i="3"/>
  <c r="R42" i="3"/>
  <c r="S18" i="3"/>
  <c r="N1213" i="3"/>
  <c r="O1213" i="3"/>
  <c r="N1005" i="3"/>
  <c r="O893" i="3"/>
  <c r="R586" i="3"/>
  <c r="R474" i="3"/>
  <c r="S418" i="3"/>
  <c r="S322" i="3"/>
  <c r="R234" i="3"/>
  <c r="S138" i="3"/>
  <c r="O1045" i="3"/>
  <c r="O1095" i="3"/>
  <c r="N1095" i="3"/>
  <c r="S658" i="3"/>
  <c r="R602" i="3"/>
  <c r="S490" i="3"/>
  <c r="S378" i="3"/>
  <c r="R290" i="3"/>
  <c r="S274" i="3"/>
  <c r="N1197" i="3"/>
  <c r="O1133" i="3"/>
  <c r="O845" i="3"/>
  <c r="N1175" i="3"/>
  <c r="N797" i="3"/>
  <c r="O633" i="5"/>
  <c r="P588" i="3"/>
  <c r="O540" i="3"/>
  <c r="Q508" i="3"/>
  <c r="P444" i="3"/>
  <c r="P380" i="3"/>
  <c r="P364" i="3"/>
  <c r="O703" i="3"/>
  <c r="S5" i="3"/>
  <c r="O655" i="3"/>
  <c r="N610" i="3"/>
  <c r="N594" i="3"/>
  <c r="Q575" i="3"/>
  <c r="Q570" i="3"/>
  <c r="Q551" i="3"/>
  <c r="O546" i="3"/>
  <c r="O522" i="3"/>
  <c r="P511" i="3"/>
  <c r="O506" i="3"/>
  <c r="N498" i="3"/>
  <c r="Q495" i="3"/>
  <c r="N482" i="3"/>
  <c r="P471" i="3"/>
  <c r="N458" i="3"/>
  <c r="P442" i="3"/>
  <c r="O402" i="3"/>
  <c r="Q399" i="3"/>
  <c r="N394" i="3"/>
  <c r="N370" i="3"/>
  <c r="Q367" i="3"/>
  <c r="O354" i="3"/>
  <c r="P330" i="3"/>
  <c r="N322" i="3"/>
  <c r="O314" i="3"/>
  <c r="Q287" i="3"/>
  <c r="O258" i="3"/>
  <c r="O250" i="3"/>
  <c r="N242" i="3"/>
  <c r="P231" i="3"/>
  <c r="P223" i="3"/>
  <c r="Q199" i="3"/>
  <c r="P191" i="3"/>
  <c r="O186" i="3"/>
  <c r="O170" i="3"/>
  <c r="N151" i="3"/>
  <c r="O138" i="3"/>
  <c r="O82" i="3"/>
  <c r="Q71" i="3"/>
  <c r="N26" i="3"/>
  <c r="O10" i="3"/>
  <c r="P332" i="3"/>
  <c r="Q316" i="3"/>
  <c r="Q252" i="3"/>
  <c r="N220" i="3"/>
  <c r="Q188" i="3"/>
  <c r="Q124" i="3"/>
  <c r="Q84" i="3"/>
  <c r="P76" i="3"/>
  <c r="S1196" i="3"/>
  <c r="S1172" i="3"/>
  <c r="S1084" i="3"/>
  <c r="P1084" i="3" s="1"/>
  <c r="S1068" i="3"/>
  <c r="R1047" i="3"/>
  <c r="P1047" i="3" s="1"/>
  <c r="S1036" i="3"/>
  <c r="S956" i="3"/>
  <c r="R919" i="3"/>
  <c r="P919" i="3" s="1"/>
  <c r="R876" i="3"/>
  <c r="R860" i="3"/>
  <c r="R748" i="3"/>
  <c r="S708" i="3"/>
  <c r="S644" i="3"/>
  <c r="S596" i="3"/>
  <c r="R551" i="3"/>
  <c r="T551" i="3" s="1"/>
  <c r="R284" i="3"/>
  <c r="S124" i="3"/>
  <c r="T124" i="3" s="1"/>
  <c r="S84" i="3"/>
  <c r="S12" i="3"/>
  <c r="S712" i="5"/>
  <c r="Q712" i="5" s="1"/>
  <c r="S800" i="5"/>
  <c r="P800" i="5" s="1"/>
  <c r="S648" i="5"/>
  <c r="R736" i="5"/>
  <c r="Q736" i="5" s="1"/>
  <c r="S672" i="5"/>
  <c r="P672" i="5" s="1"/>
  <c r="R656" i="5"/>
  <c r="S640" i="5"/>
  <c r="S768" i="5"/>
  <c r="P768" i="5" s="1"/>
  <c r="N1200" i="3"/>
  <c r="O1200" i="3"/>
  <c r="N1176" i="3"/>
  <c r="O1176" i="3"/>
  <c r="N1160" i="3"/>
  <c r="O1160" i="3"/>
  <c r="N1152" i="3"/>
  <c r="O1152" i="3"/>
  <c r="N1112" i="3"/>
  <c r="O1112" i="3"/>
  <c r="N904" i="3"/>
  <c r="O904" i="3"/>
  <c r="N888" i="3"/>
  <c r="O888" i="3"/>
  <c r="N696" i="3"/>
  <c r="O696" i="3"/>
  <c r="N672" i="3"/>
  <c r="O672" i="3"/>
  <c r="N584" i="3"/>
  <c r="O584" i="3"/>
  <c r="Q584" i="3"/>
  <c r="P584" i="3"/>
  <c r="N552" i="3"/>
  <c r="O552" i="3"/>
  <c r="P552" i="3"/>
  <c r="Q552" i="3"/>
  <c r="N504" i="3"/>
  <c r="O504" i="3"/>
  <c r="P504" i="3"/>
  <c r="Q504" i="3"/>
  <c r="O456" i="3"/>
  <c r="N456" i="3"/>
  <c r="P456" i="3"/>
  <c r="Q456" i="3"/>
  <c r="N424" i="3"/>
  <c r="O424" i="3"/>
  <c r="P424" i="3"/>
  <c r="Q424" i="3"/>
  <c r="P392" i="3"/>
  <c r="Q392" i="3"/>
  <c r="O392" i="3"/>
  <c r="N392" i="3"/>
  <c r="N328" i="3"/>
  <c r="O328" i="3"/>
  <c r="P328" i="3"/>
  <c r="Q328" i="3"/>
  <c r="N296" i="3"/>
  <c r="O296" i="3"/>
  <c r="P296" i="3"/>
  <c r="Q296" i="3"/>
  <c r="O280" i="3"/>
  <c r="P280" i="3"/>
  <c r="Q280" i="3"/>
  <c r="N280" i="3"/>
  <c r="N248" i="3"/>
  <c r="O248" i="3"/>
  <c r="P248" i="3"/>
  <c r="Q248" i="3"/>
  <c r="N232" i="3"/>
  <c r="O232" i="3"/>
  <c r="P232" i="3"/>
  <c r="Q232" i="3"/>
  <c r="N168" i="3"/>
  <c r="O168" i="3"/>
  <c r="P168" i="3"/>
  <c r="Q168" i="3"/>
  <c r="N88" i="3"/>
  <c r="O88" i="3"/>
  <c r="P88" i="3"/>
  <c r="Q88" i="3"/>
  <c r="N72" i="3"/>
  <c r="O72" i="3"/>
  <c r="P72" i="3"/>
  <c r="N56" i="3"/>
  <c r="O56" i="3"/>
  <c r="P56" i="3"/>
  <c r="Q56" i="3"/>
  <c r="O24" i="3"/>
  <c r="N24" i="3"/>
  <c r="P24" i="3"/>
  <c r="Q24" i="3"/>
  <c r="N8" i="3"/>
  <c r="O8" i="3"/>
  <c r="P8" i="3"/>
  <c r="Q8" i="3"/>
  <c r="R77" i="3"/>
  <c r="S77" i="3"/>
  <c r="O151" i="3"/>
  <c r="N477" i="3"/>
  <c r="P458" i="3"/>
  <c r="Q394" i="3"/>
  <c r="Q314" i="3"/>
  <c r="P90" i="3"/>
  <c r="P74" i="3"/>
  <c r="Q10" i="3"/>
  <c r="O1232" i="3"/>
  <c r="N1232" i="3"/>
  <c r="O1216" i="3"/>
  <c r="N1216" i="3"/>
  <c r="N1192" i="3"/>
  <c r="O1192" i="3"/>
  <c r="O1072" i="3"/>
  <c r="N1072" i="3"/>
  <c r="N1032" i="3"/>
  <c r="O1032" i="3"/>
  <c r="O976" i="3"/>
  <c r="N976" i="3"/>
  <c r="N928" i="3"/>
  <c r="O928" i="3"/>
  <c r="N912" i="3"/>
  <c r="O912" i="3"/>
  <c r="N864" i="3"/>
  <c r="O864" i="3"/>
  <c r="N832" i="3"/>
  <c r="O832" i="3"/>
  <c r="N536" i="3"/>
  <c r="O536" i="3"/>
  <c r="Q536" i="3"/>
  <c r="P536" i="3"/>
  <c r="P520" i="3"/>
  <c r="Q520" i="3"/>
  <c r="N520" i="3"/>
  <c r="O520" i="3"/>
  <c r="N472" i="3"/>
  <c r="O472" i="3"/>
  <c r="Q472" i="3"/>
  <c r="N408" i="3"/>
  <c r="O408" i="3"/>
  <c r="P408" i="3"/>
  <c r="Q408" i="3"/>
  <c r="N376" i="3"/>
  <c r="O376" i="3"/>
  <c r="P376" i="3"/>
  <c r="Q376" i="3"/>
  <c r="N360" i="3"/>
  <c r="O360" i="3"/>
  <c r="P360" i="3"/>
  <c r="Q360" i="3"/>
  <c r="Q344" i="3"/>
  <c r="O344" i="3"/>
  <c r="P344" i="3"/>
  <c r="N344" i="3"/>
  <c r="N312" i="3"/>
  <c r="O312" i="3"/>
  <c r="P312" i="3"/>
  <c r="Q312" i="3"/>
  <c r="N264" i="3"/>
  <c r="O264" i="3"/>
  <c r="Q264" i="3"/>
  <c r="P264" i="3"/>
  <c r="N216" i="3"/>
  <c r="P216" i="3"/>
  <c r="Q216" i="3"/>
  <c r="O216" i="3"/>
  <c r="N200" i="3"/>
  <c r="O200" i="3"/>
  <c r="P200" i="3"/>
  <c r="Q200" i="3"/>
  <c r="N136" i="3"/>
  <c r="O136" i="3"/>
  <c r="P136" i="3"/>
  <c r="Q136" i="3"/>
  <c r="N120" i="3"/>
  <c r="O120" i="3"/>
  <c r="Q120" i="3"/>
  <c r="P120" i="3"/>
  <c r="P104" i="3"/>
  <c r="Q104" i="3"/>
  <c r="P40" i="3"/>
  <c r="Q40" i="3"/>
  <c r="N40" i="3"/>
  <c r="Q568" i="3"/>
  <c r="Q440" i="3"/>
  <c r="O1096" i="3"/>
  <c r="R557" i="3"/>
  <c r="S557" i="3"/>
  <c r="R125" i="3"/>
  <c r="S125" i="3"/>
  <c r="R936" i="3"/>
  <c r="P440" i="3"/>
  <c r="P472" i="3"/>
  <c r="Q231" i="3"/>
  <c r="N1128" i="3"/>
  <c r="O1128" i="3"/>
  <c r="N1064" i="3"/>
  <c r="O1064" i="3"/>
  <c r="N1008" i="3"/>
  <c r="O1008" i="3"/>
  <c r="N992" i="3"/>
  <c r="O992" i="3"/>
  <c r="N872" i="3"/>
  <c r="O872" i="3"/>
  <c r="N784" i="3"/>
  <c r="O784" i="3"/>
  <c r="V784" i="3" s="1"/>
  <c r="N752" i="3"/>
  <c r="O752" i="3"/>
  <c r="O616" i="3"/>
  <c r="N616" i="3"/>
  <c r="N1210" i="3"/>
  <c r="O1210" i="3"/>
  <c r="N1194" i="3"/>
  <c r="O1194" i="3"/>
  <c r="N1162" i="3"/>
  <c r="O1162" i="3"/>
  <c r="N1074" i="3"/>
  <c r="O1074" i="3"/>
  <c r="N1058" i="3"/>
  <c r="O1058" i="3"/>
  <c r="N930" i="3"/>
  <c r="O930" i="3"/>
  <c r="N922" i="3"/>
  <c r="O922" i="3"/>
  <c r="N786" i="3"/>
  <c r="O786" i="3"/>
  <c r="N754" i="3"/>
  <c r="O754" i="3"/>
  <c r="N746" i="3"/>
  <c r="O746" i="3"/>
  <c r="N730" i="3"/>
  <c r="O730" i="3"/>
  <c r="O658" i="3"/>
  <c r="N658" i="3"/>
  <c r="N634" i="3"/>
  <c r="O634" i="3"/>
  <c r="N618" i="3"/>
  <c r="O618" i="3"/>
  <c r="P535" i="3"/>
  <c r="Q535" i="3"/>
  <c r="N490" i="3"/>
  <c r="O490" i="3"/>
  <c r="P423" i="3"/>
  <c r="Q423" i="3"/>
  <c r="P263" i="3"/>
  <c r="Q263" i="3"/>
  <c r="P167" i="3"/>
  <c r="Q167" i="3"/>
  <c r="P151" i="3"/>
  <c r="Q151" i="3"/>
  <c r="P119" i="3"/>
  <c r="Q119" i="3"/>
  <c r="Q103" i="3"/>
  <c r="O103" i="3"/>
  <c r="P551" i="3"/>
  <c r="O1016" i="3"/>
  <c r="O706" i="3"/>
  <c r="N960" i="3"/>
  <c r="O960" i="3"/>
  <c r="N944" i="3"/>
  <c r="O944" i="3"/>
  <c r="N816" i="3"/>
  <c r="O816" i="3"/>
  <c r="N800" i="3"/>
  <c r="O800" i="3"/>
  <c r="N720" i="3"/>
  <c r="O720" i="3"/>
  <c r="O680" i="3"/>
  <c r="N680" i="3"/>
  <c r="N1202" i="3"/>
  <c r="O1202" i="3"/>
  <c r="N1178" i="3"/>
  <c r="O1178" i="3"/>
  <c r="N1170" i="3"/>
  <c r="O1170" i="3"/>
  <c r="N1106" i="3"/>
  <c r="O1106" i="3"/>
  <c r="N1098" i="3"/>
  <c r="O1098" i="3"/>
  <c r="N1082" i="3"/>
  <c r="O1082" i="3"/>
  <c r="N1050" i="3"/>
  <c r="O1050" i="3"/>
  <c r="N882" i="3"/>
  <c r="O882" i="3"/>
  <c r="N802" i="3"/>
  <c r="O802" i="3"/>
  <c r="N778" i="3"/>
  <c r="O778" i="3"/>
  <c r="N770" i="3"/>
  <c r="O770" i="3"/>
  <c r="N738" i="3"/>
  <c r="O738" i="3"/>
  <c r="N642" i="3"/>
  <c r="O642" i="3"/>
  <c r="N626" i="3"/>
  <c r="O626" i="3"/>
  <c r="P599" i="3"/>
  <c r="Q599" i="3"/>
  <c r="N599" i="3"/>
  <c r="P519" i="3"/>
  <c r="Q519" i="3"/>
  <c r="N474" i="3"/>
  <c r="O474" i="3"/>
  <c r="P391" i="3"/>
  <c r="Q391" i="3"/>
  <c r="P135" i="3"/>
  <c r="Q135" i="3"/>
  <c r="P39" i="3"/>
  <c r="Q39" i="3"/>
  <c r="O1144" i="3"/>
  <c r="N183" i="3"/>
  <c r="R1175" i="3"/>
  <c r="V1175" i="3" s="1"/>
  <c r="R1021" i="3"/>
  <c r="Q1021" i="3" s="1"/>
  <c r="O599" i="3"/>
  <c r="N1224" i="3"/>
  <c r="O1224" i="3"/>
  <c r="N1080" i="3"/>
  <c r="O1080" i="3"/>
  <c r="N1040" i="3"/>
  <c r="O1040" i="3"/>
  <c r="N1024" i="3"/>
  <c r="O1024" i="3"/>
  <c r="N984" i="3"/>
  <c r="O984" i="3"/>
  <c r="N920" i="3"/>
  <c r="O920" i="3"/>
  <c r="N880" i="3"/>
  <c r="O880" i="3"/>
  <c r="N768" i="3"/>
  <c r="O768" i="3"/>
  <c r="N736" i="3"/>
  <c r="O736" i="3"/>
  <c r="N688" i="3"/>
  <c r="O688" i="3"/>
  <c r="N664" i="3"/>
  <c r="O664" i="3"/>
  <c r="N648" i="3"/>
  <c r="O648" i="3"/>
  <c r="O632" i="3"/>
  <c r="N632" i="3"/>
  <c r="N568" i="3"/>
  <c r="O568" i="3"/>
  <c r="N488" i="3"/>
  <c r="O488" i="3"/>
  <c r="P488" i="3"/>
  <c r="Q488" i="3"/>
  <c r="N152" i="3"/>
  <c r="O152" i="3"/>
  <c r="N1226" i="3"/>
  <c r="O1226" i="3"/>
  <c r="N1186" i="3"/>
  <c r="O1186" i="3"/>
  <c r="N1114" i="3"/>
  <c r="O1114" i="3"/>
  <c r="N1042" i="3"/>
  <c r="O1042" i="3"/>
  <c r="N1018" i="3"/>
  <c r="O1018" i="3"/>
  <c r="N970" i="3"/>
  <c r="O970" i="3"/>
  <c r="N946" i="3"/>
  <c r="O946" i="3"/>
  <c r="N914" i="3"/>
  <c r="O914" i="3"/>
  <c r="N898" i="3"/>
  <c r="O898" i="3"/>
  <c r="N874" i="3"/>
  <c r="O874" i="3"/>
  <c r="N842" i="3"/>
  <c r="O842" i="3"/>
  <c r="P583" i="3"/>
  <c r="Q583" i="3"/>
  <c r="P503" i="3"/>
  <c r="Q503" i="3"/>
  <c r="P487" i="3"/>
  <c r="Q487" i="3"/>
  <c r="P455" i="3"/>
  <c r="Q455" i="3"/>
  <c r="P215" i="3"/>
  <c r="Q215" i="3"/>
  <c r="N202" i="3"/>
  <c r="O202" i="3"/>
  <c r="P103" i="3"/>
  <c r="N1136" i="3"/>
  <c r="O722" i="3"/>
  <c r="N1168" i="3"/>
  <c r="O1168" i="3"/>
  <c r="N1104" i="3"/>
  <c r="O1104" i="3"/>
  <c r="O1088" i="3"/>
  <c r="N1088" i="3"/>
  <c r="N1048" i="3"/>
  <c r="O1048" i="3"/>
  <c r="N936" i="3"/>
  <c r="O936" i="3"/>
  <c r="N856" i="3"/>
  <c r="O856" i="3"/>
  <c r="N840" i="3"/>
  <c r="O840" i="3"/>
  <c r="N744" i="3"/>
  <c r="O744" i="3"/>
  <c r="N728" i="3"/>
  <c r="O728" i="3"/>
  <c r="N712" i="3"/>
  <c r="O712" i="3"/>
  <c r="N1130" i="3"/>
  <c r="O1130" i="3"/>
  <c r="N994" i="3"/>
  <c r="O994" i="3"/>
  <c r="N978" i="3"/>
  <c r="O978" i="3"/>
  <c r="N954" i="3"/>
  <c r="O954" i="3"/>
  <c r="N938" i="3"/>
  <c r="O938" i="3"/>
  <c r="N850" i="3"/>
  <c r="O850" i="3"/>
  <c r="N794" i="3"/>
  <c r="O794" i="3"/>
  <c r="N690" i="3"/>
  <c r="O690" i="3"/>
  <c r="P567" i="3"/>
  <c r="Q567" i="3"/>
  <c r="P343" i="3"/>
  <c r="Q343" i="3"/>
  <c r="P311" i="3"/>
  <c r="Q311" i="3"/>
  <c r="N282" i="3"/>
  <c r="O282" i="3"/>
  <c r="O218" i="3"/>
  <c r="N218" i="3"/>
  <c r="P87" i="3"/>
  <c r="Q87" i="3"/>
  <c r="P55" i="3"/>
  <c r="Q55" i="3"/>
  <c r="O440" i="3"/>
  <c r="N674" i="3"/>
  <c r="R1183" i="3"/>
  <c r="V1183" i="3" s="1"/>
  <c r="N1208" i="3"/>
  <c r="O1208" i="3"/>
  <c r="N1000" i="3"/>
  <c r="O1000" i="3"/>
  <c r="N952" i="3"/>
  <c r="O952" i="3"/>
  <c r="N896" i="3"/>
  <c r="O896" i="3"/>
  <c r="N848" i="3"/>
  <c r="O848" i="3"/>
  <c r="N760" i="3"/>
  <c r="O760" i="3"/>
  <c r="N656" i="3"/>
  <c r="O656" i="3"/>
  <c r="N640" i="3"/>
  <c r="O640" i="3"/>
  <c r="N624" i="3"/>
  <c r="O624" i="3"/>
  <c r="O600" i="3"/>
  <c r="Q600" i="3"/>
  <c r="P600" i="3"/>
  <c r="O184" i="3"/>
  <c r="P184" i="3"/>
  <c r="Q184" i="3"/>
  <c r="N184" i="3"/>
  <c r="N1146" i="3"/>
  <c r="O1146" i="3"/>
  <c r="N1090" i="3"/>
  <c r="O1090" i="3"/>
  <c r="N1066" i="3"/>
  <c r="O1066" i="3"/>
  <c r="N1034" i="3"/>
  <c r="O1034" i="3"/>
  <c r="N1002" i="3"/>
  <c r="O1002" i="3"/>
  <c r="N986" i="3"/>
  <c r="O986" i="3"/>
  <c r="N866" i="3"/>
  <c r="O866" i="3"/>
  <c r="V866" i="3" s="1"/>
  <c r="N826" i="3"/>
  <c r="O826" i="3"/>
  <c r="N810" i="3"/>
  <c r="O810" i="3"/>
  <c r="N762" i="3"/>
  <c r="O762" i="3"/>
  <c r="N698" i="3"/>
  <c r="O698" i="3"/>
  <c r="N666" i="3"/>
  <c r="O666" i="3"/>
  <c r="O538" i="3"/>
  <c r="N538" i="3"/>
  <c r="Q538" i="3"/>
  <c r="P375" i="3"/>
  <c r="Q375" i="3"/>
  <c r="P359" i="3"/>
  <c r="Q359" i="3"/>
  <c r="P327" i="3"/>
  <c r="Q327" i="3"/>
  <c r="P295" i="3"/>
  <c r="Q295" i="3"/>
  <c r="P279" i="3"/>
  <c r="Q279" i="3"/>
  <c r="P183" i="3"/>
  <c r="Q183" i="3"/>
  <c r="N471" i="3"/>
  <c r="O391" i="3"/>
  <c r="S637" i="3"/>
  <c r="T637" i="3" s="1"/>
  <c r="P199" i="3"/>
  <c r="O704" i="3"/>
  <c r="O104" i="3"/>
  <c r="O40" i="3"/>
  <c r="N1120" i="3"/>
  <c r="O1120" i="3"/>
  <c r="N1056" i="3"/>
  <c r="O1056" i="3"/>
  <c r="N968" i="3"/>
  <c r="O968" i="3"/>
  <c r="N824" i="3"/>
  <c r="O824" i="3"/>
  <c r="N808" i="3"/>
  <c r="O808" i="3"/>
  <c r="N792" i="3"/>
  <c r="O792" i="3"/>
  <c r="N776" i="3"/>
  <c r="O776" i="3"/>
  <c r="N1218" i="3"/>
  <c r="O1218" i="3"/>
  <c r="N1154" i="3"/>
  <c r="O1154" i="3"/>
  <c r="N1138" i="3"/>
  <c r="O1138" i="3"/>
  <c r="N1122" i="3"/>
  <c r="O1122" i="3"/>
  <c r="N1026" i="3"/>
  <c r="O1026" i="3"/>
  <c r="N1010" i="3"/>
  <c r="O1010" i="3"/>
  <c r="N962" i="3"/>
  <c r="O962" i="3"/>
  <c r="N906" i="3"/>
  <c r="O906" i="3"/>
  <c r="N890" i="3"/>
  <c r="O890" i="3"/>
  <c r="N834" i="3"/>
  <c r="O834" i="3"/>
  <c r="N818" i="3"/>
  <c r="O818" i="3"/>
  <c r="N714" i="3"/>
  <c r="O714" i="3"/>
  <c r="N682" i="3"/>
  <c r="O682" i="3"/>
  <c r="N650" i="3"/>
  <c r="O650" i="3"/>
  <c r="P439" i="3"/>
  <c r="Q439" i="3"/>
  <c r="P407" i="3"/>
  <c r="Q407" i="3"/>
  <c r="Q247" i="3"/>
  <c r="P247" i="3"/>
  <c r="N58" i="3"/>
  <c r="O58" i="3"/>
  <c r="O42" i="3"/>
  <c r="N42" i="3"/>
  <c r="P23" i="3"/>
  <c r="Q23" i="3"/>
  <c r="Q7" i="3"/>
  <c r="P7" i="3"/>
  <c r="P71" i="3"/>
  <c r="N623" i="3"/>
  <c r="O858" i="3"/>
  <c r="Q152" i="3"/>
  <c r="N104" i="3"/>
  <c r="N1229" i="3"/>
  <c r="O1229" i="3"/>
  <c r="N1189" i="3"/>
  <c r="O1189" i="3"/>
  <c r="O1181" i="3"/>
  <c r="N1181" i="3"/>
  <c r="N1149" i="3"/>
  <c r="O1149" i="3"/>
  <c r="N1141" i="3"/>
  <c r="O1141" i="3"/>
  <c r="N1109" i="3"/>
  <c r="O1109" i="3"/>
  <c r="N1101" i="3"/>
  <c r="O1101" i="3"/>
  <c r="N1061" i="3"/>
  <c r="O1061" i="3"/>
  <c r="O1053" i="3"/>
  <c r="N1053" i="3"/>
  <c r="N1021" i="3"/>
  <c r="O1021" i="3"/>
  <c r="V1021" i="3" s="1"/>
  <c r="N1013" i="3"/>
  <c r="O1013" i="3"/>
  <c r="N981" i="3"/>
  <c r="O981" i="3"/>
  <c r="N973" i="3"/>
  <c r="O973" i="3"/>
  <c r="N949" i="3"/>
  <c r="O949" i="3"/>
  <c r="N941" i="3"/>
  <c r="O941" i="3"/>
  <c r="O925" i="3"/>
  <c r="N925" i="3"/>
  <c r="O909" i="3"/>
  <c r="N909" i="3"/>
  <c r="N901" i="3"/>
  <c r="O901" i="3"/>
  <c r="N885" i="3"/>
  <c r="O885" i="3"/>
  <c r="N861" i="3"/>
  <c r="O861" i="3"/>
  <c r="N853" i="3"/>
  <c r="O853" i="3"/>
  <c r="N837" i="3"/>
  <c r="O837" i="3"/>
  <c r="N821" i="3"/>
  <c r="O821" i="3"/>
  <c r="N813" i="3"/>
  <c r="O813" i="3"/>
  <c r="O789" i="3"/>
  <c r="N789" i="3"/>
  <c r="N773" i="3"/>
  <c r="O773" i="3"/>
  <c r="N765" i="3"/>
  <c r="O765" i="3"/>
  <c r="N749" i="3"/>
  <c r="O749" i="3"/>
  <c r="N733" i="3"/>
  <c r="O733" i="3"/>
  <c r="N725" i="3"/>
  <c r="O725" i="3"/>
  <c r="N709" i="3"/>
  <c r="O709" i="3"/>
  <c r="N701" i="3"/>
  <c r="O701" i="3"/>
  <c r="N693" i="3"/>
  <c r="O693" i="3"/>
  <c r="N685" i="3"/>
  <c r="O685" i="3"/>
  <c r="N677" i="3"/>
  <c r="O677" i="3"/>
  <c r="N669" i="3"/>
  <c r="O669" i="3"/>
  <c r="N661" i="3"/>
  <c r="O661" i="3"/>
  <c r="N653" i="3"/>
  <c r="O653" i="3"/>
  <c r="N645" i="3"/>
  <c r="O645" i="3"/>
  <c r="N637" i="3"/>
  <c r="O637" i="3"/>
  <c r="N629" i="3"/>
  <c r="O629" i="3"/>
  <c r="N621" i="3"/>
  <c r="O621" i="3"/>
  <c r="N613" i="3"/>
  <c r="O613" i="3"/>
  <c r="Q586" i="3"/>
  <c r="O573" i="3"/>
  <c r="N573" i="3"/>
  <c r="N557" i="3"/>
  <c r="O557" i="3"/>
  <c r="N525" i="3"/>
  <c r="P514" i="3"/>
  <c r="P474" i="3"/>
  <c r="Q426" i="3"/>
  <c r="P426" i="3"/>
  <c r="N413" i="3"/>
  <c r="P346" i="3"/>
  <c r="Q346" i="3"/>
  <c r="Q306" i="3"/>
  <c r="P274" i="3"/>
  <c r="P234" i="3"/>
  <c r="Q210" i="3"/>
  <c r="P138" i="3"/>
  <c r="P122" i="3"/>
  <c r="Q122" i="3"/>
  <c r="Q58" i="3"/>
  <c r="N1069" i="3"/>
  <c r="O735" i="3"/>
  <c r="O1151" i="3"/>
  <c r="N1151" i="3"/>
  <c r="N1111" i="3"/>
  <c r="O1111" i="3"/>
  <c r="N1023" i="3"/>
  <c r="O1023" i="3"/>
  <c r="N951" i="3"/>
  <c r="O951" i="3"/>
  <c r="N823" i="3"/>
  <c r="O823" i="3"/>
  <c r="N671" i="3"/>
  <c r="O671" i="3"/>
  <c r="N663" i="3"/>
  <c r="O663" i="3"/>
  <c r="O647" i="3"/>
  <c r="N647" i="3"/>
  <c r="N407" i="3"/>
  <c r="O407" i="3"/>
  <c r="N279" i="3"/>
  <c r="O279" i="3"/>
  <c r="N215" i="3"/>
  <c r="O215" i="3"/>
  <c r="N167" i="3"/>
  <c r="O167" i="3"/>
  <c r="O7" i="3"/>
  <c r="N7" i="3"/>
  <c r="R1215" i="3"/>
  <c r="R1159" i="3"/>
  <c r="R983" i="3"/>
  <c r="R631" i="3"/>
  <c r="R519" i="3"/>
  <c r="R423" i="3"/>
  <c r="N1052" i="3"/>
  <c r="O1052" i="3"/>
  <c r="N940" i="3"/>
  <c r="O940" i="3"/>
  <c r="O860" i="3"/>
  <c r="N860" i="3"/>
  <c r="N668" i="3"/>
  <c r="O668" i="3"/>
  <c r="N628" i="3"/>
  <c r="O628" i="3"/>
  <c r="N1117" i="3"/>
  <c r="O1103" i="3"/>
  <c r="N1039" i="3"/>
  <c r="O988" i="3"/>
  <c r="N975" i="3"/>
  <c r="N869" i="3"/>
  <c r="N855" i="3"/>
  <c r="O839" i="3"/>
  <c r="V839" i="3" s="1"/>
  <c r="O807" i="3"/>
  <c r="V807" i="3" s="1"/>
  <c r="R1196" i="3"/>
  <c r="R956" i="3"/>
  <c r="O1157" i="3"/>
  <c r="N1199" i="3"/>
  <c r="O1199" i="3"/>
  <c r="N775" i="3"/>
  <c r="O775" i="3"/>
  <c r="N727" i="3"/>
  <c r="O727" i="3"/>
  <c r="N655" i="3"/>
  <c r="N615" i="3"/>
  <c r="O615" i="3"/>
  <c r="O519" i="3"/>
  <c r="N519" i="3"/>
  <c r="N343" i="3"/>
  <c r="O343" i="3"/>
  <c r="O327" i="3"/>
  <c r="N327" i="3"/>
  <c r="N311" i="3"/>
  <c r="O311" i="3"/>
  <c r="N295" i="3"/>
  <c r="O295" i="3"/>
  <c r="N135" i="3"/>
  <c r="O135" i="3"/>
  <c r="O623" i="3"/>
  <c r="R1207" i="3"/>
  <c r="Q1207" i="3" s="1"/>
  <c r="R1167" i="3"/>
  <c r="V1167" i="3" s="1"/>
  <c r="R1079" i="3"/>
  <c r="R951" i="3"/>
  <c r="R847" i="3"/>
  <c r="R783" i="3"/>
  <c r="R447" i="3"/>
  <c r="R375" i="3"/>
  <c r="R135" i="3"/>
  <c r="R7" i="3"/>
  <c r="N1143" i="3"/>
  <c r="N972" i="3"/>
  <c r="O972" i="3"/>
  <c r="S876" i="3"/>
  <c r="O1231" i="3"/>
  <c r="N1167" i="3"/>
  <c r="O1116" i="3"/>
  <c r="O1077" i="3"/>
  <c r="O999" i="3"/>
  <c r="O868" i="3"/>
  <c r="N1159" i="3"/>
  <c r="O1159" i="3"/>
  <c r="N991" i="3"/>
  <c r="O991" i="3"/>
  <c r="N935" i="3"/>
  <c r="O935" i="3"/>
  <c r="V935" i="3" s="1"/>
  <c r="N919" i="3"/>
  <c r="O919" i="3"/>
  <c r="V919" i="3" s="1"/>
  <c r="N911" i="3"/>
  <c r="O911" i="3"/>
  <c r="N871" i="3"/>
  <c r="O871" i="3"/>
  <c r="N791" i="3"/>
  <c r="O791" i="3"/>
  <c r="N759" i="3"/>
  <c r="O759" i="3"/>
  <c r="V759" i="3" s="1"/>
  <c r="N711" i="3"/>
  <c r="O711" i="3"/>
  <c r="N639" i="3"/>
  <c r="N583" i="3"/>
  <c r="O583" i="3"/>
  <c r="N567" i="3"/>
  <c r="O567" i="3"/>
  <c r="O551" i="3"/>
  <c r="N551" i="3"/>
  <c r="O423" i="3"/>
  <c r="N423" i="3"/>
  <c r="O351" i="3"/>
  <c r="O335" i="3"/>
  <c r="P204" i="3"/>
  <c r="Q204" i="3"/>
  <c r="O23" i="3"/>
  <c r="R1223" i="3"/>
  <c r="V1223" i="3" s="1"/>
  <c r="R1191" i="3"/>
  <c r="R863" i="3"/>
  <c r="R815" i="3"/>
  <c r="V815" i="3" s="1"/>
  <c r="R479" i="3"/>
  <c r="R343" i="3"/>
  <c r="R175" i="3"/>
  <c r="R111" i="3"/>
  <c r="N1228" i="3"/>
  <c r="O1228" i="3"/>
  <c r="N1188" i="3"/>
  <c r="O1188" i="3"/>
  <c r="N1180" i="3"/>
  <c r="O1180" i="3"/>
  <c r="N1140" i="3"/>
  <c r="O1140" i="3"/>
  <c r="N1060" i="3"/>
  <c r="O1060" i="3"/>
  <c r="N884" i="3"/>
  <c r="O884" i="3"/>
  <c r="N772" i="3"/>
  <c r="O772" i="3"/>
  <c r="N684" i="3"/>
  <c r="O684" i="3"/>
  <c r="O1205" i="3"/>
  <c r="O1127" i="3"/>
  <c r="O1063" i="3"/>
  <c r="O820" i="3"/>
  <c r="O679" i="3"/>
  <c r="O641" i="3"/>
  <c r="N799" i="3"/>
  <c r="O799" i="3"/>
  <c r="P572" i="3"/>
  <c r="Q572" i="3"/>
  <c r="N535" i="3"/>
  <c r="O535" i="3"/>
  <c r="N487" i="3"/>
  <c r="O487" i="3"/>
  <c r="N247" i="3"/>
  <c r="O247" i="3"/>
  <c r="O989" i="3"/>
  <c r="O717" i="3"/>
  <c r="R1143" i="3"/>
  <c r="V1143" i="3" s="1"/>
  <c r="R1031" i="3"/>
  <c r="R911" i="3"/>
  <c r="R391" i="3"/>
  <c r="T391" i="3" s="1"/>
  <c r="R335" i="3"/>
  <c r="N1092" i="3"/>
  <c r="O1092" i="3"/>
  <c r="N1012" i="3"/>
  <c r="O1012" i="3"/>
  <c r="N1004" i="3"/>
  <c r="O1004" i="3"/>
  <c r="N924" i="3"/>
  <c r="O924" i="3"/>
  <c r="N900" i="3"/>
  <c r="O900" i="3"/>
  <c r="O876" i="3"/>
  <c r="V876" i="3" s="1"/>
  <c r="N876" i="3"/>
  <c r="N836" i="3"/>
  <c r="O836" i="3"/>
  <c r="N804" i="3"/>
  <c r="O804" i="3"/>
  <c r="N764" i="3"/>
  <c r="O764" i="3"/>
  <c r="N740" i="3"/>
  <c r="O740" i="3"/>
  <c r="N724" i="3"/>
  <c r="O724" i="3"/>
  <c r="N716" i="3"/>
  <c r="O716" i="3"/>
  <c r="N692" i="3"/>
  <c r="O692" i="3"/>
  <c r="N412" i="3"/>
  <c r="O1191" i="3"/>
  <c r="O1076" i="3"/>
  <c r="O1037" i="3"/>
  <c r="O943" i="3"/>
  <c r="O927" i="3"/>
  <c r="O757" i="3"/>
  <c r="N1207" i="3"/>
  <c r="O1207" i="3"/>
  <c r="V1207" i="3" s="1"/>
  <c r="N983" i="3"/>
  <c r="O983" i="3"/>
  <c r="N863" i="3"/>
  <c r="O863" i="3"/>
  <c r="V863" i="3" s="1"/>
  <c r="N503" i="3"/>
  <c r="O503" i="3"/>
  <c r="N439" i="3"/>
  <c r="O439" i="3"/>
  <c r="O271" i="3"/>
  <c r="N231" i="3"/>
  <c r="O231" i="3"/>
  <c r="N119" i="3"/>
  <c r="O119" i="3"/>
  <c r="N103" i="3"/>
  <c r="N55" i="3"/>
  <c r="O55" i="3"/>
  <c r="N39" i="3"/>
  <c r="O39" i="3"/>
  <c r="R1231" i="3"/>
  <c r="R1199" i="3"/>
  <c r="R935" i="3"/>
  <c r="Q935" i="3" s="1"/>
  <c r="R663" i="3"/>
  <c r="R463" i="3"/>
  <c r="R103" i="3"/>
  <c r="N1100" i="3"/>
  <c r="O1100" i="3"/>
  <c r="N948" i="3"/>
  <c r="O948" i="3"/>
  <c r="N932" i="3"/>
  <c r="O932" i="3"/>
  <c r="N892" i="3"/>
  <c r="O892" i="3"/>
  <c r="N676" i="3"/>
  <c r="O676" i="3"/>
  <c r="N660" i="3"/>
  <c r="O660" i="3"/>
  <c r="N652" i="3"/>
  <c r="O652" i="3"/>
  <c r="N644" i="3"/>
  <c r="O644" i="3"/>
  <c r="N636" i="3"/>
  <c r="O636" i="3"/>
  <c r="O1204" i="3"/>
  <c r="O1165" i="3"/>
  <c r="O1087" i="3"/>
  <c r="O957" i="3"/>
  <c r="N879" i="3"/>
  <c r="O805" i="3"/>
  <c r="O695" i="3"/>
  <c r="O183" i="3"/>
  <c r="N1119" i="3"/>
  <c r="O1119" i="3"/>
  <c r="N1079" i="3"/>
  <c r="O1079" i="3"/>
  <c r="N1071" i="3"/>
  <c r="O1071" i="3"/>
  <c r="N959" i="3"/>
  <c r="O959" i="3"/>
  <c r="N783" i="3"/>
  <c r="O783" i="3"/>
  <c r="N743" i="3"/>
  <c r="O743" i="3"/>
  <c r="N687" i="3"/>
  <c r="O687" i="3"/>
  <c r="N631" i="3"/>
  <c r="O631" i="3"/>
  <c r="O543" i="3"/>
  <c r="O471" i="3"/>
  <c r="N455" i="3"/>
  <c r="O455" i="3"/>
  <c r="N391" i="3"/>
  <c r="N111" i="3"/>
  <c r="N87" i="3"/>
  <c r="O87" i="3"/>
  <c r="N71" i="3"/>
  <c r="O71" i="3"/>
  <c r="O1093" i="3"/>
  <c r="N933" i="3"/>
  <c r="R1127" i="3"/>
  <c r="R887" i="3"/>
  <c r="V887" i="3" s="1"/>
  <c r="R791" i="3"/>
  <c r="R511" i="3"/>
  <c r="R295" i="3"/>
  <c r="R108" i="3"/>
  <c r="S108" i="3"/>
  <c r="R31" i="3"/>
  <c r="N1132" i="3"/>
  <c r="O1132" i="3"/>
  <c r="N1020" i="3"/>
  <c r="O1020" i="3"/>
  <c r="N812" i="3"/>
  <c r="O812" i="3"/>
  <c r="N708" i="3"/>
  <c r="O708" i="3"/>
  <c r="N700" i="3"/>
  <c r="O700" i="3"/>
  <c r="N665" i="3"/>
  <c r="O665" i="3"/>
  <c r="N657" i="3"/>
  <c r="N649" i="3"/>
  <c r="O649" i="3"/>
  <c r="N633" i="3"/>
  <c r="O633" i="3"/>
  <c r="N508" i="3"/>
  <c r="O1215" i="3"/>
  <c r="O1047" i="3"/>
  <c r="V1047" i="3" s="1"/>
  <c r="O1036" i="3"/>
  <c r="O997" i="3"/>
  <c r="N895" i="3"/>
  <c r="O756" i="3"/>
  <c r="O741" i="3"/>
  <c r="O639" i="3"/>
  <c r="N1031" i="3"/>
  <c r="O1031" i="3"/>
  <c r="N847" i="3"/>
  <c r="O847" i="3"/>
  <c r="V847" i="3" s="1"/>
  <c r="N831" i="3"/>
  <c r="O831" i="3"/>
  <c r="O751" i="3"/>
  <c r="N751" i="3"/>
  <c r="O591" i="3"/>
  <c r="N375" i="3"/>
  <c r="O375" i="3"/>
  <c r="N359" i="3"/>
  <c r="O359" i="3"/>
  <c r="N263" i="3"/>
  <c r="O263" i="3"/>
  <c r="N199" i="3"/>
  <c r="O199" i="3"/>
  <c r="R1095" i="3"/>
  <c r="R1015" i="3"/>
  <c r="V1015" i="3" s="1"/>
  <c r="R895" i="3"/>
  <c r="V895" i="3" s="1"/>
  <c r="R799" i="3"/>
  <c r="R415" i="3"/>
  <c r="O1221" i="3"/>
  <c r="N1220" i="3"/>
  <c r="O1220" i="3"/>
  <c r="N1148" i="3"/>
  <c r="O1148" i="3"/>
  <c r="N852" i="3"/>
  <c r="O852" i="3"/>
  <c r="N788" i="3"/>
  <c r="O788" i="3"/>
  <c r="O1164" i="3"/>
  <c r="N625" i="3"/>
  <c r="O625" i="3"/>
  <c r="N620" i="3"/>
  <c r="O620" i="3"/>
  <c r="N617" i="3"/>
  <c r="O617" i="3"/>
  <c r="N612" i="3"/>
  <c r="O612" i="3"/>
  <c r="O604" i="3"/>
  <c r="N604" i="3"/>
  <c r="N580" i="3"/>
  <c r="O572" i="3"/>
  <c r="O556" i="3"/>
  <c r="N524" i="3"/>
  <c r="P505" i="3"/>
  <c r="N505" i="3"/>
  <c r="O505" i="3"/>
  <c r="N473" i="3"/>
  <c r="O473" i="3"/>
  <c r="N452" i="3"/>
  <c r="N428" i="3"/>
  <c r="N425" i="3"/>
  <c r="O425" i="3"/>
  <c r="N409" i="3"/>
  <c r="O409" i="3"/>
  <c r="N396" i="3"/>
  <c r="N380" i="3"/>
  <c r="N377" i="3"/>
  <c r="O377" i="3"/>
  <c r="N345" i="3"/>
  <c r="P345" i="3"/>
  <c r="O340" i="3"/>
  <c r="N332" i="3"/>
  <c r="O332" i="3"/>
  <c r="O329" i="3"/>
  <c r="N329" i="3"/>
  <c r="O268" i="3"/>
  <c r="N260" i="3"/>
  <c r="N249" i="3"/>
  <c r="O249" i="3"/>
  <c r="N244" i="3"/>
  <c r="N217" i="3"/>
  <c r="P217" i="3"/>
  <c r="N201" i="3"/>
  <c r="O201" i="3"/>
  <c r="N196" i="3"/>
  <c r="O185" i="3"/>
  <c r="N185" i="3"/>
  <c r="P185" i="3"/>
  <c r="N164" i="3"/>
  <c r="O153" i="3"/>
  <c r="N153" i="3"/>
  <c r="N137" i="3"/>
  <c r="O137" i="3"/>
  <c r="P137" i="3"/>
  <c r="O124" i="3"/>
  <c r="O121" i="3"/>
  <c r="N121" i="3"/>
  <c r="P121" i="3"/>
  <c r="Q121" i="3"/>
  <c r="O105" i="3"/>
  <c r="N105" i="3"/>
  <c r="P105" i="3"/>
  <c r="Q105" i="3"/>
  <c r="N100" i="3"/>
  <c r="N92" i="3"/>
  <c r="O92" i="3"/>
  <c r="N73" i="3"/>
  <c r="O73" i="3"/>
  <c r="N52" i="3"/>
  <c r="N44" i="3"/>
  <c r="N41" i="3"/>
  <c r="O41" i="3"/>
  <c r="P41" i="3"/>
  <c r="N28" i="3"/>
  <c r="N25" i="3"/>
  <c r="O25" i="3"/>
  <c r="N12" i="3"/>
  <c r="O12" i="3"/>
  <c r="O9" i="3"/>
  <c r="N9" i="3"/>
  <c r="R668" i="3"/>
  <c r="P457" i="3"/>
  <c r="P409" i="3"/>
  <c r="P329" i="3"/>
  <c r="Q249" i="3"/>
  <c r="P57" i="3"/>
  <c r="R1204" i="3"/>
  <c r="P249" i="3"/>
  <c r="Q25" i="3"/>
  <c r="N569" i="3"/>
  <c r="Q553" i="3"/>
  <c r="Q473" i="3"/>
  <c r="Q361" i="3"/>
  <c r="O601" i="3"/>
  <c r="O265" i="3"/>
  <c r="N585" i="3"/>
  <c r="P473" i="3"/>
  <c r="Q425" i="3"/>
  <c r="Q185" i="3"/>
  <c r="P153" i="3"/>
  <c r="O393" i="3"/>
  <c r="N124" i="3"/>
  <c r="R548" i="3"/>
  <c r="R276" i="3"/>
  <c r="S1184" i="3"/>
  <c r="S1136" i="3"/>
  <c r="S174" i="3"/>
  <c r="Q511" i="5"/>
  <c r="Q95" i="5"/>
  <c r="Q47" i="5"/>
  <c r="N31" i="5"/>
  <c r="P477" i="3"/>
  <c r="S941" i="3"/>
  <c r="Q941" i="3" s="1"/>
  <c r="S877" i="3"/>
  <c r="Q877" i="3" s="1"/>
  <c r="S285" i="3"/>
  <c r="P176" i="3"/>
  <c r="R914" i="3"/>
  <c r="S953" i="5"/>
  <c r="S945" i="5"/>
  <c r="R1212" i="3"/>
  <c r="Q1212" i="3" s="1"/>
  <c r="S1164" i="3"/>
  <c r="R1148" i="3"/>
  <c r="S1132" i="3"/>
  <c r="S1100" i="3"/>
  <c r="S1020" i="3"/>
  <c r="S1004" i="3"/>
  <c r="S972" i="3"/>
  <c r="S940" i="3"/>
  <c r="S796" i="3"/>
  <c r="R780" i="3"/>
  <c r="S764" i="3"/>
  <c r="S716" i="3"/>
  <c r="S668" i="3"/>
  <c r="S652" i="3"/>
  <c r="R588" i="3"/>
  <c r="R572" i="3"/>
  <c r="R524" i="3"/>
  <c r="R508" i="3"/>
  <c r="S476" i="3"/>
  <c r="R460" i="3"/>
  <c r="R444" i="3"/>
  <c r="S396" i="3"/>
  <c r="S348" i="3"/>
  <c r="S284" i="3"/>
  <c r="S268" i="3"/>
  <c r="S220" i="3"/>
  <c r="S156" i="3"/>
  <c r="P267" i="3"/>
  <c r="Q203" i="3"/>
  <c r="P187" i="3"/>
  <c r="Q171" i="3"/>
  <c r="R75" i="3"/>
  <c r="T75" i="3" s="1"/>
  <c r="R59" i="3"/>
  <c r="R43" i="3"/>
  <c r="Q442" i="3"/>
  <c r="P202" i="3"/>
  <c r="P186" i="3"/>
  <c r="P42" i="3"/>
  <c r="P162" i="3"/>
  <c r="S983" i="3"/>
  <c r="R112" i="3"/>
  <c r="Q194" i="3"/>
  <c r="R728" i="3"/>
  <c r="O510" i="3"/>
  <c r="S1191" i="3"/>
  <c r="R503" i="3"/>
  <c r="T503" i="3" s="1"/>
  <c r="O558" i="3"/>
  <c r="N567" i="5"/>
  <c r="S145" i="3"/>
  <c r="Q304" i="3"/>
  <c r="S208" i="3"/>
  <c r="S365" i="3"/>
  <c r="T365" i="3" s="1"/>
  <c r="S568" i="3"/>
  <c r="Q444" i="3"/>
  <c r="Q332" i="3"/>
  <c r="S681" i="3"/>
  <c r="T681" i="3" s="1"/>
  <c r="P507" i="3"/>
  <c r="R1164" i="3"/>
  <c r="R606" i="3"/>
  <c r="S43" i="3"/>
  <c r="P282" i="3"/>
  <c r="S1211" i="3"/>
  <c r="P203" i="3"/>
  <c r="O471" i="5"/>
  <c r="P322" i="3"/>
  <c r="S111" i="3"/>
  <c r="R1056" i="3"/>
  <c r="P194" i="3"/>
  <c r="P525" i="3"/>
  <c r="P59" i="3"/>
  <c r="S1152" i="3"/>
  <c r="S224" i="3"/>
  <c r="S155" i="3"/>
  <c r="Q106" i="3"/>
  <c r="S1175" i="3"/>
  <c r="S1163" i="3"/>
  <c r="R1111" i="3"/>
  <c r="Q1111" i="3" s="1"/>
  <c r="R1099" i="3"/>
  <c r="S779" i="3"/>
  <c r="R657" i="3"/>
  <c r="T657" i="3" s="1"/>
  <c r="R603" i="3"/>
  <c r="S519" i="3"/>
  <c r="R219" i="3"/>
  <c r="T219" i="3" s="1"/>
  <c r="Q202" i="3"/>
  <c r="N586" i="3"/>
  <c r="N540" i="3"/>
  <c r="N395" i="3"/>
  <c r="O26" i="3"/>
  <c r="N455" i="5"/>
  <c r="P79" i="3"/>
  <c r="R408" i="3"/>
  <c r="S397" i="3"/>
  <c r="T397" i="3" s="1"/>
  <c r="S160" i="3"/>
  <c r="S780" i="3"/>
  <c r="P443" i="3"/>
  <c r="Q43" i="3"/>
  <c r="S583" i="3"/>
  <c r="N171" i="3"/>
  <c r="Q458" i="3"/>
  <c r="P378" i="3"/>
  <c r="S1064" i="3"/>
  <c r="R731" i="3"/>
  <c r="P731" i="3" s="1"/>
  <c r="S667" i="3"/>
  <c r="S343" i="3"/>
  <c r="R264" i="3"/>
  <c r="R23" i="3"/>
  <c r="O539" i="3"/>
  <c r="O458" i="3"/>
  <c r="O279" i="5"/>
  <c r="P386" i="3"/>
  <c r="P63" i="3"/>
  <c r="R176" i="3"/>
  <c r="S161" i="3"/>
  <c r="T161" i="3" s="1"/>
  <c r="S1089" i="3"/>
  <c r="P1089" i="3" s="1"/>
  <c r="R225" i="3"/>
  <c r="T225" i="3" s="1"/>
  <c r="O498" i="3"/>
  <c r="S720" i="3"/>
  <c r="S7" i="3"/>
  <c r="P314" i="3"/>
  <c r="R891" i="3"/>
  <c r="Q891" i="3" s="1"/>
  <c r="S680" i="3"/>
  <c r="T680" i="3" s="1"/>
  <c r="R816" i="3"/>
  <c r="R987" i="3"/>
  <c r="P987" i="3" s="1"/>
  <c r="S103" i="3"/>
  <c r="S59" i="3"/>
  <c r="N539" i="3"/>
  <c r="O252" i="3"/>
  <c r="R469" i="3"/>
  <c r="T469" i="3" s="1"/>
  <c r="S287" i="3"/>
  <c r="R287" i="3"/>
  <c r="S15" i="3"/>
  <c r="R15" i="3"/>
  <c r="N499" i="3"/>
  <c r="N402" i="3"/>
  <c r="R5" i="3"/>
  <c r="S1161" i="3"/>
  <c r="R1161" i="3"/>
  <c r="S745" i="3"/>
  <c r="R745" i="3"/>
  <c r="R89" i="3"/>
  <c r="S89" i="3"/>
  <c r="P113" i="3"/>
  <c r="R1201" i="3"/>
  <c r="S1201" i="3"/>
  <c r="R1009" i="3"/>
  <c r="S1009" i="3"/>
  <c r="R993" i="3"/>
  <c r="S993" i="3"/>
  <c r="S609" i="3"/>
  <c r="R609" i="3"/>
  <c r="S497" i="3"/>
  <c r="R497" i="3"/>
  <c r="S481" i="3"/>
  <c r="R481" i="3"/>
  <c r="R353" i="3"/>
  <c r="S353" i="3"/>
  <c r="S1185" i="3"/>
  <c r="Q1185" i="3" s="1"/>
  <c r="S1070" i="3"/>
  <c r="R1070" i="3"/>
  <c r="Q528" i="3"/>
  <c r="P240" i="3"/>
  <c r="O160" i="3"/>
  <c r="S960" i="3"/>
  <c r="R960" i="3"/>
  <c r="S736" i="3"/>
  <c r="R736" i="3"/>
  <c r="S496" i="3"/>
  <c r="R496" i="3"/>
  <c r="S368" i="3"/>
  <c r="R368" i="3"/>
  <c r="R240" i="3"/>
  <c r="S240" i="3"/>
  <c r="P575" i="3"/>
  <c r="O495" i="3"/>
  <c r="Q255" i="3"/>
  <c r="Q31" i="3"/>
  <c r="S9" i="3"/>
  <c r="S616" i="3"/>
  <c r="R616" i="3"/>
  <c r="R104" i="3"/>
  <c r="S104" i="3"/>
  <c r="S1166" i="3"/>
  <c r="S85" i="3"/>
  <c r="S1210" i="3"/>
  <c r="R1210" i="3"/>
  <c r="Q5" i="3"/>
  <c r="P5" i="3"/>
  <c r="Q196" i="3"/>
  <c r="N295" i="5"/>
  <c r="N199" i="5"/>
  <c r="R1027" i="3"/>
  <c r="S1027" i="3"/>
  <c r="S175" i="3"/>
  <c r="P498" i="3"/>
  <c r="Q498" i="3"/>
  <c r="Q402" i="3"/>
  <c r="P402" i="3"/>
  <c r="P98" i="3"/>
  <c r="Q98" i="3"/>
  <c r="R786" i="3"/>
  <c r="S786" i="3"/>
  <c r="O513" i="3"/>
  <c r="S1217" i="3"/>
  <c r="R1217" i="3"/>
  <c r="S1073" i="3"/>
  <c r="R1073" i="3"/>
  <c r="S897" i="3"/>
  <c r="R897" i="3"/>
  <c r="S862" i="3"/>
  <c r="R862" i="3"/>
  <c r="O512" i="3"/>
  <c r="P448" i="3"/>
  <c r="Q448" i="3"/>
  <c r="N352" i="3"/>
  <c r="P256" i="3"/>
  <c r="N176" i="3"/>
  <c r="P64" i="3"/>
  <c r="Q32" i="3"/>
  <c r="S1216" i="3"/>
  <c r="R1216" i="3"/>
  <c r="S1168" i="3"/>
  <c r="R1168" i="3"/>
  <c r="R1072" i="3"/>
  <c r="S1072" i="3"/>
  <c r="S656" i="3"/>
  <c r="R656" i="3"/>
  <c r="Q656" i="3" s="1"/>
  <c r="R16" i="3"/>
  <c r="S16" i="3"/>
  <c r="R322" i="3"/>
  <c r="Q223" i="3"/>
  <c r="S1167" i="3"/>
  <c r="S783" i="3"/>
  <c r="R191" i="3"/>
  <c r="T191" i="3" s="1"/>
  <c r="R904" i="3"/>
  <c r="S904" i="3"/>
  <c r="R744" i="3"/>
  <c r="S744" i="3"/>
  <c r="R392" i="3"/>
  <c r="S392" i="3"/>
  <c r="Q574" i="3"/>
  <c r="Q318" i="3"/>
  <c r="R281" i="3"/>
  <c r="S976" i="3"/>
  <c r="R8" i="3"/>
  <c r="R770" i="3"/>
  <c r="S638" i="3"/>
  <c r="R560" i="3"/>
  <c r="S441" i="3"/>
  <c r="S64" i="3"/>
  <c r="O135" i="5"/>
  <c r="R1107" i="3"/>
  <c r="S1107" i="3"/>
  <c r="R596" i="3"/>
  <c r="Q594" i="3"/>
  <c r="P594" i="3"/>
  <c r="R1209" i="3"/>
  <c r="S1209" i="3"/>
  <c r="R553" i="3"/>
  <c r="S553" i="3"/>
  <c r="N129" i="3"/>
  <c r="P33" i="3"/>
  <c r="R769" i="3"/>
  <c r="S769" i="3"/>
  <c r="S673" i="3"/>
  <c r="R673" i="3"/>
  <c r="R449" i="3"/>
  <c r="S449" i="3"/>
  <c r="S401" i="3"/>
  <c r="R401" i="3"/>
  <c r="S241" i="3"/>
  <c r="R241" i="3"/>
  <c r="R17" i="3"/>
  <c r="S17" i="3"/>
  <c r="P544" i="3"/>
  <c r="O480" i="3"/>
  <c r="R608" i="3"/>
  <c r="S608" i="3"/>
  <c r="R400" i="3"/>
  <c r="S400" i="3"/>
  <c r="R352" i="3"/>
  <c r="S352" i="3"/>
  <c r="R256" i="3"/>
  <c r="S256" i="3"/>
  <c r="S753" i="3"/>
  <c r="R691" i="3"/>
  <c r="Q111" i="3"/>
  <c r="Q15" i="3"/>
  <c r="S863" i="3"/>
  <c r="R767" i="3"/>
  <c r="V767" i="3" s="1"/>
  <c r="S479" i="3"/>
  <c r="R942" i="3"/>
  <c r="Q322" i="3"/>
  <c r="N526" i="3"/>
  <c r="O526" i="3"/>
  <c r="P542" i="3"/>
  <c r="S478" i="3"/>
  <c r="T478" i="3" s="1"/>
  <c r="S1214" i="3"/>
  <c r="R1184" i="3"/>
  <c r="R761" i="3"/>
  <c r="P761" i="3" s="1"/>
  <c r="S321" i="3"/>
  <c r="R833" i="3"/>
  <c r="Q833" i="3" s="1"/>
  <c r="S329" i="3"/>
  <c r="R561" i="3"/>
  <c r="R344" i="3"/>
  <c r="R65" i="3"/>
  <c r="T65" i="3" s="1"/>
  <c r="S209" i="3"/>
  <c r="S251" i="5"/>
  <c r="R618" i="3"/>
  <c r="S618" i="3"/>
  <c r="N375" i="5"/>
  <c r="O183" i="5"/>
  <c r="S207" i="3"/>
  <c r="R207" i="3"/>
  <c r="R595" i="3"/>
  <c r="S595" i="3"/>
  <c r="R18" i="3"/>
  <c r="R25" i="3"/>
  <c r="S25" i="3"/>
  <c r="N161" i="3"/>
  <c r="R1153" i="3"/>
  <c r="V1153" i="3" s="1"/>
  <c r="S1153" i="3"/>
  <c r="R849" i="3"/>
  <c r="S849" i="3"/>
  <c r="R737" i="3"/>
  <c r="S737" i="3"/>
  <c r="S350" i="3"/>
  <c r="R350" i="3"/>
  <c r="O496" i="3"/>
  <c r="O400" i="3"/>
  <c r="Q288" i="3"/>
  <c r="R896" i="3"/>
  <c r="S896" i="3"/>
  <c r="R480" i="3"/>
  <c r="S480" i="3"/>
  <c r="R448" i="3"/>
  <c r="S448" i="3"/>
  <c r="O5" i="3"/>
  <c r="N463" i="3"/>
  <c r="S1215" i="3"/>
  <c r="S847" i="3"/>
  <c r="R1128" i="3"/>
  <c r="S1128" i="3"/>
  <c r="R840" i="3"/>
  <c r="S840" i="3"/>
  <c r="S808" i="3"/>
  <c r="R808" i="3"/>
  <c r="R504" i="3"/>
  <c r="S504" i="3"/>
  <c r="R280" i="3"/>
  <c r="S280" i="3"/>
  <c r="P254" i="3"/>
  <c r="N254" i="3"/>
  <c r="P510" i="3"/>
  <c r="P14" i="3"/>
  <c r="R977" i="3"/>
  <c r="P977" i="3" s="1"/>
  <c r="R1134" i="3"/>
  <c r="S1000" i="3"/>
  <c r="R640" i="3"/>
  <c r="Q640" i="3" s="1"/>
  <c r="R1057" i="3"/>
  <c r="P1057" i="3" s="1"/>
  <c r="R80" i="3"/>
  <c r="S243" i="5"/>
  <c r="S235" i="5"/>
  <c r="N253" i="3"/>
  <c r="S1133" i="3"/>
  <c r="R1085" i="3"/>
  <c r="R669" i="3"/>
  <c r="P669" i="3" s="1"/>
  <c r="R317" i="3"/>
  <c r="T317" i="3" s="1"/>
  <c r="R13" i="3"/>
  <c r="R61" i="3"/>
  <c r="T61" i="3" s="1"/>
  <c r="R1090" i="3"/>
  <c r="N588" i="3"/>
  <c r="P396" i="3"/>
  <c r="P316" i="3"/>
  <c r="Q220" i="3"/>
  <c r="Q140" i="3"/>
  <c r="R999" i="3"/>
  <c r="S999" i="3"/>
  <c r="R727" i="3"/>
  <c r="S727" i="3"/>
  <c r="P459" i="3"/>
  <c r="R683" i="3"/>
  <c r="S683" i="3"/>
  <c r="S363" i="3"/>
  <c r="R363" i="3"/>
  <c r="R267" i="3"/>
  <c r="S267" i="3"/>
  <c r="R235" i="3"/>
  <c r="S235" i="3"/>
  <c r="S1051" i="3"/>
  <c r="O220" i="3"/>
  <c r="R716" i="3"/>
  <c r="S106" i="3"/>
  <c r="Q59" i="3"/>
  <c r="P43" i="3"/>
  <c r="O107" i="3"/>
  <c r="R792" i="5"/>
  <c r="Q792" i="5" s="1"/>
  <c r="R784" i="5"/>
  <c r="R704" i="5"/>
  <c r="R696" i="5"/>
  <c r="P696" i="5" s="1"/>
  <c r="R680" i="5"/>
  <c r="Q680" i="5" s="1"/>
  <c r="O254" i="3"/>
  <c r="N158" i="3"/>
  <c r="Q30" i="3"/>
  <c r="R1006" i="3"/>
  <c r="R846" i="3"/>
  <c r="S462" i="3"/>
  <c r="R190" i="3"/>
  <c r="Q413" i="3"/>
  <c r="N189" i="3"/>
  <c r="O45" i="3"/>
  <c r="R1069" i="3"/>
  <c r="V1069" i="3" s="1"/>
  <c r="R765" i="3"/>
  <c r="R45" i="3"/>
  <c r="T45" i="3" s="1"/>
  <c r="R674" i="3"/>
  <c r="V674" i="3" s="1"/>
  <c r="O204" i="3"/>
  <c r="N204" i="3"/>
  <c r="N572" i="3"/>
  <c r="P508" i="3"/>
  <c r="P412" i="3"/>
  <c r="O348" i="3"/>
  <c r="N172" i="3"/>
  <c r="R1063" i="3"/>
  <c r="S1063" i="3"/>
  <c r="S695" i="3"/>
  <c r="R695" i="3"/>
  <c r="S119" i="3"/>
  <c r="R119" i="3"/>
  <c r="Q187" i="3"/>
  <c r="N187" i="3"/>
  <c r="P11" i="3"/>
  <c r="R475" i="3"/>
  <c r="S475" i="3"/>
  <c r="R11" i="3"/>
  <c r="S11" i="3"/>
  <c r="S1083" i="3"/>
  <c r="S507" i="3"/>
  <c r="R796" i="3"/>
  <c r="S282" i="3"/>
  <c r="S1159" i="3"/>
  <c r="S699" i="3"/>
  <c r="S411" i="3"/>
  <c r="S1148" i="3"/>
  <c r="S1127" i="3"/>
  <c r="S1115" i="3"/>
  <c r="S971" i="3"/>
  <c r="S811" i="3"/>
  <c r="R711" i="3"/>
  <c r="S524" i="3"/>
  <c r="Q507" i="3"/>
  <c r="S443" i="3"/>
  <c r="T443" i="3" s="1"/>
  <c r="S427" i="3"/>
  <c r="R348" i="3"/>
  <c r="R231" i="3"/>
  <c r="T231" i="3" s="1"/>
  <c r="O523" i="3"/>
  <c r="N443" i="3"/>
  <c r="O380" i="3"/>
  <c r="S728" i="5"/>
  <c r="Q728" i="5" s="1"/>
  <c r="S315" i="5"/>
  <c r="N238" i="3"/>
  <c r="N174" i="3"/>
  <c r="R526" i="3"/>
  <c r="S206" i="3"/>
  <c r="P77" i="3"/>
  <c r="R1005" i="3"/>
  <c r="V1005" i="3" s="1"/>
  <c r="P524" i="3"/>
  <c r="P428" i="3"/>
  <c r="N188" i="3"/>
  <c r="P156" i="3"/>
  <c r="Q76" i="3"/>
  <c r="P413" i="3"/>
  <c r="N252" i="3"/>
  <c r="N587" i="3"/>
  <c r="O587" i="3"/>
  <c r="P27" i="3"/>
  <c r="O27" i="3"/>
  <c r="Q267" i="3"/>
  <c r="S1227" i="3"/>
  <c r="R1227" i="3"/>
  <c r="R907" i="3"/>
  <c r="V907" i="3" s="1"/>
  <c r="S907" i="3"/>
  <c r="S875" i="3"/>
  <c r="R875" i="3"/>
  <c r="S459" i="3"/>
  <c r="R459" i="3"/>
  <c r="Q412" i="3"/>
  <c r="R12" i="3"/>
  <c r="S1069" i="3"/>
  <c r="S1003" i="3"/>
  <c r="S588" i="3"/>
  <c r="S572" i="3"/>
  <c r="S491" i="3"/>
  <c r="S347" i="3"/>
  <c r="Q14" i="3"/>
  <c r="N523" i="3"/>
  <c r="O76" i="3"/>
  <c r="S307" i="5"/>
  <c r="S299" i="5"/>
  <c r="S91" i="5"/>
  <c r="O286" i="3"/>
  <c r="O62" i="3"/>
  <c r="R1198" i="3"/>
  <c r="R574" i="3"/>
  <c r="R741" i="5"/>
  <c r="O525" i="3"/>
  <c r="N173" i="3"/>
  <c r="Q93" i="3"/>
  <c r="S957" i="3"/>
  <c r="Q957" i="3" s="1"/>
  <c r="R845" i="3"/>
  <c r="S413" i="3"/>
  <c r="S653" i="5"/>
  <c r="P556" i="3"/>
  <c r="P252" i="3"/>
  <c r="N108" i="3"/>
  <c r="S151" i="3"/>
  <c r="R151" i="3"/>
  <c r="R55" i="3"/>
  <c r="S55" i="3"/>
  <c r="N507" i="3"/>
  <c r="O507" i="3"/>
  <c r="P379" i="3"/>
  <c r="Q379" i="3"/>
  <c r="P107" i="3"/>
  <c r="R939" i="3"/>
  <c r="S939" i="3"/>
  <c r="R251" i="3"/>
  <c r="S251" i="3"/>
  <c r="Q107" i="3"/>
  <c r="R1020" i="3"/>
  <c r="R220" i="3"/>
  <c r="S474" i="3"/>
  <c r="T474" i="3" s="1"/>
  <c r="R1179" i="3"/>
  <c r="P1179" i="3" s="1"/>
  <c r="R764" i="3"/>
  <c r="Q396" i="3"/>
  <c r="O187" i="3"/>
  <c r="S291" i="5"/>
  <c r="S283" i="5"/>
  <c r="S83" i="5"/>
  <c r="S75" i="5"/>
  <c r="R1132" i="3"/>
  <c r="R1068" i="3"/>
  <c r="R972" i="3"/>
  <c r="S860" i="3"/>
  <c r="S508" i="3"/>
  <c r="S460" i="3"/>
  <c r="S444" i="3"/>
  <c r="R140" i="3"/>
  <c r="R1180" i="3"/>
  <c r="R1004" i="3"/>
  <c r="R940" i="3"/>
  <c r="R732" i="3"/>
  <c r="R540" i="3"/>
  <c r="R428" i="3"/>
  <c r="R252" i="3"/>
  <c r="O234" i="3"/>
  <c r="N10" i="3"/>
  <c r="Q282" i="3"/>
  <c r="N234" i="3"/>
  <c r="N186" i="3"/>
  <c r="O106" i="3"/>
  <c r="S51" i="5"/>
  <c r="R618" i="5"/>
  <c r="R1116" i="3"/>
  <c r="R1036" i="3"/>
  <c r="R988" i="3"/>
  <c r="R924" i="3"/>
  <c r="R620" i="3"/>
  <c r="R476" i="3"/>
  <c r="R300" i="3"/>
  <c r="S236" i="3"/>
  <c r="O394" i="3"/>
  <c r="S611" i="5"/>
  <c r="R603" i="5"/>
  <c r="R595" i="5"/>
  <c r="R587" i="5"/>
  <c r="S371" i="5"/>
  <c r="S363" i="5"/>
  <c r="S187" i="5"/>
  <c r="S43" i="5"/>
  <c r="S1210" i="5"/>
  <c r="R1202" i="5"/>
  <c r="S1228" i="3"/>
  <c r="Q1228" i="3" s="1"/>
  <c r="R1100" i="3"/>
  <c r="S1052" i="3"/>
  <c r="R908" i="3"/>
  <c r="S828" i="3"/>
  <c r="S748" i="3"/>
  <c r="R396" i="3"/>
  <c r="R268" i="3"/>
  <c r="R156" i="3"/>
  <c r="O586" i="3"/>
  <c r="N138" i="3"/>
  <c r="S579" i="5"/>
  <c r="S179" i="5"/>
  <c r="S171" i="5"/>
  <c r="S35" i="5"/>
  <c r="S27" i="5"/>
  <c r="S1178" i="5"/>
  <c r="S1146" i="5"/>
  <c r="R1138" i="5"/>
  <c r="R1122" i="5"/>
  <c r="S1114" i="5"/>
  <c r="S994" i="5"/>
  <c r="S689" i="3"/>
  <c r="T689" i="3" s="1"/>
  <c r="R130" i="3"/>
  <c r="S1105" i="3"/>
  <c r="P1105" i="3" s="1"/>
  <c r="R1219" i="3"/>
  <c r="R1059" i="3"/>
  <c r="V1059" i="3" s="1"/>
  <c r="S947" i="3"/>
  <c r="R643" i="3"/>
  <c r="R35" i="3"/>
  <c r="R1233" i="3"/>
  <c r="P1233" i="3" s="1"/>
  <c r="R768" i="3"/>
  <c r="R593" i="3"/>
  <c r="T593" i="3" s="1"/>
  <c r="S1025" i="3"/>
  <c r="R992" i="3"/>
  <c r="R528" i="3"/>
  <c r="S433" i="3"/>
  <c r="S1104" i="3"/>
  <c r="S945" i="3"/>
  <c r="S929" i="3"/>
  <c r="Q929" i="3" s="1"/>
  <c r="R912" i="3"/>
  <c r="R882" i="3"/>
  <c r="R865" i="3"/>
  <c r="S784" i="3"/>
  <c r="S767" i="3"/>
  <c r="R688" i="3"/>
  <c r="R624" i="3"/>
  <c r="Q624" i="3" s="1"/>
  <c r="R592" i="3"/>
  <c r="S577" i="3"/>
  <c r="T577" i="3" s="1"/>
  <c r="R468" i="3"/>
  <c r="T468" i="3" s="1"/>
  <c r="S385" i="3"/>
  <c r="T385" i="3" s="1"/>
  <c r="R305" i="3"/>
  <c r="T305" i="3" s="1"/>
  <c r="R275" i="3"/>
  <c r="R48" i="3"/>
  <c r="S13" i="3"/>
  <c r="S1218" i="3"/>
  <c r="S1202" i="3"/>
  <c r="S1186" i="3"/>
  <c r="S1170" i="3"/>
  <c r="S1154" i="3"/>
  <c r="R1122" i="3"/>
  <c r="R1058" i="3"/>
  <c r="R994" i="3"/>
  <c r="R930" i="3"/>
  <c r="S866" i="3"/>
  <c r="R834" i="3"/>
  <c r="S738" i="3"/>
  <c r="R658" i="3"/>
  <c r="P658" i="3" s="1"/>
  <c r="R610" i="3"/>
  <c r="S578" i="3"/>
  <c r="S562" i="3"/>
  <c r="R530" i="3"/>
  <c r="S514" i="3"/>
  <c r="R498" i="3"/>
  <c r="R450" i="3"/>
  <c r="R418" i="3"/>
  <c r="S402" i="3"/>
  <c r="R338" i="3"/>
  <c r="R306" i="3"/>
  <c r="R274" i="3"/>
  <c r="R258" i="3"/>
  <c r="S162" i="3"/>
  <c r="S98" i="3"/>
  <c r="R772" i="3"/>
  <c r="S548" i="3"/>
  <c r="S484" i="3"/>
  <c r="R148" i="3"/>
  <c r="R1139" i="3"/>
  <c r="R931" i="3"/>
  <c r="R115" i="3"/>
  <c r="R848" i="3"/>
  <c r="R785" i="3"/>
  <c r="P785" i="3" s="1"/>
  <c r="S752" i="3"/>
  <c r="S962" i="3"/>
  <c r="S801" i="3"/>
  <c r="S513" i="3"/>
  <c r="T513" i="3" s="1"/>
  <c r="S432" i="3"/>
  <c r="S416" i="3"/>
  <c r="S337" i="3"/>
  <c r="S304" i="3"/>
  <c r="S290" i="3"/>
  <c r="S192" i="3"/>
  <c r="R1172" i="3"/>
  <c r="R356" i="3"/>
  <c r="S36" i="3"/>
  <c r="S1026" i="3"/>
  <c r="R625" i="3"/>
  <c r="T625" i="3" s="1"/>
  <c r="R1203" i="3"/>
  <c r="P1203" i="3" s="1"/>
  <c r="R1011" i="3"/>
  <c r="S995" i="3"/>
  <c r="R611" i="3"/>
  <c r="S291" i="3"/>
  <c r="R1088" i="3"/>
  <c r="R144" i="3"/>
  <c r="R1008" i="3"/>
  <c r="R963" i="3"/>
  <c r="P963" i="3" s="1"/>
  <c r="S1232" i="3"/>
  <c r="S1137" i="3"/>
  <c r="S1121" i="3"/>
  <c r="S881" i="3"/>
  <c r="S864" i="3"/>
  <c r="R723" i="3"/>
  <c r="R705" i="3"/>
  <c r="Q705" i="3" s="1"/>
  <c r="S576" i="3"/>
  <c r="S465" i="3"/>
  <c r="S384" i="3"/>
  <c r="S273" i="3"/>
  <c r="T273" i="3" s="1"/>
  <c r="S97" i="3"/>
  <c r="S32" i="3"/>
  <c r="R644" i="3"/>
  <c r="Q644" i="3" s="1"/>
  <c r="R212" i="3"/>
  <c r="R1075" i="3"/>
  <c r="V1075" i="3" s="1"/>
  <c r="R739" i="3"/>
  <c r="V739" i="3" s="1"/>
  <c r="R531" i="3"/>
  <c r="S403" i="3"/>
  <c r="S131" i="3"/>
  <c r="S1043" i="3"/>
  <c r="S1085" i="3"/>
  <c r="S1041" i="3"/>
  <c r="P1041" i="3" s="1"/>
  <c r="S1024" i="3"/>
  <c r="S1169" i="3"/>
  <c r="P1169" i="3" s="1"/>
  <c r="S979" i="3"/>
  <c r="P979" i="3" s="1"/>
  <c r="S944" i="3"/>
  <c r="S928" i="3"/>
  <c r="S817" i="3"/>
  <c r="P817" i="3" s="1"/>
  <c r="S641" i="3"/>
  <c r="P641" i="3" s="1"/>
  <c r="S512" i="3"/>
  <c r="S370" i="3"/>
  <c r="S336" i="3"/>
  <c r="S289" i="3"/>
  <c r="T289" i="3" s="1"/>
  <c r="S20" i="3"/>
  <c r="T20" i="3" s="1"/>
  <c r="S369" i="3"/>
  <c r="T369" i="3" s="1"/>
  <c r="R193" i="3"/>
  <c r="T193" i="3" s="1"/>
  <c r="R81" i="3"/>
  <c r="S33" i="3"/>
  <c r="T33" i="3" s="1"/>
  <c r="R85" i="3"/>
  <c r="S1220" i="3"/>
  <c r="S1204" i="3"/>
  <c r="S1188" i="3"/>
  <c r="S612" i="3"/>
  <c r="S532" i="3"/>
  <c r="R164" i="3"/>
  <c r="S913" i="3"/>
  <c r="S832" i="3"/>
  <c r="S672" i="3"/>
  <c r="T672" i="3" s="1"/>
  <c r="S49" i="3"/>
  <c r="R1187" i="3"/>
  <c r="R835" i="3"/>
  <c r="R547" i="3"/>
  <c r="T547" i="3" s="1"/>
  <c r="S259" i="3"/>
  <c r="R1200" i="3"/>
  <c r="S802" i="3"/>
  <c r="R128" i="3"/>
  <c r="S1091" i="3"/>
  <c r="S1005" i="3"/>
  <c r="S961" i="3"/>
  <c r="S845" i="3"/>
  <c r="S800" i="3"/>
  <c r="S765" i="3"/>
  <c r="S704" i="3"/>
  <c r="S675" i="3"/>
  <c r="T675" i="3" s="1"/>
  <c r="S464" i="3"/>
  <c r="S272" i="3"/>
  <c r="S190" i="3"/>
  <c r="S177" i="3"/>
  <c r="S113" i="3"/>
  <c r="T113" i="3" s="1"/>
  <c r="S96" i="3"/>
  <c r="R708" i="3"/>
  <c r="R84" i="3"/>
  <c r="S883" i="3"/>
  <c r="S529" i="3"/>
  <c r="S544" i="3"/>
  <c r="R1171" i="3"/>
  <c r="Q1171" i="3" s="1"/>
  <c r="R899" i="3"/>
  <c r="V899" i="3" s="1"/>
  <c r="S819" i="3"/>
  <c r="S691" i="3"/>
  <c r="R467" i="3"/>
  <c r="T467" i="3" s="1"/>
  <c r="S323" i="3"/>
  <c r="S19" i="3"/>
  <c r="R320" i="3"/>
  <c r="S1120" i="3"/>
  <c r="R1136" i="3"/>
  <c r="V1136" i="3" s="1"/>
  <c r="S1040" i="3"/>
  <c r="S880" i="3"/>
  <c r="S721" i="3"/>
  <c r="S288" i="3"/>
  <c r="S257" i="3"/>
  <c r="T257" i="3" s="1"/>
  <c r="R1156" i="3"/>
  <c r="R308" i="3"/>
  <c r="S276" i="3"/>
  <c r="R1155" i="3"/>
  <c r="S1123" i="3"/>
  <c r="R851" i="3"/>
  <c r="S659" i="3"/>
  <c r="R211" i="3"/>
  <c r="N113" i="3"/>
  <c r="Q544" i="3"/>
  <c r="N512" i="3"/>
  <c r="Q240" i="3"/>
  <c r="Q542" i="3"/>
  <c r="N510" i="3"/>
  <c r="Q176" i="3"/>
  <c r="O524" i="3"/>
  <c r="O508" i="3"/>
  <c r="N76" i="3"/>
  <c r="Q524" i="3"/>
  <c r="Q352" i="3"/>
  <c r="P288" i="3"/>
  <c r="Q156" i="3"/>
  <c r="N556" i="3"/>
  <c r="N160" i="3"/>
  <c r="P32" i="3"/>
  <c r="P352" i="3"/>
  <c r="O588" i="3"/>
  <c r="O238" i="3"/>
  <c r="O174" i="3"/>
  <c r="O158" i="3"/>
  <c r="O108" i="3"/>
  <c r="O64" i="3"/>
  <c r="Q112" i="3"/>
  <c r="Q556" i="3"/>
  <c r="N64" i="3"/>
  <c r="P93" i="3"/>
  <c r="Q428" i="3"/>
  <c r="Q64" i="3"/>
  <c r="N15" i="3"/>
  <c r="N94" i="3"/>
  <c r="Q92" i="3"/>
  <c r="O188" i="3"/>
  <c r="O172" i="3"/>
  <c r="Q254" i="3"/>
  <c r="P20" i="3"/>
  <c r="Q20" i="3"/>
  <c r="N547" i="3"/>
  <c r="O547" i="3"/>
  <c r="P562" i="3"/>
  <c r="O562" i="3"/>
  <c r="N562" i="3"/>
  <c r="N530" i="3"/>
  <c r="P530" i="3"/>
  <c r="Q530" i="3"/>
  <c r="N466" i="3"/>
  <c r="O466" i="3"/>
  <c r="P466" i="3"/>
  <c r="Q466" i="3"/>
  <c r="P434" i="3"/>
  <c r="N434" i="3"/>
  <c r="Q434" i="3"/>
  <c r="O434" i="3"/>
  <c r="O418" i="3"/>
  <c r="P418" i="3"/>
  <c r="Q418" i="3"/>
  <c r="N338" i="3"/>
  <c r="O338" i="3"/>
  <c r="P338" i="3"/>
  <c r="Q338" i="3"/>
  <c r="P290" i="3"/>
  <c r="Q290" i="3"/>
  <c r="O290" i="3"/>
  <c r="N290" i="3"/>
  <c r="N258" i="3"/>
  <c r="P258" i="3"/>
  <c r="Q258" i="3"/>
  <c r="Q226" i="3"/>
  <c r="P226" i="3"/>
  <c r="N194" i="3"/>
  <c r="O194" i="3"/>
  <c r="Q162" i="3"/>
  <c r="N162" i="3"/>
  <c r="O162" i="3"/>
  <c r="Q130" i="3"/>
  <c r="N130" i="3"/>
  <c r="P130" i="3"/>
  <c r="O130" i="3"/>
  <c r="N114" i="3"/>
  <c r="P114" i="3"/>
  <c r="O114" i="3"/>
  <c r="Q114" i="3"/>
  <c r="N98" i="3"/>
  <c r="O98" i="3"/>
  <c r="N66" i="3"/>
  <c r="P66" i="3"/>
  <c r="O66" i="3"/>
  <c r="Q66" i="3"/>
  <c r="N50" i="3"/>
  <c r="O50" i="3"/>
  <c r="N18" i="3"/>
  <c r="P18" i="3"/>
  <c r="O18" i="3"/>
  <c r="Q18" i="3"/>
  <c r="P321" i="3"/>
  <c r="Q321" i="3"/>
  <c r="N321" i="3"/>
  <c r="P257" i="3"/>
  <c r="Q257" i="3"/>
  <c r="P225" i="3"/>
  <c r="O225" i="3"/>
  <c r="N225" i="3"/>
  <c r="P65" i="3"/>
  <c r="Q65" i="3"/>
  <c r="Q562" i="3"/>
  <c r="N82" i="3"/>
  <c r="N592" i="3"/>
  <c r="O592" i="3"/>
  <c r="O560" i="3"/>
  <c r="P560" i="3"/>
  <c r="Q560" i="3"/>
  <c r="N528" i="3"/>
  <c r="O528" i="3"/>
  <c r="O464" i="3"/>
  <c r="N464" i="3"/>
  <c r="P400" i="3"/>
  <c r="Q400" i="3"/>
  <c r="N400" i="3"/>
  <c r="P368" i="3"/>
  <c r="N368" i="3"/>
  <c r="O368" i="3"/>
  <c r="P336" i="3"/>
  <c r="Q336" i="3"/>
  <c r="P320" i="3"/>
  <c r="Q320" i="3"/>
  <c r="N288" i="3"/>
  <c r="O288" i="3"/>
  <c r="N256" i="3"/>
  <c r="O256" i="3"/>
  <c r="P224" i="3"/>
  <c r="Q224" i="3"/>
  <c r="N224" i="3"/>
  <c r="O224" i="3"/>
  <c r="N192" i="3"/>
  <c r="O192" i="3"/>
  <c r="N128" i="3"/>
  <c r="O128" i="3"/>
  <c r="P128" i="3"/>
  <c r="Q128" i="3"/>
  <c r="Q96" i="3"/>
  <c r="P96" i="3"/>
  <c r="N48" i="3"/>
  <c r="O48" i="3"/>
  <c r="P48" i="3"/>
  <c r="Q48" i="3"/>
  <c r="Q370" i="3"/>
  <c r="O544" i="3"/>
  <c r="N496" i="3"/>
  <c r="O370" i="3"/>
  <c r="O322" i="3"/>
  <c r="O80" i="3"/>
  <c r="Q447" i="3"/>
  <c r="P447" i="3"/>
  <c r="P319" i="3"/>
  <c r="O319" i="3"/>
  <c r="P159" i="3"/>
  <c r="Q159" i="3"/>
  <c r="Q79" i="3"/>
  <c r="N79" i="3"/>
  <c r="N47" i="3"/>
  <c r="Q47" i="3"/>
  <c r="Q496" i="3"/>
  <c r="Q192" i="3"/>
  <c r="N495" i="3"/>
  <c r="O304" i="3"/>
  <c r="O96" i="3"/>
  <c r="N228" i="3"/>
  <c r="N606" i="3"/>
  <c r="O606" i="3"/>
  <c r="N574" i="3"/>
  <c r="O574" i="3"/>
  <c r="P574" i="3"/>
  <c r="N478" i="3"/>
  <c r="O478" i="3"/>
  <c r="P446" i="3"/>
  <c r="Q446" i="3"/>
  <c r="O446" i="3"/>
  <c r="N446" i="3"/>
  <c r="P398" i="3"/>
  <c r="Q398" i="3"/>
  <c r="O398" i="3"/>
  <c r="N398" i="3"/>
  <c r="P366" i="3"/>
  <c r="Q366" i="3"/>
  <c r="N366" i="3"/>
  <c r="O366" i="3"/>
  <c r="N302" i="3"/>
  <c r="O302" i="3"/>
  <c r="Q302" i="3"/>
  <c r="P302" i="3"/>
  <c r="P238" i="3"/>
  <c r="Q238" i="3"/>
  <c r="N206" i="3"/>
  <c r="O206" i="3"/>
  <c r="P206" i="3"/>
  <c r="Q206" i="3"/>
  <c r="P110" i="3"/>
  <c r="Q110" i="3"/>
  <c r="O110" i="3"/>
  <c r="P78" i="3"/>
  <c r="Q78" i="3"/>
  <c r="N46" i="3"/>
  <c r="O46" i="3"/>
  <c r="P46" i="3"/>
  <c r="Q46" i="3"/>
  <c r="P30" i="3"/>
  <c r="O30" i="3"/>
  <c r="N30" i="3"/>
  <c r="P318" i="3"/>
  <c r="P287" i="3"/>
  <c r="P192" i="3"/>
  <c r="O321" i="3"/>
  <c r="N304" i="3"/>
  <c r="N96" i="3"/>
  <c r="N20" i="3"/>
  <c r="O589" i="3"/>
  <c r="Q589" i="3"/>
  <c r="P461" i="3"/>
  <c r="Q461" i="3"/>
  <c r="P429" i="3"/>
  <c r="N429" i="3"/>
  <c r="O429" i="3"/>
  <c r="Q429" i="3"/>
  <c r="N397" i="3"/>
  <c r="P397" i="3"/>
  <c r="O397" i="3"/>
  <c r="P301" i="3"/>
  <c r="Q301" i="3"/>
  <c r="Q269" i="3"/>
  <c r="P269" i="3"/>
  <c r="P189" i="3"/>
  <c r="O189" i="3"/>
  <c r="P173" i="3"/>
  <c r="O173" i="3"/>
  <c r="O61" i="3"/>
  <c r="Q61" i="3"/>
  <c r="N61" i="3"/>
  <c r="P13" i="3"/>
  <c r="Q13" i="3"/>
  <c r="P592" i="3"/>
  <c r="Q433" i="3"/>
  <c r="Q397" i="3"/>
  <c r="Q286" i="3"/>
  <c r="Q273" i="3"/>
  <c r="O320" i="3"/>
  <c r="Q480" i="3"/>
  <c r="Q464" i="3"/>
  <c r="P306" i="3"/>
  <c r="P221" i="3"/>
  <c r="P82" i="3"/>
  <c r="O594" i="3"/>
  <c r="N336" i="3"/>
  <c r="N591" i="3"/>
  <c r="Q228" i="3"/>
  <c r="Q557" i="3"/>
  <c r="P464" i="3"/>
  <c r="O318" i="3"/>
  <c r="O125" i="3"/>
  <c r="N589" i="3"/>
  <c r="Q142" i="3"/>
  <c r="O610" i="3"/>
  <c r="O15" i="3"/>
  <c r="P177" i="3"/>
  <c r="P142" i="3"/>
  <c r="N334" i="3"/>
  <c r="N226" i="3"/>
  <c r="O14" i="3"/>
  <c r="P164" i="3"/>
  <c r="Q164" i="3"/>
  <c r="P36" i="3"/>
  <c r="Q36" i="3"/>
  <c r="N563" i="3"/>
  <c r="O563" i="3"/>
  <c r="N578" i="3"/>
  <c r="O578" i="3"/>
  <c r="P578" i="3"/>
  <c r="P546" i="3"/>
  <c r="Q546" i="3"/>
  <c r="O514" i="3"/>
  <c r="N514" i="3"/>
  <c r="O482" i="3"/>
  <c r="Q482" i="3"/>
  <c r="P482" i="3"/>
  <c r="O450" i="3"/>
  <c r="N450" i="3"/>
  <c r="P450" i="3"/>
  <c r="Q450" i="3"/>
  <c r="O386" i="3"/>
  <c r="N386" i="3"/>
  <c r="P354" i="3"/>
  <c r="Q354" i="3"/>
  <c r="N274" i="3"/>
  <c r="O274" i="3"/>
  <c r="O242" i="3"/>
  <c r="P242" i="3"/>
  <c r="Q242" i="3"/>
  <c r="N210" i="3"/>
  <c r="O210" i="3"/>
  <c r="N178" i="3"/>
  <c r="Q178" i="3"/>
  <c r="O178" i="3"/>
  <c r="P178" i="3"/>
  <c r="P146" i="3"/>
  <c r="Q146" i="3"/>
  <c r="N146" i="3"/>
  <c r="O146" i="3"/>
  <c r="N34" i="3"/>
  <c r="O34" i="3"/>
  <c r="Q34" i="3"/>
  <c r="O530" i="3"/>
  <c r="O593" i="3"/>
  <c r="Q593" i="3"/>
  <c r="N561" i="3"/>
  <c r="O561" i="3"/>
  <c r="P529" i="3"/>
  <c r="N529" i="3"/>
  <c r="P481" i="3"/>
  <c r="N481" i="3"/>
  <c r="Q481" i="3"/>
  <c r="P417" i="3"/>
  <c r="Q417" i="3"/>
  <c r="O417" i="3"/>
  <c r="O385" i="3"/>
  <c r="P385" i="3"/>
  <c r="N385" i="3"/>
  <c r="O337" i="3"/>
  <c r="N337" i="3"/>
  <c r="Q305" i="3"/>
  <c r="N305" i="3"/>
  <c r="N209" i="3"/>
  <c r="O209" i="3"/>
  <c r="Q274" i="3"/>
  <c r="N546" i="3"/>
  <c r="O306" i="3"/>
  <c r="N97" i="3"/>
  <c r="O576" i="3"/>
  <c r="N576" i="3"/>
  <c r="Q576" i="3"/>
  <c r="P512" i="3"/>
  <c r="Q512" i="3"/>
  <c r="O448" i="3"/>
  <c r="N448" i="3"/>
  <c r="P432" i="3"/>
  <c r="O432" i="3"/>
  <c r="Q432" i="3"/>
  <c r="P384" i="3"/>
  <c r="Q384" i="3"/>
  <c r="O384" i="3"/>
  <c r="N384" i="3"/>
  <c r="P272" i="3"/>
  <c r="N272" i="3"/>
  <c r="O272" i="3"/>
  <c r="Q272" i="3"/>
  <c r="N208" i="3"/>
  <c r="P208" i="3"/>
  <c r="O208" i="3"/>
  <c r="Q208" i="3"/>
  <c r="P160" i="3"/>
  <c r="Q160" i="3"/>
  <c r="N112" i="3"/>
  <c r="P112" i="3"/>
  <c r="O112" i="3"/>
  <c r="O32" i="3"/>
  <c r="N32" i="3"/>
  <c r="P528" i="3"/>
  <c r="Q52" i="3"/>
  <c r="N306" i="3"/>
  <c r="O97" i="3"/>
  <c r="Q463" i="3"/>
  <c r="O463" i="3"/>
  <c r="N415" i="3"/>
  <c r="O415" i="3"/>
  <c r="Q415" i="3"/>
  <c r="Q335" i="3"/>
  <c r="N335" i="3"/>
  <c r="P335" i="3"/>
  <c r="O127" i="3"/>
  <c r="P127" i="3"/>
  <c r="P465" i="3"/>
  <c r="P370" i="3"/>
  <c r="Q50" i="3"/>
  <c r="N80" i="3"/>
  <c r="N590" i="3"/>
  <c r="O590" i="3"/>
  <c r="P590" i="3"/>
  <c r="Q590" i="3"/>
  <c r="P558" i="3"/>
  <c r="Q558" i="3"/>
  <c r="N542" i="3"/>
  <c r="O542" i="3"/>
  <c r="P526" i="3"/>
  <c r="Q526" i="3"/>
  <c r="N494" i="3"/>
  <c r="P494" i="3"/>
  <c r="Q494" i="3"/>
  <c r="Q462" i="3"/>
  <c r="O462" i="3"/>
  <c r="N462" i="3"/>
  <c r="P462" i="3"/>
  <c r="P430" i="3"/>
  <c r="Q430" i="3"/>
  <c r="N430" i="3"/>
  <c r="P414" i="3"/>
  <c r="Q414" i="3"/>
  <c r="N414" i="3"/>
  <c r="N382" i="3"/>
  <c r="Q382" i="3"/>
  <c r="O382" i="3"/>
  <c r="P382" i="3"/>
  <c r="N350" i="3"/>
  <c r="O350" i="3"/>
  <c r="P350" i="3"/>
  <c r="Q350" i="3"/>
  <c r="N270" i="3"/>
  <c r="O270" i="3"/>
  <c r="P270" i="3"/>
  <c r="Q270" i="3"/>
  <c r="Q190" i="3"/>
  <c r="P190" i="3"/>
  <c r="N190" i="3"/>
  <c r="O190" i="3"/>
  <c r="P174" i="3"/>
  <c r="Q174" i="3"/>
  <c r="P158" i="3"/>
  <c r="Q158" i="3"/>
  <c r="O126" i="3"/>
  <c r="Q126" i="3"/>
  <c r="N126" i="3"/>
  <c r="P126" i="3"/>
  <c r="P94" i="3"/>
  <c r="Q94" i="3"/>
  <c r="P62" i="3"/>
  <c r="Q62" i="3"/>
  <c r="N62" i="3"/>
  <c r="Q592" i="3"/>
  <c r="Q222" i="3"/>
  <c r="P50" i="3"/>
  <c r="N418" i="3"/>
  <c r="N110" i="3"/>
  <c r="O78" i="3"/>
  <c r="N449" i="3"/>
  <c r="N605" i="3"/>
  <c r="O605" i="3"/>
  <c r="Q509" i="3"/>
  <c r="P509" i="3"/>
  <c r="O509" i="3"/>
  <c r="N493" i="3"/>
  <c r="O493" i="3"/>
  <c r="Q493" i="3"/>
  <c r="P317" i="3"/>
  <c r="Q317" i="3"/>
  <c r="O317" i="3"/>
  <c r="P253" i="3"/>
  <c r="Q253" i="3"/>
  <c r="N237" i="3"/>
  <c r="P237" i="3"/>
  <c r="Q109" i="3"/>
  <c r="P109" i="3"/>
  <c r="N29" i="3"/>
  <c r="O29" i="3"/>
  <c r="Q578" i="3"/>
  <c r="P495" i="3"/>
  <c r="P222" i="3"/>
  <c r="P210" i="3"/>
  <c r="Q82" i="3"/>
  <c r="O416" i="3"/>
  <c r="O336" i="3"/>
  <c r="O94" i="3"/>
  <c r="N78" i="3"/>
  <c r="N17" i="3"/>
  <c r="O237" i="3"/>
  <c r="Q514" i="3"/>
  <c r="P286" i="3"/>
  <c r="Q144" i="3"/>
  <c r="N320" i="3"/>
  <c r="O16" i="3"/>
  <c r="N36" i="3"/>
  <c r="Q368" i="3"/>
  <c r="Q334" i="3"/>
  <c r="P144" i="3"/>
  <c r="O371" i="3"/>
  <c r="P334" i="3"/>
  <c r="O226" i="3"/>
  <c r="N125" i="3"/>
  <c r="P576" i="3"/>
  <c r="Q416" i="3"/>
  <c r="Q80" i="3"/>
  <c r="P34" i="3"/>
  <c r="P16" i="3"/>
  <c r="O608" i="3"/>
  <c r="N432" i="3"/>
  <c r="N354" i="3"/>
  <c r="O240" i="3"/>
  <c r="N222" i="3"/>
  <c r="N144" i="3"/>
  <c r="Q543" i="3"/>
  <c r="P480" i="3"/>
  <c r="N16" i="3"/>
  <c r="P463" i="3"/>
  <c r="Q478" i="3"/>
  <c r="P416" i="3"/>
  <c r="Q386" i="3"/>
  <c r="Q256" i="3"/>
  <c r="O430" i="3"/>
  <c r="O221" i="3"/>
  <c r="O142" i="3"/>
  <c r="N351" i="3"/>
  <c r="N157" i="3"/>
  <c r="P493" i="3"/>
  <c r="O476" i="3"/>
  <c r="P476" i="3"/>
  <c r="N476" i="3"/>
  <c r="N460" i="3"/>
  <c r="O460" i="3"/>
  <c r="P348" i="3"/>
  <c r="Q348" i="3"/>
  <c r="N236" i="3"/>
  <c r="O236" i="3"/>
  <c r="N140" i="3"/>
  <c r="O140" i="3"/>
  <c r="P140" i="3"/>
  <c r="P108" i="3"/>
  <c r="Q108" i="3"/>
  <c r="N60" i="3"/>
  <c r="O60" i="3"/>
  <c r="P60" i="3"/>
  <c r="Q60" i="3"/>
  <c r="P28" i="3"/>
  <c r="Q28" i="3"/>
  <c r="Q588" i="3"/>
  <c r="Q476" i="3"/>
  <c r="P220" i="3"/>
  <c r="O412" i="3"/>
  <c r="N348" i="3"/>
  <c r="N555" i="3"/>
  <c r="P555" i="3"/>
  <c r="Q555" i="3"/>
  <c r="N427" i="3"/>
  <c r="O427" i="3"/>
  <c r="P427" i="3"/>
  <c r="Q427" i="3"/>
  <c r="P299" i="3"/>
  <c r="N299" i="3"/>
  <c r="Q299" i="3"/>
  <c r="Q523" i="3"/>
  <c r="Q460" i="3"/>
  <c r="Q411" i="3"/>
  <c r="O428" i="3"/>
  <c r="O347" i="3"/>
  <c r="P490" i="3"/>
  <c r="Q490" i="3"/>
  <c r="N378" i="3"/>
  <c r="O378" i="3"/>
  <c r="P266" i="3"/>
  <c r="Q266" i="3"/>
  <c r="N266" i="3"/>
  <c r="O266" i="3"/>
  <c r="N90" i="3"/>
  <c r="O90" i="3"/>
  <c r="P460" i="3"/>
  <c r="P188" i="3"/>
  <c r="O426" i="3"/>
  <c r="Q363" i="3"/>
  <c r="Q268" i="3"/>
  <c r="Q236" i="3"/>
  <c r="P139" i="3"/>
  <c r="P12" i="3"/>
  <c r="O444" i="3"/>
  <c r="N426" i="3"/>
  <c r="N411" i="3"/>
  <c r="O396" i="3"/>
  <c r="N268" i="3"/>
  <c r="N314" i="3"/>
  <c r="N492" i="3"/>
  <c r="O492" i="3"/>
  <c r="Q492" i="3"/>
  <c r="P492" i="3"/>
  <c r="N364" i="3"/>
  <c r="O364" i="3"/>
  <c r="Q364" i="3"/>
  <c r="O316" i="3"/>
  <c r="N316" i="3"/>
  <c r="P284" i="3"/>
  <c r="Q284" i="3"/>
  <c r="N284" i="3"/>
  <c r="O284" i="3"/>
  <c r="N156" i="3"/>
  <c r="O156" i="3"/>
  <c r="Q44" i="3"/>
  <c r="P44" i="3"/>
  <c r="P587" i="3"/>
  <c r="Q587" i="3"/>
  <c r="N475" i="3"/>
  <c r="P475" i="3"/>
  <c r="O475" i="3"/>
  <c r="Q475" i="3"/>
  <c r="N379" i="3"/>
  <c r="O379" i="3"/>
  <c r="P331" i="3"/>
  <c r="Q331" i="3"/>
  <c r="N331" i="3"/>
  <c r="O331" i="3"/>
  <c r="P315" i="3"/>
  <c r="Q315" i="3"/>
  <c r="N315" i="3"/>
  <c r="O315" i="3"/>
  <c r="N283" i="3"/>
  <c r="O283" i="3"/>
  <c r="P283" i="3"/>
  <c r="Q283" i="3"/>
  <c r="O267" i="3"/>
  <c r="N267" i="3"/>
  <c r="P251" i="3"/>
  <c r="Q251" i="3"/>
  <c r="N251" i="3"/>
  <c r="O251" i="3"/>
  <c r="O235" i="3"/>
  <c r="P235" i="3"/>
  <c r="Q235" i="3"/>
  <c r="N219" i="3"/>
  <c r="O219" i="3"/>
  <c r="Q219" i="3"/>
  <c r="P219" i="3"/>
  <c r="O155" i="3"/>
  <c r="P155" i="3"/>
  <c r="Q155" i="3"/>
  <c r="O75" i="3"/>
  <c r="N75" i="3"/>
  <c r="P522" i="3"/>
  <c r="N522" i="3"/>
  <c r="N442" i="3"/>
  <c r="O442" i="3"/>
  <c r="N410" i="3"/>
  <c r="P410" i="3"/>
  <c r="Q410" i="3"/>
  <c r="O362" i="3"/>
  <c r="N362" i="3"/>
  <c r="N298" i="3"/>
  <c r="P298" i="3"/>
  <c r="O298" i="3"/>
  <c r="P92" i="3"/>
  <c r="Q12" i="3"/>
  <c r="Q539" i="3"/>
  <c r="Q474" i="3"/>
  <c r="P363" i="3"/>
  <c r="P268" i="3"/>
  <c r="P236" i="3"/>
  <c r="Q138" i="3"/>
  <c r="P75" i="3"/>
  <c r="O459" i="3"/>
  <c r="N444" i="3"/>
  <c r="O410" i="3"/>
  <c r="N363" i="3"/>
  <c r="N300" i="3"/>
  <c r="O300" i="3"/>
  <c r="P300" i="3"/>
  <c r="Q300" i="3"/>
  <c r="P172" i="3"/>
  <c r="Q172" i="3"/>
  <c r="Q540" i="3"/>
  <c r="P571" i="3"/>
  <c r="Q571" i="3"/>
  <c r="N491" i="3"/>
  <c r="O491" i="3"/>
  <c r="P491" i="3"/>
  <c r="Q11" i="3"/>
  <c r="N11" i="3"/>
  <c r="O11" i="3"/>
  <c r="P540" i="3"/>
  <c r="N602" i="3"/>
  <c r="O602" i="3"/>
  <c r="N554" i="3"/>
  <c r="P554" i="3"/>
  <c r="O554" i="3"/>
  <c r="Q554" i="3"/>
  <c r="P506" i="3"/>
  <c r="N506" i="3"/>
  <c r="N346" i="3"/>
  <c r="O346" i="3"/>
  <c r="Q250" i="3"/>
  <c r="N250" i="3"/>
  <c r="N74" i="3"/>
  <c r="O74" i="3"/>
  <c r="Q26" i="3"/>
  <c r="P26" i="3"/>
  <c r="P170" i="3"/>
  <c r="O411" i="3"/>
  <c r="Q491" i="3"/>
  <c r="Q459" i="3"/>
  <c r="Q380" i="3"/>
  <c r="P362" i="3"/>
  <c r="Q74" i="3"/>
  <c r="O443" i="3"/>
  <c r="O44" i="3"/>
  <c r="O28" i="3"/>
  <c r="N170" i="3"/>
  <c r="Q537" i="3"/>
  <c r="O537" i="3"/>
  <c r="Q505" i="3"/>
  <c r="O169" i="3"/>
  <c r="Q265" i="3"/>
  <c r="R1061" i="3"/>
  <c r="S1061" i="3"/>
  <c r="R997" i="3"/>
  <c r="S997" i="3"/>
  <c r="R901" i="3"/>
  <c r="S901" i="3"/>
  <c r="S869" i="3"/>
  <c r="R869" i="3"/>
  <c r="V869" i="3" s="1"/>
  <c r="R837" i="3"/>
  <c r="S837" i="3"/>
  <c r="R757" i="3"/>
  <c r="S757" i="3"/>
  <c r="R1093" i="3"/>
  <c r="S1093" i="3"/>
  <c r="R1045" i="3"/>
  <c r="S1045" i="3"/>
  <c r="R1029" i="3"/>
  <c r="S1029" i="3"/>
  <c r="R965" i="3"/>
  <c r="S965" i="3"/>
  <c r="S821" i="3"/>
  <c r="R821" i="3"/>
  <c r="S1173" i="3"/>
  <c r="Q1173" i="3" s="1"/>
  <c r="S1205" i="3"/>
  <c r="R1205" i="3"/>
  <c r="S1157" i="3"/>
  <c r="R1157" i="3"/>
  <c r="R1125" i="3"/>
  <c r="V1125" i="3" s="1"/>
  <c r="S1125" i="3"/>
  <c r="R1109" i="3"/>
  <c r="S1109" i="3"/>
  <c r="R1013" i="3"/>
  <c r="S1013" i="3"/>
  <c r="R933" i="3"/>
  <c r="V933" i="3" s="1"/>
  <c r="S933" i="3"/>
  <c r="R917" i="3"/>
  <c r="S917" i="3"/>
  <c r="R885" i="3"/>
  <c r="S885" i="3"/>
  <c r="R853" i="3"/>
  <c r="S853" i="3"/>
  <c r="S789" i="3"/>
  <c r="R789" i="3"/>
  <c r="R773" i="3"/>
  <c r="S773" i="3"/>
  <c r="R805" i="3"/>
  <c r="P805" i="3" s="1"/>
  <c r="R1221" i="3"/>
  <c r="S1221" i="3"/>
  <c r="R1189" i="3"/>
  <c r="S1189" i="3"/>
  <c r="S1141" i="3"/>
  <c r="R1141" i="3"/>
  <c r="R1077" i="3"/>
  <c r="S1077" i="3"/>
  <c r="R981" i="3"/>
  <c r="S981" i="3"/>
  <c r="S949" i="3"/>
  <c r="R949" i="3"/>
  <c r="R661" i="3"/>
  <c r="S661" i="3"/>
  <c r="R629" i="3"/>
  <c r="S629" i="3"/>
  <c r="R597" i="3"/>
  <c r="S597" i="3"/>
  <c r="S565" i="3"/>
  <c r="R565" i="3"/>
  <c r="S533" i="3"/>
  <c r="R533" i="3"/>
  <c r="S501" i="3"/>
  <c r="R501" i="3"/>
  <c r="R341" i="3"/>
  <c r="S341" i="3"/>
  <c r="R714" i="3"/>
  <c r="S714" i="3"/>
  <c r="R698" i="3"/>
  <c r="S698" i="3"/>
  <c r="R682" i="3"/>
  <c r="S682" i="3"/>
  <c r="T682" i="3" s="1"/>
  <c r="R634" i="3"/>
  <c r="S634" i="3"/>
  <c r="R570" i="3"/>
  <c r="S570" i="3"/>
  <c r="R554" i="3"/>
  <c r="S554" i="3"/>
  <c r="R538" i="3"/>
  <c r="S538" i="3"/>
  <c r="R362" i="3"/>
  <c r="S362" i="3"/>
  <c r="R330" i="3"/>
  <c r="S330" i="3"/>
  <c r="R298" i="3"/>
  <c r="S298" i="3"/>
  <c r="R266" i="3"/>
  <c r="S266" i="3"/>
  <c r="R250" i="3"/>
  <c r="S250" i="3"/>
  <c r="R218" i="3"/>
  <c r="S218" i="3"/>
  <c r="R10" i="3"/>
  <c r="S10" i="3"/>
  <c r="S1114" i="3"/>
  <c r="R1087" i="3"/>
  <c r="S1087" i="3"/>
  <c r="R1023" i="3"/>
  <c r="S1023" i="3"/>
  <c r="R975" i="3"/>
  <c r="V975" i="3" s="1"/>
  <c r="S975" i="3"/>
  <c r="R495" i="3"/>
  <c r="S495" i="3"/>
  <c r="R431" i="3"/>
  <c r="S431" i="3"/>
  <c r="R399" i="3"/>
  <c r="S399" i="3"/>
  <c r="R383" i="3"/>
  <c r="S383" i="3"/>
  <c r="R319" i="3"/>
  <c r="S319" i="3"/>
  <c r="R127" i="3"/>
  <c r="S127" i="3"/>
  <c r="R1140" i="3"/>
  <c r="S1140" i="3"/>
  <c r="R1092" i="3"/>
  <c r="S1092" i="3"/>
  <c r="R900" i="3"/>
  <c r="S900" i="3"/>
  <c r="R852" i="3"/>
  <c r="S852" i="3"/>
  <c r="R420" i="3"/>
  <c r="S420" i="3"/>
  <c r="R404" i="3"/>
  <c r="S404" i="3"/>
  <c r="R340" i="3"/>
  <c r="S340" i="3"/>
  <c r="R324" i="3"/>
  <c r="S324" i="3"/>
  <c r="R292" i="3"/>
  <c r="S292" i="3"/>
  <c r="R180" i="3"/>
  <c r="S180" i="3"/>
  <c r="R68" i="3"/>
  <c r="S68" i="3"/>
  <c r="S772" i="3"/>
  <c r="S485" i="3"/>
  <c r="T485" i="3" s="1"/>
  <c r="R1081" i="3"/>
  <c r="S1081" i="3"/>
  <c r="R1065" i="3"/>
  <c r="S1065" i="3"/>
  <c r="R1049" i="3"/>
  <c r="S1049" i="3"/>
  <c r="R985" i="3"/>
  <c r="S985" i="3"/>
  <c r="R873" i="3"/>
  <c r="S873" i="3"/>
  <c r="R633" i="3"/>
  <c r="S633" i="3"/>
  <c r="R345" i="3"/>
  <c r="S345" i="3"/>
  <c r="R105" i="3"/>
  <c r="S105" i="3"/>
  <c r="R57" i="3"/>
  <c r="S57" i="3"/>
  <c r="S1226" i="3"/>
  <c r="S1034" i="3"/>
  <c r="S970" i="3"/>
  <c r="R473" i="3"/>
  <c r="T473" i="3" s="1"/>
  <c r="S447" i="3"/>
  <c r="R293" i="3"/>
  <c r="T293" i="3" s="1"/>
  <c r="S249" i="3"/>
  <c r="T249" i="3" s="1"/>
  <c r="S1118" i="3"/>
  <c r="R1118" i="3"/>
  <c r="S1086" i="3"/>
  <c r="R1086" i="3"/>
  <c r="S990" i="3"/>
  <c r="R990" i="3"/>
  <c r="S958" i="3"/>
  <c r="R958" i="3"/>
  <c r="S926" i="3"/>
  <c r="R926" i="3"/>
  <c r="S830" i="3"/>
  <c r="R830" i="3"/>
  <c r="R654" i="3"/>
  <c r="Q654" i="3" s="1"/>
  <c r="S654" i="3"/>
  <c r="R622" i="3"/>
  <c r="S622" i="3"/>
  <c r="R510" i="3"/>
  <c r="S510" i="3"/>
  <c r="R286" i="3"/>
  <c r="S286" i="3"/>
  <c r="S94" i="3"/>
  <c r="R94" i="3"/>
  <c r="R46" i="3"/>
  <c r="S46" i="3"/>
  <c r="R1220" i="3"/>
  <c r="S750" i="3"/>
  <c r="R138" i="3"/>
  <c r="R627" i="3"/>
  <c r="S627" i="3"/>
  <c r="S579" i="3"/>
  <c r="R579" i="3"/>
  <c r="R563" i="3"/>
  <c r="S563" i="3"/>
  <c r="R387" i="3"/>
  <c r="S387" i="3"/>
  <c r="R355" i="3"/>
  <c r="S355" i="3"/>
  <c r="R339" i="3"/>
  <c r="S339" i="3"/>
  <c r="R99" i="3"/>
  <c r="S99" i="3"/>
  <c r="R83" i="3"/>
  <c r="S83" i="3"/>
  <c r="S51" i="3"/>
  <c r="R51" i="3"/>
  <c r="R484" i="3"/>
  <c r="S30" i="3"/>
  <c r="R1144" i="3"/>
  <c r="S1144" i="3"/>
  <c r="S872" i="3"/>
  <c r="R872" i="3"/>
  <c r="R824" i="3"/>
  <c r="S824" i="3"/>
  <c r="R760" i="3"/>
  <c r="S760" i="3"/>
  <c r="R488" i="3"/>
  <c r="S488" i="3"/>
  <c r="R456" i="3"/>
  <c r="S456" i="3"/>
  <c r="S440" i="3"/>
  <c r="R440" i="3"/>
  <c r="R88" i="3"/>
  <c r="S88" i="3"/>
  <c r="S1225" i="3"/>
  <c r="P1225" i="3" s="1"/>
  <c r="R1146" i="3"/>
  <c r="S1139" i="3"/>
  <c r="S1032" i="3"/>
  <c r="S1011" i="3"/>
  <c r="S888" i="3"/>
  <c r="S851" i="3"/>
  <c r="R612" i="3"/>
  <c r="Q612" i="3" s="1"/>
  <c r="S600" i="3"/>
  <c r="R248" i="3"/>
  <c r="R143" i="3"/>
  <c r="T143" i="3" s="1"/>
  <c r="S115" i="3"/>
  <c r="R36" i="3"/>
  <c r="R1213" i="3"/>
  <c r="S1213" i="3"/>
  <c r="R1106" i="3"/>
  <c r="S1106" i="3"/>
  <c r="R818" i="3"/>
  <c r="S818" i="3"/>
  <c r="R754" i="3"/>
  <c r="S754" i="3"/>
  <c r="R642" i="3"/>
  <c r="S642" i="3"/>
  <c r="R594" i="3"/>
  <c r="S594" i="3"/>
  <c r="R482" i="3"/>
  <c r="S482" i="3"/>
  <c r="R466" i="3"/>
  <c r="S466" i="3"/>
  <c r="R66" i="3"/>
  <c r="S66" i="3"/>
  <c r="R50" i="3"/>
  <c r="S50" i="3"/>
  <c r="R34" i="3"/>
  <c r="S34" i="3"/>
  <c r="R1194" i="3"/>
  <c r="R1188" i="3"/>
  <c r="R1182" i="3"/>
  <c r="S1082" i="3"/>
  <c r="S954" i="3"/>
  <c r="R925" i="3"/>
  <c r="R829" i="3"/>
  <c r="P829" i="3" s="1"/>
  <c r="R703" i="3"/>
  <c r="S453" i="3"/>
  <c r="T453" i="3" s="1"/>
  <c r="S356" i="3"/>
  <c r="R142" i="3"/>
  <c r="R823" i="3"/>
  <c r="S823" i="3"/>
  <c r="S599" i="3"/>
  <c r="R599" i="3"/>
  <c r="R471" i="3"/>
  <c r="S471" i="3"/>
  <c r="R439" i="3"/>
  <c r="S439" i="3"/>
  <c r="R407" i="3"/>
  <c r="S407" i="3"/>
  <c r="R311" i="3"/>
  <c r="S311" i="3"/>
  <c r="R279" i="3"/>
  <c r="S279" i="3"/>
  <c r="R263" i="3"/>
  <c r="S263" i="3"/>
  <c r="R1151" i="3"/>
  <c r="Q1151" i="3" s="1"/>
  <c r="S1095" i="3"/>
  <c r="R894" i="3"/>
  <c r="R649" i="3"/>
  <c r="S621" i="3"/>
  <c r="R223" i="3"/>
  <c r="T223" i="3" s="1"/>
  <c r="S35" i="3"/>
  <c r="R892" i="3"/>
  <c r="S892" i="3"/>
  <c r="R380" i="3"/>
  <c r="S380" i="3"/>
  <c r="R188" i="3"/>
  <c r="S188" i="3"/>
  <c r="R172" i="3"/>
  <c r="S172" i="3"/>
  <c r="R76" i="3"/>
  <c r="S76" i="3"/>
  <c r="S1223" i="3"/>
  <c r="S1187" i="3"/>
  <c r="R995" i="3"/>
  <c r="P995" i="3" s="1"/>
  <c r="S988" i="3"/>
  <c r="R967" i="3"/>
  <c r="V967" i="3" s="1"/>
  <c r="S924" i="3"/>
  <c r="R562" i="3"/>
  <c r="S541" i="3"/>
  <c r="T541" i="3" s="1"/>
  <c r="S450" i="3"/>
  <c r="R402" i="3"/>
  <c r="S306" i="3"/>
  <c r="R162" i="3"/>
  <c r="R79" i="3"/>
  <c r="T79" i="3" s="1"/>
  <c r="S72" i="3"/>
  <c r="R725" i="3"/>
  <c r="S725" i="3"/>
  <c r="R389" i="3"/>
  <c r="S389" i="3"/>
  <c r="R245" i="3"/>
  <c r="S245" i="3"/>
  <c r="R101" i="3"/>
  <c r="S101" i="3"/>
  <c r="R69" i="3"/>
  <c r="S69" i="3"/>
  <c r="R810" i="3"/>
  <c r="S810" i="3"/>
  <c r="R794" i="3"/>
  <c r="S794" i="3"/>
  <c r="R522" i="3"/>
  <c r="S522" i="3"/>
  <c r="R506" i="3"/>
  <c r="S506" i="3"/>
  <c r="S426" i="3"/>
  <c r="R426" i="3"/>
  <c r="R186" i="3"/>
  <c r="S186" i="3"/>
  <c r="R154" i="3"/>
  <c r="S154" i="3"/>
  <c r="R58" i="3"/>
  <c r="S58" i="3"/>
  <c r="S986" i="3"/>
  <c r="R1103" i="3"/>
  <c r="S1103" i="3"/>
  <c r="R1055" i="3"/>
  <c r="V1055" i="3" s="1"/>
  <c r="S1055" i="3"/>
  <c r="R959" i="3"/>
  <c r="S959" i="3"/>
  <c r="R879" i="3"/>
  <c r="V879" i="3" s="1"/>
  <c r="S879" i="3"/>
  <c r="R591" i="3"/>
  <c r="S591" i="3"/>
  <c r="S559" i="3"/>
  <c r="R559" i="3"/>
  <c r="R543" i="3"/>
  <c r="S543" i="3"/>
  <c r="S527" i="3"/>
  <c r="R527" i="3"/>
  <c r="R271" i="3"/>
  <c r="S271" i="3"/>
  <c r="R239" i="3"/>
  <c r="S239" i="3"/>
  <c r="S1178" i="3"/>
  <c r="R1076" i="3"/>
  <c r="S1076" i="3"/>
  <c r="R1028" i="3"/>
  <c r="S1028" i="3"/>
  <c r="R1012" i="3"/>
  <c r="S1012" i="3"/>
  <c r="R964" i="3"/>
  <c r="S964" i="3"/>
  <c r="R932" i="3"/>
  <c r="S932" i="3"/>
  <c r="R868" i="3"/>
  <c r="S868" i="3"/>
  <c r="R788" i="3"/>
  <c r="S788" i="3"/>
  <c r="R756" i="3"/>
  <c r="S756" i="3"/>
  <c r="R740" i="3"/>
  <c r="S740" i="3"/>
  <c r="R676" i="3"/>
  <c r="S676" i="3"/>
  <c r="R628" i="3"/>
  <c r="S628" i="3"/>
  <c r="R500" i="3"/>
  <c r="S500" i="3"/>
  <c r="R436" i="3"/>
  <c r="S436" i="3"/>
  <c r="S388" i="3"/>
  <c r="R388" i="3"/>
  <c r="R100" i="3"/>
  <c r="S100" i="3"/>
  <c r="S52" i="3"/>
  <c r="R52" i="3"/>
  <c r="S133" i="3"/>
  <c r="T133" i="3" s="1"/>
  <c r="R1113" i="3"/>
  <c r="S1113" i="3"/>
  <c r="R1017" i="3"/>
  <c r="S1017" i="3"/>
  <c r="R969" i="3"/>
  <c r="S969" i="3"/>
  <c r="R921" i="3"/>
  <c r="S921" i="3"/>
  <c r="R857" i="3"/>
  <c r="S857" i="3"/>
  <c r="R825" i="3"/>
  <c r="S825" i="3"/>
  <c r="R793" i="3"/>
  <c r="S793" i="3"/>
  <c r="R713" i="3"/>
  <c r="S713" i="3"/>
  <c r="R585" i="3"/>
  <c r="S585" i="3"/>
  <c r="S569" i="3"/>
  <c r="R569" i="3"/>
  <c r="R393" i="3"/>
  <c r="S393" i="3"/>
  <c r="R377" i="3"/>
  <c r="S377" i="3"/>
  <c r="R153" i="3"/>
  <c r="S153" i="3"/>
  <c r="R137" i="3"/>
  <c r="S137" i="3"/>
  <c r="R121" i="3"/>
  <c r="S121" i="3"/>
  <c r="R73" i="3"/>
  <c r="S73" i="3"/>
  <c r="R41" i="3"/>
  <c r="S41" i="3"/>
  <c r="S1098" i="3"/>
  <c r="R890" i="3"/>
  <c r="R532" i="3"/>
  <c r="R490" i="3"/>
  <c r="S1054" i="3"/>
  <c r="R1054" i="3"/>
  <c r="R718" i="3"/>
  <c r="S718" i="3"/>
  <c r="R702" i="3"/>
  <c r="S702" i="3"/>
  <c r="R446" i="3"/>
  <c r="S446" i="3"/>
  <c r="R414" i="3"/>
  <c r="S414" i="3"/>
  <c r="R398" i="3"/>
  <c r="S398" i="3"/>
  <c r="R366" i="3"/>
  <c r="S366" i="3"/>
  <c r="R126" i="3"/>
  <c r="S126" i="3"/>
  <c r="R78" i="3"/>
  <c r="S78" i="3"/>
  <c r="S1183" i="3"/>
  <c r="S1177" i="3"/>
  <c r="S537" i="3"/>
  <c r="R771" i="3"/>
  <c r="S771" i="3"/>
  <c r="S755" i="3"/>
  <c r="R755" i="3"/>
  <c r="R307" i="3"/>
  <c r="S307" i="3"/>
  <c r="R195" i="3"/>
  <c r="S195" i="3"/>
  <c r="R163" i="3"/>
  <c r="S163" i="3"/>
  <c r="R67" i="3"/>
  <c r="S67" i="3"/>
  <c r="R1208" i="3"/>
  <c r="S1208" i="3"/>
  <c r="R1160" i="3"/>
  <c r="S1160" i="3"/>
  <c r="R952" i="3"/>
  <c r="S952" i="3"/>
  <c r="R648" i="3"/>
  <c r="S648" i="3"/>
  <c r="R520" i="3"/>
  <c r="S520" i="3"/>
  <c r="R472" i="3"/>
  <c r="S472" i="3"/>
  <c r="S424" i="3"/>
  <c r="R424" i="3"/>
  <c r="R360" i="3"/>
  <c r="S360" i="3"/>
  <c r="R232" i="3"/>
  <c r="S232" i="3"/>
  <c r="R200" i="3"/>
  <c r="S200" i="3"/>
  <c r="R152" i="3"/>
  <c r="S152" i="3"/>
  <c r="R40" i="3"/>
  <c r="S40" i="3"/>
  <c r="S1231" i="3"/>
  <c r="S1219" i="3"/>
  <c r="S1075" i="3"/>
  <c r="S542" i="3"/>
  <c r="S357" i="3"/>
  <c r="R1229" i="3"/>
  <c r="S1229" i="3"/>
  <c r="R1165" i="3"/>
  <c r="S1165" i="3"/>
  <c r="R861" i="3"/>
  <c r="S861" i="3"/>
  <c r="R781" i="3"/>
  <c r="V781" i="3" s="1"/>
  <c r="S781" i="3"/>
  <c r="R605" i="3"/>
  <c r="S605" i="3"/>
  <c r="R525" i="3"/>
  <c r="S525" i="3"/>
  <c r="R509" i="3"/>
  <c r="S509" i="3"/>
  <c r="S477" i="3"/>
  <c r="R477" i="3"/>
  <c r="R461" i="3"/>
  <c r="S461" i="3"/>
  <c r="R445" i="3"/>
  <c r="S445" i="3"/>
  <c r="R429" i="3"/>
  <c r="S429" i="3"/>
  <c r="R237" i="3"/>
  <c r="S237" i="3"/>
  <c r="R221" i="3"/>
  <c r="S221" i="3"/>
  <c r="R173" i="3"/>
  <c r="S173" i="3"/>
  <c r="R141" i="3"/>
  <c r="S141" i="3"/>
  <c r="R1096" i="3"/>
  <c r="S989" i="3"/>
  <c r="P989" i="3" s="1"/>
  <c r="S741" i="3"/>
  <c r="R259" i="3"/>
  <c r="S217" i="3"/>
  <c r="R1010" i="3"/>
  <c r="S1010" i="3"/>
  <c r="R706" i="3"/>
  <c r="S706" i="3"/>
  <c r="R546" i="3"/>
  <c r="S546" i="3"/>
  <c r="R354" i="3"/>
  <c r="S354" i="3"/>
  <c r="R194" i="3"/>
  <c r="S194" i="3"/>
  <c r="R1117" i="3"/>
  <c r="Q1117" i="3" s="1"/>
  <c r="S301" i="3"/>
  <c r="T301" i="3" s="1"/>
  <c r="R296" i="3"/>
  <c r="S258" i="3"/>
  <c r="R136" i="3"/>
  <c r="R743" i="3"/>
  <c r="S743" i="3"/>
  <c r="R615" i="3"/>
  <c r="S615" i="3"/>
  <c r="R567" i="3"/>
  <c r="S567" i="3"/>
  <c r="R455" i="3"/>
  <c r="S455" i="3"/>
  <c r="R215" i="3"/>
  <c r="S215" i="3"/>
  <c r="R1145" i="3"/>
  <c r="P1145" i="3" s="1"/>
  <c r="R974" i="3"/>
  <c r="S931" i="3"/>
  <c r="S887" i="3"/>
  <c r="R814" i="3"/>
  <c r="R792" i="3"/>
  <c r="S733" i="3"/>
  <c r="Q733" i="3" s="1"/>
  <c r="S610" i="3"/>
  <c r="S586" i="3"/>
  <c r="S42" i="3"/>
  <c r="R844" i="3"/>
  <c r="S844" i="3"/>
  <c r="R700" i="3"/>
  <c r="S700" i="3"/>
  <c r="S604" i="3"/>
  <c r="R604" i="3"/>
  <c r="R556" i="3"/>
  <c r="S556" i="3"/>
  <c r="R92" i="3"/>
  <c r="S92" i="3"/>
  <c r="R60" i="3"/>
  <c r="S60" i="3"/>
  <c r="S1199" i="3"/>
  <c r="S739" i="3"/>
  <c r="S493" i="3"/>
  <c r="S458" i="3"/>
  <c r="S409" i="3"/>
  <c r="S375" i="3"/>
  <c r="R1193" i="3"/>
  <c r="S1180" i="3"/>
  <c r="S1162" i="3"/>
  <c r="S1156" i="3"/>
  <c r="S1150" i="3"/>
  <c r="S1066" i="3"/>
  <c r="R1052" i="3"/>
  <c r="S1037" i="3"/>
  <c r="Q1037" i="3" s="1"/>
  <c r="S1002" i="3"/>
  <c r="S973" i="3"/>
  <c r="S938" i="3"/>
  <c r="S893" i="3"/>
  <c r="P893" i="3" s="1"/>
  <c r="S856" i="3"/>
  <c r="R842" i="3"/>
  <c r="R828" i="3"/>
  <c r="P828" i="3" s="1"/>
  <c r="S813" i="3"/>
  <c r="P813" i="3" s="1"/>
  <c r="S799" i="3"/>
  <c r="S791" i="3"/>
  <c r="S717" i="3"/>
  <c r="Q717" i="3" s="1"/>
  <c r="S701" i="3"/>
  <c r="P701" i="3" s="1"/>
  <c r="R670" i="3"/>
  <c r="S663" i="3"/>
  <c r="P663" i="3" s="1"/>
  <c r="R632" i="3"/>
  <c r="P632" i="3" s="1"/>
  <c r="S620" i="3"/>
  <c r="S549" i="3"/>
  <c r="S498" i="3"/>
  <c r="R487" i="3"/>
  <c r="S463" i="3"/>
  <c r="S423" i="3"/>
  <c r="S295" i="3"/>
  <c r="S252" i="3"/>
  <c r="R236" i="3"/>
  <c r="S185" i="3"/>
  <c r="R170" i="3"/>
  <c r="S135" i="3"/>
  <c r="R56" i="3"/>
  <c r="R693" i="3"/>
  <c r="S693" i="3"/>
  <c r="R677" i="3"/>
  <c r="S677" i="3"/>
  <c r="R645" i="3"/>
  <c r="S645" i="3"/>
  <c r="R181" i="3"/>
  <c r="S181" i="3"/>
  <c r="R165" i="3"/>
  <c r="S165" i="3"/>
  <c r="R117" i="3"/>
  <c r="S117" i="3"/>
  <c r="R37" i="3"/>
  <c r="S37" i="3"/>
  <c r="R21" i="3"/>
  <c r="S21" i="3"/>
  <c r="R906" i="3"/>
  <c r="S906" i="3"/>
  <c r="S202" i="3"/>
  <c r="R202" i="3"/>
  <c r="R90" i="3"/>
  <c r="S90" i="3"/>
  <c r="S922" i="3"/>
  <c r="R1119" i="3"/>
  <c r="S1119" i="3"/>
  <c r="R1039" i="3"/>
  <c r="V1039" i="3" s="1"/>
  <c r="S1039" i="3"/>
  <c r="S671" i="3"/>
  <c r="R671" i="3"/>
  <c r="R623" i="3"/>
  <c r="S623" i="3"/>
  <c r="R607" i="3"/>
  <c r="S607" i="3"/>
  <c r="R575" i="3"/>
  <c r="S575" i="3"/>
  <c r="R303" i="3"/>
  <c r="S303" i="3"/>
  <c r="R255" i="3"/>
  <c r="S255" i="3"/>
  <c r="R826" i="3"/>
  <c r="S373" i="3"/>
  <c r="T373" i="3" s="1"/>
  <c r="R1108" i="3"/>
  <c r="S1108" i="3"/>
  <c r="R1060" i="3"/>
  <c r="S1060" i="3"/>
  <c r="R980" i="3"/>
  <c r="S980" i="3"/>
  <c r="R916" i="3"/>
  <c r="S916" i="3"/>
  <c r="R820" i="3"/>
  <c r="S820" i="3"/>
  <c r="R724" i="3"/>
  <c r="S724" i="3"/>
  <c r="R660" i="3"/>
  <c r="S660" i="3"/>
  <c r="S564" i="3"/>
  <c r="R564" i="3"/>
  <c r="R516" i="3"/>
  <c r="S516" i="3"/>
  <c r="R452" i="3"/>
  <c r="S452" i="3"/>
  <c r="R372" i="3"/>
  <c r="S372" i="3"/>
  <c r="R132" i="3"/>
  <c r="S132" i="3"/>
  <c r="R116" i="3"/>
  <c r="S116" i="3"/>
  <c r="S511" i="3"/>
  <c r="R1097" i="3"/>
  <c r="S1097" i="3"/>
  <c r="R1001" i="3"/>
  <c r="S1001" i="3"/>
  <c r="R953" i="3"/>
  <c r="S953" i="3"/>
  <c r="R905" i="3"/>
  <c r="S905" i="3"/>
  <c r="R841" i="3"/>
  <c r="S841" i="3"/>
  <c r="R457" i="3"/>
  <c r="S457" i="3"/>
  <c r="S297" i="3"/>
  <c r="R297" i="3"/>
  <c r="R265" i="3"/>
  <c r="S265" i="3"/>
  <c r="R233" i="3"/>
  <c r="S233" i="3"/>
  <c r="S201" i="3"/>
  <c r="R201" i="3"/>
  <c r="S729" i="3"/>
  <c r="S697" i="3"/>
  <c r="S212" i="3"/>
  <c r="S31" i="3"/>
  <c r="S1022" i="3"/>
  <c r="R1022" i="3"/>
  <c r="S878" i="3"/>
  <c r="R878" i="3"/>
  <c r="V878" i="3" s="1"/>
  <c r="R766" i="3"/>
  <c r="S766" i="3"/>
  <c r="R558" i="3"/>
  <c r="S558" i="3"/>
  <c r="S222" i="3"/>
  <c r="R222" i="3"/>
  <c r="R158" i="3"/>
  <c r="S158" i="3"/>
  <c r="R110" i="3"/>
  <c r="S110" i="3"/>
  <c r="R14" i="3"/>
  <c r="S14" i="3"/>
  <c r="S601" i="3"/>
  <c r="R378" i="3"/>
  <c r="S197" i="3"/>
  <c r="T197" i="3" s="1"/>
  <c r="R867" i="3"/>
  <c r="S867" i="3"/>
  <c r="R515" i="3"/>
  <c r="S515" i="3"/>
  <c r="R483" i="3"/>
  <c r="S483" i="3"/>
  <c r="R451" i="3"/>
  <c r="S451" i="3"/>
  <c r="S435" i="3"/>
  <c r="R435" i="3"/>
  <c r="R371" i="3"/>
  <c r="S371" i="3"/>
  <c r="R243" i="3"/>
  <c r="S243" i="3"/>
  <c r="R227" i="3"/>
  <c r="S227" i="3"/>
  <c r="R179" i="3"/>
  <c r="S179" i="3"/>
  <c r="R147" i="3"/>
  <c r="S147" i="3"/>
  <c r="S254" i="3"/>
  <c r="R1224" i="3"/>
  <c r="S1224" i="3"/>
  <c r="R1176" i="3"/>
  <c r="S1176" i="3"/>
  <c r="R1112" i="3"/>
  <c r="S1112" i="3"/>
  <c r="R1080" i="3"/>
  <c r="S1080" i="3"/>
  <c r="R1016" i="3"/>
  <c r="S1016" i="3"/>
  <c r="R776" i="3"/>
  <c r="S776" i="3"/>
  <c r="R712" i="3"/>
  <c r="S712" i="3"/>
  <c r="R696" i="3"/>
  <c r="S696" i="3"/>
  <c r="S328" i="3"/>
  <c r="R328" i="3"/>
  <c r="R312" i="3"/>
  <c r="S312" i="3"/>
  <c r="R216" i="3"/>
  <c r="S216" i="3"/>
  <c r="S184" i="3"/>
  <c r="R184" i="3"/>
  <c r="R168" i="3"/>
  <c r="S168" i="3"/>
  <c r="S968" i="3"/>
  <c r="S335" i="3"/>
  <c r="R1181" i="3"/>
  <c r="S1181" i="3"/>
  <c r="R909" i="3"/>
  <c r="S909" i="3"/>
  <c r="R797" i="3"/>
  <c r="V797" i="3" s="1"/>
  <c r="S797" i="3"/>
  <c r="R749" i="3"/>
  <c r="S749" i="3"/>
  <c r="R685" i="3"/>
  <c r="S685" i="3"/>
  <c r="R653" i="3"/>
  <c r="S653" i="3"/>
  <c r="R589" i="3"/>
  <c r="S589" i="3"/>
  <c r="R573" i="3"/>
  <c r="S573" i="3"/>
  <c r="R349" i="3"/>
  <c r="S349" i="3"/>
  <c r="R269" i="3"/>
  <c r="S269" i="3"/>
  <c r="R253" i="3"/>
  <c r="S253" i="3"/>
  <c r="R109" i="3"/>
  <c r="S109" i="3"/>
  <c r="R93" i="3"/>
  <c r="S93" i="3"/>
  <c r="R947" i="3"/>
  <c r="S895" i="3"/>
  <c r="S611" i="3"/>
  <c r="S581" i="3"/>
  <c r="T581" i="3" s="1"/>
  <c r="R430" i="3"/>
  <c r="R238" i="3"/>
  <c r="S164" i="3"/>
  <c r="R1138" i="3"/>
  <c r="S1138" i="3"/>
  <c r="R1074" i="3"/>
  <c r="S1074" i="3"/>
  <c r="R850" i="3"/>
  <c r="S850" i="3"/>
  <c r="R434" i="3"/>
  <c r="S434" i="3"/>
  <c r="R386" i="3"/>
  <c r="S386" i="3"/>
  <c r="R226" i="3"/>
  <c r="S226" i="3"/>
  <c r="R210" i="3"/>
  <c r="S210" i="3"/>
  <c r="R178" i="3"/>
  <c r="S178" i="3"/>
  <c r="R146" i="3"/>
  <c r="S146" i="3"/>
  <c r="R114" i="3"/>
  <c r="S114" i="3"/>
  <c r="R82" i="3"/>
  <c r="S82" i="3"/>
  <c r="S874" i="3"/>
  <c r="S858" i="3"/>
  <c r="R403" i="3"/>
  <c r="R157" i="3"/>
  <c r="T157" i="3" s="1"/>
  <c r="R122" i="3"/>
  <c r="R903" i="3"/>
  <c r="V903" i="3" s="1"/>
  <c r="S903" i="3"/>
  <c r="R679" i="3"/>
  <c r="S679" i="3"/>
  <c r="R535" i="3"/>
  <c r="S535" i="3"/>
  <c r="S327" i="3"/>
  <c r="R327" i="3"/>
  <c r="R183" i="3"/>
  <c r="S183" i="3"/>
  <c r="R167" i="3"/>
  <c r="S167" i="3"/>
  <c r="R87" i="3"/>
  <c r="S87" i="3"/>
  <c r="S71" i="3"/>
  <c r="R71" i="3"/>
  <c r="R39" i="3"/>
  <c r="S39" i="3"/>
  <c r="S1230" i="3"/>
  <c r="R1038" i="3"/>
  <c r="S1031" i="3"/>
  <c r="S835" i="3"/>
  <c r="R664" i="3"/>
  <c r="Q664" i="3" s="1"/>
  <c r="R492" i="3"/>
  <c r="S492" i="3"/>
  <c r="R364" i="3"/>
  <c r="S364" i="3"/>
  <c r="S332" i="3"/>
  <c r="R332" i="3"/>
  <c r="R204" i="3"/>
  <c r="S204" i="3"/>
  <c r="R1123" i="3"/>
  <c r="S1116" i="3"/>
  <c r="S686" i="3"/>
  <c r="Q686" i="3" s="1"/>
  <c r="S1130" i="3"/>
  <c r="S1101" i="3"/>
  <c r="P1101" i="3" s="1"/>
  <c r="R1186" i="3"/>
  <c r="S1143" i="3"/>
  <c r="S1122" i="3"/>
  <c r="S1079" i="3"/>
  <c r="S1058" i="3"/>
  <c r="S1015" i="3"/>
  <c r="S994" i="3"/>
  <c r="S951" i="3"/>
  <c r="S930" i="3"/>
  <c r="S908" i="3"/>
  <c r="P908" i="3" s="1"/>
  <c r="R871" i="3"/>
  <c r="S834" i="3"/>
  <c r="S732" i="3"/>
  <c r="S709" i="3"/>
  <c r="Q709" i="3" s="1"/>
  <c r="R584" i="3"/>
  <c r="T584" i="3" s="1"/>
  <c r="S540" i="3"/>
  <c r="R437" i="3"/>
  <c r="T437" i="3" s="1"/>
  <c r="S428" i="3"/>
  <c r="S415" i="3"/>
  <c r="R381" i="3"/>
  <c r="T381" i="3" s="1"/>
  <c r="S338" i="3"/>
  <c r="S318" i="3"/>
  <c r="T318" i="3" s="1"/>
  <c r="S313" i="3"/>
  <c r="S300" i="3"/>
  <c r="S270" i="3"/>
  <c r="R149" i="3"/>
  <c r="S140" i="3"/>
  <c r="R517" i="3"/>
  <c r="S517" i="3"/>
  <c r="R421" i="3"/>
  <c r="S421" i="3"/>
  <c r="R277" i="3"/>
  <c r="S277" i="3"/>
  <c r="R261" i="3"/>
  <c r="S261" i="3"/>
  <c r="R229" i="3"/>
  <c r="S229" i="3"/>
  <c r="R53" i="3"/>
  <c r="S53" i="3"/>
  <c r="R762" i="3"/>
  <c r="S762" i="3"/>
  <c r="R746" i="3"/>
  <c r="S746" i="3"/>
  <c r="R730" i="3"/>
  <c r="S730" i="3"/>
  <c r="R666" i="3"/>
  <c r="S666" i="3"/>
  <c r="R650" i="3"/>
  <c r="Q650" i="3" s="1"/>
  <c r="S650" i="3"/>
  <c r="R442" i="3"/>
  <c r="S442" i="3"/>
  <c r="R410" i="3"/>
  <c r="S410" i="3"/>
  <c r="R394" i="3"/>
  <c r="S394" i="3"/>
  <c r="R346" i="3"/>
  <c r="S346" i="3"/>
  <c r="R314" i="3"/>
  <c r="S314" i="3"/>
  <c r="R74" i="3"/>
  <c r="S74" i="3"/>
  <c r="R26" i="3"/>
  <c r="S26" i="3"/>
  <c r="S1050" i="3"/>
  <c r="R1135" i="3"/>
  <c r="V1135" i="3" s="1"/>
  <c r="S1135" i="3"/>
  <c r="R1071" i="3"/>
  <c r="S1071" i="3"/>
  <c r="R1007" i="3"/>
  <c r="V1007" i="3" s="1"/>
  <c r="S1007" i="3"/>
  <c r="R991" i="3"/>
  <c r="S991" i="3"/>
  <c r="R943" i="3"/>
  <c r="S943" i="3"/>
  <c r="R927" i="3"/>
  <c r="S927" i="3"/>
  <c r="R831" i="3"/>
  <c r="S831" i="3"/>
  <c r="S735" i="3"/>
  <c r="R735" i="3"/>
  <c r="S719" i="3"/>
  <c r="R719" i="3"/>
  <c r="V719" i="3" s="1"/>
  <c r="R351" i="3"/>
  <c r="S351" i="3"/>
  <c r="R159" i="3"/>
  <c r="S159" i="3"/>
  <c r="R95" i="3"/>
  <c r="S95" i="3"/>
  <c r="R63" i="3"/>
  <c r="S63" i="3"/>
  <c r="R47" i="3"/>
  <c r="S47" i="3"/>
  <c r="R1124" i="3"/>
  <c r="S1124" i="3"/>
  <c r="R1044" i="3"/>
  <c r="S1044" i="3"/>
  <c r="R996" i="3"/>
  <c r="S996" i="3"/>
  <c r="R948" i="3"/>
  <c r="S948" i="3"/>
  <c r="R884" i="3"/>
  <c r="S884" i="3"/>
  <c r="R836" i="3"/>
  <c r="S836" i="3"/>
  <c r="R804" i="3"/>
  <c r="S804" i="3"/>
  <c r="R692" i="3"/>
  <c r="S692" i="3"/>
  <c r="R580" i="3"/>
  <c r="S580" i="3"/>
  <c r="R260" i="3"/>
  <c r="S260" i="3"/>
  <c r="R244" i="3"/>
  <c r="S244" i="3"/>
  <c r="R228" i="3"/>
  <c r="S228" i="3"/>
  <c r="R196" i="3"/>
  <c r="S196" i="3"/>
  <c r="R751" i="3"/>
  <c r="P751" i="3" s="1"/>
  <c r="S602" i="3"/>
  <c r="S234" i="3"/>
  <c r="R213" i="3"/>
  <c r="T213" i="3" s="1"/>
  <c r="R1129" i="3"/>
  <c r="S1129" i="3"/>
  <c r="R1033" i="3"/>
  <c r="S1033" i="3"/>
  <c r="R937" i="3"/>
  <c r="S937" i="3"/>
  <c r="R889" i="3"/>
  <c r="S889" i="3"/>
  <c r="R809" i="3"/>
  <c r="S809" i="3"/>
  <c r="R777" i="3"/>
  <c r="V777" i="3" s="1"/>
  <c r="S777" i="3"/>
  <c r="R617" i="3"/>
  <c r="S617" i="3"/>
  <c r="R521" i="3"/>
  <c r="S521" i="3"/>
  <c r="S505" i="3"/>
  <c r="R505" i="3"/>
  <c r="R613" i="3"/>
  <c r="T613" i="3" s="1"/>
  <c r="S910" i="3"/>
  <c r="R910" i="3"/>
  <c r="S782" i="3"/>
  <c r="R782" i="3"/>
  <c r="S334" i="3"/>
  <c r="R334" i="3"/>
  <c r="R302" i="3"/>
  <c r="S302" i="3"/>
  <c r="R62" i="3"/>
  <c r="S62" i="3"/>
  <c r="R915" i="3"/>
  <c r="S915" i="3"/>
  <c r="R803" i="3"/>
  <c r="S803" i="3"/>
  <c r="R787" i="3"/>
  <c r="V787" i="3" s="1"/>
  <c r="S787" i="3"/>
  <c r="S707" i="3"/>
  <c r="R707" i="3"/>
  <c r="S499" i="3"/>
  <c r="R499" i="3"/>
  <c r="S419" i="3"/>
  <c r="R419" i="3"/>
  <c r="S211" i="3"/>
  <c r="R1192" i="3"/>
  <c r="S1192" i="3"/>
  <c r="R1048" i="3"/>
  <c r="S1048" i="3"/>
  <c r="R984" i="3"/>
  <c r="S984" i="3"/>
  <c r="R920" i="3"/>
  <c r="S920" i="3"/>
  <c r="R552" i="3"/>
  <c r="S552" i="3"/>
  <c r="S120" i="3"/>
  <c r="R120" i="3"/>
  <c r="R24" i="3"/>
  <c r="S24" i="3"/>
  <c r="S489" i="3"/>
  <c r="S425" i="3"/>
  <c r="R1197" i="3"/>
  <c r="V1197" i="3" s="1"/>
  <c r="S1197" i="3"/>
  <c r="R1149" i="3"/>
  <c r="S1149" i="3"/>
  <c r="S333" i="3"/>
  <c r="R333" i="3"/>
  <c r="R205" i="3"/>
  <c r="S205" i="3"/>
  <c r="R189" i="3"/>
  <c r="S189" i="3"/>
  <c r="S1053" i="3"/>
  <c r="P1053" i="3" s="1"/>
  <c r="S815" i="3"/>
  <c r="R734" i="3"/>
  <c r="S665" i="3"/>
  <c r="S494" i="3"/>
  <c r="R405" i="3"/>
  <c r="T405" i="3" s="1"/>
  <c r="R376" i="3"/>
  <c r="R1042" i="3"/>
  <c r="S1042" i="3"/>
  <c r="R978" i="3"/>
  <c r="S978" i="3"/>
  <c r="R946" i="3"/>
  <c r="S946" i="3"/>
  <c r="R898" i="3"/>
  <c r="S898" i="3"/>
  <c r="R722" i="3"/>
  <c r="S722" i="3"/>
  <c r="R690" i="3"/>
  <c r="S690" i="3"/>
  <c r="R626" i="3"/>
  <c r="S626" i="3"/>
  <c r="R242" i="3"/>
  <c r="S242" i="3"/>
  <c r="R1218" i="3"/>
  <c r="S1018" i="3"/>
  <c r="S911" i="3"/>
  <c r="R778" i="3"/>
  <c r="R687" i="3"/>
  <c r="Q687" i="3" s="1"/>
  <c r="R578" i="3"/>
  <c r="S536" i="3"/>
  <c r="R309" i="3"/>
  <c r="T309" i="3" s="1"/>
  <c r="R855" i="3"/>
  <c r="V855" i="3" s="1"/>
  <c r="S855" i="3"/>
  <c r="R775" i="3"/>
  <c r="S775" i="3"/>
  <c r="R647" i="3"/>
  <c r="S647" i="3"/>
  <c r="P647" i="3" s="1"/>
  <c r="R247" i="3"/>
  <c r="S247" i="3"/>
  <c r="R1102" i="3"/>
  <c r="S1059" i="3"/>
  <c r="R514" i="3"/>
  <c r="S382" i="3"/>
  <c r="T382" i="3" s="1"/>
  <c r="S361" i="3"/>
  <c r="S308" i="3"/>
  <c r="S29" i="3"/>
  <c r="T29" i="3" s="1"/>
  <c r="R812" i="3"/>
  <c r="S812" i="3"/>
  <c r="R684" i="3"/>
  <c r="S684" i="3"/>
  <c r="S636" i="3"/>
  <c r="R636" i="3"/>
  <c r="S412" i="3"/>
  <c r="R412" i="3"/>
  <c r="R316" i="3"/>
  <c r="S316" i="3"/>
  <c r="R44" i="3"/>
  <c r="S44" i="3"/>
  <c r="R28" i="3"/>
  <c r="S28" i="3"/>
  <c r="R798" i="3"/>
  <c r="R655" i="3"/>
  <c r="R639" i="3"/>
  <c r="Q639" i="3" s="1"/>
  <c r="S631" i="3"/>
  <c r="P631" i="3" s="1"/>
  <c r="R590" i="3"/>
  <c r="R367" i="3"/>
  <c r="T367" i="3" s="1"/>
  <c r="S325" i="3"/>
  <c r="T325" i="3" s="1"/>
  <c r="R199" i="3"/>
  <c r="T199" i="3" s="1"/>
  <c r="S169" i="3"/>
  <c r="S148" i="3"/>
  <c r="R545" i="3"/>
  <c r="S545" i="3"/>
  <c r="R417" i="3"/>
  <c r="S417" i="3"/>
  <c r="R129" i="3"/>
  <c r="S129" i="3"/>
  <c r="O613" i="5"/>
  <c r="P559" i="5"/>
  <c r="Q287" i="5"/>
  <c r="O175" i="5"/>
  <c r="N575" i="5"/>
  <c r="Q399" i="5"/>
  <c r="Q191" i="5"/>
  <c r="O111" i="5"/>
  <c r="P15" i="5"/>
  <c r="N367" i="5"/>
  <c r="N63" i="5"/>
  <c r="O621" i="5"/>
  <c r="N926" i="5"/>
  <c r="N641" i="5"/>
  <c r="N1022" i="5"/>
  <c r="O990" i="5"/>
  <c r="O960" i="5"/>
  <c r="N944" i="5"/>
  <c r="O936" i="5"/>
  <c r="O896" i="5"/>
  <c r="O872" i="5"/>
  <c r="O768" i="5"/>
  <c r="O760" i="5"/>
  <c r="O736" i="5"/>
  <c r="O720" i="5"/>
  <c r="O712" i="5"/>
  <c r="O672" i="5"/>
  <c r="O58" i="5"/>
  <c r="N1168" i="5"/>
  <c r="O1128" i="5"/>
  <c r="N1112" i="5"/>
  <c r="N1096" i="5"/>
  <c r="N1064" i="5"/>
  <c r="O1016" i="5"/>
  <c r="N992" i="5"/>
  <c r="O704" i="5"/>
  <c r="O648" i="5"/>
  <c r="N712" i="5"/>
  <c r="N936" i="5"/>
  <c r="R731" i="5"/>
  <c r="O632" i="5"/>
  <c r="P590" i="5"/>
  <c r="Q582" i="5"/>
  <c r="P566" i="5"/>
  <c r="Q550" i="5"/>
  <c r="P534" i="5"/>
  <c r="P518" i="5"/>
  <c r="Q502" i="5"/>
  <c r="P494" i="5"/>
  <c r="P486" i="5"/>
  <c r="Q470" i="5"/>
  <c r="Q462" i="5"/>
  <c r="Q454" i="5"/>
  <c r="Q438" i="5"/>
  <c r="P430" i="5"/>
  <c r="Q422" i="5"/>
  <c r="O612" i="5"/>
  <c r="S620" i="5"/>
  <c r="S612" i="5"/>
  <c r="S1228" i="5"/>
  <c r="S1220" i="5"/>
  <c r="S1212" i="5"/>
  <c r="S1204" i="5"/>
  <c r="S1196" i="5"/>
  <c r="S1188" i="5"/>
  <c r="S1180" i="5"/>
  <c r="S1172" i="5"/>
  <c r="S1164" i="5"/>
  <c r="S1156" i="5"/>
  <c r="S1148" i="5"/>
  <c r="S1140" i="5"/>
  <c r="S1132" i="5"/>
  <c r="S1124" i="5"/>
  <c r="S1116" i="5"/>
  <c r="S1108" i="5"/>
  <c r="S1100" i="5"/>
  <c r="S1092" i="5"/>
  <c r="S1084" i="5"/>
  <c r="S1076" i="5"/>
  <c r="S1068" i="5"/>
  <c r="S1060" i="5"/>
  <c r="S708" i="5"/>
  <c r="S700" i="5"/>
  <c r="S692" i="5"/>
  <c r="S684" i="5"/>
  <c r="S676" i="5"/>
  <c r="S668" i="5"/>
  <c r="S660" i="5"/>
  <c r="S652" i="5"/>
  <c r="S644" i="5"/>
  <c r="S636" i="5"/>
  <c r="S628" i="5"/>
  <c r="O747" i="5"/>
  <c r="N747" i="5"/>
  <c r="O1216" i="5"/>
  <c r="O1168" i="5"/>
  <c r="O1152" i="5"/>
  <c r="N1136" i="5"/>
  <c r="N896" i="5"/>
  <c r="O880" i="5"/>
  <c r="O816" i="5"/>
  <c r="O784" i="5"/>
  <c r="S760" i="5"/>
  <c r="Q760" i="5" s="1"/>
  <c r="R752" i="5"/>
  <c r="S418" i="5"/>
  <c r="S242" i="5"/>
  <c r="S58" i="5"/>
  <c r="S34" i="5"/>
  <c r="S18" i="5"/>
  <c r="R10" i="5"/>
  <c r="S1200" i="5"/>
  <c r="R1184" i="5"/>
  <c r="S1176" i="5"/>
  <c r="S1168" i="5"/>
  <c r="R1160" i="5"/>
  <c r="S1128" i="5"/>
  <c r="R1112" i="5"/>
  <c r="R1104" i="5"/>
  <c r="S1096" i="5"/>
  <c r="S1088" i="5"/>
  <c r="R1080" i="5"/>
  <c r="R1064" i="5"/>
  <c r="R1056" i="5"/>
  <c r="R1048" i="5"/>
  <c r="R1032" i="5"/>
  <c r="R1024" i="5"/>
  <c r="R1016" i="5"/>
  <c r="R1008" i="5"/>
  <c r="R1000" i="5"/>
  <c r="N707" i="5"/>
  <c r="R992" i="5"/>
  <c r="R984" i="5"/>
  <c r="S968" i="5"/>
  <c r="R944" i="5"/>
  <c r="R936" i="5"/>
  <c r="S928" i="5"/>
  <c r="S920" i="5"/>
  <c r="R912" i="5"/>
  <c r="R904" i="5"/>
  <c r="S888" i="5"/>
  <c r="R880" i="5"/>
  <c r="R872" i="5"/>
  <c r="P872" i="5" s="1"/>
  <c r="R864" i="5"/>
  <c r="R856" i="5"/>
  <c r="R848" i="5"/>
  <c r="R840" i="5"/>
  <c r="R832" i="5"/>
  <c r="R824" i="5"/>
  <c r="R808" i="5"/>
  <c r="S1064" i="5"/>
  <c r="R1200" i="5"/>
  <c r="S944" i="5"/>
  <c r="S864" i="5"/>
  <c r="R591" i="5"/>
  <c r="R575" i="5"/>
  <c r="R551" i="5"/>
  <c r="R543" i="5"/>
  <c r="R535" i="5"/>
  <c r="S519" i="5"/>
  <c r="R511" i="5"/>
  <c r="S495" i="5"/>
  <c r="S487" i="5"/>
  <c r="R471" i="5"/>
  <c r="R447" i="5"/>
  <c r="R439" i="5"/>
  <c r="S423" i="5"/>
  <c r="S415" i="5"/>
  <c r="S399" i="5"/>
  <c r="S375" i="5"/>
  <c r="S351" i="5"/>
  <c r="S335" i="5"/>
  <c r="R327" i="5"/>
  <c r="R303" i="5"/>
  <c r="R295" i="5"/>
  <c r="R271" i="5"/>
  <c r="R263" i="5"/>
  <c r="S247" i="5"/>
  <c r="S239" i="5"/>
  <c r="R223" i="5"/>
  <c r="R199" i="5"/>
  <c r="R175" i="5"/>
  <c r="S167" i="5"/>
  <c r="S159" i="5"/>
  <c r="R135" i="5"/>
  <c r="R111" i="5"/>
  <c r="R63" i="5"/>
  <c r="R47" i="5"/>
  <c r="R621" i="5"/>
  <c r="R613" i="5"/>
  <c r="S1197" i="5"/>
  <c r="R1157" i="5"/>
  <c r="S1101" i="5"/>
  <c r="R853" i="5"/>
  <c r="S1184" i="5"/>
  <c r="S936" i="5"/>
  <c r="S856" i="5"/>
  <c r="S1160" i="5"/>
  <c r="S1000" i="5"/>
  <c r="S912" i="5"/>
  <c r="R1176" i="5"/>
  <c r="R18" i="5"/>
  <c r="R928" i="5"/>
  <c r="S840" i="5"/>
  <c r="S10" i="5"/>
  <c r="S1008" i="5"/>
  <c r="R920" i="5"/>
  <c r="S992" i="5"/>
  <c r="S904" i="5"/>
  <c r="S808" i="5"/>
  <c r="S803" i="5"/>
  <c r="S848" i="5"/>
  <c r="P58" i="5"/>
  <c r="N1224" i="5"/>
  <c r="O1048" i="5"/>
  <c r="O1032" i="5"/>
  <c r="N1016" i="5"/>
  <c r="N1008" i="5"/>
  <c r="O992" i="5"/>
  <c r="N864" i="5"/>
  <c r="O856" i="5"/>
  <c r="O840" i="5"/>
  <c r="N808" i="5"/>
  <c r="N800" i="5"/>
  <c r="S984" i="5"/>
  <c r="R602" i="5"/>
  <c r="S498" i="5"/>
  <c r="S434" i="5"/>
  <c r="S402" i="5"/>
  <c r="S306" i="5"/>
  <c r="S250" i="5"/>
  <c r="R234" i="5"/>
  <c r="R202" i="5"/>
  <c r="S186" i="5"/>
  <c r="R154" i="5"/>
  <c r="S138" i="5"/>
  <c r="S130" i="5"/>
  <c r="S122" i="5"/>
  <c r="R34" i="5"/>
  <c r="S26" i="5"/>
  <c r="R624" i="5"/>
  <c r="P624" i="5" s="1"/>
  <c r="R616" i="5"/>
  <c r="S1232" i="5"/>
  <c r="R1216" i="5"/>
  <c r="S1192" i="5"/>
  <c r="S1152" i="5"/>
  <c r="R1128" i="5"/>
  <c r="S1120" i="5"/>
  <c r="S1104" i="5"/>
  <c r="S1072" i="5"/>
  <c r="Q1072" i="5" s="1"/>
  <c r="S1048" i="5"/>
  <c r="S1040" i="5"/>
  <c r="S1032" i="5"/>
  <c r="R976" i="5"/>
  <c r="P976" i="5" s="1"/>
  <c r="R960" i="5"/>
  <c r="S952" i="5"/>
  <c r="R896" i="5"/>
  <c r="R888" i="5"/>
  <c r="S880" i="5"/>
  <c r="S824" i="5"/>
  <c r="R816" i="5"/>
  <c r="R688" i="5"/>
  <c r="R632" i="5"/>
  <c r="R1232" i="5"/>
  <c r="O800" i="5"/>
  <c r="N1032" i="5"/>
  <c r="S1052" i="5"/>
  <c r="S1044" i="5"/>
  <c r="S1036" i="5"/>
  <c r="S1028" i="5"/>
  <c r="S1020" i="5"/>
  <c r="S1012" i="5"/>
  <c r="S1004" i="5"/>
  <c r="S996" i="5"/>
  <c r="S988" i="5"/>
  <c r="S980" i="5"/>
  <c r="S972" i="5"/>
  <c r="S964" i="5"/>
  <c r="S956" i="5"/>
  <c r="S948" i="5"/>
  <c r="S940" i="5"/>
  <c r="S932" i="5"/>
  <c r="S924" i="5"/>
  <c r="S916" i="5"/>
  <c r="S908" i="5"/>
  <c r="S900" i="5"/>
  <c r="S892" i="5"/>
  <c r="S884" i="5"/>
  <c r="S876" i="5"/>
  <c r="S868" i="5"/>
  <c r="S860" i="5"/>
  <c r="S852" i="5"/>
  <c r="S844" i="5"/>
  <c r="S836" i="5"/>
  <c r="S828" i="5"/>
  <c r="S820" i="5"/>
  <c r="S812" i="5"/>
  <c r="S804" i="5"/>
  <c r="S796" i="5"/>
  <c r="S788" i="5"/>
  <c r="S780" i="5"/>
  <c r="S772" i="5"/>
  <c r="S764" i="5"/>
  <c r="S756" i="5"/>
  <c r="S748" i="5"/>
  <c r="S740" i="5"/>
  <c r="S732" i="5"/>
  <c r="S724" i="5"/>
  <c r="S716" i="5"/>
  <c r="R605" i="5"/>
  <c r="R589" i="5"/>
  <c r="S565" i="5"/>
  <c r="R557" i="5"/>
  <c r="R541" i="5"/>
  <c r="S533" i="5"/>
  <c r="R517" i="5"/>
  <c r="S509" i="5"/>
  <c r="S493" i="5"/>
  <c r="R485" i="5"/>
  <c r="R469" i="5"/>
  <c r="S461" i="5"/>
  <c r="R445" i="5"/>
  <c r="R437" i="5"/>
  <c r="R421" i="5"/>
  <c r="R413" i="5"/>
  <c r="R397" i="5"/>
  <c r="R389" i="5"/>
  <c r="R381" i="5"/>
  <c r="R373" i="5"/>
  <c r="S365" i="5"/>
  <c r="R357" i="5"/>
  <c r="R349" i="5"/>
  <c r="S341" i="5"/>
  <c r="R333" i="5"/>
  <c r="S325" i="5"/>
  <c r="R309" i="5"/>
  <c r="S301" i="5"/>
  <c r="R285" i="5"/>
  <c r="R277" i="5"/>
  <c r="R269" i="5"/>
  <c r="R261" i="5"/>
  <c r="S253" i="5"/>
  <c r="R245" i="5"/>
  <c r="S237" i="5"/>
  <c r="S229" i="5"/>
  <c r="S221" i="5"/>
  <c r="S213" i="5"/>
  <c r="S197" i="5"/>
  <c r="R189" i="5"/>
  <c r="S173" i="5"/>
  <c r="R165" i="5"/>
  <c r="R149" i="5"/>
  <c r="S141" i="5"/>
  <c r="R133" i="5"/>
  <c r="S125" i="5"/>
  <c r="S109" i="5"/>
  <c r="R101" i="5"/>
  <c r="S85" i="5"/>
  <c r="R77" i="5"/>
  <c r="R61" i="5"/>
  <c r="S53" i="5"/>
  <c r="R37" i="5"/>
  <c r="S29" i="5"/>
  <c r="R21" i="5"/>
  <c r="S13" i="5"/>
  <c r="S619" i="5"/>
  <c r="R1227" i="5"/>
  <c r="S1219" i="5"/>
  <c r="R1211" i="5"/>
  <c r="S1195" i="5"/>
  <c r="S1179" i="5"/>
  <c r="S1163" i="5"/>
  <c r="S1155" i="5"/>
  <c r="R1147" i="5"/>
  <c r="S1139" i="5"/>
  <c r="S1131" i="5"/>
  <c r="S1123" i="5"/>
  <c r="R1107" i="5"/>
  <c r="R1083" i="5"/>
  <c r="S1075" i="5"/>
  <c r="R1059" i="5"/>
  <c r="R1051" i="5"/>
  <c r="S1043" i="5"/>
  <c r="R1035" i="5"/>
  <c r="R1027" i="5"/>
  <c r="R1011" i="5"/>
  <c r="R1003" i="5"/>
  <c r="S995" i="5"/>
  <c r="R987" i="5"/>
  <c r="R979" i="5"/>
  <c r="S955" i="5"/>
  <c r="R939" i="5"/>
  <c r="S931" i="5"/>
  <c r="R923" i="5"/>
  <c r="R907" i="5"/>
  <c r="S891" i="5"/>
  <c r="R875" i="5"/>
  <c r="S851" i="5"/>
  <c r="R843" i="5"/>
  <c r="R835" i="5"/>
  <c r="R827" i="5"/>
  <c r="S819" i="5"/>
  <c r="R803" i="5"/>
  <c r="S795" i="5"/>
  <c r="S771" i="5"/>
  <c r="R763" i="5"/>
  <c r="R755" i="5"/>
  <c r="R747" i="5"/>
  <c r="S739" i="5"/>
  <c r="S731" i="5"/>
  <c r="S723" i="5"/>
  <c r="R715" i="5"/>
  <c r="S707" i="5"/>
  <c r="R699" i="5"/>
  <c r="S691" i="5"/>
  <c r="R683" i="5"/>
  <c r="R1120" i="5"/>
  <c r="O640" i="5"/>
  <c r="N1051" i="5"/>
  <c r="O763" i="5"/>
  <c r="O707" i="5"/>
  <c r="S675" i="5"/>
  <c r="R667" i="5"/>
  <c r="R659" i="5"/>
  <c r="S651" i="5"/>
  <c r="R635" i="5"/>
  <c r="R627" i="5"/>
  <c r="R138" i="5"/>
  <c r="R130" i="5"/>
  <c r="S816" i="5"/>
  <c r="S752" i="5"/>
  <c r="S688" i="5"/>
  <c r="S602" i="5"/>
  <c r="R330" i="5"/>
  <c r="S322" i="5"/>
  <c r="R314" i="5"/>
  <c r="R306" i="5"/>
  <c r="S290" i="5"/>
  <c r="S266" i="5"/>
  <c r="R250" i="5"/>
  <c r="R218" i="5"/>
  <c r="R114" i="5"/>
  <c r="S106" i="5"/>
  <c r="S90" i="5"/>
  <c r="R82" i="5"/>
  <c r="S74" i="5"/>
  <c r="R26" i="5"/>
  <c r="S624" i="5"/>
  <c r="S616" i="5"/>
  <c r="R1224" i="5"/>
  <c r="S1216" i="5"/>
  <c r="R1192" i="5"/>
  <c r="R1168" i="5"/>
  <c r="R1144" i="5"/>
  <c r="R1136" i="5"/>
  <c r="S1112" i="5"/>
  <c r="R1096" i="5"/>
  <c r="S1056" i="5"/>
  <c r="R1040" i="5"/>
  <c r="S1016" i="5"/>
  <c r="R968" i="5"/>
  <c r="R952" i="5"/>
  <c r="S1224" i="5"/>
  <c r="N1152" i="5"/>
  <c r="N952" i="5"/>
  <c r="N784" i="5"/>
  <c r="S1136" i="5"/>
  <c r="S82" i="5"/>
  <c r="N1059" i="5"/>
  <c r="N995" i="5"/>
  <c r="O811" i="5"/>
  <c r="O474" i="5"/>
  <c r="N410" i="5"/>
  <c r="O330" i="5"/>
  <c r="O1224" i="5"/>
  <c r="O1144" i="5"/>
  <c r="O1104" i="5"/>
  <c r="O1088" i="5"/>
  <c r="O1072" i="5"/>
  <c r="N1056" i="5"/>
  <c r="O1008" i="5"/>
  <c r="N968" i="5"/>
  <c r="N960" i="5"/>
  <c r="O952" i="5"/>
  <c r="O944" i="5"/>
  <c r="N880" i="5"/>
  <c r="N856" i="5"/>
  <c r="N840" i="5"/>
  <c r="O832" i="5"/>
  <c r="N816" i="5"/>
  <c r="N768" i="5"/>
  <c r="N736" i="5"/>
  <c r="T736" i="5" s="1"/>
  <c r="N728" i="5"/>
  <c r="N720" i="5"/>
  <c r="N672" i="5"/>
  <c r="N640" i="5"/>
  <c r="N632" i="5"/>
  <c r="N474" i="5"/>
  <c r="N330" i="5"/>
  <c r="Q154" i="5"/>
  <c r="N138" i="5"/>
  <c r="N1216" i="5"/>
  <c r="O1208" i="5"/>
  <c r="O1184" i="5"/>
  <c r="O1160" i="5"/>
  <c r="N1088" i="5"/>
  <c r="O1080" i="5"/>
  <c r="O1056" i="5"/>
  <c r="O1000" i="5"/>
  <c r="O984" i="5"/>
  <c r="O968" i="5"/>
  <c r="O928" i="5"/>
  <c r="O904" i="5"/>
  <c r="O888" i="5"/>
  <c r="N832" i="5"/>
  <c r="O824" i="5"/>
  <c r="O808" i="5"/>
  <c r="N760" i="5"/>
  <c r="O752" i="5"/>
  <c r="O744" i="5"/>
  <c r="N704" i="5"/>
  <c r="O696" i="5"/>
  <c r="N656" i="5"/>
  <c r="S594" i="5"/>
  <c r="S506" i="5"/>
  <c r="S458" i="5"/>
  <c r="S442" i="5"/>
  <c r="R402" i="5"/>
  <c r="R386" i="5"/>
  <c r="R338" i="5"/>
  <c r="S314" i="5"/>
  <c r="S298" i="5"/>
  <c r="R274" i="5"/>
  <c r="R242" i="5"/>
  <c r="R210" i="5"/>
  <c r="S202" i="5"/>
  <c r="R194" i="5"/>
  <c r="R170" i="5"/>
  <c r="R146" i="5"/>
  <c r="R122" i="5"/>
  <c r="S114" i="5"/>
  <c r="R90" i="5"/>
  <c r="R74" i="5"/>
  <c r="R66" i="5"/>
  <c r="R58" i="5"/>
  <c r="R42" i="5"/>
  <c r="R1208" i="5"/>
  <c r="R1152" i="5"/>
  <c r="S1144" i="5"/>
  <c r="R1088" i="5"/>
  <c r="S1080" i="5"/>
  <c r="S1024" i="5"/>
  <c r="S960" i="5"/>
  <c r="S896" i="5"/>
  <c r="S832" i="5"/>
  <c r="N888" i="5"/>
  <c r="N1160" i="5"/>
  <c r="R64" i="5"/>
  <c r="S24" i="5"/>
  <c r="O1187" i="5"/>
  <c r="O1163" i="5"/>
  <c r="N1091" i="5"/>
  <c r="O1027" i="5"/>
  <c r="N955" i="5"/>
  <c r="N947" i="5"/>
  <c r="O939" i="5"/>
  <c r="O899" i="5"/>
  <c r="O851" i="5"/>
  <c r="O779" i="5"/>
  <c r="O715" i="5"/>
  <c r="O667" i="5"/>
  <c r="O635" i="5"/>
  <c r="N696" i="5"/>
  <c r="N824" i="5"/>
  <c r="N1080" i="5"/>
  <c r="N752" i="5"/>
  <c r="N904" i="5"/>
  <c r="N1000" i="5"/>
  <c r="S194" i="5"/>
  <c r="S66" i="5"/>
  <c r="S699" i="5"/>
  <c r="S397" i="5"/>
  <c r="O792" i="5"/>
  <c r="O776" i="5"/>
  <c r="N744" i="5"/>
  <c r="O728" i="5"/>
  <c r="O688" i="5"/>
  <c r="O680" i="5"/>
  <c r="S755" i="5"/>
  <c r="S635" i="5"/>
  <c r="Q635" i="5" s="1"/>
  <c r="R776" i="5"/>
  <c r="P776" i="5" s="1"/>
  <c r="R720" i="5"/>
  <c r="R664" i="5"/>
  <c r="P664" i="5" s="1"/>
  <c r="R490" i="5"/>
  <c r="R450" i="5"/>
  <c r="Q538" i="5"/>
  <c r="N506" i="5"/>
  <c r="N346" i="5"/>
  <c r="P330" i="5"/>
  <c r="P282" i="5"/>
  <c r="Q266" i="5"/>
  <c r="N122" i="5"/>
  <c r="P106" i="5"/>
  <c r="Q74" i="5"/>
  <c r="Q58" i="5"/>
  <c r="N616" i="5"/>
  <c r="O1232" i="5"/>
  <c r="N1208" i="5"/>
  <c r="O1200" i="5"/>
  <c r="O1192" i="5"/>
  <c r="N1184" i="5"/>
  <c r="O1176" i="5"/>
  <c r="N1144" i="5"/>
  <c r="O1136" i="5"/>
  <c r="N1128" i="5"/>
  <c r="O1120" i="5"/>
  <c r="O1112" i="5"/>
  <c r="N1104" i="5"/>
  <c r="N1099" i="5"/>
  <c r="O1096" i="5"/>
  <c r="N1072" i="5"/>
  <c r="O1064" i="5"/>
  <c r="N1048" i="5"/>
  <c r="O1040" i="5"/>
  <c r="O1024" i="5"/>
  <c r="N984" i="5"/>
  <c r="N979" i="5"/>
  <c r="N976" i="5"/>
  <c r="N928" i="5"/>
  <c r="O920" i="5"/>
  <c r="O912" i="5"/>
  <c r="N872" i="5"/>
  <c r="O864" i="5"/>
  <c r="O848" i="5"/>
  <c r="N843" i="5"/>
  <c r="N787" i="5"/>
  <c r="O739" i="5"/>
  <c r="O664" i="5"/>
  <c r="S274" i="5"/>
  <c r="S146" i="5"/>
  <c r="R322" i="5"/>
  <c r="S64" i="5"/>
  <c r="R1155" i="5"/>
  <c r="N912" i="5"/>
  <c r="O976" i="5"/>
  <c r="N1040" i="5"/>
  <c r="N1192" i="5"/>
  <c r="S1027" i="5"/>
  <c r="Q330" i="5"/>
  <c r="N688" i="5"/>
  <c r="N792" i="5"/>
  <c r="N848" i="5"/>
  <c r="N1200" i="5"/>
  <c r="S1208" i="5"/>
  <c r="S210" i="5"/>
  <c r="S61" i="5"/>
  <c r="N920" i="5"/>
  <c r="R610" i="5"/>
  <c r="R594" i="5"/>
  <c r="R586" i="5"/>
  <c r="R578" i="5"/>
  <c r="R570" i="5"/>
  <c r="R562" i="5"/>
  <c r="S554" i="5"/>
  <c r="R546" i="5"/>
  <c r="R538" i="5"/>
  <c r="R530" i="5"/>
  <c r="R522" i="5"/>
  <c r="R514" i="5"/>
  <c r="R506" i="5"/>
  <c r="S490" i="5"/>
  <c r="R482" i="5"/>
  <c r="S474" i="5"/>
  <c r="R466" i="5"/>
  <c r="R458" i="5"/>
  <c r="S450" i="5"/>
  <c r="R434" i="5"/>
  <c r="R426" i="5"/>
  <c r="R418" i="5"/>
  <c r="R410" i="5"/>
  <c r="S394" i="5"/>
  <c r="S386" i="5"/>
  <c r="R378" i="5"/>
  <c r="R370" i="5"/>
  <c r="R362" i="5"/>
  <c r="R354" i="5"/>
  <c r="R346" i="5"/>
  <c r="S338" i="5"/>
  <c r="S330" i="5"/>
  <c r="R298" i="5"/>
  <c r="R290" i="5"/>
  <c r="R282" i="5"/>
  <c r="R266" i="5"/>
  <c r="R258" i="5"/>
  <c r="S234" i="5"/>
  <c r="R226" i="5"/>
  <c r="S218" i="5"/>
  <c r="R186" i="5"/>
  <c r="R178" i="5"/>
  <c r="S170" i="5"/>
  <c r="R162" i="5"/>
  <c r="R106" i="5"/>
  <c r="R98" i="5"/>
  <c r="R50" i="5"/>
  <c r="S42" i="5"/>
  <c r="S570" i="5"/>
  <c r="S538" i="5"/>
  <c r="S378" i="5"/>
  <c r="S50" i="5"/>
  <c r="S370" i="5"/>
  <c r="S258" i="5"/>
  <c r="S178" i="5"/>
  <c r="S98" i="5"/>
  <c r="S562" i="5"/>
  <c r="S530" i="5"/>
  <c r="N1203" i="5"/>
  <c r="O1067" i="5"/>
  <c r="N1027" i="5"/>
  <c r="N971" i="5"/>
  <c r="O819" i="5"/>
  <c r="O731" i="5"/>
  <c r="N899" i="5"/>
  <c r="S875" i="5"/>
  <c r="S923" i="5"/>
  <c r="S522" i="5"/>
  <c r="O1227" i="5"/>
  <c r="N1187" i="5"/>
  <c r="O1123" i="5"/>
  <c r="O1091" i="5"/>
  <c r="O1083" i="5"/>
  <c r="O1059" i="5"/>
  <c r="N1043" i="5"/>
  <c r="N1035" i="5"/>
  <c r="N1019" i="5"/>
  <c r="O1003" i="5"/>
  <c r="O995" i="5"/>
  <c r="O971" i="5"/>
  <c r="O963" i="5"/>
  <c r="N939" i="5"/>
  <c r="N923" i="5"/>
  <c r="N915" i="5"/>
  <c r="N891" i="5"/>
  <c r="N883" i="5"/>
  <c r="O875" i="5"/>
  <c r="N859" i="5"/>
  <c r="N851" i="5"/>
  <c r="N827" i="5"/>
  <c r="N811" i="5"/>
  <c r="N795" i="5"/>
  <c r="O787" i="5"/>
  <c r="N779" i="5"/>
  <c r="N771" i="5"/>
  <c r="N763" i="5"/>
  <c r="O755" i="5"/>
  <c r="N739" i="5"/>
  <c r="N731" i="5"/>
  <c r="O699" i="5"/>
  <c r="N683" i="5"/>
  <c r="O675" i="5"/>
  <c r="O659" i="5"/>
  <c r="O643" i="5"/>
  <c r="S466" i="5"/>
  <c r="S362" i="5"/>
  <c r="N680" i="5"/>
  <c r="T680" i="5" s="1"/>
  <c r="N776" i="5"/>
  <c r="N819" i="5"/>
  <c r="N1024" i="5"/>
  <c r="N1176" i="5"/>
  <c r="N1232" i="5"/>
  <c r="S354" i="5"/>
  <c r="N1067" i="5"/>
  <c r="N1120" i="5"/>
  <c r="N675" i="5"/>
  <c r="S154" i="5"/>
  <c r="N659" i="5"/>
  <c r="N699" i="5"/>
  <c r="P409" i="5"/>
  <c r="P329" i="5"/>
  <c r="O623" i="5"/>
  <c r="O615" i="5"/>
  <c r="R651" i="5"/>
  <c r="S586" i="5"/>
  <c r="R474" i="5"/>
  <c r="N755" i="5"/>
  <c r="N1123" i="5"/>
  <c r="N1227" i="5"/>
  <c r="R675" i="5"/>
  <c r="N610" i="5"/>
  <c r="O522" i="5"/>
  <c r="P410" i="5"/>
  <c r="O346" i="5"/>
  <c r="Q314" i="5"/>
  <c r="Q282" i="5"/>
  <c r="O234" i="5"/>
  <c r="N218" i="5"/>
  <c r="P186" i="5"/>
  <c r="N90" i="5"/>
  <c r="N58" i="5"/>
  <c r="Q10" i="5"/>
  <c r="O624" i="5"/>
  <c r="O616" i="5"/>
  <c r="O656" i="5"/>
  <c r="O678" i="5"/>
  <c r="N643" i="5"/>
  <c r="N963" i="5"/>
  <c r="S514" i="5"/>
  <c r="S426" i="5"/>
  <c r="N1003" i="5"/>
  <c r="O889" i="5"/>
  <c r="S245" i="5"/>
  <c r="O983" i="5"/>
  <c r="O943" i="5"/>
  <c r="O1219" i="5"/>
  <c r="N1179" i="5"/>
  <c r="N999" i="5"/>
  <c r="N951" i="5"/>
  <c r="O927" i="5"/>
  <c r="O727" i="5"/>
  <c r="S482" i="5"/>
  <c r="S226" i="5"/>
  <c r="S162" i="5"/>
  <c r="N823" i="5"/>
  <c r="O807" i="5"/>
  <c r="O743" i="5"/>
  <c r="S410" i="5"/>
  <c r="S346" i="5"/>
  <c r="S282" i="5"/>
  <c r="N799" i="5"/>
  <c r="O679" i="5"/>
  <c r="S1003" i="5"/>
  <c r="O959" i="5"/>
  <c r="N911" i="5"/>
  <c r="O871" i="5"/>
  <c r="O735" i="5"/>
  <c r="O687" i="5"/>
  <c r="O671" i="5"/>
  <c r="O1090" i="5"/>
  <c r="N1148" i="5"/>
  <c r="O844" i="5"/>
  <c r="O724" i="5"/>
  <c r="O1202" i="5"/>
  <c r="O1114" i="5"/>
  <c r="O1082" i="5"/>
  <c r="N1050" i="5"/>
  <c r="N1127" i="5"/>
  <c r="O1087" i="5"/>
  <c r="N1204" i="5"/>
  <c r="N1076" i="5"/>
  <c r="N1012" i="5"/>
  <c r="N932" i="5"/>
  <c r="N716" i="5"/>
  <c r="N1121" i="5"/>
  <c r="O1073" i="5"/>
  <c r="N1073" i="5"/>
  <c r="O1025" i="5"/>
  <c r="N1009" i="5"/>
  <c r="N953" i="5"/>
  <c r="O937" i="5"/>
  <c r="O897" i="5"/>
  <c r="O841" i="5"/>
  <c r="N825" i="5"/>
  <c r="O793" i="5"/>
  <c r="O777" i="5"/>
  <c r="N766" i="5"/>
  <c r="O737" i="5"/>
  <c r="O721" i="5"/>
  <c r="N713" i="5"/>
  <c r="O702" i="5"/>
  <c r="N689" i="5"/>
  <c r="O1206" i="5"/>
  <c r="O1178" i="5"/>
  <c r="O1122" i="5"/>
  <c r="N1026" i="5"/>
  <c r="N1223" i="5"/>
  <c r="O1167" i="5"/>
  <c r="N1135" i="5"/>
  <c r="N1119" i="5"/>
  <c r="O1212" i="5"/>
  <c r="N908" i="5"/>
  <c r="N868" i="5"/>
  <c r="N804" i="5"/>
  <c r="O740" i="5"/>
  <c r="O676" i="5"/>
  <c r="O1233" i="5"/>
  <c r="O1161" i="5"/>
  <c r="O1145" i="5"/>
  <c r="N1033" i="5"/>
  <c r="O1017" i="5"/>
  <c r="O977" i="5"/>
  <c r="O961" i="5"/>
  <c r="N881" i="5"/>
  <c r="O870" i="5"/>
  <c r="N870" i="5"/>
  <c r="O857" i="5"/>
  <c r="O817" i="5"/>
  <c r="N761" i="5"/>
  <c r="O745" i="5"/>
  <c r="N990" i="5"/>
  <c r="O1162" i="5"/>
  <c r="N1130" i="5"/>
  <c r="N1058" i="5"/>
  <c r="N1084" i="5"/>
  <c r="N1044" i="5"/>
  <c r="O852" i="5"/>
  <c r="O780" i="5"/>
  <c r="N1169" i="5"/>
  <c r="O1097" i="5"/>
  <c r="N1081" i="5"/>
  <c r="N1054" i="5"/>
  <c r="N1041" i="5"/>
  <c r="O1001" i="5"/>
  <c r="N985" i="5"/>
  <c r="O969" i="5"/>
  <c r="N913" i="5"/>
  <c r="O801" i="5"/>
  <c r="O790" i="5"/>
  <c r="N758" i="5"/>
  <c r="O729" i="5"/>
  <c r="O705" i="5"/>
  <c r="O681" i="5"/>
  <c r="O1218" i="5"/>
  <c r="N1154" i="5"/>
  <c r="N1138" i="5"/>
  <c r="N1098" i="5"/>
  <c r="O1034" i="5"/>
  <c r="N1215" i="5"/>
  <c r="O1159" i="5"/>
  <c r="N1095" i="5"/>
  <c r="O1031" i="5"/>
  <c r="O1228" i="5"/>
  <c r="O708" i="5"/>
  <c r="O1225" i="5"/>
  <c r="O1209" i="5"/>
  <c r="N1193" i="5"/>
  <c r="O1153" i="5"/>
  <c r="N1137" i="5"/>
  <c r="O1113" i="5"/>
  <c r="O1065" i="5"/>
  <c r="O945" i="5"/>
  <c r="O905" i="5"/>
  <c r="O894" i="5"/>
  <c r="O865" i="5"/>
  <c r="O849" i="5"/>
  <c r="O833" i="5"/>
  <c r="O809" i="5"/>
  <c r="O785" i="5"/>
  <c r="O769" i="5"/>
  <c r="O697" i="5"/>
  <c r="O673" i="5"/>
  <c r="O734" i="5"/>
  <c r="O1210" i="5"/>
  <c r="N788" i="5"/>
  <c r="N1201" i="5"/>
  <c r="O1185" i="5"/>
  <c r="O1129" i="5"/>
  <c r="O1105" i="5"/>
  <c r="O1089" i="5"/>
  <c r="O993" i="5"/>
  <c r="N889" i="5"/>
  <c r="O873" i="5"/>
  <c r="N753" i="5"/>
  <c r="O753" i="5"/>
  <c r="N1097" i="5"/>
  <c r="O926" i="5"/>
  <c r="O1018" i="5"/>
  <c r="O1010" i="5"/>
  <c r="O994" i="5"/>
  <c r="O986" i="5"/>
  <c r="N970" i="5"/>
  <c r="O954" i="5"/>
  <c r="N930" i="5"/>
  <c r="O914" i="5"/>
  <c r="O906" i="5"/>
  <c r="N890" i="5"/>
  <c r="O874" i="5"/>
  <c r="O866" i="5"/>
  <c r="O858" i="5"/>
  <c r="O850" i="5"/>
  <c r="O834" i="5"/>
  <c r="N818" i="5"/>
  <c r="O810" i="5"/>
  <c r="O802" i="5"/>
  <c r="O794" i="5"/>
  <c r="O786" i="5"/>
  <c r="O770" i="5"/>
  <c r="O754" i="5"/>
  <c r="O746" i="5"/>
  <c r="O738" i="5"/>
  <c r="O730" i="5"/>
  <c r="O714" i="5"/>
  <c r="N698" i="5"/>
  <c r="O690" i="5"/>
  <c r="O682" i="5"/>
  <c r="O674" i="5"/>
  <c r="O1222" i="5"/>
  <c r="N1206" i="5"/>
  <c r="O1195" i="5"/>
  <c r="O1126" i="5"/>
  <c r="S779" i="5"/>
  <c r="R779" i="5"/>
  <c r="R734" i="5"/>
  <c r="S1091" i="5"/>
  <c r="R1091" i="5"/>
  <c r="R971" i="5"/>
  <c r="S971" i="5"/>
  <c r="S787" i="5"/>
  <c r="R787" i="5"/>
  <c r="N1131" i="5"/>
  <c r="O1214" i="5"/>
  <c r="O1198" i="5"/>
  <c r="N1198" i="5"/>
  <c r="N1190" i="5"/>
  <c r="O1155" i="5"/>
  <c r="N1155" i="5"/>
  <c r="O1142" i="5"/>
  <c r="N1171" i="5"/>
  <c r="S1022" i="5"/>
  <c r="R859" i="5"/>
  <c r="S859" i="5"/>
  <c r="S811" i="5"/>
  <c r="R811" i="5"/>
  <c r="O1131" i="5"/>
  <c r="O1110" i="5"/>
  <c r="O1094" i="5"/>
  <c r="O1086" i="5"/>
  <c r="O1078" i="5"/>
  <c r="N1078" i="5"/>
  <c r="O1070" i="5"/>
  <c r="O1054" i="5"/>
  <c r="O1051" i="5"/>
  <c r="N1046" i="5"/>
  <c r="N1038" i="5"/>
  <c r="O1022" i="5"/>
  <c r="O1019" i="5"/>
  <c r="O1006" i="5"/>
  <c r="O987" i="5"/>
  <c r="N974" i="5"/>
  <c r="O966" i="5"/>
  <c r="O942" i="5"/>
  <c r="O934" i="5"/>
  <c r="O910" i="5"/>
  <c r="O907" i="5"/>
  <c r="N902" i="5"/>
  <c r="N894" i="5"/>
  <c r="O886" i="5"/>
  <c r="N878" i="5"/>
  <c r="N875" i="5"/>
  <c r="O862" i="5"/>
  <c r="N854" i="5"/>
  <c r="O846" i="5"/>
  <c r="O843" i="5"/>
  <c r="O838" i="5"/>
  <c r="O830" i="5"/>
  <c r="N814" i="5"/>
  <c r="O798" i="5"/>
  <c r="N790" i="5"/>
  <c r="O782" i="5"/>
  <c r="O766" i="5"/>
  <c r="O758" i="5"/>
  <c r="N750" i="5"/>
  <c r="O742" i="5"/>
  <c r="N734" i="5"/>
  <c r="N718" i="5"/>
  <c r="O710" i="5"/>
  <c r="N702" i="5"/>
  <c r="O694" i="5"/>
  <c r="N1107" i="5"/>
  <c r="O1043" i="5"/>
  <c r="O1075" i="5"/>
  <c r="P301" i="5"/>
  <c r="N45" i="5"/>
  <c r="N1219" i="5"/>
  <c r="O1211" i="5"/>
  <c r="O1203" i="5"/>
  <c r="N1195" i="5"/>
  <c r="O1179" i="5"/>
  <c r="O1171" i="5"/>
  <c r="N1163" i="5"/>
  <c r="O1147" i="5"/>
  <c r="N1139" i="5"/>
  <c r="O1115" i="5"/>
  <c r="O1107" i="5"/>
  <c r="O1099" i="5"/>
  <c r="N1083" i="5"/>
  <c r="N1075" i="5"/>
  <c r="O1035" i="5"/>
  <c r="O1011" i="5"/>
  <c r="N987" i="5"/>
  <c r="O979" i="5"/>
  <c r="O955" i="5"/>
  <c r="O947" i="5"/>
  <c r="O931" i="5"/>
  <c r="O923" i="5"/>
  <c r="O915" i="5"/>
  <c r="N907" i="5"/>
  <c r="O891" i="5"/>
  <c r="O883" i="5"/>
  <c r="O867" i="5"/>
  <c r="O859" i="5"/>
  <c r="O835" i="5"/>
  <c r="O827" i="5"/>
  <c r="O803" i="5"/>
  <c r="O795" i="5"/>
  <c r="O771" i="5"/>
  <c r="O723" i="5"/>
  <c r="N715" i="5"/>
  <c r="O691" i="5"/>
  <c r="O683" i="5"/>
  <c r="N667" i="5"/>
  <c r="N186" i="5"/>
  <c r="N522" i="5"/>
  <c r="O186" i="5"/>
  <c r="O1139" i="5"/>
  <c r="O109" i="5"/>
  <c r="Q93" i="5"/>
  <c r="Q77" i="5"/>
  <c r="N61" i="5"/>
  <c r="P45" i="5"/>
  <c r="N13" i="5"/>
  <c r="P5" i="5"/>
  <c r="N664" i="5"/>
  <c r="N691" i="5"/>
  <c r="N803" i="5"/>
  <c r="N835" i="5"/>
  <c r="N867" i="5"/>
  <c r="N1147" i="5"/>
  <c r="N1211" i="5"/>
  <c r="R1075" i="5"/>
  <c r="N624" i="5"/>
  <c r="N723" i="5"/>
  <c r="R1043" i="5"/>
  <c r="R995" i="5"/>
  <c r="S568" i="5"/>
  <c r="R528" i="5"/>
  <c r="S408" i="5"/>
  <c r="S296" i="5"/>
  <c r="R224" i="5"/>
  <c r="S152" i="5"/>
  <c r="R136" i="5"/>
  <c r="S128" i="5"/>
  <c r="S96" i="5"/>
  <c r="S88" i="5"/>
  <c r="R1190" i="5"/>
  <c r="S1070" i="5"/>
  <c r="S1030" i="5"/>
  <c r="S1006" i="5"/>
  <c r="R974" i="5"/>
  <c r="S966" i="5"/>
  <c r="R910" i="5"/>
  <c r="R902" i="5"/>
  <c r="R886" i="5"/>
  <c r="R822" i="5"/>
  <c r="R750" i="5"/>
  <c r="R670" i="5"/>
  <c r="N152" i="5"/>
  <c r="R1131" i="5"/>
  <c r="S578" i="5"/>
  <c r="O657" i="5"/>
  <c r="P136" i="5"/>
  <c r="O662" i="5"/>
  <c r="N654" i="5"/>
  <c r="O663" i="5"/>
  <c r="O652" i="5"/>
  <c r="O665" i="5"/>
  <c r="O974" i="5"/>
  <c r="S541" i="5"/>
  <c r="N660" i="5"/>
  <c r="N1094" i="5"/>
  <c r="N1126" i="5"/>
  <c r="N1222" i="5"/>
  <c r="S1227" i="5"/>
  <c r="S1051" i="5"/>
  <c r="O666" i="5"/>
  <c r="O654" i="5"/>
  <c r="N1006" i="5"/>
  <c r="S469" i="5"/>
  <c r="R1179" i="5"/>
  <c r="R1123" i="5"/>
  <c r="R341" i="5"/>
  <c r="O605" i="5"/>
  <c r="Q557" i="5"/>
  <c r="N509" i="5"/>
  <c r="O493" i="5"/>
  <c r="Q477" i="5"/>
  <c r="Q461" i="5"/>
  <c r="N445" i="5"/>
  <c r="P413" i="5"/>
  <c r="N376" i="5"/>
  <c r="O333" i="5"/>
  <c r="P221" i="5"/>
  <c r="O205" i="5"/>
  <c r="Q173" i="5"/>
  <c r="P141" i="5"/>
  <c r="O125" i="5"/>
  <c r="N635" i="5"/>
  <c r="O627" i="5"/>
  <c r="R982" i="5"/>
  <c r="R718" i="5"/>
  <c r="N841" i="5"/>
  <c r="O248" i="5"/>
  <c r="R221" i="5"/>
  <c r="R432" i="5"/>
  <c r="P248" i="5"/>
  <c r="N504" i="5"/>
  <c r="N705" i="5"/>
  <c r="R325" i="5"/>
  <c r="N168" i="5"/>
  <c r="N328" i="5"/>
  <c r="N216" i="5"/>
  <c r="R774" i="5"/>
  <c r="R654" i="5"/>
  <c r="O718" i="5"/>
  <c r="O825" i="5"/>
  <c r="O1201" i="5"/>
  <c r="N1225" i="5"/>
  <c r="R931" i="5"/>
  <c r="S261" i="5"/>
  <c r="R213" i="5"/>
  <c r="O8" i="5"/>
  <c r="R288" i="5"/>
  <c r="R942" i="5"/>
  <c r="R846" i="5"/>
  <c r="Q45" i="5"/>
  <c r="O854" i="5"/>
  <c r="N769" i="5"/>
  <c r="N1142" i="5"/>
  <c r="R1139" i="5"/>
  <c r="S907" i="5"/>
  <c r="R691" i="5"/>
  <c r="N873" i="5"/>
  <c r="N456" i="5"/>
  <c r="N104" i="5"/>
  <c r="N966" i="5"/>
  <c r="R88" i="5"/>
  <c r="O878" i="5"/>
  <c r="P234" i="5"/>
  <c r="N910" i="5"/>
  <c r="N969" i="5"/>
  <c r="R1163" i="5"/>
  <c r="S715" i="5"/>
  <c r="N88" i="5"/>
  <c r="Q234" i="5"/>
  <c r="R1219" i="5"/>
  <c r="R955" i="5"/>
  <c r="R554" i="5"/>
  <c r="S546" i="5"/>
  <c r="R498" i="5"/>
  <c r="R442" i="5"/>
  <c r="R394" i="5"/>
  <c r="O312" i="5"/>
  <c r="O689" i="5"/>
  <c r="N782" i="5"/>
  <c r="O1033" i="5"/>
  <c r="R544" i="5"/>
  <c r="R240" i="5"/>
  <c r="R128" i="5"/>
  <c r="R72" i="5"/>
  <c r="R48" i="5"/>
  <c r="R40" i="5"/>
  <c r="R894" i="5"/>
  <c r="P312" i="5"/>
  <c r="O1137" i="5"/>
  <c r="R576" i="5"/>
  <c r="R552" i="5"/>
  <c r="R360" i="5"/>
  <c r="R352" i="5"/>
  <c r="S272" i="5"/>
  <c r="R192" i="5"/>
  <c r="R104" i="5"/>
  <c r="R16" i="5"/>
  <c r="R1102" i="5"/>
  <c r="O713" i="5"/>
  <c r="N1161" i="5"/>
  <c r="R707" i="5"/>
  <c r="S133" i="5"/>
  <c r="O410" i="5"/>
  <c r="N838" i="5"/>
  <c r="N862" i="5"/>
  <c r="N931" i="5"/>
  <c r="N1011" i="5"/>
  <c r="N1115" i="5"/>
  <c r="O1138" i="5"/>
  <c r="S1211" i="5"/>
  <c r="R795" i="5"/>
  <c r="S610" i="5"/>
  <c r="R85" i="5"/>
  <c r="O168" i="5"/>
  <c r="O392" i="5"/>
  <c r="R504" i="5"/>
  <c r="P328" i="5"/>
  <c r="N694" i="5"/>
  <c r="N742" i="5"/>
  <c r="O814" i="5"/>
  <c r="N886" i="5"/>
  <c r="O1038" i="5"/>
  <c r="S1107" i="5"/>
  <c r="S1083" i="5"/>
  <c r="S1011" i="5"/>
  <c r="P1011" i="5" s="1"/>
  <c r="S843" i="5"/>
  <c r="R771" i="5"/>
  <c r="S747" i="5"/>
  <c r="R493" i="5"/>
  <c r="S437" i="5"/>
  <c r="S389" i="5"/>
  <c r="S333" i="5"/>
  <c r="N392" i="5"/>
  <c r="O953" i="5"/>
  <c r="N809" i="5"/>
  <c r="O902" i="5"/>
  <c r="R520" i="5"/>
  <c r="R456" i="5"/>
  <c r="R328" i="5"/>
  <c r="S224" i="5"/>
  <c r="R200" i="5"/>
  <c r="R184" i="5"/>
  <c r="R998" i="5"/>
  <c r="N77" i="5"/>
  <c r="N934" i="5"/>
  <c r="R891" i="5"/>
  <c r="R173" i="5"/>
  <c r="O220" i="5"/>
  <c r="O618" i="5"/>
  <c r="R565" i="5"/>
  <c r="R13" i="5"/>
  <c r="S505" i="5"/>
  <c r="S481" i="5"/>
  <c r="S433" i="5"/>
  <c r="S281" i="5"/>
  <c r="O89" i="5"/>
  <c r="S603" i="5"/>
  <c r="N603" i="5"/>
  <c r="Q539" i="5"/>
  <c r="P523" i="5"/>
  <c r="N507" i="5"/>
  <c r="O491" i="5"/>
  <c r="Q483" i="5"/>
  <c r="P467" i="5"/>
  <c r="Q459" i="5"/>
  <c r="P443" i="5"/>
  <c r="Q427" i="5"/>
  <c r="Q363" i="5"/>
  <c r="Q339" i="5"/>
  <c r="N331" i="5"/>
  <c r="N315" i="5"/>
  <c r="Q251" i="5"/>
  <c r="N235" i="5"/>
  <c r="Q227" i="5"/>
  <c r="P187" i="5"/>
  <c r="Q179" i="5"/>
  <c r="O155" i="5"/>
  <c r="O107" i="5"/>
  <c r="Q99" i="5"/>
  <c r="O91" i="5"/>
  <c r="Q83" i="5"/>
  <c r="N75" i="5"/>
  <c r="P43" i="5"/>
  <c r="Q35" i="5"/>
  <c r="Q11" i="5"/>
  <c r="O625" i="5"/>
  <c r="O617" i="5"/>
  <c r="N135" i="5"/>
  <c r="S511" i="5"/>
  <c r="N850" i="5"/>
  <c r="O890" i="5"/>
  <c r="R509" i="5"/>
  <c r="S373" i="5"/>
  <c r="R237" i="5"/>
  <c r="S200" i="5"/>
  <c r="R592" i="5"/>
  <c r="S576" i="5"/>
  <c r="S552" i="5"/>
  <c r="S544" i="5"/>
  <c r="S528" i="5"/>
  <c r="S520" i="5"/>
  <c r="S512" i="5"/>
  <c r="S504" i="5"/>
  <c r="S496" i="5"/>
  <c r="S488" i="5"/>
  <c r="S480" i="5"/>
  <c r="S472" i="5"/>
  <c r="S464" i="5"/>
  <c r="S456" i="5"/>
  <c r="S448" i="5"/>
  <c r="S440" i="5"/>
  <c r="S432" i="5"/>
  <c r="S424" i="5"/>
  <c r="S416" i="5"/>
  <c r="S400" i="5"/>
  <c r="S392" i="5"/>
  <c r="R384" i="5"/>
  <c r="S376" i="5"/>
  <c r="S368" i="5"/>
  <c r="S360" i="5"/>
  <c r="S352" i="5"/>
  <c r="S344" i="5"/>
  <c r="S328" i="5"/>
  <c r="S304" i="5"/>
  <c r="S288" i="5"/>
  <c r="S280" i="5"/>
  <c r="S256" i="5"/>
  <c r="S240" i="5"/>
  <c r="S232" i="5"/>
  <c r="S208" i="5"/>
  <c r="S192" i="5"/>
  <c r="S184" i="5"/>
  <c r="S168" i="5"/>
  <c r="S144" i="5"/>
  <c r="R112" i="5"/>
  <c r="S104" i="5"/>
  <c r="S80" i="5"/>
  <c r="S56" i="5"/>
  <c r="S48" i="5"/>
  <c r="S40" i="5"/>
  <c r="S32" i="5"/>
  <c r="R24" i="5"/>
  <c r="S16" i="5"/>
  <c r="S8" i="5"/>
  <c r="S998" i="5"/>
  <c r="R686" i="5"/>
  <c r="S413" i="5"/>
  <c r="R235" i="5"/>
  <c r="N344" i="5"/>
  <c r="O72" i="5"/>
  <c r="R365" i="5"/>
  <c r="S149" i="5"/>
  <c r="S72" i="5"/>
  <c r="Q258" i="5"/>
  <c r="S269" i="5"/>
  <c r="S101" i="5"/>
  <c r="R29" i="5"/>
  <c r="N786" i="5"/>
  <c r="S189" i="5"/>
  <c r="R533" i="5"/>
  <c r="S445" i="5"/>
  <c r="P423" i="5"/>
  <c r="Q423" i="5"/>
  <c r="O455" i="5"/>
  <c r="R311" i="5"/>
  <c r="S311" i="5"/>
  <c r="R287" i="5"/>
  <c r="S287" i="5"/>
  <c r="R151" i="5"/>
  <c r="S151" i="5"/>
  <c r="O1002" i="5"/>
  <c r="N1002" i="5"/>
  <c r="O882" i="5"/>
  <c r="N882" i="5"/>
  <c r="O658" i="5"/>
  <c r="N658" i="5"/>
  <c r="O537" i="5"/>
  <c r="Q521" i="5"/>
  <c r="N505" i="5"/>
  <c r="Q473" i="5"/>
  <c r="P457" i="5"/>
  <c r="Q425" i="5"/>
  <c r="R521" i="5"/>
  <c r="R433" i="5"/>
  <c r="R369" i="5"/>
  <c r="R289" i="5"/>
  <c r="R145" i="5"/>
  <c r="R25" i="5"/>
  <c r="S9" i="5"/>
  <c r="S1071" i="5"/>
  <c r="R687" i="5"/>
  <c r="O951" i="5"/>
  <c r="N406" i="5"/>
  <c r="N294" i="5"/>
  <c r="O214" i="5"/>
  <c r="N150" i="5"/>
  <c r="O118" i="5"/>
  <c r="N690" i="5"/>
  <c r="N770" i="5"/>
  <c r="S47" i="5"/>
  <c r="N754" i="5"/>
  <c r="O1050" i="5"/>
  <c r="O799" i="5"/>
  <c r="Q103" i="5"/>
  <c r="Q343" i="5"/>
  <c r="N343" i="5"/>
  <c r="R599" i="5"/>
  <c r="S599" i="5"/>
  <c r="R527" i="5"/>
  <c r="S527" i="5"/>
  <c r="R23" i="5"/>
  <c r="S23" i="5"/>
  <c r="O626" i="5"/>
  <c r="N626" i="5"/>
  <c r="N1042" i="5"/>
  <c r="O1042" i="5"/>
  <c r="N898" i="5"/>
  <c r="O898" i="5"/>
  <c r="N834" i="5"/>
  <c r="Q471" i="5"/>
  <c r="N994" i="5"/>
  <c r="P553" i="5"/>
  <c r="Q513" i="5"/>
  <c r="Q481" i="5"/>
  <c r="N441" i="5"/>
  <c r="N919" i="5"/>
  <c r="O919" i="5"/>
  <c r="O695" i="5"/>
  <c r="N695" i="5"/>
  <c r="R569" i="5"/>
  <c r="S457" i="5"/>
  <c r="R393" i="5"/>
  <c r="R297" i="5"/>
  <c r="R249" i="5"/>
  <c r="S209" i="5"/>
  <c r="R209" i="5"/>
  <c r="R161" i="5"/>
  <c r="R121" i="5"/>
  <c r="R41" i="5"/>
  <c r="S975" i="5"/>
  <c r="R927" i="5"/>
  <c r="Q87" i="5"/>
  <c r="N390" i="5"/>
  <c r="O342" i="5"/>
  <c r="N302" i="5"/>
  <c r="O818" i="5"/>
  <c r="N735" i="5"/>
  <c r="O103" i="5"/>
  <c r="O823" i="5"/>
  <c r="N1202" i="5"/>
  <c r="S439" i="5"/>
  <c r="P535" i="5"/>
  <c r="O535" i="5"/>
  <c r="S463" i="5"/>
  <c r="R463" i="5"/>
  <c r="S383" i="5"/>
  <c r="R383" i="5"/>
  <c r="N316" i="5"/>
  <c r="N1146" i="5"/>
  <c r="O1146" i="5"/>
  <c r="O1106" i="5"/>
  <c r="N1106" i="5"/>
  <c r="O962" i="5"/>
  <c r="N962" i="5"/>
  <c r="O842" i="5"/>
  <c r="N842" i="5"/>
  <c r="O826" i="5"/>
  <c r="N826" i="5"/>
  <c r="O778" i="5"/>
  <c r="N778" i="5"/>
  <c r="O722" i="5"/>
  <c r="N722" i="5"/>
  <c r="N706" i="5"/>
  <c r="O706" i="5"/>
  <c r="P471" i="5"/>
  <c r="R994" i="5"/>
  <c r="R335" i="5"/>
  <c r="P489" i="5"/>
  <c r="N393" i="5"/>
  <c r="N863" i="5"/>
  <c r="O863" i="5"/>
  <c r="S593" i="5"/>
  <c r="S577" i="5"/>
  <c r="R505" i="5"/>
  <c r="S473" i="5"/>
  <c r="R409" i="5"/>
  <c r="S385" i="5"/>
  <c r="R345" i="5"/>
  <c r="R273" i="5"/>
  <c r="R137" i="5"/>
  <c r="S97" i="5"/>
  <c r="S65" i="5"/>
  <c r="S1199" i="5"/>
  <c r="R1087" i="5"/>
  <c r="O358" i="5"/>
  <c r="N326" i="5"/>
  <c r="N198" i="5"/>
  <c r="O102" i="5"/>
  <c r="R159" i="5"/>
  <c r="O375" i="5"/>
  <c r="N671" i="5"/>
  <c r="N55" i="5"/>
  <c r="N1010" i="5"/>
  <c r="N1034" i="5"/>
  <c r="O1157" i="5"/>
  <c r="O503" i="5"/>
  <c r="P503" i="5"/>
  <c r="O439" i="5"/>
  <c r="P439" i="5"/>
  <c r="Q119" i="5"/>
  <c r="O119" i="5"/>
  <c r="P119" i="5"/>
  <c r="N119" i="5"/>
  <c r="P39" i="5"/>
  <c r="Q39" i="5"/>
  <c r="O39" i="5"/>
  <c r="O23" i="5"/>
  <c r="P23" i="5"/>
  <c r="S359" i="5"/>
  <c r="R359" i="5"/>
  <c r="R79" i="5"/>
  <c r="S79" i="5"/>
  <c r="O28" i="5"/>
  <c r="O1194" i="5"/>
  <c r="N1194" i="5"/>
  <c r="O1170" i="5"/>
  <c r="N1170" i="5"/>
  <c r="O978" i="5"/>
  <c r="N978" i="5"/>
  <c r="O922" i="5"/>
  <c r="N922" i="5"/>
  <c r="O762" i="5"/>
  <c r="N762" i="5"/>
  <c r="O970" i="5"/>
  <c r="O497" i="5"/>
  <c r="N25" i="5"/>
  <c r="O759" i="5"/>
  <c r="N759" i="5"/>
  <c r="R553" i="5"/>
  <c r="R481" i="5"/>
  <c r="S449" i="5"/>
  <c r="S401" i="5"/>
  <c r="R361" i="5"/>
  <c r="R281" i="5"/>
  <c r="S257" i="5"/>
  <c r="S185" i="5"/>
  <c r="R113" i="5"/>
  <c r="R615" i="5"/>
  <c r="N359" i="5"/>
  <c r="O374" i="5"/>
  <c r="O334" i="5"/>
  <c r="O246" i="5"/>
  <c r="O86" i="5"/>
  <c r="Q487" i="5"/>
  <c r="S575" i="5"/>
  <c r="N714" i="5"/>
  <c r="N1178" i="5"/>
  <c r="O55" i="5"/>
  <c r="O698" i="5"/>
  <c r="N1159" i="5"/>
  <c r="S303" i="5"/>
  <c r="N11" i="5"/>
  <c r="R1092" i="5"/>
  <c r="N1105" i="5"/>
  <c r="O528" i="5"/>
  <c r="Q488" i="5"/>
  <c r="P440" i="5"/>
  <c r="O328" i="5"/>
  <c r="N264" i="5"/>
  <c r="Q200" i="5"/>
  <c r="O184" i="5"/>
  <c r="P104" i="5"/>
  <c r="Q24" i="5"/>
  <c r="N627" i="5"/>
  <c r="R496" i="5"/>
  <c r="R480" i="5"/>
  <c r="R408" i="5"/>
  <c r="R296" i="5"/>
  <c r="R280" i="5"/>
  <c r="R264" i="5"/>
  <c r="R248" i="5"/>
  <c r="R232" i="5"/>
  <c r="R216" i="5"/>
  <c r="R80" i="5"/>
  <c r="R614" i="5"/>
  <c r="R934" i="5"/>
  <c r="R758" i="5"/>
  <c r="R638" i="5"/>
  <c r="N681" i="5"/>
  <c r="N710" i="5"/>
  <c r="O761" i="5"/>
  <c r="N777" i="5"/>
  <c r="N830" i="5"/>
  <c r="N942" i="5"/>
  <c r="N1086" i="5"/>
  <c r="N1129" i="5"/>
  <c r="R1195" i="5"/>
  <c r="S1059" i="5"/>
  <c r="S979" i="5"/>
  <c r="S939" i="5"/>
  <c r="S763" i="5"/>
  <c r="S683" i="5"/>
  <c r="S589" i="5"/>
  <c r="S421" i="5"/>
  <c r="O54" i="5"/>
  <c r="O22" i="5"/>
  <c r="N620" i="5"/>
  <c r="O264" i="5"/>
  <c r="R579" i="5"/>
  <c r="N745" i="5"/>
  <c r="N1001" i="5"/>
  <c r="N584" i="5"/>
  <c r="P536" i="5"/>
  <c r="O408" i="5"/>
  <c r="N120" i="5"/>
  <c r="O88" i="5"/>
  <c r="Q8" i="5"/>
  <c r="O614" i="5"/>
  <c r="N961" i="5"/>
  <c r="O1190" i="5"/>
  <c r="R568" i="5"/>
  <c r="R424" i="5"/>
  <c r="R336" i="5"/>
  <c r="R320" i="5"/>
  <c r="S312" i="5"/>
  <c r="R304" i="5"/>
  <c r="R256" i="5"/>
  <c r="R208" i="5"/>
  <c r="R168" i="5"/>
  <c r="S136" i="5"/>
  <c r="R120" i="5"/>
  <c r="R806" i="5"/>
  <c r="R782" i="5"/>
  <c r="R766" i="5"/>
  <c r="R742" i="5"/>
  <c r="R710" i="5"/>
  <c r="R694" i="5"/>
  <c r="O120" i="5"/>
  <c r="N200" i="5"/>
  <c r="N697" i="5"/>
  <c r="O750" i="5"/>
  <c r="N798" i="5"/>
  <c r="N817" i="5"/>
  <c r="N846" i="5"/>
  <c r="O1169" i="5"/>
  <c r="S1035" i="5"/>
  <c r="R851" i="5"/>
  <c r="R723" i="5"/>
  <c r="S659" i="5"/>
  <c r="Q659" i="5" s="1"/>
  <c r="S627" i="5"/>
  <c r="P627" i="5" s="1"/>
  <c r="S517" i="5"/>
  <c r="S349" i="5"/>
  <c r="R312" i="5"/>
  <c r="S277" i="5"/>
  <c r="O38" i="5"/>
  <c r="R611" i="5"/>
  <c r="S112" i="5"/>
  <c r="P472" i="5"/>
  <c r="Q424" i="5"/>
  <c r="Q392" i="5"/>
  <c r="P376" i="5"/>
  <c r="Q296" i="5"/>
  <c r="N708" i="5"/>
  <c r="O881" i="5"/>
  <c r="O1084" i="5"/>
  <c r="R608" i="5"/>
  <c r="R584" i="5"/>
  <c r="R560" i="5"/>
  <c r="R472" i="5"/>
  <c r="R448" i="5"/>
  <c r="S160" i="5"/>
  <c r="R144" i="5"/>
  <c r="R622" i="5"/>
  <c r="R1006" i="5"/>
  <c r="R678" i="5"/>
  <c r="R662" i="5"/>
  <c r="O200" i="5"/>
  <c r="N296" i="5"/>
  <c r="N662" i="5"/>
  <c r="N1025" i="5"/>
  <c r="O1046" i="5"/>
  <c r="N1070" i="5"/>
  <c r="N1110" i="5"/>
  <c r="O1193" i="5"/>
  <c r="S1147" i="5"/>
  <c r="S827" i="5"/>
  <c r="S485" i="5"/>
  <c r="S381" i="5"/>
  <c r="S77" i="5"/>
  <c r="N612" i="5"/>
  <c r="R347" i="5"/>
  <c r="Q520" i="5"/>
  <c r="O360" i="5"/>
  <c r="Q136" i="5"/>
  <c r="N72" i="5"/>
  <c r="N56" i="5"/>
  <c r="O40" i="5"/>
  <c r="O622" i="5"/>
  <c r="R600" i="5"/>
  <c r="R536" i="5"/>
  <c r="R272" i="5"/>
  <c r="S176" i="5"/>
  <c r="R152" i="5"/>
  <c r="R96" i="5"/>
  <c r="R56" i="5"/>
  <c r="R32" i="5"/>
  <c r="R8" i="5"/>
  <c r="S974" i="5"/>
  <c r="R950" i="5"/>
  <c r="R862" i="5"/>
  <c r="R854" i="5"/>
  <c r="R814" i="5"/>
  <c r="R726" i="5"/>
  <c r="R702" i="5"/>
  <c r="N40" i="5"/>
  <c r="O296" i="5"/>
  <c r="N440" i="5"/>
  <c r="N833" i="5"/>
  <c r="N1214" i="5"/>
  <c r="S309" i="5"/>
  <c r="R176" i="5"/>
  <c r="R585" i="5"/>
  <c r="S585" i="5"/>
  <c r="R329" i="5"/>
  <c r="S329" i="5"/>
  <c r="R305" i="5"/>
  <c r="S305" i="5"/>
  <c r="R217" i="5"/>
  <c r="S217" i="5"/>
  <c r="R89" i="5"/>
  <c r="S89" i="5"/>
  <c r="R49" i="5"/>
  <c r="S49" i="5"/>
  <c r="S553" i="5"/>
  <c r="P11" i="5"/>
  <c r="Q566" i="5"/>
  <c r="R479" i="5"/>
  <c r="S479" i="5"/>
  <c r="R455" i="5"/>
  <c r="S455" i="5"/>
  <c r="R431" i="5"/>
  <c r="S431" i="5"/>
  <c r="R407" i="5"/>
  <c r="S407" i="5"/>
  <c r="R391" i="5"/>
  <c r="S391" i="5"/>
  <c r="R367" i="5"/>
  <c r="S367" i="5"/>
  <c r="R343" i="5"/>
  <c r="S343" i="5"/>
  <c r="R319" i="5"/>
  <c r="S319" i="5"/>
  <c r="R279" i="5"/>
  <c r="S279" i="5"/>
  <c r="R255" i="5"/>
  <c r="S255" i="5"/>
  <c r="R231" i="5"/>
  <c r="S231" i="5"/>
  <c r="S215" i="5"/>
  <c r="R215" i="5"/>
  <c r="R207" i="5"/>
  <c r="S207" i="5"/>
  <c r="R191" i="5"/>
  <c r="S191" i="5"/>
  <c r="R183" i="5"/>
  <c r="S183" i="5"/>
  <c r="R143" i="5"/>
  <c r="S143" i="5"/>
  <c r="S127" i="5"/>
  <c r="R127" i="5"/>
  <c r="R119" i="5"/>
  <c r="S119" i="5"/>
  <c r="S103" i="5"/>
  <c r="R103" i="5"/>
  <c r="R95" i="5"/>
  <c r="S95" i="5"/>
  <c r="R87" i="5"/>
  <c r="S87" i="5"/>
  <c r="R71" i="5"/>
  <c r="S71" i="5"/>
  <c r="S55" i="5"/>
  <c r="R55" i="5"/>
  <c r="R39" i="5"/>
  <c r="S39" i="5"/>
  <c r="R31" i="5"/>
  <c r="S31" i="5"/>
  <c r="S15" i="5"/>
  <c r="R15" i="5"/>
  <c r="R7" i="5"/>
  <c r="S7" i="5"/>
  <c r="S861" i="5"/>
  <c r="R861" i="5"/>
  <c r="O425" i="5"/>
  <c r="R537" i="5"/>
  <c r="S537" i="5"/>
  <c r="R513" i="5"/>
  <c r="S513" i="5"/>
  <c r="R465" i="5"/>
  <c r="S465" i="5"/>
  <c r="R417" i="5"/>
  <c r="S417" i="5"/>
  <c r="R353" i="5"/>
  <c r="S353" i="5"/>
  <c r="R337" i="5"/>
  <c r="S337" i="5"/>
  <c r="S265" i="5"/>
  <c r="R265" i="5"/>
  <c r="R57" i="5"/>
  <c r="S57" i="5"/>
  <c r="S607" i="5"/>
  <c r="R607" i="5"/>
  <c r="R583" i="5"/>
  <c r="S583" i="5"/>
  <c r="S567" i="5"/>
  <c r="R567" i="5"/>
  <c r="S559" i="5"/>
  <c r="R559" i="5"/>
  <c r="R503" i="5"/>
  <c r="S503" i="5"/>
  <c r="S1225" i="5"/>
  <c r="P1225" i="5" s="1"/>
  <c r="S625" i="5"/>
  <c r="R577" i="5"/>
  <c r="S409" i="5"/>
  <c r="R385" i="5"/>
  <c r="S361" i="5"/>
  <c r="S263" i="5"/>
  <c r="R185" i="5"/>
  <c r="S25" i="5"/>
  <c r="N424" i="5"/>
  <c r="P488" i="5"/>
  <c r="O1204" i="5"/>
  <c r="S551" i="5"/>
  <c r="R457" i="5"/>
  <c r="S384" i="5"/>
  <c r="R239" i="5"/>
  <c r="R529" i="5"/>
  <c r="S529" i="5"/>
  <c r="R33" i="5"/>
  <c r="S33" i="5"/>
  <c r="O422" i="5"/>
  <c r="N617" i="5"/>
  <c r="R475" i="5"/>
  <c r="S475" i="5"/>
  <c r="O440" i="5"/>
  <c r="S615" i="5"/>
  <c r="R593" i="5"/>
  <c r="S569" i="5"/>
  <c r="S543" i="5"/>
  <c r="S521" i="5"/>
  <c r="R449" i="5"/>
  <c r="R399" i="5"/>
  <c r="R376" i="5"/>
  <c r="R257" i="5"/>
  <c r="S175" i="5"/>
  <c r="R115" i="5"/>
  <c r="Q584" i="5"/>
  <c r="P520" i="5"/>
  <c r="Q456" i="5"/>
  <c r="O123" i="5"/>
  <c r="N625" i="5"/>
  <c r="R225" i="5"/>
  <c r="S225" i="5"/>
  <c r="S1047" i="5"/>
  <c r="R1047" i="5"/>
  <c r="N566" i="5"/>
  <c r="O534" i="5"/>
  <c r="N278" i="5"/>
  <c r="O278" i="5"/>
  <c r="S617" i="5"/>
  <c r="R617" i="5"/>
  <c r="N443" i="5"/>
  <c r="O716" i="5"/>
  <c r="O868" i="5"/>
  <c r="S471" i="5"/>
  <c r="R423" i="5"/>
  <c r="R375" i="5"/>
  <c r="S327" i="5"/>
  <c r="S297" i="5"/>
  <c r="S145" i="5"/>
  <c r="R91" i="5"/>
  <c r="S608" i="5"/>
  <c r="S600" i="5"/>
  <c r="S592" i="5"/>
  <c r="S584" i="5"/>
  <c r="S560" i="5"/>
  <c r="R547" i="5"/>
  <c r="S536" i="5"/>
  <c r="R515" i="5"/>
  <c r="R483" i="5"/>
  <c r="R451" i="5"/>
  <c r="R371" i="5"/>
  <c r="R363" i="5"/>
  <c r="R267" i="5"/>
  <c r="R243" i="5"/>
  <c r="R219" i="5"/>
  <c r="R107" i="5"/>
  <c r="R67" i="5"/>
  <c r="R489" i="5"/>
  <c r="S489" i="5"/>
  <c r="R441" i="5"/>
  <c r="S441" i="5"/>
  <c r="R425" i="5"/>
  <c r="S425" i="5"/>
  <c r="S321" i="5"/>
  <c r="R321" i="5"/>
  <c r="S233" i="5"/>
  <c r="R233" i="5"/>
  <c r="R81" i="5"/>
  <c r="S81" i="5"/>
  <c r="R1079" i="5"/>
  <c r="S1079" i="5"/>
  <c r="O550" i="5"/>
  <c r="O486" i="5"/>
  <c r="O772" i="5"/>
  <c r="N772" i="5"/>
  <c r="O668" i="5"/>
  <c r="N668" i="5"/>
  <c r="R620" i="5"/>
  <c r="S1209" i="5"/>
  <c r="R1209" i="5"/>
  <c r="S1017" i="5"/>
  <c r="S591" i="5"/>
  <c r="R495" i="5"/>
  <c r="S447" i="5"/>
  <c r="R351" i="5"/>
  <c r="S273" i="5"/>
  <c r="S199" i="5"/>
  <c r="S41" i="5"/>
  <c r="Q568" i="5"/>
  <c r="O568" i="5"/>
  <c r="P456" i="5"/>
  <c r="O456" i="5"/>
  <c r="P349" i="5"/>
  <c r="Q349" i="5"/>
  <c r="O280" i="5"/>
  <c r="N280" i="5"/>
  <c r="O232" i="5"/>
  <c r="N232" i="5"/>
  <c r="Q29" i="5"/>
  <c r="P29" i="5"/>
  <c r="O29" i="5"/>
  <c r="N29" i="5"/>
  <c r="O1230" i="5"/>
  <c r="N1230" i="5"/>
  <c r="O1182" i="5"/>
  <c r="N1182" i="5"/>
  <c r="N1174" i="5"/>
  <c r="O1174" i="5"/>
  <c r="O1166" i="5"/>
  <c r="N1166" i="5"/>
  <c r="O1158" i="5"/>
  <c r="N1158" i="5"/>
  <c r="O1150" i="5"/>
  <c r="N1150" i="5"/>
  <c r="O1134" i="5"/>
  <c r="N1134" i="5"/>
  <c r="O1118" i="5"/>
  <c r="N1118" i="5"/>
  <c r="O1102" i="5"/>
  <c r="N1102" i="5"/>
  <c r="O1062" i="5"/>
  <c r="N1062" i="5"/>
  <c r="O1030" i="5"/>
  <c r="N1030" i="5"/>
  <c r="N1014" i="5"/>
  <c r="O1014" i="5"/>
  <c r="O998" i="5"/>
  <c r="N998" i="5"/>
  <c r="O982" i="5"/>
  <c r="N982" i="5"/>
  <c r="O958" i="5"/>
  <c r="N958" i="5"/>
  <c r="O950" i="5"/>
  <c r="N950" i="5"/>
  <c r="O918" i="5"/>
  <c r="N918" i="5"/>
  <c r="N822" i="5"/>
  <c r="O822" i="5"/>
  <c r="O806" i="5"/>
  <c r="N806" i="5"/>
  <c r="N774" i="5"/>
  <c r="O774" i="5"/>
  <c r="N726" i="5"/>
  <c r="O726" i="5"/>
  <c r="O686" i="5"/>
  <c r="N686" i="5"/>
  <c r="O670" i="5"/>
  <c r="N670" i="5"/>
  <c r="N651" i="5"/>
  <c r="O651" i="5"/>
  <c r="S201" i="5"/>
  <c r="R201" i="5"/>
  <c r="R193" i="5"/>
  <c r="S193" i="5"/>
  <c r="R169" i="5"/>
  <c r="S169" i="5"/>
  <c r="R129" i="5"/>
  <c r="S129" i="5"/>
  <c r="R17" i="5"/>
  <c r="S17" i="5"/>
  <c r="N478" i="5"/>
  <c r="O454" i="5"/>
  <c r="O134" i="5"/>
  <c r="P134" i="5"/>
  <c r="N1020" i="5"/>
  <c r="O1020" i="5"/>
  <c r="N892" i="5"/>
  <c r="O892" i="5"/>
  <c r="R401" i="5"/>
  <c r="R97" i="5"/>
  <c r="R443" i="5"/>
  <c r="S443" i="5"/>
  <c r="S195" i="5"/>
  <c r="R195" i="5"/>
  <c r="R561" i="5"/>
  <c r="S561" i="5"/>
  <c r="R497" i="5"/>
  <c r="S497" i="5"/>
  <c r="S313" i="5"/>
  <c r="R313" i="5"/>
  <c r="R177" i="5"/>
  <c r="S177" i="5"/>
  <c r="O518" i="5"/>
  <c r="R473" i="5"/>
  <c r="Q534" i="5"/>
  <c r="N852" i="5"/>
  <c r="R519" i="5"/>
  <c r="R395" i="5"/>
  <c r="S249" i="5"/>
  <c r="R549" i="5"/>
  <c r="S549" i="5"/>
  <c r="Q264" i="5"/>
  <c r="S295" i="5"/>
  <c r="R247" i="5"/>
  <c r="S223" i="5"/>
  <c r="R167" i="5"/>
  <c r="S137" i="5"/>
  <c r="S601" i="5"/>
  <c r="R601" i="5"/>
  <c r="R545" i="5"/>
  <c r="S545" i="5"/>
  <c r="R377" i="5"/>
  <c r="S377" i="5"/>
  <c r="O598" i="5"/>
  <c r="O502" i="5"/>
  <c r="R571" i="5"/>
  <c r="S571" i="5"/>
  <c r="R612" i="5"/>
  <c r="S993" i="5"/>
  <c r="R993" i="5"/>
  <c r="S539" i="5"/>
  <c r="R581" i="5"/>
  <c r="S581" i="5"/>
  <c r="R573" i="5"/>
  <c r="S573" i="5"/>
  <c r="N408" i="5"/>
  <c r="S557" i="5"/>
  <c r="S369" i="5"/>
  <c r="S271" i="5"/>
  <c r="R241" i="5"/>
  <c r="S241" i="5"/>
  <c r="R799" i="5"/>
  <c r="S799" i="5"/>
  <c r="O438" i="5"/>
  <c r="R1199" i="5"/>
  <c r="R507" i="5"/>
  <c r="S507" i="5"/>
  <c r="O620" i="5"/>
  <c r="R323" i="5"/>
  <c r="S113" i="5"/>
  <c r="R65" i="5"/>
  <c r="R597" i="5"/>
  <c r="S597" i="5"/>
  <c r="O136" i="5"/>
  <c r="P280" i="5"/>
  <c r="N472" i="5"/>
  <c r="O908" i="5"/>
  <c r="S535" i="5"/>
  <c r="R415" i="5"/>
  <c r="S393" i="5"/>
  <c r="S135" i="5"/>
  <c r="S111" i="5"/>
  <c r="S63" i="5"/>
  <c r="R9" i="5"/>
  <c r="R609" i="5"/>
  <c r="S609" i="5"/>
  <c r="S153" i="5"/>
  <c r="R153" i="5"/>
  <c r="R105" i="5"/>
  <c r="S105" i="5"/>
  <c r="R73" i="5"/>
  <c r="S73" i="5"/>
  <c r="R623" i="5"/>
  <c r="S623" i="5"/>
  <c r="N582" i="5"/>
  <c r="O470" i="5"/>
  <c r="N182" i="5"/>
  <c r="O182" i="5"/>
  <c r="Q75" i="5"/>
  <c r="P75" i="5"/>
  <c r="S121" i="5"/>
  <c r="S139" i="5"/>
  <c r="R139" i="5"/>
  <c r="R11" i="5"/>
  <c r="Q54" i="5"/>
  <c r="Q205" i="5"/>
  <c r="O472" i="5"/>
  <c r="S605" i="5"/>
  <c r="R487" i="5"/>
  <c r="R440" i="5"/>
  <c r="S345" i="5"/>
  <c r="S289" i="5"/>
  <c r="S161" i="5"/>
  <c r="S120" i="5"/>
  <c r="R253" i="5"/>
  <c r="S165" i="5"/>
  <c r="N536" i="5"/>
  <c r="N528" i="5"/>
  <c r="P504" i="5"/>
  <c r="P496" i="5"/>
  <c r="Q440" i="5"/>
  <c r="O424" i="5"/>
  <c r="O376" i="5"/>
  <c r="N360" i="5"/>
  <c r="N312" i="5"/>
  <c r="P296" i="5"/>
  <c r="Q280" i="5"/>
  <c r="N272" i="5"/>
  <c r="N248" i="5"/>
  <c r="P232" i="5"/>
  <c r="N184" i="5"/>
  <c r="O176" i="5"/>
  <c r="P168" i="5"/>
  <c r="P120" i="5"/>
  <c r="Q104" i="5"/>
  <c r="P72" i="5"/>
  <c r="P40" i="5"/>
  <c r="N8" i="5"/>
  <c r="O646" i="5"/>
  <c r="R69" i="5"/>
  <c r="S69" i="5"/>
  <c r="R1203" i="5"/>
  <c r="S1203" i="5"/>
  <c r="R1187" i="5"/>
  <c r="S1187" i="5"/>
  <c r="R1171" i="5"/>
  <c r="S1171" i="5"/>
  <c r="R1115" i="5"/>
  <c r="S1115" i="5"/>
  <c r="R1067" i="5"/>
  <c r="S1067" i="5"/>
  <c r="R1019" i="5"/>
  <c r="S1019" i="5"/>
  <c r="R963" i="5"/>
  <c r="S963" i="5"/>
  <c r="R915" i="5"/>
  <c r="S915" i="5"/>
  <c r="R899" i="5"/>
  <c r="S899" i="5"/>
  <c r="R883" i="5"/>
  <c r="S883" i="5"/>
  <c r="R867" i="5"/>
  <c r="S867" i="5"/>
  <c r="R643" i="5"/>
  <c r="S643" i="5"/>
  <c r="R501" i="5"/>
  <c r="S501" i="5"/>
  <c r="R488" i="5"/>
  <c r="R464" i="5"/>
  <c r="R416" i="5"/>
  <c r="R392" i="5"/>
  <c r="R205" i="5"/>
  <c r="S205" i="5"/>
  <c r="R181" i="5"/>
  <c r="S181" i="5"/>
  <c r="R157" i="5"/>
  <c r="S157" i="5"/>
  <c r="R117" i="5"/>
  <c r="S117" i="5"/>
  <c r="R93" i="5"/>
  <c r="S93" i="5"/>
  <c r="R45" i="5"/>
  <c r="S45" i="5"/>
  <c r="R5" i="5"/>
  <c r="S5" i="5"/>
  <c r="R1099" i="5"/>
  <c r="S1099" i="5"/>
  <c r="R947" i="5"/>
  <c r="S947" i="5"/>
  <c r="Q504" i="5"/>
  <c r="O1041" i="5"/>
  <c r="R819" i="5"/>
  <c r="R461" i="5"/>
  <c r="S357" i="5"/>
  <c r="S285" i="5"/>
  <c r="S216" i="5"/>
  <c r="R512" i="5"/>
  <c r="R453" i="5"/>
  <c r="S453" i="5"/>
  <c r="R429" i="5"/>
  <c r="S429" i="5"/>
  <c r="R405" i="5"/>
  <c r="S405" i="5"/>
  <c r="R317" i="5"/>
  <c r="S317" i="5"/>
  <c r="R293" i="5"/>
  <c r="S293" i="5"/>
  <c r="O316" i="5"/>
  <c r="R301" i="5"/>
  <c r="S248" i="5"/>
  <c r="P184" i="5"/>
  <c r="P316" i="5"/>
  <c r="N993" i="5"/>
  <c r="S987" i="5"/>
  <c r="S667" i="5"/>
  <c r="S336" i="5"/>
  <c r="R197" i="5"/>
  <c r="R160" i="5"/>
  <c r="R125" i="5"/>
  <c r="R109" i="5"/>
  <c r="S37" i="5"/>
  <c r="R525" i="5"/>
  <c r="S525" i="5"/>
  <c r="R477" i="5"/>
  <c r="S477" i="5"/>
  <c r="R400" i="5"/>
  <c r="R368" i="5"/>
  <c r="R344" i="5"/>
  <c r="R141" i="5"/>
  <c r="S21" i="5"/>
  <c r="Q184" i="5"/>
  <c r="Q232" i="5"/>
  <c r="Q316" i="5"/>
  <c r="P360" i="5"/>
  <c r="O1009" i="5"/>
  <c r="N1065" i="5"/>
  <c r="S835" i="5"/>
  <c r="R739" i="5"/>
  <c r="S320" i="5"/>
  <c r="S264" i="5"/>
  <c r="R229" i="5"/>
  <c r="R53" i="5"/>
  <c r="Q409" i="5"/>
  <c r="Q406" i="5"/>
  <c r="P398" i="5"/>
  <c r="Q393" i="5"/>
  <c r="Q390" i="5"/>
  <c r="Q385" i="5"/>
  <c r="Q377" i="5"/>
  <c r="Q374" i="5"/>
  <c r="N369" i="5"/>
  <c r="O361" i="5"/>
  <c r="Q358" i="5"/>
  <c r="Q353" i="5"/>
  <c r="P345" i="5"/>
  <c r="Q342" i="5"/>
  <c r="P334" i="5"/>
  <c r="Q329" i="5"/>
  <c r="Q326" i="5"/>
  <c r="Q318" i="5"/>
  <c r="Q313" i="5"/>
  <c r="P310" i="5"/>
  <c r="N297" i="5"/>
  <c r="O294" i="5"/>
  <c r="P286" i="5"/>
  <c r="O281" i="5"/>
  <c r="P278" i="5"/>
  <c r="Q265" i="5"/>
  <c r="Q262" i="5"/>
  <c r="P257" i="5"/>
  <c r="Q249" i="5"/>
  <c r="P246" i="5"/>
  <c r="Q241" i="5"/>
  <c r="N233" i="5"/>
  <c r="Q230" i="5"/>
  <c r="N217" i="5"/>
  <c r="P214" i="5"/>
  <c r="Q206" i="5"/>
  <c r="Q201" i="5"/>
  <c r="O198" i="5"/>
  <c r="N193" i="5"/>
  <c r="Q182" i="5"/>
  <c r="O169" i="5"/>
  <c r="O166" i="5"/>
  <c r="Q161" i="5"/>
  <c r="P153" i="5"/>
  <c r="O150" i="5"/>
  <c r="Q142" i="5"/>
  <c r="O137" i="5"/>
  <c r="Q134" i="5"/>
  <c r="P129" i="5"/>
  <c r="Q121" i="5"/>
  <c r="Q118" i="5"/>
  <c r="N105" i="5"/>
  <c r="P102" i="5"/>
  <c r="Q89" i="5"/>
  <c r="Q86" i="5"/>
  <c r="P78" i="5"/>
  <c r="Q73" i="5"/>
  <c r="Q70" i="5"/>
  <c r="Q57" i="5"/>
  <c r="P54" i="5"/>
  <c r="N41" i="5"/>
  <c r="P38" i="5"/>
  <c r="Q33" i="5"/>
  <c r="Q25" i="5"/>
  <c r="Q22" i="5"/>
  <c r="Q9" i="5"/>
  <c r="N6" i="5"/>
  <c r="N631" i="5"/>
  <c r="S1230" i="5"/>
  <c r="S1190" i="5"/>
  <c r="S1158" i="5"/>
  <c r="S1102" i="5"/>
  <c r="S1086" i="5"/>
  <c r="R1070" i="5"/>
  <c r="R1046" i="5"/>
  <c r="R1030" i="5"/>
  <c r="R1022" i="5"/>
  <c r="S982" i="5"/>
  <c r="R966" i="5"/>
  <c r="S950" i="5"/>
  <c r="S942" i="5"/>
  <c r="S934" i="5"/>
  <c r="S910" i="5"/>
  <c r="S902" i="5"/>
  <c r="S894" i="5"/>
  <c r="S886" i="5"/>
  <c r="S862" i="5"/>
  <c r="S854" i="5"/>
  <c r="S846" i="5"/>
  <c r="S838" i="5"/>
  <c r="S830" i="5"/>
  <c r="S822" i="5"/>
  <c r="S814" i="5"/>
  <c r="S806" i="5"/>
  <c r="S798" i="5"/>
  <c r="S790" i="5"/>
  <c r="S782" i="5"/>
  <c r="S774" i="5"/>
  <c r="S766" i="5"/>
  <c r="S758" i="5"/>
  <c r="S750" i="5"/>
  <c r="S742" i="5"/>
  <c r="S734" i="5"/>
  <c r="S726" i="5"/>
  <c r="S718" i="5"/>
  <c r="S710" i="5"/>
  <c r="S702" i="5"/>
  <c r="S694" i="5"/>
  <c r="S686" i="5"/>
  <c r="S678" i="5"/>
  <c r="S670" i="5"/>
  <c r="S662" i="5"/>
  <c r="S654" i="5"/>
  <c r="Q654" i="5" s="1"/>
  <c r="S638" i="5"/>
  <c r="O619" i="5"/>
  <c r="R619" i="5"/>
  <c r="S621" i="5"/>
  <c r="S613" i="5"/>
  <c r="Q588" i="5"/>
  <c r="O572" i="5"/>
  <c r="Q556" i="5"/>
  <c r="O524" i="5"/>
  <c r="N508" i="5"/>
  <c r="O492" i="5"/>
  <c r="Q476" i="5"/>
  <c r="N460" i="5"/>
  <c r="P452" i="5"/>
  <c r="Q444" i="5"/>
  <c r="O428" i="5"/>
  <c r="N380" i="5"/>
  <c r="N364" i="5"/>
  <c r="P348" i="5"/>
  <c r="Q300" i="5"/>
  <c r="P284" i="5"/>
  <c r="N252" i="5"/>
  <c r="O236" i="5"/>
  <c r="P188" i="5"/>
  <c r="Q140" i="5"/>
  <c r="Q124" i="5"/>
  <c r="O92" i="5"/>
  <c r="O60" i="5"/>
  <c r="N650" i="5"/>
  <c r="N642" i="5"/>
  <c r="O1205" i="5"/>
  <c r="N1205" i="5"/>
  <c r="O1173" i="5"/>
  <c r="N1173" i="5"/>
  <c r="O1109" i="5"/>
  <c r="N1109" i="5"/>
  <c r="O925" i="5"/>
  <c r="N925" i="5"/>
  <c r="O813" i="5"/>
  <c r="N813" i="5"/>
  <c r="O797" i="5"/>
  <c r="N797" i="5"/>
  <c r="O781" i="5"/>
  <c r="N781" i="5"/>
  <c r="O669" i="5"/>
  <c r="N669" i="5"/>
  <c r="S1213" i="5"/>
  <c r="R1213" i="5"/>
  <c r="S1133" i="5"/>
  <c r="R1133" i="5"/>
  <c r="R1117" i="5"/>
  <c r="S1117" i="5"/>
  <c r="R1069" i="5"/>
  <c r="S1069" i="5"/>
  <c r="R1050" i="5"/>
  <c r="S1050" i="5"/>
  <c r="R1005" i="5"/>
  <c r="S1005" i="5"/>
  <c r="S986" i="5"/>
  <c r="R986" i="5"/>
  <c r="R941" i="5"/>
  <c r="S941" i="5"/>
  <c r="R925" i="5"/>
  <c r="S925" i="5"/>
  <c r="S909" i="5"/>
  <c r="R909" i="5"/>
  <c r="S890" i="5"/>
  <c r="R890" i="5"/>
  <c r="S850" i="5"/>
  <c r="R850" i="5"/>
  <c r="R645" i="5"/>
  <c r="S645" i="5"/>
  <c r="O650" i="5"/>
  <c r="O1213" i="5"/>
  <c r="N1213" i="5"/>
  <c r="O1117" i="5"/>
  <c r="N1117" i="5"/>
  <c r="O1085" i="5"/>
  <c r="N1085" i="5"/>
  <c r="N1069" i="5"/>
  <c r="O1069" i="5"/>
  <c r="O997" i="5"/>
  <c r="N997" i="5"/>
  <c r="O893" i="5"/>
  <c r="N893" i="5"/>
  <c r="O853" i="5"/>
  <c r="N853" i="5"/>
  <c r="O829" i="5"/>
  <c r="N829" i="5"/>
  <c r="O789" i="5"/>
  <c r="N789" i="5"/>
  <c r="O733" i="5"/>
  <c r="N733" i="5"/>
  <c r="O717" i="5"/>
  <c r="N717" i="5"/>
  <c r="O661" i="5"/>
  <c r="N661" i="5"/>
  <c r="R1090" i="5"/>
  <c r="S1090" i="5"/>
  <c r="R1045" i="5"/>
  <c r="S1045" i="5"/>
  <c r="R1021" i="5"/>
  <c r="S1021" i="5"/>
  <c r="R978" i="5"/>
  <c r="S978" i="5"/>
  <c r="R818" i="5"/>
  <c r="S818" i="5"/>
  <c r="R805" i="5"/>
  <c r="S805" i="5"/>
  <c r="R770" i="5"/>
  <c r="S770" i="5"/>
  <c r="R749" i="5"/>
  <c r="S749" i="5"/>
  <c r="S730" i="5"/>
  <c r="R730" i="5"/>
  <c r="R717" i="5"/>
  <c r="S717" i="5"/>
  <c r="R677" i="5"/>
  <c r="S677" i="5"/>
  <c r="S650" i="5"/>
  <c r="R650" i="5"/>
  <c r="P650" i="5" s="1"/>
  <c r="N1156" i="5"/>
  <c r="O1156" i="5"/>
  <c r="O796" i="5"/>
  <c r="N796" i="5"/>
  <c r="N636" i="5"/>
  <c r="O636" i="5"/>
  <c r="R1156" i="5"/>
  <c r="R1036" i="5"/>
  <c r="P1036" i="5" s="1"/>
  <c r="R1020" i="5"/>
  <c r="S969" i="5"/>
  <c r="R969" i="5"/>
  <c r="S961" i="5"/>
  <c r="R961" i="5"/>
  <c r="R948" i="5"/>
  <c r="R932" i="5"/>
  <c r="R788" i="5"/>
  <c r="R780" i="5"/>
  <c r="R764" i="5"/>
  <c r="R716" i="5"/>
  <c r="R660" i="5"/>
  <c r="P660" i="5" s="1"/>
  <c r="R644" i="5"/>
  <c r="N649" i="5"/>
  <c r="O660" i="5"/>
  <c r="N724" i="5"/>
  <c r="O788" i="5"/>
  <c r="O804" i="5"/>
  <c r="N871" i="5"/>
  <c r="N927" i="5"/>
  <c r="N943" i="5"/>
  <c r="O1013" i="5"/>
  <c r="R1178" i="5"/>
  <c r="R1193" i="5"/>
  <c r="Q1193" i="5" s="1"/>
  <c r="R1161" i="5"/>
  <c r="P1161" i="5" s="1"/>
  <c r="R1129" i="5"/>
  <c r="Q1129" i="5" s="1"/>
  <c r="R1113" i="5"/>
  <c r="Q1113" i="5" s="1"/>
  <c r="O1061" i="5"/>
  <c r="N1061" i="5"/>
  <c r="O965" i="5"/>
  <c r="N965" i="5"/>
  <c r="O757" i="5"/>
  <c r="N757" i="5"/>
  <c r="O709" i="5"/>
  <c r="N709" i="5"/>
  <c r="O693" i="5"/>
  <c r="N693" i="5"/>
  <c r="O653" i="5"/>
  <c r="N653" i="5"/>
  <c r="R1181" i="5"/>
  <c r="S1181" i="5"/>
  <c r="R1170" i="5"/>
  <c r="S1170" i="5"/>
  <c r="R1165" i="5"/>
  <c r="S1165" i="5"/>
  <c r="S1162" i="5"/>
  <c r="R1162" i="5"/>
  <c r="R1154" i="5"/>
  <c r="S1154" i="5"/>
  <c r="R1141" i="5"/>
  <c r="S1141" i="5"/>
  <c r="R1109" i="5"/>
  <c r="S1109" i="5"/>
  <c r="S1058" i="5"/>
  <c r="R1058" i="5"/>
  <c r="S1034" i="5"/>
  <c r="R1034" i="5"/>
  <c r="R1013" i="5"/>
  <c r="S1013" i="5"/>
  <c r="R997" i="5"/>
  <c r="S997" i="5"/>
  <c r="R965" i="5"/>
  <c r="S965" i="5"/>
  <c r="R949" i="5"/>
  <c r="S949" i="5"/>
  <c r="S874" i="5"/>
  <c r="R874" i="5"/>
  <c r="R845" i="5"/>
  <c r="S845" i="5"/>
  <c r="S829" i="5"/>
  <c r="R829" i="5"/>
  <c r="R802" i="5"/>
  <c r="S802" i="5"/>
  <c r="R789" i="5"/>
  <c r="S789" i="5"/>
  <c r="S778" i="5"/>
  <c r="R778" i="5"/>
  <c r="R757" i="5"/>
  <c r="S757" i="5"/>
  <c r="R661" i="5"/>
  <c r="S661" i="5"/>
  <c r="R637" i="5"/>
  <c r="S637" i="5"/>
  <c r="P637" i="5" s="1"/>
  <c r="N1053" i="5"/>
  <c r="O1231" i="5"/>
  <c r="N1231" i="5"/>
  <c r="O1207" i="5"/>
  <c r="N1207" i="5"/>
  <c r="N1183" i="5"/>
  <c r="O1183" i="5"/>
  <c r="N1175" i="5"/>
  <c r="O1175" i="5"/>
  <c r="N1103" i="5"/>
  <c r="O1103" i="5"/>
  <c r="O1063" i="5"/>
  <c r="N1063" i="5"/>
  <c r="O1055" i="5"/>
  <c r="N1055" i="5"/>
  <c r="O1039" i="5"/>
  <c r="N1039" i="5"/>
  <c r="N1007" i="5"/>
  <c r="O1007" i="5"/>
  <c r="O991" i="5"/>
  <c r="N991" i="5"/>
  <c r="O975" i="5"/>
  <c r="N975" i="5"/>
  <c r="O967" i="5"/>
  <c r="N967" i="5"/>
  <c r="O903" i="5"/>
  <c r="N903" i="5"/>
  <c r="N879" i="5"/>
  <c r="O879" i="5"/>
  <c r="O855" i="5"/>
  <c r="N855" i="5"/>
  <c r="O839" i="5"/>
  <c r="N839" i="5"/>
  <c r="O767" i="5"/>
  <c r="N767" i="5"/>
  <c r="O639" i="5"/>
  <c r="N639" i="5"/>
  <c r="N1087" i="5"/>
  <c r="O1196" i="5"/>
  <c r="N1196" i="5"/>
  <c r="N1068" i="5"/>
  <c r="O1068" i="5"/>
  <c r="N980" i="5"/>
  <c r="O980" i="5"/>
  <c r="O836" i="5"/>
  <c r="N836" i="5"/>
  <c r="O732" i="5"/>
  <c r="N732" i="5"/>
  <c r="O644" i="5"/>
  <c r="N687" i="5"/>
  <c r="O911" i="5"/>
  <c r="O999" i="5"/>
  <c r="O1148" i="5"/>
  <c r="S1087" i="5"/>
  <c r="R1164" i="5"/>
  <c r="R1108" i="5"/>
  <c r="R1100" i="5"/>
  <c r="R1084" i="5"/>
  <c r="R1068" i="5"/>
  <c r="R1044" i="5"/>
  <c r="P1044" i="5" s="1"/>
  <c r="R1028" i="5"/>
  <c r="R1012" i="5"/>
  <c r="R908" i="5"/>
  <c r="R892" i="5"/>
  <c r="R876" i="5"/>
  <c r="Q876" i="5" s="1"/>
  <c r="R860" i="5"/>
  <c r="R756" i="5"/>
  <c r="R748" i="5"/>
  <c r="R740" i="5"/>
  <c r="R684" i="5"/>
  <c r="Q684" i="5" s="1"/>
  <c r="R676" i="5"/>
  <c r="Q676" i="5" s="1"/>
  <c r="R668" i="5"/>
  <c r="Q668" i="5" s="1"/>
  <c r="R636" i="5"/>
  <c r="O1012" i="5"/>
  <c r="N1149" i="5"/>
  <c r="R1071" i="5"/>
  <c r="N676" i="5"/>
  <c r="N740" i="5"/>
  <c r="O1076" i="5"/>
  <c r="N1229" i="5"/>
  <c r="O1229" i="5"/>
  <c r="O1029" i="5"/>
  <c r="N1029" i="5"/>
  <c r="O1005" i="5"/>
  <c r="N1005" i="5"/>
  <c r="O989" i="5"/>
  <c r="N989" i="5"/>
  <c r="N885" i="5"/>
  <c r="O885" i="5"/>
  <c r="O861" i="5"/>
  <c r="N861" i="5"/>
  <c r="O845" i="5"/>
  <c r="N845" i="5"/>
  <c r="O773" i="5"/>
  <c r="N773" i="5"/>
  <c r="O685" i="5"/>
  <c r="N685" i="5"/>
  <c r="O629" i="5"/>
  <c r="N629" i="5"/>
  <c r="R1218" i="5"/>
  <c r="S1218" i="5"/>
  <c r="R1149" i="5"/>
  <c r="S1149" i="5"/>
  <c r="S1130" i="5"/>
  <c r="R1130" i="5"/>
  <c r="S1098" i="5"/>
  <c r="R1098" i="5"/>
  <c r="R1077" i="5"/>
  <c r="S1077" i="5"/>
  <c r="R1029" i="5"/>
  <c r="S1029" i="5"/>
  <c r="S970" i="5"/>
  <c r="R970" i="5"/>
  <c r="S954" i="5"/>
  <c r="R954" i="5"/>
  <c r="S938" i="5"/>
  <c r="R938" i="5"/>
  <c r="S922" i="5"/>
  <c r="R922" i="5"/>
  <c r="S906" i="5"/>
  <c r="R906" i="5"/>
  <c r="R893" i="5"/>
  <c r="S893" i="5"/>
  <c r="R877" i="5"/>
  <c r="S877" i="5"/>
  <c r="R866" i="5"/>
  <c r="S866" i="5"/>
  <c r="S842" i="5"/>
  <c r="R842" i="5"/>
  <c r="R706" i="5"/>
  <c r="S706" i="5"/>
  <c r="R693" i="5"/>
  <c r="S693" i="5"/>
  <c r="S682" i="5"/>
  <c r="R682" i="5"/>
  <c r="R669" i="5"/>
  <c r="S669" i="5"/>
  <c r="R658" i="5"/>
  <c r="S658" i="5"/>
  <c r="O1189" i="5"/>
  <c r="S741" i="5"/>
  <c r="S1138" i="5"/>
  <c r="N1199" i="5"/>
  <c r="O1199" i="5"/>
  <c r="N1191" i="5"/>
  <c r="O1191" i="5"/>
  <c r="O1151" i="5"/>
  <c r="N1151" i="5"/>
  <c r="O1071" i="5"/>
  <c r="N1071" i="5"/>
  <c r="O847" i="5"/>
  <c r="N847" i="5"/>
  <c r="O783" i="5"/>
  <c r="N783" i="5"/>
  <c r="O751" i="5"/>
  <c r="N751" i="5"/>
  <c r="O719" i="5"/>
  <c r="N719" i="5"/>
  <c r="O647" i="5"/>
  <c r="N647" i="5"/>
  <c r="N983" i="5"/>
  <c r="R653" i="5"/>
  <c r="S1135" i="5"/>
  <c r="R1135" i="5"/>
  <c r="R1127" i="5"/>
  <c r="S1127" i="5"/>
  <c r="R1119" i="5"/>
  <c r="S1119" i="5"/>
  <c r="R999" i="5"/>
  <c r="S999" i="5"/>
  <c r="R919" i="5"/>
  <c r="S919" i="5"/>
  <c r="R911" i="5"/>
  <c r="S911" i="5"/>
  <c r="R871" i="5"/>
  <c r="S871" i="5"/>
  <c r="S863" i="5"/>
  <c r="R863" i="5"/>
  <c r="R807" i="5"/>
  <c r="S807" i="5"/>
  <c r="R711" i="5"/>
  <c r="S711" i="5"/>
  <c r="R703" i="5"/>
  <c r="S703" i="5"/>
  <c r="S695" i="5"/>
  <c r="R695" i="5"/>
  <c r="N869" i="5"/>
  <c r="O1119" i="5"/>
  <c r="O1223" i="5"/>
  <c r="O1180" i="5"/>
  <c r="N1180" i="5"/>
  <c r="N1164" i="5"/>
  <c r="O1164" i="5"/>
  <c r="N1140" i="5"/>
  <c r="O1140" i="5"/>
  <c r="N1092" i="5"/>
  <c r="O1092" i="5"/>
  <c r="N1052" i="5"/>
  <c r="O1052" i="5"/>
  <c r="N916" i="5"/>
  <c r="O916" i="5"/>
  <c r="O631" i="5"/>
  <c r="R1228" i="5"/>
  <c r="R1212" i="5"/>
  <c r="R1204" i="5"/>
  <c r="R1188" i="5"/>
  <c r="R1076" i="5"/>
  <c r="R1065" i="5"/>
  <c r="S1065" i="5"/>
  <c r="R924" i="5"/>
  <c r="R652" i="5"/>
  <c r="Q652" i="5" s="1"/>
  <c r="R1057" i="5"/>
  <c r="P1057" i="5" s="1"/>
  <c r="S738" i="5"/>
  <c r="N633" i="5"/>
  <c r="N634" i="5"/>
  <c r="N844" i="5"/>
  <c r="N901" i="5"/>
  <c r="N959" i="5"/>
  <c r="O973" i="5"/>
  <c r="N1031" i="5"/>
  <c r="O1044" i="5"/>
  <c r="N1077" i="5"/>
  <c r="O1093" i="5"/>
  <c r="N1125" i="5"/>
  <c r="O1181" i="5"/>
  <c r="R1146" i="5"/>
  <c r="R1114" i="5"/>
  <c r="S985" i="5"/>
  <c r="S853" i="5"/>
  <c r="R674" i="5"/>
  <c r="O1221" i="5"/>
  <c r="N1221" i="5"/>
  <c r="N1141" i="5"/>
  <c r="O1141" i="5"/>
  <c r="N1101" i="5"/>
  <c r="O1101" i="5"/>
  <c r="N1045" i="5"/>
  <c r="O1045" i="5"/>
  <c r="O1021" i="5"/>
  <c r="N1021" i="5"/>
  <c r="O981" i="5"/>
  <c r="N981" i="5"/>
  <c r="O909" i="5"/>
  <c r="N909" i="5"/>
  <c r="O821" i="5"/>
  <c r="N821" i="5"/>
  <c r="O805" i="5"/>
  <c r="N805" i="5"/>
  <c r="O765" i="5"/>
  <c r="N765" i="5"/>
  <c r="O749" i="5"/>
  <c r="N749" i="5"/>
  <c r="O701" i="5"/>
  <c r="N701" i="5"/>
  <c r="O645" i="5"/>
  <c r="N645" i="5"/>
  <c r="R1205" i="5"/>
  <c r="S1205" i="5"/>
  <c r="S1194" i="5"/>
  <c r="R1194" i="5"/>
  <c r="R1125" i="5"/>
  <c r="S1125" i="5"/>
  <c r="R1106" i="5"/>
  <c r="S1106" i="5"/>
  <c r="R1085" i="5"/>
  <c r="S1085" i="5"/>
  <c r="R1066" i="5"/>
  <c r="S1066" i="5"/>
  <c r="S1037" i="5"/>
  <c r="R1037" i="5"/>
  <c r="S1018" i="5"/>
  <c r="R1018" i="5"/>
  <c r="R989" i="5"/>
  <c r="S989" i="5"/>
  <c r="R973" i="5"/>
  <c r="S973" i="5"/>
  <c r="S957" i="5"/>
  <c r="R957" i="5"/>
  <c r="R930" i="5"/>
  <c r="S930" i="5"/>
  <c r="R917" i="5"/>
  <c r="S917" i="5"/>
  <c r="R901" i="5"/>
  <c r="S901" i="5"/>
  <c r="R882" i="5"/>
  <c r="S882" i="5"/>
  <c r="R869" i="5"/>
  <c r="S869" i="5"/>
  <c r="R725" i="5"/>
  <c r="S725" i="5"/>
  <c r="S714" i="5"/>
  <c r="R714" i="5"/>
  <c r="R701" i="5"/>
  <c r="S701" i="5"/>
  <c r="R690" i="5"/>
  <c r="S690" i="5"/>
  <c r="R642" i="5"/>
  <c r="S642" i="5"/>
  <c r="O642" i="5"/>
  <c r="R1210" i="5"/>
  <c r="Q1210" i="5" s="1"/>
  <c r="R1197" i="5"/>
  <c r="S1122" i="5"/>
  <c r="O1111" i="5"/>
  <c r="N1111" i="5"/>
  <c r="N1047" i="5"/>
  <c r="O1047" i="5"/>
  <c r="O1015" i="5"/>
  <c r="N1015" i="5"/>
  <c r="O815" i="5"/>
  <c r="N815" i="5"/>
  <c r="O711" i="5"/>
  <c r="N711" i="5"/>
  <c r="O703" i="5"/>
  <c r="N703" i="5"/>
  <c r="O655" i="5"/>
  <c r="N655" i="5"/>
  <c r="R1111" i="5"/>
  <c r="S1111" i="5"/>
  <c r="R1055" i="5"/>
  <c r="S1055" i="5"/>
  <c r="R983" i="5"/>
  <c r="S983" i="5"/>
  <c r="S951" i="5"/>
  <c r="R951" i="5"/>
  <c r="R943" i="5"/>
  <c r="S943" i="5"/>
  <c r="R935" i="5"/>
  <c r="S935" i="5"/>
  <c r="R903" i="5"/>
  <c r="S903" i="5"/>
  <c r="R855" i="5"/>
  <c r="S855" i="5"/>
  <c r="R847" i="5"/>
  <c r="S847" i="5"/>
  <c r="R815" i="5"/>
  <c r="S815" i="5"/>
  <c r="R775" i="5"/>
  <c r="S775" i="5"/>
  <c r="S735" i="5"/>
  <c r="R735" i="5"/>
  <c r="R727" i="5"/>
  <c r="S727" i="5"/>
  <c r="R719" i="5"/>
  <c r="S719" i="5"/>
  <c r="R679" i="5"/>
  <c r="S679" i="5"/>
  <c r="R631" i="5"/>
  <c r="S631" i="5"/>
  <c r="O1188" i="5"/>
  <c r="N1188" i="5"/>
  <c r="N1132" i="5"/>
  <c r="O1132" i="5"/>
  <c r="N1108" i="5"/>
  <c r="O1108" i="5"/>
  <c r="N1100" i="5"/>
  <c r="O1100" i="5"/>
  <c r="N1060" i="5"/>
  <c r="O1060" i="5"/>
  <c r="N1036" i="5"/>
  <c r="O1036" i="5"/>
  <c r="N1028" i="5"/>
  <c r="O1028" i="5"/>
  <c r="N1004" i="5"/>
  <c r="O1004" i="5"/>
  <c r="N948" i="5"/>
  <c r="O948" i="5"/>
  <c r="N876" i="5"/>
  <c r="O876" i="5"/>
  <c r="O812" i="5"/>
  <c r="N812" i="5"/>
  <c r="O692" i="5"/>
  <c r="N692" i="5"/>
  <c r="O684" i="5"/>
  <c r="N684" i="5"/>
  <c r="N628" i="5"/>
  <c r="O628" i="5"/>
  <c r="R975" i="5"/>
  <c r="R1220" i="5"/>
  <c r="R1196" i="5"/>
  <c r="S1145" i="5"/>
  <c r="R1145" i="5"/>
  <c r="R1132" i="5"/>
  <c r="R1060" i="5"/>
  <c r="R996" i="5"/>
  <c r="R980" i="5"/>
  <c r="R964" i="5"/>
  <c r="R916" i="5"/>
  <c r="R900" i="5"/>
  <c r="R884" i="5"/>
  <c r="R868" i="5"/>
  <c r="R820" i="5"/>
  <c r="R772" i="5"/>
  <c r="R732" i="5"/>
  <c r="R724" i="5"/>
  <c r="R708" i="5"/>
  <c r="O634" i="5"/>
  <c r="N663" i="5"/>
  <c r="N807" i="5"/>
  <c r="N917" i="5"/>
  <c r="N1167" i="5"/>
  <c r="N1212" i="5"/>
  <c r="N1228" i="5"/>
  <c r="S1202" i="5"/>
  <c r="R1009" i="5"/>
  <c r="P1009" i="5" s="1"/>
  <c r="S687" i="5"/>
  <c r="O1165" i="5"/>
  <c r="N1165" i="5"/>
  <c r="O877" i="5"/>
  <c r="N877" i="5"/>
  <c r="O837" i="5"/>
  <c r="N837" i="5"/>
  <c r="O741" i="5"/>
  <c r="N741" i="5"/>
  <c r="O725" i="5"/>
  <c r="N725" i="5"/>
  <c r="O677" i="5"/>
  <c r="N677" i="5"/>
  <c r="O637" i="5"/>
  <c r="N637" i="5"/>
  <c r="S1226" i="5"/>
  <c r="R1226" i="5"/>
  <c r="R1189" i="5"/>
  <c r="S1189" i="5"/>
  <c r="S1082" i="5"/>
  <c r="R1082" i="5"/>
  <c r="R1061" i="5"/>
  <c r="S1061" i="5"/>
  <c r="R1042" i="5"/>
  <c r="S1042" i="5"/>
  <c r="R1010" i="5"/>
  <c r="S1010" i="5"/>
  <c r="S962" i="5"/>
  <c r="R962" i="5"/>
  <c r="R933" i="5"/>
  <c r="S933" i="5"/>
  <c r="R914" i="5"/>
  <c r="S914" i="5"/>
  <c r="R898" i="5"/>
  <c r="S898" i="5"/>
  <c r="R885" i="5"/>
  <c r="S885" i="5"/>
  <c r="S858" i="5"/>
  <c r="R858" i="5"/>
  <c r="R837" i="5"/>
  <c r="S837" i="5"/>
  <c r="S826" i="5"/>
  <c r="R826" i="5"/>
  <c r="R813" i="5"/>
  <c r="S813" i="5"/>
  <c r="R797" i="5"/>
  <c r="S797" i="5"/>
  <c r="S786" i="5"/>
  <c r="R786" i="5"/>
  <c r="R773" i="5"/>
  <c r="S773" i="5"/>
  <c r="R765" i="5"/>
  <c r="S765" i="5"/>
  <c r="R754" i="5"/>
  <c r="S754" i="5"/>
  <c r="S746" i="5"/>
  <c r="R746" i="5"/>
  <c r="R733" i="5"/>
  <c r="S733" i="5"/>
  <c r="S722" i="5"/>
  <c r="R722" i="5"/>
  <c r="R709" i="5"/>
  <c r="S709" i="5"/>
  <c r="S698" i="5"/>
  <c r="R698" i="5"/>
  <c r="R685" i="5"/>
  <c r="S685" i="5"/>
  <c r="S666" i="5"/>
  <c r="R666" i="5"/>
  <c r="P666" i="5" s="1"/>
  <c r="R629" i="5"/>
  <c r="S629" i="5"/>
  <c r="O1023" i="5"/>
  <c r="N1023" i="5"/>
  <c r="O895" i="5"/>
  <c r="N895" i="5"/>
  <c r="R1191" i="5"/>
  <c r="S1191" i="5"/>
  <c r="R1183" i="5"/>
  <c r="S1183" i="5"/>
  <c r="R1175" i="5"/>
  <c r="S1175" i="5"/>
  <c r="S1031" i="5"/>
  <c r="R1031" i="5"/>
  <c r="R1023" i="5"/>
  <c r="S1023" i="5"/>
  <c r="R895" i="5"/>
  <c r="S895" i="5"/>
  <c r="R887" i="5"/>
  <c r="S887" i="5"/>
  <c r="R751" i="5"/>
  <c r="S751" i="5"/>
  <c r="N1220" i="5"/>
  <c r="O1220" i="5"/>
  <c r="N1172" i="5"/>
  <c r="O1172" i="5"/>
  <c r="N1124" i="5"/>
  <c r="O1124" i="5"/>
  <c r="N996" i="5"/>
  <c r="O996" i="5"/>
  <c r="N964" i="5"/>
  <c r="O964" i="5"/>
  <c r="N900" i="5"/>
  <c r="O900" i="5"/>
  <c r="N884" i="5"/>
  <c r="O884" i="5"/>
  <c r="O828" i="5"/>
  <c r="N828" i="5"/>
  <c r="O820" i="5"/>
  <c r="N820" i="5"/>
  <c r="O756" i="5"/>
  <c r="N756" i="5"/>
  <c r="R1180" i="5"/>
  <c r="R1052" i="5"/>
  <c r="R988" i="5"/>
  <c r="R972" i="5"/>
  <c r="R956" i="5"/>
  <c r="R940" i="5"/>
  <c r="P940" i="5" s="1"/>
  <c r="R700" i="5"/>
  <c r="N727" i="5"/>
  <c r="S927" i="5"/>
  <c r="R1231" i="5"/>
  <c r="S1231" i="5"/>
  <c r="R1223" i="5"/>
  <c r="S1223" i="5"/>
  <c r="S1215" i="5"/>
  <c r="R1215" i="5"/>
  <c r="S1167" i="5"/>
  <c r="R1167" i="5"/>
  <c r="R1159" i="5"/>
  <c r="S1159" i="5"/>
  <c r="R1103" i="5"/>
  <c r="S1103" i="5"/>
  <c r="R1039" i="5"/>
  <c r="S1039" i="5"/>
  <c r="R991" i="5"/>
  <c r="S991" i="5"/>
  <c r="R967" i="5"/>
  <c r="S967" i="5"/>
  <c r="R959" i="5"/>
  <c r="S959" i="5"/>
  <c r="S823" i="5"/>
  <c r="R823" i="5"/>
  <c r="R671" i="5"/>
  <c r="S671" i="5"/>
  <c r="R639" i="5"/>
  <c r="P639" i="5" s="1"/>
  <c r="S639" i="5"/>
  <c r="N644" i="5"/>
  <c r="O941" i="5"/>
  <c r="N1116" i="5"/>
  <c r="O1116" i="5"/>
  <c r="N972" i="5"/>
  <c r="O972" i="5"/>
  <c r="N940" i="5"/>
  <c r="O940" i="5"/>
  <c r="N924" i="5"/>
  <c r="O924" i="5"/>
  <c r="O748" i="5"/>
  <c r="N748" i="5"/>
  <c r="O700" i="5"/>
  <c r="N700" i="5"/>
  <c r="R1148" i="5"/>
  <c r="R1140" i="5"/>
  <c r="R1124" i="5"/>
  <c r="R1004" i="5"/>
  <c r="R852" i="5"/>
  <c r="R692" i="5"/>
  <c r="O641" i="5"/>
  <c r="N652" i="5"/>
  <c r="N679" i="5"/>
  <c r="N743" i="5"/>
  <c r="N780" i="5"/>
  <c r="O932" i="5"/>
  <c r="N949" i="5"/>
  <c r="O1095" i="5"/>
  <c r="O1127" i="5"/>
  <c r="S1157" i="5"/>
  <c r="O1197" i="5"/>
  <c r="N1197" i="5"/>
  <c r="O1133" i="5"/>
  <c r="N1133" i="5"/>
  <c r="O1037" i="5"/>
  <c r="N1037" i="5"/>
  <c r="O957" i="5"/>
  <c r="N957" i="5"/>
  <c r="R1229" i="5"/>
  <c r="S1229" i="5"/>
  <c r="R1221" i="5"/>
  <c r="S1221" i="5"/>
  <c r="S1186" i="5"/>
  <c r="R1186" i="5"/>
  <c r="R1173" i="5"/>
  <c r="S1173" i="5"/>
  <c r="R1093" i="5"/>
  <c r="S1093" i="5"/>
  <c r="R1074" i="5"/>
  <c r="S1074" i="5"/>
  <c r="R1053" i="5"/>
  <c r="S1053" i="5"/>
  <c r="R1026" i="5"/>
  <c r="S1026" i="5"/>
  <c r="S1002" i="5"/>
  <c r="R1002" i="5"/>
  <c r="R981" i="5"/>
  <c r="S981" i="5"/>
  <c r="R946" i="5"/>
  <c r="S946" i="5"/>
  <c r="R834" i="5"/>
  <c r="S834" i="5"/>
  <c r="R821" i="5"/>
  <c r="S821" i="5"/>
  <c r="S810" i="5"/>
  <c r="R810" i="5"/>
  <c r="S794" i="5"/>
  <c r="R794" i="5"/>
  <c r="R781" i="5"/>
  <c r="S781" i="5"/>
  <c r="S762" i="5"/>
  <c r="R762" i="5"/>
  <c r="S634" i="5"/>
  <c r="R634" i="5"/>
  <c r="Q634" i="5" s="1"/>
  <c r="O1143" i="5"/>
  <c r="N1143" i="5"/>
  <c r="N1079" i="5"/>
  <c r="O1079" i="5"/>
  <c r="O935" i="5"/>
  <c r="N935" i="5"/>
  <c r="O887" i="5"/>
  <c r="N887" i="5"/>
  <c r="O831" i="5"/>
  <c r="N831" i="5"/>
  <c r="N791" i="5"/>
  <c r="O791" i="5"/>
  <c r="O775" i="5"/>
  <c r="N775" i="5"/>
  <c r="R1207" i="5"/>
  <c r="S1207" i="5"/>
  <c r="R1151" i="5"/>
  <c r="S1151" i="5"/>
  <c r="R1143" i="5"/>
  <c r="S1143" i="5"/>
  <c r="R1095" i="5"/>
  <c r="S1095" i="5"/>
  <c r="R1063" i="5"/>
  <c r="S1063" i="5"/>
  <c r="R1015" i="5"/>
  <c r="S1015" i="5"/>
  <c r="R1007" i="5"/>
  <c r="S1007" i="5"/>
  <c r="R879" i="5"/>
  <c r="S879" i="5"/>
  <c r="R839" i="5"/>
  <c r="S839" i="5"/>
  <c r="R831" i="5"/>
  <c r="S831" i="5"/>
  <c r="R791" i="5"/>
  <c r="S791" i="5"/>
  <c r="R783" i="5"/>
  <c r="S783" i="5"/>
  <c r="R767" i="5"/>
  <c r="S767" i="5"/>
  <c r="R759" i="5"/>
  <c r="S759" i="5"/>
  <c r="R743" i="5"/>
  <c r="S743" i="5"/>
  <c r="R663" i="5"/>
  <c r="S663" i="5"/>
  <c r="R655" i="5"/>
  <c r="S655" i="5"/>
  <c r="S647" i="5"/>
  <c r="R647" i="5"/>
  <c r="N988" i="5"/>
  <c r="O988" i="5"/>
  <c r="N956" i="5"/>
  <c r="O956" i="5"/>
  <c r="O860" i="5"/>
  <c r="N860" i="5"/>
  <c r="O764" i="5"/>
  <c r="N764" i="5"/>
  <c r="O1135" i="5"/>
  <c r="R1172" i="5"/>
  <c r="R1116" i="5"/>
  <c r="S1041" i="5"/>
  <c r="R1041" i="5"/>
  <c r="R844" i="5"/>
  <c r="R836" i="5"/>
  <c r="R828" i="5"/>
  <c r="R812" i="5"/>
  <c r="R804" i="5"/>
  <c r="R796" i="5"/>
  <c r="R628" i="5"/>
  <c r="R1101" i="5"/>
  <c r="N933" i="5"/>
  <c r="O1215" i="5"/>
  <c r="O1226" i="5"/>
  <c r="N1226" i="5"/>
  <c r="O1186" i="5"/>
  <c r="N1186" i="5"/>
  <c r="O1074" i="5"/>
  <c r="N1074" i="5"/>
  <c r="O1066" i="5"/>
  <c r="N1066" i="5"/>
  <c r="O946" i="5"/>
  <c r="N946" i="5"/>
  <c r="O938" i="5"/>
  <c r="N938" i="5"/>
  <c r="O930" i="5"/>
  <c r="R1158" i="5"/>
  <c r="O1049" i="5"/>
  <c r="N1049" i="5"/>
  <c r="O1026" i="5"/>
  <c r="R1198" i="5"/>
  <c r="S1198" i="5"/>
  <c r="R1182" i="5"/>
  <c r="S1182" i="5"/>
  <c r="R1153" i="5"/>
  <c r="P1153" i="5" s="1"/>
  <c r="S1142" i="5"/>
  <c r="R1142" i="5"/>
  <c r="R1121" i="5"/>
  <c r="Q1121" i="5" s="1"/>
  <c r="R1110" i="5"/>
  <c r="S1110" i="5"/>
  <c r="R1105" i="5"/>
  <c r="Q1105" i="5" s="1"/>
  <c r="R1097" i="5"/>
  <c r="Q1097" i="5" s="1"/>
  <c r="R1089" i="5"/>
  <c r="Q1089" i="5" s="1"/>
  <c r="R1081" i="5"/>
  <c r="P1081" i="5" s="1"/>
  <c r="R1062" i="5"/>
  <c r="S1062" i="5"/>
  <c r="N646" i="5"/>
  <c r="N673" i="5"/>
  <c r="N682" i="5"/>
  <c r="N737" i="5"/>
  <c r="N746" i="5"/>
  <c r="N801" i="5"/>
  <c r="N810" i="5"/>
  <c r="N865" i="5"/>
  <c r="N874" i="5"/>
  <c r="O913" i="5"/>
  <c r="O985" i="5"/>
  <c r="N1089" i="5"/>
  <c r="O1121" i="5"/>
  <c r="O1130" i="5"/>
  <c r="N1153" i="5"/>
  <c r="R1086" i="5"/>
  <c r="N954" i="5"/>
  <c r="R1094" i="5"/>
  <c r="S1094" i="5"/>
  <c r="N905" i="5"/>
  <c r="N914" i="5"/>
  <c r="N945" i="5"/>
  <c r="N986" i="5"/>
  <c r="O1058" i="5"/>
  <c r="N1090" i="5"/>
  <c r="N1122" i="5"/>
  <c r="O1177" i="5"/>
  <c r="N1177" i="5"/>
  <c r="S1222" i="5"/>
  <c r="R1222" i="5"/>
  <c r="R1214" i="5"/>
  <c r="S1214" i="5"/>
  <c r="R1201" i="5"/>
  <c r="Q1201" i="5" s="1"/>
  <c r="R1185" i="5"/>
  <c r="Q1185" i="5" s="1"/>
  <c r="R1166" i="5"/>
  <c r="S1166" i="5"/>
  <c r="R1137" i="5"/>
  <c r="S1126" i="5"/>
  <c r="R1126" i="5"/>
  <c r="N638" i="5"/>
  <c r="N665" i="5"/>
  <c r="N674" i="5"/>
  <c r="N729" i="5"/>
  <c r="N738" i="5"/>
  <c r="N793" i="5"/>
  <c r="N802" i="5"/>
  <c r="N857" i="5"/>
  <c r="N866" i="5"/>
  <c r="N1017" i="5"/>
  <c r="N1113" i="5"/>
  <c r="O1154" i="5"/>
  <c r="N1185" i="5"/>
  <c r="N1209" i="5"/>
  <c r="O1217" i="5"/>
  <c r="N1217" i="5"/>
  <c r="O1098" i="5"/>
  <c r="N1162" i="5"/>
  <c r="N1218" i="5"/>
  <c r="R1233" i="5"/>
  <c r="R1217" i="5"/>
  <c r="P1217" i="5" s="1"/>
  <c r="S1174" i="5"/>
  <c r="R1174" i="5"/>
  <c r="R1150" i="5"/>
  <c r="S1150" i="5"/>
  <c r="R1134" i="5"/>
  <c r="S1134" i="5"/>
  <c r="R1118" i="5"/>
  <c r="S1118" i="5"/>
  <c r="R1054" i="5"/>
  <c r="S1054" i="5"/>
  <c r="N630" i="5"/>
  <c r="O638" i="5"/>
  <c r="N897" i="5"/>
  <c r="N906" i="5"/>
  <c r="N1018" i="5"/>
  <c r="O1081" i="5"/>
  <c r="R1230" i="5"/>
  <c r="O1057" i="5"/>
  <c r="N1057" i="5"/>
  <c r="R1169" i="5"/>
  <c r="Q1169" i="5" s="1"/>
  <c r="O630" i="5"/>
  <c r="N657" i="5"/>
  <c r="N666" i="5"/>
  <c r="N721" i="5"/>
  <c r="N730" i="5"/>
  <c r="N785" i="5"/>
  <c r="N794" i="5"/>
  <c r="N849" i="5"/>
  <c r="N858" i="5"/>
  <c r="N977" i="5"/>
  <c r="N1082" i="5"/>
  <c r="N1114" i="5"/>
  <c r="N1210" i="5"/>
  <c r="N1233" i="5"/>
  <c r="O929" i="5"/>
  <c r="N929" i="5"/>
  <c r="O921" i="5"/>
  <c r="N921" i="5"/>
  <c r="S1206" i="5"/>
  <c r="R1206" i="5"/>
  <c r="R1177" i="5"/>
  <c r="P1177" i="5" s="1"/>
  <c r="R1078" i="5"/>
  <c r="S1078" i="5"/>
  <c r="R1073" i="5"/>
  <c r="Q1073" i="5" s="1"/>
  <c r="N937" i="5"/>
  <c r="N1145" i="5"/>
  <c r="N1234" i="5"/>
  <c r="V1234" i="5" s="1"/>
  <c r="R1049" i="5"/>
  <c r="P1049" i="5" s="1"/>
  <c r="R1038" i="5"/>
  <c r="S1038" i="5"/>
  <c r="R1033" i="5"/>
  <c r="Q1033" i="5" s="1"/>
  <c r="R1025" i="5"/>
  <c r="Q1025" i="5" s="1"/>
  <c r="R1014" i="5"/>
  <c r="S1014" i="5"/>
  <c r="R1001" i="5"/>
  <c r="Q1001" i="5" s="1"/>
  <c r="R990" i="5"/>
  <c r="S990" i="5"/>
  <c r="R977" i="5"/>
  <c r="P977" i="5" s="1"/>
  <c r="S958" i="5"/>
  <c r="R958" i="5"/>
  <c r="R953" i="5"/>
  <c r="R945" i="5"/>
  <c r="R937" i="5"/>
  <c r="Q937" i="5" s="1"/>
  <c r="R929" i="5"/>
  <c r="Q929" i="5" s="1"/>
  <c r="S926" i="5"/>
  <c r="R926" i="5"/>
  <c r="R921" i="5"/>
  <c r="Q921" i="5" s="1"/>
  <c r="S918" i="5"/>
  <c r="R918" i="5"/>
  <c r="R913" i="5"/>
  <c r="R905" i="5"/>
  <c r="Q905" i="5" s="1"/>
  <c r="R897" i="5"/>
  <c r="Q897" i="5" s="1"/>
  <c r="R889" i="5"/>
  <c r="Q889" i="5" s="1"/>
  <c r="R881" i="5"/>
  <c r="Q881" i="5" s="1"/>
  <c r="S878" i="5"/>
  <c r="R878" i="5"/>
  <c r="R873" i="5"/>
  <c r="P873" i="5" s="1"/>
  <c r="S870" i="5"/>
  <c r="R870" i="5"/>
  <c r="R865" i="5"/>
  <c r="Q865" i="5" s="1"/>
  <c r="R857" i="5"/>
  <c r="S1046" i="5"/>
  <c r="R849" i="5"/>
  <c r="Q849" i="5" s="1"/>
  <c r="R841" i="5"/>
  <c r="P841" i="5" s="1"/>
  <c r="R833" i="5"/>
  <c r="Q833" i="5" s="1"/>
  <c r="R825" i="5"/>
  <c r="P825" i="5" s="1"/>
  <c r="R817" i="5"/>
  <c r="P817" i="5" s="1"/>
  <c r="R809" i="5"/>
  <c r="P809" i="5" s="1"/>
  <c r="R801" i="5"/>
  <c r="Q801" i="5" s="1"/>
  <c r="R793" i="5"/>
  <c r="P793" i="5" s="1"/>
  <c r="R785" i="5"/>
  <c r="Q785" i="5" s="1"/>
  <c r="R777" i="5"/>
  <c r="R769" i="5"/>
  <c r="R761" i="5"/>
  <c r="P761" i="5" s="1"/>
  <c r="R753" i="5"/>
  <c r="P753" i="5" s="1"/>
  <c r="R745" i="5"/>
  <c r="P745" i="5" s="1"/>
  <c r="R737" i="5"/>
  <c r="Q737" i="5" s="1"/>
  <c r="R729" i="5"/>
  <c r="R721" i="5"/>
  <c r="Q721" i="5" s="1"/>
  <c r="R713" i="5"/>
  <c r="R705" i="5"/>
  <c r="Q705" i="5" s="1"/>
  <c r="R697" i="5"/>
  <c r="P697" i="5" s="1"/>
  <c r="R689" i="5"/>
  <c r="R681" i="5"/>
  <c r="Q681" i="5" s="1"/>
  <c r="R673" i="5"/>
  <c r="Q673" i="5" s="1"/>
  <c r="R665" i="5"/>
  <c r="Q665" i="5" s="1"/>
  <c r="R657" i="5"/>
  <c r="P657" i="5" s="1"/>
  <c r="R649" i="5"/>
  <c r="P649" i="5" s="1"/>
  <c r="R646" i="5"/>
  <c r="S646" i="5"/>
  <c r="R641" i="5"/>
  <c r="Q641" i="5" s="1"/>
  <c r="R633" i="5"/>
  <c r="P633" i="5" s="1"/>
  <c r="R630" i="5"/>
  <c r="S630" i="5"/>
  <c r="R798" i="5"/>
  <c r="R838" i="5"/>
  <c r="R790" i="5"/>
  <c r="R830" i="5"/>
  <c r="S622" i="5"/>
  <c r="N613" i="5"/>
  <c r="N621" i="5"/>
  <c r="N614" i="5"/>
  <c r="N622" i="5"/>
  <c r="S626" i="5"/>
  <c r="S614" i="5"/>
  <c r="S618" i="5"/>
  <c r="N615" i="5"/>
  <c r="N623" i="5"/>
  <c r="N619" i="5"/>
  <c r="Q153" i="5"/>
  <c r="O217" i="5"/>
  <c r="O297" i="5"/>
  <c r="P313" i="5"/>
  <c r="P470" i="5"/>
  <c r="Q486" i="5"/>
  <c r="Q567" i="5"/>
  <c r="O567" i="5"/>
  <c r="P567" i="5"/>
  <c r="O9" i="5"/>
  <c r="Q23" i="5"/>
  <c r="N39" i="5"/>
  <c r="N54" i="5"/>
  <c r="O73" i="5"/>
  <c r="N103" i="5"/>
  <c r="Q137" i="5"/>
  <c r="P175" i="5"/>
  <c r="O201" i="5"/>
  <c r="P217" i="5"/>
  <c r="O233" i="5"/>
  <c r="O249" i="5"/>
  <c r="P297" i="5"/>
  <c r="O343" i="5"/>
  <c r="O359" i="5"/>
  <c r="P375" i="5"/>
  <c r="Q439" i="5"/>
  <c r="P455" i="5"/>
  <c r="N487" i="5"/>
  <c r="N534" i="5"/>
  <c r="N556" i="5"/>
  <c r="R339" i="5"/>
  <c r="R211" i="5"/>
  <c r="R83" i="5"/>
  <c r="R604" i="5"/>
  <c r="S604" i="5"/>
  <c r="R596" i="5"/>
  <c r="S596" i="5"/>
  <c r="R588" i="5"/>
  <c r="S588" i="5"/>
  <c r="R580" i="5"/>
  <c r="S580" i="5"/>
  <c r="R572" i="5"/>
  <c r="S572" i="5"/>
  <c r="R564" i="5"/>
  <c r="S564" i="5"/>
  <c r="R556" i="5"/>
  <c r="S556" i="5"/>
  <c r="R548" i="5"/>
  <c r="S548" i="5"/>
  <c r="R540" i="5"/>
  <c r="S540" i="5"/>
  <c r="R532" i="5"/>
  <c r="S532" i="5"/>
  <c r="R524" i="5"/>
  <c r="S524" i="5"/>
  <c r="R516" i="5"/>
  <c r="S516" i="5"/>
  <c r="R508" i="5"/>
  <c r="S508" i="5"/>
  <c r="R500" i="5"/>
  <c r="S500" i="5"/>
  <c r="R492" i="5"/>
  <c r="S492" i="5"/>
  <c r="R484" i="5"/>
  <c r="S484" i="5"/>
  <c r="R476" i="5"/>
  <c r="S476" i="5"/>
  <c r="R468" i="5"/>
  <c r="S468" i="5"/>
  <c r="R460" i="5"/>
  <c r="S460" i="5"/>
  <c r="R452" i="5"/>
  <c r="S452" i="5"/>
  <c r="R444" i="5"/>
  <c r="S444" i="5"/>
  <c r="R436" i="5"/>
  <c r="S436" i="5"/>
  <c r="R428" i="5"/>
  <c r="S428" i="5"/>
  <c r="R420" i="5"/>
  <c r="S420" i="5"/>
  <c r="R412" i="5"/>
  <c r="S412" i="5"/>
  <c r="R404" i="5"/>
  <c r="S404" i="5"/>
  <c r="R396" i="5"/>
  <c r="S396" i="5"/>
  <c r="R388" i="5"/>
  <c r="S388" i="5"/>
  <c r="R380" i="5"/>
  <c r="S380" i="5"/>
  <c r="R372" i="5"/>
  <c r="S372" i="5"/>
  <c r="R364" i="5"/>
  <c r="S364" i="5"/>
  <c r="R356" i="5"/>
  <c r="S356" i="5"/>
  <c r="R348" i="5"/>
  <c r="S348" i="5"/>
  <c r="R340" i="5"/>
  <c r="S340" i="5"/>
  <c r="R332" i="5"/>
  <c r="S332" i="5"/>
  <c r="R324" i="5"/>
  <c r="S324" i="5"/>
  <c r="R316" i="5"/>
  <c r="S316" i="5"/>
  <c r="R308" i="5"/>
  <c r="S308" i="5"/>
  <c r="R300" i="5"/>
  <c r="S300" i="5"/>
  <c r="R292" i="5"/>
  <c r="S292" i="5"/>
  <c r="R284" i="5"/>
  <c r="S284" i="5"/>
  <c r="R276" i="5"/>
  <c r="S276" i="5"/>
  <c r="R268" i="5"/>
  <c r="S268" i="5"/>
  <c r="R260" i="5"/>
  <c r="S260" i="5"/>
  <c r="R252" i="5"/>
  <c r="S252" i="5"/>
  <c r="R244" i="5"/>
  <c r="S244" i="5"/>
  <c r="R236" i="5"/>
  <c r="S236" i="5"/>
  <c r="R228" i="5"/>
  <c r="S228" i="5"/>
  <c r="R220" i="5"/>
  <c r="S220" i="5"/>
  <c r="R212" i="5"/>
  <c r="S212" i="5"/>
  <c r="R204" i="5"/>
  <c r="S204" i="5"/>
  <c r="R196" i="5"/>
  <c r="S196" i="5"/>
  <c r="R188" i="5"/>
  <c r="S188" i="5"/>
  <c r="R180" i="5"/>
  <c r="S180" i="5"/>
  <c r="R172" i="5"/>
  <c r="S172" i="5"/>
  <c r="R164" i="5"/>
  <c r="S164" i="5"/>
  <c r="R156" i="5"/>
  <c r="S156" i="5"/>
  <c r="R148" i="5"/>
  <c r="S148" i="5"/>
  <c r="R140" i="5"/>
  <c r="S140" i="5"/>
  <c r="R132" i="5"/>
  <c r="S132" i="5"/>
  <c r="R124" i="5"/>
  <c r="S124" i="5"/>
  <c r="R116" i="5"/>
  <c r="S116" i="5"/>
  <c r="R108" i="5"/>
  <c r="S108" i="5"/>
  <c r="R100" i="5"/>
  <c r="S100" i="5"/>
  <c r="R92" i="5"/>
  <c r="S92" i="5"/>
  <c r="R84" i="5"/>
  <c r="S84" i="5"/>
  <c r="R76" i="5"/>
  <c r="S76" i="5"/>
  <c r="R68" i="5"/>
  <c r="S68" i="5"/>
  <c r="R60" i="5"/>
  <c r="S60" i="5"/>
  <c r="R52" i="5"/>
  <c r="S52" i="5"/>
  <c r="R44" i="5"/>
  <c r="S44" i="5"/>
  <c r="R36" i="5"/>
  <c r="S36" i="5"/>
  <c r="R28" i="5"/>
  <c r="S28" i="5"/>
  <c r="R20" i="5"/>
  <c r="S20" i="5"/>
  <c r="R12" i="5"/>
  <c r="S12" i="5"/>
  <c r="N9" i="5"/>
  <c r="Q38" i="5"/>
  <c r="N73" i="5"/>
  <c r="Q102" i="5"/>
  <c r="N118" i="5"/>
  <c r="P137" i="5"/>
  <c r="N201" i="5"/>
  <c r="P281" i="5"/>
  <c r="P9" i="5"/>
  <c r="P73" i="5"/>
  <c r="P118" i="5"/>
  <c r="N134" i="5"/>
  <c r="N155" i="5"/>
  <c r="Q175" i="5"/>
  <c r="N188" i="5"/>
  <c r="P201" i="5"/>
  <c r="Q217" i="5"/>
  <c r="P249" i="5"/>
  <c r="N329" i="5"/>
  <c r="P343" i="5"/>
  <c r="P359" i="5"/>
  <c r="Q375" i="5"/>
  <c r="N409" i="5"/>
  <c r="Q455" i="5"/>
  <c r="N471" i="5"/>
  <c r="O487" i="5"/>
  <c r="R315" i="5"/>
  <c r="R187" i="5"/>
  <c r="R59" i="5"/>
  <c r="P380" i="5"/>
  <c r="Q60" i="5"/>
  <c r="N89" i="5"/>
  <c r="O329" i="5"/>
  <c r="O409" i="5"/>
  <c r="R419" i="5"/>
  <c r="R291" i="5"/>
  <c r="R163" i="5"/>
  <c r="R35" i="5"/>
  <c r="O348" i="5"/>
  <c r="O6" i="5"/>
  <c r="Q294" i="5"/>
  <c r="O457" i="5"/>
  <c r="S587" i="5"/>
  <c r="S555" i="5"/>
  <c r="S523" i="5"/>
  <c r="S491" i="5"/>
  <c r="S459" i="5"/>
  <c r="R427" i="5"/>
  <c r="R299" i="5"/>
  <c r="R171" i="5"/>
  <c r="R43" i="5"/>
  <c r="N459" i="5"/>
  <c r="O435" i="5"/>
  <c r="O419" i="5"/>
  <c r="N355" i="5"/>
  <c r="N131" i="5"/>
  <c r="N166" i="5"/>
  <c r="P150" i="5"/>
  <c r="P198" i="5"/>
  <c r="Q278" i="5"/>
  <c r="N46" i="5"/>
  <c r="P6" i="5"/>
  <c r="Q198" i="5"/>
  <c r="P262" i="5"/>
  <c r="O489" i="5"/>
  <c r="R590" i="5"/>
  <c r="S590" i="5"/>
  <c r="R550" i="5"/>
  <c r="S550" i="5"/>
  <c r="R374" i="5"/>
  <c r="S374" i="5"/>
  <c r="R366" i="5"/>
  <c r="S366" i="5"/>
  <c r="R334" i="5"/>
  <c r="S334" i="5"/>
  <c r="R222" i="5"/>
  <c r="S222" i="5"/>
  <c r="R134" i="5"/>
  <c r="S134" i="5"/>
  <c r="R118" i="5"/>
  <c r="S118" i="5"/>
  <c r="R110" i="5"/>
  <c r="S110" i="5"/>
  <c r="Q55" i="5"/>
  <c r="N151" i="5"/>
  <c r="N7" i="5"/>
  <c r="Q15" i="5"/>
  <c r="O41" i="5"/>
  <c r="N71" i="5"/>
  <c r="N86" i="5"/>
  <c r="N92" i="5"/>
  <c r="O105" i="5"/>
  <c r="Q135" i="5"/>
  <c r="O151" i="5"/>
  <c r="N167" i="5"/>
  <c r="P183" i="5"/>
  <c r="O199" i="5"/>
  <c r="Q214" i="5"/>
  <c r="N231" i="5"/>
  <c r="Q246" i="5"/>
  <c r="N263" i="5"/>
  <c r="P279" i="5"/>
  <c r="O295" i="5"/>
  <c r="N311" i="5"/>
  <c r="P326" i="5"/>
  <c r="N348" i="5"/>
  <c r="O390" i="5"/>
  <c r="O406" i="5"/>
  <c r="N422" i="5"/>
  <c r="Q443" i="5"/>
  <c r="Q457" i="5"/>
  <c r="P473" i="5"/>
  <c r="Q518" i="5"/>
  <c r="O582" i="5"/>
  <c r="R403" i="5"/>
  <c r="R275" i="5"/>
  <c r="R147" i="5"/>
  <c r="R19" i="5"/>
  <c r="P89" i="5"/>
  <c r="N246" i="5"/>
  <c r="Q345" i="5"/>
  <c r="O566" i="5"/>
  <c r="P70" i="5"/>
  <c r="P166" i="5"/>
  <c r="N457" i="5"/>
  <c r="R542" i="5"/>
  <c r="S542" i="5"/>
  <c r="R486" i="5"/>
  <c r="S486" i="5"/>
  <c r="R358" i="5"/>
  <c r="S358" i="5"/>
  <c r="R350" i="5"/>
  <c r="S350" i="5"/>
  <c r="R342" i="5"/>
  <c r="S342" i="5"/>
  <c r="R238" i="5"/>
  <c r="S238" i="5"/>
  <c r="R230" i="5"/>
  <c r="S230" i="5"/>
  <c r="R38" i="5"/>
  <c r="S38" i="5"/>
  <c r="R30" i="5"/>
  <c r="S30" i="5"/>
  <c r="R6" i="5"/>
  <c r="S6" i="5"/>
  <c r="Q166" i="5"/>
  <c r="O326" i="5"/>
  <c r="N428" i="5"/>
  <c r="O7" i="5"/>
  <c r="N22" i="5"/>
  <c r="P41" i="5"/>
  <c r="N57" i="5"/>
  <c r="O71" i="5"/>
  <c r="P92" i="5"/>
  <c r="P105" i="5"/>
  <c r="P151" i="5"/>
  <c r="O167" i="5"/>
  <c r="Q183" i="5"/>
  <c r="P199" i="5"/>
  <c r="N215" i="5"/>
  <c r="O231" i="5"/>
  <c r="N247" i="5"/>
  <c r="O263" i="5"/>
  <c r="Q279" i="5"/>
  <c r="P295" i="5"/>
  <c r="O311" i="5"/>
  <c r="P390" i="5"/>
  <c r="P406" i="5"/>
  <c r="N438" i="5"/>
  <c r="O444" i="5"/>
  <c r="O459" i="5"/>
  <c r="N502" i="5"/>
  <c r="O519" i="5"/>
  <c r="P582" i="5"/>
  <c r="R379" i="5"/>
  <c r="R251" i="5"/>
  <c r="R123" i="5"/>
  <c r="O584" i="5"/>
  <c r="Q598" i="5"/>
  <c r="P598" i="5"/>
  <c r="O25" i="5"/>
  <c r="P182" i="5"/>
  <c r="N262" i="5"/>
  <c r="N310" i="5"/>
  <c r="O393" i="5"/>
  <c r="N214" i="5"/>
  <c r="P294" i="5"/>
  <c r="P393" i="5"/>
  <c r="N518" i="5"/>
  <c r="N550" i="5"/>
  <c r="N126" i="5"/>
  <c r="N183" i="5"/>
  <c r="N279" i="5"/>
  <c r="N361" i="5"/>
  <c r="O443" i="5"/>
  <c r="R606" i="5"/>
  <c r="S606" i="5"/>
  <c r="R534" i="5"/>
  <c r="S534" i="5"/>
  <c r="R454" i="5"/>
  <c r="S454" i="5"/>
  <c r="R446" i="5"/>
  <c r="S446" i="5"/>
  <c r="R438" i="5"/>
  <c r="S438" i="5"/>
  <c r="R430" i="5"/>
  <c r="S430" i="5"/>
  <c r="R414" i="5"/>
  <c r="S414" i="5"/>
  <c r="R406" i="5"/>
  <c r="S406" i="5"/>
  <c r="R398" i="5"/>
  <c r="S398" i="5"/>
  <c r="R390" i="5"/>
  <c r="S390" i="5"/>
  <c r="R246" i="5"/>
  <c r="S246" i="5"/>
  <c r="R198" i="5"/>
  <c r="S198" i="5"/>
  <c r="R190" i="5"/>
  <c r="S190" i="5"/>
  <c r="R174" i="5"/>
  <c r="S174" i="5"/>
  <c r="R166" i="5"/>
  <c r="S166" i="5"/>
  <c r="P7" i="5"/>
  <c r="Q41" i="5"/>
  <c r="O57" i="5"/>
  <c r="P71" i="5"/>
  <c r="P86" i="5"/>
  <c r="N95" i="5"/>
  <c r="Q105" i="5"/>
  <c r="N121" i="5"/>
  <c r="P167" i="5"/>
  <c r="Q199" i="5"/>
  <c r="O215" i="5"/>
  <c r="P231" i="5"/>
  <c r="O247" i="5"/>
  <c r="P263" i="5"/>
  <c r="Q295" i="5"/>
  <c r="P311" i="5"/>
  <c r="N327" i="5"/>
  <c r="N374" i="5"/>
  <c r="P422" i="5"/>
  <c r="N454" i="5"/>
  <c r="P459" i="5"/>
  <c r="P550" i="5"/>
  <c r="R355" i="5"/>
  <c r="R227" i="5"/>
  <c r="R99" i="5"/>
  <c r="N230" i="5"/>
  <c r="P425" i="5"/>
  <c r="O70" i="5"/>
  <c r="O262" i="5"/>
  <c r="Q503" i="5"/>
  <c r="Q150" i="5"/>
  <c r="P230" i="5"/>
  <c r="R566" i="5"/>
  <c r="S566" i="5"/>
  <c r="R510" i="5"/>
  <c r="S510" i="5"/>
  <c r="R494" i="5"/>
  <c r="S494" i="5"/>
  <c r="R478" i="5"/>
  <c r="S478" i="5"/>
  <c r="R462" i="5"/>
  <c r="S462" i="5"/>
  <c r="R302" i="5"/>
  <c r="S302" i="5"/>
  <c r="R294" i="5"/>
  <c r="S294" i="5"/>
  <c r="R270" i="5"/>
  <c r="S270" i="5"/>
  <c r="R142" i="5"/>
  <c r="S142" i="5"/>
  <c r="R126" i="5"/>
  <c r="S126" i="5"/>
  <c r="P22" i="5"/>
  <c r="P31" i="5"/>
  <c r="P57" i="5"/>
  <c r="O95" i="5"/>
  <c r="O121" i="5"/>
  <c r="P215" i="5"/>
  <c r="P247" i="5"/>
  <c r="O327" i="5"/>
  <c r="N342" i="5"/>
  <c r="N358" i="5"/>
  <c r="N391" i="5"/>
  <c r="N407" i="5"/>
  <c r="P438" i="5"/>
  <c r="P502" i="5"/>
  <c r="O583" i="5"/>
  <c r="S595" i="5"/>
  <c r="S563" i="5"/>
  <c r="S531" i="5"/>
  <c r="S499" i="5"/>
  <c r="S467" i="5"/>
  <c r="S435" i="5"/>
  <c r="R331" i="5"/>
  <c r="R203" i="5"/>
  <c r="R75" i="5"/>
  <c r="N70" i="5"/>
  <c r="P25" i="5"/>
  <c r="O310" i="5"/>
  <c r="N558" i="5"/>
  <c r="R582" i="5"/>
  <c r="S582" i="5"/>
  <c r="R526" i="5"/>
  <c r="S526" i="5"/>
  <c r="R310" i="5"/>
  <c r="S310" i="5"/>
  <c r="R286" i="5"/>
  <c r="S286" i="5"/>
  <c r="R278" i="5"/>
  <c r="S278" i="5"/>
  <c r="R182" i="5"/>
  <c r="S182" i="5"/>
  <c r="R78" i="5"/>
  <c r="S78" i="5"/>
  <c r="Q6" i="5"/>
  <c r="P135" i="5"/>
  <c r="Q310" i="5"/>
  <c r="N38" i="5"/>
  <c r="N87" i="5"/>
  <c r="N102" i="5"/>
  <c r="N107" i="5"/>
  <c r="P121" i="5"/>
  <c r="N153" i="5"/>
  <c r="P327" i="5"/>
  <c r="P374" i="5"/>
  <c r="O391" i="5"/>
  <c r="O407" i="5"/>
  <c r="N423" i="5"/>
  <c r="P454" i="5"/>
  <c r="N486" i="5"/>
  <c r="P551" i="5"/>
  <c r="R307" i="5"/>
  <c r="R179" i="5"/>
  <c r="R51" i="5"/>
  <c r="O230" i="5"/>
  <c r="N94" i="5"/>
  <c r="R598" i="5"/>
  <c r="S598" i="5"/>
  <c r="R558" i="5"/>
  <c r="S558" i="5"/>
  <c r="R518" i="5"/>
  <c r="S518" i="5"/>
  <c r="R422" i="5"/>
  <c r="S422" i="5"/>
  <c r="R318" i="5"/>
  <c r="S318" i="5"/>
  <c r="R254" i="5"/>
  <c r="S254" i="5"/>
  <c r="R150" i="5"/>
  <c r="S150" i="5"/>
  <c r="R102" i="5"/>
  <c r="S102" i="5"/>
  <c r="R46" i="5"/>
  <c r="S46" i="5"/>
  <c r="R14" i="5"/>
  <c r="S14" i="5"/>
  <c r="N23" i="5"/>
  <c r="O87" i="5"/>
  <c r="N137" i="5"/>
  <c r="O153" i="5"/>
  <c r="N281" i="5"/>
  <c r="P342" i="5"/>
  <c r="P358" i="5"/>
  <c r="P391" i="5"/>
  <c r="P407" i="5"/>
  <c r="O423" i="5"/>
  <c r="N439" i="5"/>
  <c r="N470" i="5"/>
  <c r="N503" i="5"/>
  <c r="R411" i="5"/>
  <c r="R283" i="5"/>
  <c r="R155" i="5"/>
  <c r="R27" i="5"/>
  <c r="R574" i="5"/>
  <c r="S574" i="5"/>
  <c r="R502" i="5"/>
  <c r="S502" i="5"/>
  <c r="R470" i="5"/>
  <c r="S470" i="5"/>
  <c r="R382" i="5"/>
  <c r="S382" i="5"/>
  <c r="R326" i="5"/>
  <c r="S326" i="5"/>
  <c r="R262" i="5"/>
  <c r="S262" i="5"/>
  <c r="R214" i="5"/>
  <c r="S214" i="5"/>
  <c r="R206" i="5"/>
  <c r="S206" i="5"/>
  <c r="R158" i="5"/>
  <c r="S158" i="5"/>
  <c r="R94" i="5"/>
  <c r="S94" i="5"/>
  <c r="R86" i="5"/>
  <c r="S86" i="5"/>
  <c r="R70" i="5"/>
  <c r="S70" i="5"/>
  <c r="R62" i="5"/>
  <c r="S62" i="5"/>
  <c r="R54" i="5"/>
  <c r="S54" i="5"/>
  <c r="R22" i="5"/>
  <c r="S22" i="5"/>
  <c r="R387" i="5"/>
  <c r="R259" i="5"/>
  <c r="R131" i="5"/>
  <c r="O596" i="3"/>
  <c r="P596" i="3"/>
  <c r="Q596" i="3"/>
  <c r="N596" i="3"/>
  <c r="N564" i="3"/>
  <c r="O564" i="3"/>
  <c r="P564" i="3"/>
  <c r="Q564" i="3"/>
  <c r="O548" i="3"/>
  <c r="Q548" i="3"/>
  <c r="N548" i="3"/>
  <c r="P548" i="3"/>
  <c r="O532" i="3"/>
  <c r="N532" i="3"/>
  <c r="P532" i="3"/>
  <c r="Q532" i="3"/>
  <c r="N516" i="3"/>
  <c r="O516" i="3"/>
  <c r="P516" i="3"/>
  <c r="Q516" i="3"/>
  <c r="O500" i="3"/>
  <c r="P500" i="3"/>
  <c r="N500" i="3"/>
  <c r="Q500" i="3"/>
  <c r="O484" i="3"/>
  <c r="Q484" i="3"/>
  <c r="P484" i="3"/>
  <c r="N484" i="3"/>
  <c r="O468" i="3"/>
  <c r="P468" i="3"/>
  <c r="Q468" i="3"/>
  <c r="N468" i="3"/>
  <c r="O452" i="3"/>
  <c r="P452" i="3"/>
  <c r="N436" i="3"/>
  <c r="Q436" i="3"/>
  <c r="O436" i="3"/>
  <c r="P436" i="3"/>
  <c r="O420" i="3"/>
  <c r="Q420" i="3"/>
  <c r="N420" i="3"/>
  <c r="O404" i="3"/>
  <c r="P404" i="3"/>
  <c r="Q404" i="3"/>
  <c r="N404" i="3"/>
  <c r="O388" i="3"/>
  <c r="N388" i="3"/>
  <c r="P388" i="3"/>
  <c r="Q388" i="3"/>
  <c r="O372" i="3"/>
  <c r="P372" i="3"/>
  <c r="Q372" i="3"/>
  <c r="N372" i="3"/>
  <c r="O356" i="3"/>
  <c r="P356" i="3"/>
  <c r="Q356" i="3"/>
  <c r="N356" i="3"/>
  <c r="P340" i="3"/>
  <c r="N340" i="3"/>
  <c r="Q340" i="3"/>
  <c r="N324" i="3"/>
  <c r="P324" i="3"/>
  <c r="N308" i="3"/>
  <c r="P308" i="3"/>
  <c r="Q308" i="3"/>
  <c r="N292" i="3"/>
  <c r="P292" i="3"/>
  <c r="Q324" i="3"/>
  <c r="P420" i="3"/>
  <c r="Q292" i="3"/>
  <c r="P580" i="3"/>
  <c r="Q452" i="3"/>
  <c r="Q580" i="3"/>
  <c r="O580" i="3"/>
  <c r="N276" i="3"/>
  <c r="P276" i="3"/>
  <c r="Q276" i="3"/>
  <c r="P260" i="3"/>
  <c r="Q260" i="3"/>
  <c r="N212" i="3"/>
  <c r="P212" i="3"/>
  <c r="Q212" i="3"/>
  <c r="N180" i="3"/>
  <c r="P180" i="3"/>
  <c r="Q180" i="3"/>
  <c r="N148" i="3"/>
  <c r="P148" i="3"/>
  <c r="Q148" i="3"/>
  <c r="P132" i="3"/>
  <c r="N132" i="3"/>
  <c r="P116" i="3"/>
  <c r="N116" i="3"/>
  <c r="Q116" i="3"/>
  <c r="N84" i="3"/>
  <c r="P84" i="3"/>
  <c r="N68" i="3"/>
  <c r="P68" i="3"/>
  <c r="P52" i="3"/>
  <c r="N109" i="5"/>
  <c r="N451" i="3"/>
  <c r="O451" i="3"/>
  <c r="O163" i="3"/>
  <c r="N163" i="3"/>
  <c r="O99" i="3"/>
  <c r="N99" i="3"/>
  <c r="P595" i="3"/>
  <c r="P579" i="3"/>
  <c r="P563" i="3"/>
  <c r="P547" i="3"/>
  <c r="P531" i="3"/>
  <c r="Q531" i="3"/>
  <c r="Q515" i="3"/>
  <c r="P499" i="3"/>
  <c r="P483" i="3"/>
  <c r="P467" i="3"/>
  <c r="P451" i="3"/>
  <c r="P435" i="3"/>
  <c r="P419" i="3"/>
  <c r="P403" i="3"/>
  <c r="Q403" i="3"/>
  <c r="Q387" i="3"/>
  <c r="P387" i="3"/>
  <c r="P371" i="3"/>
  <c r="P355" i="3"/>
  <c r="P339" i="3"/>
  <c r="P323" i="3"/>
  <c r="P307" i="3"/>
  <c r="P291" i="3"/>
  <c r="P275" i="3"/>
  <c r="Q259" i="3"/>
  <c r="P259" i="3"/>
  <c r="P243" i="3"/>
  <c r="Q243" i="3"/>
  <c r="P227" i="3"/>
  <c r="P211" i="3"/>
  <c r="P195" i="3"/>
  <c r="P179" i="3"/>
  <c r="P163" i="3"/>
  <c r="P147" i="3"/>
  <c r="Q147" i="3"/>
  <c r="Q131" i="3"/>
  <c r="P115" i="3"/>
  <c r="Q115" i="3"/>
  <c r="P83" i="3"/>
  <c r="P67" i="3"/>
  <c r="Q51" i="3"/>
  <c r="P35" i="3"/>
  <c r="P19" i="3"/>
  <c r="N543" i="3"/>
  <c r="N271" i="3"/>
  <c r="O79" i="3"/>
  <c r="Q511" i="3"/>
  <c r="N611" i="3"/>
  <c r="N413" i="5"/>
  <c r="O609" i="3"/>
  <c r="N609" i="3"/>
  <c r="N577" i="3"/>
  <c r="O577" i="3"/>
  <c r="O545" i="3"/>
  <c r="N545" i="3"/>
  <c r="N497" i="3"/>
  <c r="O497" i="3"/>
  <c r="O433" i="3"/>
  <c r="N433" i="3"/>
  <c r="N401" i="3"/>
  <c r="O401" i="3"/>
  <c r="N353" i="3"/>
  <c r="O353" i="3"/>
  <c r="N273" i="3"/>
  <c r="O273" i="3"/>
  <c r="N257" i="3"/>
  <c r="O257" i="3"/>
  <c r="N193" i="3"/>
  <c r="O193" i="3"/>
  <c r="N145" i="3"/>
  <c r="O145" i="3"/>
  <c r="N81" i="3"/>
  <c r="O81" i="3"/>
  <c r="N65" i="3"/>
  <c r="O65" i="3"/>
  <c r="N33" i="3"/>
  <c r="O33" i="3"/>
  <c r="P593" i="3"/>
  <c r="P577" i="3"/>
  <c r="Q577" i="3"/>
  <c r="P561" i="3"/>
  <c r="P545" i="3"/>
  <c r="Q545" i="3"/>
  <c r="Q529" i="3"/>
  <c r="Q513" i="3"/>
  <c r="P497" i="3"/>
  <c r="Q465" i="3"/>
  <c r="P449" i="3"/>
  <c r="Q449" i="3"/>
  <c r="P401" i="3"/>
  <c r="Q401" i="3"/>
  <c r="Q385" i="3"/>
  <c r="P369" i="3"/>
  <c r="Q369" i="3"/>
  <c r="Q353" i="3"/>
  <c r="P337" i="3"/>
  <c r="Q337" i="3"/>
  <c r="Q289" i="3"/>
  <c r="P289" i="3"/>
  <c r="Q241" i="3"/>
  <c r="P241" i="3"/>
  <c r="Q225" i="3"/>
  <c r="P209" i="3"/>
  <c r="Q209" i="3"/>
  <c r="P193" i="3"/>
  <c r="Q193" i="3"/>
  <c r="Q177" i="3"/>
  <c r="Q161" i="3"/>
  <c r="P161" i="3"/>
  <c r="Q145" i="3"/>
  <c r="P129" i="3"/>
  <c r="Q129" i="3"/>
  <c r="P97" i="3"/>
  <c r="Q81" i="3"/>
  <c r="P49" i="3"/>
  <c r="Q49" i="3"/>
  <c r="Q33" i="3"/>
  <c r="P17" i="3"/>
  <c r="Q17" i="3"/>
  <c r="O368" i="5"/>
  <c r="Q368" i="5"/>
  <c r="P368" i="5"/>
  <c r="Q192" i="5"/>
  <c r="P192" i="5"/>
  <c r="O192" i="5"/>
  <c r="N192" i="5"/>
  <c r="O112" i="5"/>
  <c r="N112" i="5"/>
  <c r="P112" i="5"/>
  <c r="Q16" i="5"/>
  <c r="P16" i="5"/>
  <c r="O16" i="5"/>
  <c r="N527" i="5"/>
  <c r="Q527" i="5"/>
  <c r="O527" i="5"/>
  <c r="N383" i="5"/>
  <c r="P383" i="5"/>
  <c r="O383" i="5"/>
  <c r="Q383" i="5"/>
  <c r="N351" i="5"/>
  <c r="O351" i="5"/>
  <c r="N271" i="5"/>
  <c r="P271" i="5"/>
  <c r="O271" i="5"/>
  <c r="Q271" i="5"/>
  <c r="P255" i="5"/>
  <c r="O255" i="5"/>
  <c r="O207" i="5"/>
  <c r="P207" i="5"/>
  <c r="Q111" i="5"/>
  <c r="N111" i="5"/>
  <c r="P111" i="5"/>
  <c r="P79" i="5"/>
  <c r="O79" i="5"/>
  <c r="O529" i="3"/>
  <c r="O481" i="3"/>
  <c r="O129" i="3"/>
  <c r="Q275" i="3"/>
  <c r="Q244" i="3"/>
  <c r="O173" i="5"/>
  <c r="N319" i="3"/>
  <c r="N575" i="3"/>
  <c r="O575" i="3"/>
  <c r="O399" i="3"/>
  <c r="N399" i="3"/>
  <c r="O207" i="3"/>
  <c r="N207" i="3"/>
  <c r="P543" i="3"/>
  <c r="P431" i="3"/>
  <c r="Q431" i="3"/>
  <c r="P383" i="3"/>
  <c r="Q383" i="3"/>
  <c r="Q271" i="3"/>
  <c r="P15" i="3"/>
  <c r="P237" i="5"/>
  <c r="N237" i="5"/>
  <c r="P415" i="3"/>
  <c r="N127" i="3"/>
  <c r="Q68" i="3"/>
  <c r="P353" i="3"/>
  <c r="Q113" i="3"/>
  <c r="P81" i="3"/>
  <c r="O477" i="5"/>
  <c r="P100" i="3"/>
  <c r="N465" i="3"/>
  <c r="N417" i="3"/>
  <c r="O369" i="3"/>
  <c r="O47" i="3"/>
  <c r="N511" i="3"/>
  <c r="O511" i="3"/>
  <c r="O447" i="3"/>
  <c r="N447" i="3"/>
  <c r="N303" i="3"/>
  <c r="O303" i="3"/>
  <c r="O255" i="3"/>
  <c r="N255" i="3"/>
  <c r="N175" i="3"/>
  <c r="O175" i="3"/>
  <c r="O143" i="3"/>
  <c r="N143" i="3"/>
  <c r="P591" i="3"/>
  <c r="Q591" i="3"/>
  <c r="P559" i="3"/>
  <c r="Q559" i="3"/>
  <c r="P399" i="3"/>
  <c r="Q319" i="3"/>
  <c r="P239" i="3"/>
  <c r="Q239" i="3"/>
  <c r="Q207" i="3"/>
  <c r="P207" i="3"/>
  <c r="P175" i="3"/>
  <c r="Q175" i="3"/>
  <c r="P31" i="3"/>
  <c r="Q285" i="5"/>
  <c r="P285" i="5"/>
  <c r="P271" i="3"/>
  <c r="P196" i="3"/>
  <c r="O557" i="5"/>
  <c r="Q590" i="5"/>
  <c r="Q132" i="3"/>
  <c r="Q561" i="3"/>
  <c r="P367" i="3"/>
  <c r="O111" i="3"/>
  <c r="O607" i="3"/>
  <c r="N607" i="3"/>
  <c r="N479" i="3"/>
  <c r="O479" i="3"/>
  <c r="N431" i="3"/>
  <c r="O431" i="3"/>
  <c r="N239" i="3"/>
  <c r="O239" i="3"/>
  <c r="O191" i="3"/>
  <c r="N191" i="3"/>
  <c r="O63" i="3"/>
  <c r="N63" i="3"/>
  <c r="P527" i="3"/>
  <c r="Q527" i="3"/>
  <c r="P479" i="3"/>
  <c r="Q479" i="3"/>
  <c r="P351" i="3"/>
  <c r="Q351" i="3"/>
  <c r="P303" i="3"/>
  <c r="Q303" i="3"/>
  <c r="P255" i="3"/>
  <c r="Q191" i="3"/>
  <c r="P143" i="3"/>
  <c r="Q143" i="3"/>
  <c r="P111" i="3"/>
  <c r="O222" i="5"/>
  <c r="P222" i="5"/>
  <c r="P142" i="5"/>
  <c r="N142" i="5"/>
  <c r="P14" i="5"/>
  <c r="O14" i="5"/>
  <c r="O381" i="5"/>
  <c r="N381" i="5"/>
  <c r="N365" i="5"/>
  <c r="O365" i="5"/>
  <c r="N125" i="5"/>
  <c r="P125" i="5"/>
  <c r="Q125" i="5"/>
  <c r="P244" i="3"/>
  <c r="Q127" i="3"/>
  <c r="Q100" i="3"/>
  <c r="Q496" i="5"/>
  <c r="P513" i="3"/>
  <c r="P145" i="3"/>
  <c r="P131" i="3"/>
  <c r="N593" i="3"/>
  <c r="N289" i="3"/>
  <c r="N285" i="5"/>
  <c r="O461" i="3"/>
  <c r="N461" i="3"/>
  <c r="O365" i="3"/>
  <c r="N365" i="3"/>
  <c r="O349" i="3"/>
  <c r="N349" i="3"/>
  <c r="O301" i="3"/>
  <c r="N301" i="3"/>
  <c r="P573" i="3"/>
  <c r="Q525" i="3"/>
  <c r="Q381" i="3"/>
  <c r="Q237" i="3"/>
  <c r="Q173" i="3"/>
  <c r="Q141" i="3"/>
  <c r="P412" i="5"/>
  <c r="Q412" i="5"/>
  <c r="N44" i="5"/>
  <c r="P44" i="5"/>
  <c r="Q445" i="3"/>
  <c r="Q365" i="3"/>
  <c r="Q189" i="3"/>
  <c r="O413" i="3"/>
  <c r="N317" i="3"/>
  <c r="N45" i="3"/>
  <c r="P236" i="5"/>
  <c r="Q349" i="3"/>
  <c r="Q541" i="3"/>
  <c r="N509" i="3"/>
  <c r="O477" i="3"/>
  <c r="O253" i="3"/>
  <c r="O157" i="3"/>
  <c r="Q236" i="5"/>
  <c r="Q523" i="5"/>
  <c r="N570" i="3"/>
  <c r="O570" i="3"/>
  <c r="O330" i="3"/>
  <c r="N330" i="3"/>
  <c r="N154" i="3"/>
  <c r="O154" i="3"/>
  <c r="O122" i="3"/>
  <c r="N122" i="3"/>
  <c r="P586" i="3"/>
  <c r="P570" i="3"/>
  <c r="P538" i="3"/>
  <c r="Q522" i="3"/>
  <c r="Q506" i="3"/>
  <c r="P394" i="3"/>
  <c r="Q378" i="3"/>
  <c r="Q362" i="3"/>
  <c r="Q298" i="3"/>
  <c r="P250" i="3"/>
  <c r="Q234" i="3"/>
  <c r="P218" i="3"/>
  <c r="Q218" i="3"/>
  <c r="Q186" i="3"/>
  <c r="Q170" i="3"/>
  <c r="P154" i="3"/>
  <c r="Q154" i="3"/>
  <c r="P106" i="3"/>
  <c r="Q90" i="3"/>
  <c r="P58" i="3"/>
  <c r="Q42" i="3"/>
  <c r="P10" i="3"/>
  <c r="Q585" i="5"/>
  <c r="P585" i="5"/>
  <c r="N569" i="5"/>
  <c r="O569" i="5"/>
  <c r="O553" i="5"/>
  <c r="Q553" i="5"/>
  <c r="N537" i="5"/>
  <c r="P537" i="5"/>
  <c r="Q489" i="5"/>
  <c r="N489" i="5"/>
  <c r="O473" i="5"/>
  <c r="N473" i="5"/>
  <c r="P600" i="5"/>
  <c r="N541" i="3"/>
  <c r="O541" i="3"/>
  <c r="N285" i="3"/>
  <c r="O285" i="3"/>
  <c r="N93" i="3"/>
  <c r="O93" i="3"/>
  <c r="P589" i="3"/>
  <c r="P557" i="3"/>
  <c r="Q285" i="3"/>
  <c r="Q221" i="3"/>
  <c r="P205" i="3"/>
  <c r="Q205" i="3"/>
  <c r="Q157" i="3"/>
  <c r="Q77" i="3"/>
  <c r="P492" i="5"/>
  <c r="Q492" i="5"/>
  <c r="Q108" i="5"/>
  <c r="O108" i="5"/>
  <c r="Q12" i="5"/>
  <c r="O12" i="5"/>
  <c r="Q573" i="3"/>
  <c r="Q333" i="3"/>
  <c r="Q125" i="3"/>
  <c r="O124" i="5"/>
  <c r="O284" i="5"/>
  <c r="N521" i="3"/>
  <c r="O521" i="3"/>
  <c r="N441" i="3"/>
  <c r="O441" i="3"/>
  <c r="N361" i="3"/>
  <c r="O361" i="3"/>
  <c r="N297" i="3"/>
  <c r="O297" i="3"/>
  <c r="N89" i="3"/>
  <c r="O89" i="3"/>
  <c r="O57" i="3"/>
  <c r="N57" i="3"/>
  <c r="P585" i="3"/>
  <c r="P569" i="3"/>
  <c r="P553" i="3"/>
  <c r="Q521" i="3"/>
  <c r="Q377" i="3"/>
  <c r="Q345" i="3"/>
  <c r="Q281" i="3"/>
  <c r="Q233" i="3"/>
  <c r="Q217" i="3"/>
  <c r="P201" i="3"/>
  <c r="Q201" i="3"/>
  <c r="Q169" i="3"/>
  <c r="Q153" i="3"/>
  <c r="Q137" i="3"/>
  <c r="Q73" i="3"/>
  <c r="P25" i="3"/>
  <c r="O600" i="5"/>
  <c r="Q600" i="5"/>
  <c r="P568" i="5"/>
  <c r="N568" i="5"/>
  <c r="N552" i="5"/>
  <c r="Q552" i="5"/>
  <c r="O552" i="5"/>
  <c r="Q536" i="5"/>
  <c r="O536" i="5"/>
  <c r="O520" i="5"/>
  <c r="N520" i="5"/>
  <c r="O488" i="5"/>
  <c r="N488" i="5"/>
  <c r="P408" i="5"/>
  <c r="Q408" i="5"/>
  <c r="Q344" i="5"/>
  <c r="P344" i="5"/>
  <c r="O344" i="5"/>
  <c r="Q216" i="5"/>
  <c r="O216" i="5"/>
  <c r="P216" i="5"/>
  <c r="Q152" i="5"/>
  <c r="P152" i="5"/>
  <c r="O152" i="5"/>
  <c r="P88" i="5"/>
  <c r="Q88" i="5"/>
  <c r="Q56" i="5"/>
  <c r="O56" i="5"/>
  <c r="P56" i="5"/>
  <c r="O24" i="5"/>
  <c r="N24" i="5"/>
  <c r="P599" i="5"/>
  <c r="O599" i="5"/>
  <c r="Q599" i="5"/>
  <c r="Q583" i="5"/>
  <c r="N583" i="5"/>
  <c r="O551" i="5"/>
  <c r="N551" i="5"/>
  <c r="Q535" i="5"/>
  <c r="N535" i="5"/>
  <c r="N519" i="5"/>
  <c r="Q519" i="5"/>
  <c r="N381" i="3"/>
  <c r="O381" i="3"/>
  <c r="O109" i="3"/>
  <c r="N109" i="3"/>
  <c r="Q284" i="5"/>
  <c r="Q572" i="5"/>
  <c r="O45" i="5"/>
  <c r="N598" i="5"/>
  <c r="P584" i="5"/>
  <c r="N291" i="3"/>
  <c r="N227" i="3"/>
  <c r="O610" i="5"/>
  <c r="Q5" i="5"/>
  <c r="O5" i="5"/>
  <c r="N5" i="5"/>
  <c r="O611" i="5"/>
  <c r="N611" i="5"/>
  <c r="O259" i="5"/>
  <c r="N259" i="5"/>
  <c r="O467" i="3"/>
  <c r="O419" i="3"/>
  <c r="N371" i="3"/>
  <c r="N35" i="3"/>
  <c r="N161" i="5"/>
  <c r="Q547" i="3"/>
  <c r="Q419" i="3"/>
  <c r="Q291" i="3"/>
  <c r="Q163" i="3"/>
  <c r="N323" i="3"/>
  <c r="O323" i="3"/>
  <c r="Q563" i="3"/>
  <c r="Q435" i="3"/>
  <c r="Q307" i="3"/>
  <c r="Q179" i="3"/>
  <c r="Q83" i="3"/>
  <c r="Q19" i="3"/>
  <c r="O579" i="3"/>
  <c r="O339" i="3"/>
  <c r="N559" i="3"/>
  <c r="O559" i="3"/>
  <c r="N527" i="3"/>
  <c r="O527" i="3"/>
  <c r="N383" i="3"/>
  <c r="O383" i="3"/>
  <c r="N367" i="3"/>
  <c r="O367" i="3"/>
  <c r="N287" i="3"/>
  <c r="O287" i="3"/>
  <c r="N223" i="3"/>
  <c r="O223" i="3"/>
  <c r="N159" i="3"/>
  <c r="O159" i="3"/>
  <c r="N95" i="3"/>
  <c r="O95" i="3"/>
  <c r="N31" i="3"/>
  <c r="O31" i="3"/>
  <c r="P95" i="3"/>
  <c r="Q95" i="3"/>
  <c r="Q63" i="3"/>
  <c r="P47" i="3"/>
  <c r="Q542" i="5"/>
  <c r="P542" i="5"/>
  <c r="O398" i="5"/>
  <c r="N398" i="5"/>
  <c r="Q398" i="5"/>
  <c r="Q94" i="5"/>
  <c r="P94" i="5"/>
  <c r="O94" i="5"/>
  <c r="O78" i="5"/>
  <c r="N78" i="5"/>
  <c r="P573" i="5"/>
  <c r="Q573" i="5"/>
  <c r="P557" i="5"/>
  <c r="N557" i="5"/>
  <c r="Q541" i="5"/>
  <c r="O541" i="5"/>
  <c r="N541" i="5"/>
  <c r="Q509" i="5"/>
  <c r="P509" i="5"/>
  <c r="O509" i="5"/>
  <c r="Q493" i="5"/>
  <c r="N493" i="5"/>
  <c r="N477" i="5"/>
  <c r="P477" i="5"/>
  <c r="N429" i="5"/>
  <c r="Q429" i="5"/>
  <c r="P429" i="5"/>
  <c r="O429" i="5"/>
  <c r="O413" i="5"/>
  <c r="Q413" i="5"/>
  <c r="N333" i="5"/>
  <c r="Q333" i="5"/>
  <c r="P333" i="5"/>
  <c r="Q301" i="5"/>
  <c r="O301" i="5"/>
  <c r="N301" i="5"/>
  <c r="Q237" i="5"/>
  <c r="O237" i="5"/>
  <c r="O221" i="5"/>
  <c r="N221" i="5"/>
  <c r="Q221" i="5"/>
  <c r="P205" i="5"/>
  <c r="N205" i="5"/>
  <c r="N173" i="5"/>
  <c r="P173" i="5"/>
  <c r="Q157" i="5"/>
  <c r="P157" i="5"/>
  <c r="O157" i="5"/>
  <c r="N157" i="5"/>
  <c r="Q141" i="5"/>
  <c r="O141" i="5"/>
  <c r="N141" i="5"/>
  <c r="Q61" i="5"/>
  <c r="O61" i="5"/>
  <c r="N515" i="3"/>
  <c r="O515" i="3"/>
  <c r="N195" i="3"/>
  <c r="O195" i="3"/>
  <c r="N435" i="3"/>
  <c r="O307" i="3"/>
  <c r="O275" i="3"/>
  <c r="N67" i="3"/>
  <c r="O67" i="3"/>
  <c r="P51" i="3"/>
  <c r="Q579" i="3"/>
  <c r="Q451" i="3"/>
  <c r="Q323" i="3"/>
  <c r="Q195" i="3"/>
  <c r="O483" i="3"/>
  <c r="O243" i="3"/>
  <c r="O211" i="3"/>
  <c r="N445" i="3"/>
  <c r="O445" i="3"/>
  <c r="N333" i="3"/>
  <c r="O333" i="3"/>
  <c r="N269" i="3"/>
  <c r="O269" i="3"/>
  <c r="N205" i="3"/>
  <c r="O205" i="3"/>
  <c r="N141" i="3"/>
  <c r="O141" i="3"/>
  <c r="N77" i="3"/>
  <c r="O77" i="3"/>
  <c r="N13" i="3"/>
  <c r="O13" i="3"/>
  <c r="P61" i="3"/>
  <c r="P45" i="3"/>
  <c r="P29" i="3"/>
  <c r="Q29" i="3"/>
  <c r="N604" i="5"/>
  <c r="O604" i="5"/>
  <c r="P572" i="5"/>
  <c r="N572" i="5"/>
  <c r="P556" i="5"/>
  <c r="O556" i="5"/>
  <c r="P524" i="5"/>
  <c r="N524" i="5"/>
  <c r="P460" i="5"/>
  <c r="O460" i="5"/>
  <c r="P444" i="5"/>
  <c r="N444" i="5"/>
  <c r="O396" i="5"/>
  <c r="N396" i="5"/>
  <c r="Q380" i="5"/>
  <c r="O380" i="5"/>
  <c r="Q364" i="5"/>
  <c r="P364" i="5"/>
  <c r="O364" i="5"/>
  <c r="P300" i="5"/>
  <c r="O300" i="5"/>
  <c r="N300" i="5"/>
  <c r="Q220" i="5"/>
  <c r="P220" i="5"/>
  <c r="N220" i="5"/>
  <c r="Q188" i="5"/>
  <c r="O188" i="5"/>
  <c r="O172" i="5"/>
  <c r="N172" i="5"/>
  <c r="P140" i="5"/>
  <c r="O140" i="5"/>
  <c r="N140" i="5"/>
  <c r="P124" i="5"/>
  <c r="N124" i="5"/>
  <c r="P108" i="5"/>
  <c r="N108" i="5"/>
  <c r="Q44" i="5"/>
  <c r="O44" i="5"/>
  <c r="N28" i="5"/>
  <c r="Q28" i="5"/>
  <c r="P28" i="5"/>
  <c r="P12" i="5"/>
  <c r="N12" i="5"/>
  <c r="Q587" i="5"/>
  <c r="P587" i="5"/>
  <c r="O587" i="5"/>
  <c r="N587" i="5"/>
  <c r="Q497" i="5"/>
  <c r="N497" i="5"/>
  <c r="P161" i="5"/>
  <c r="O161" i="5"/>
  <c r="N531" i="3"/>
  <c r="O387" i="3"/>
  <c r="O179" i="3"/>
  <c r="O147" i="3"/>
  <c r="N131" i="3"/>
  <c r="O131" i="3"/>
  <c r="P99" i="3"/>
  <c r="Q99" i="3"/>
  <c r="O289" i="5"/>
  <c r="N289" i="5"/>
  <c r="Q595" i="3"/>
  <c r="Q467" i="3"/>
  <c r="Q339" i="3"/>
  <c r="Q211" i="3"/>
  <c r="Q35" i="3"/>
  <c r="N595" i="3"/>
  <c r="O115" i="3"/>
  <c r="O83" i="3"/>
  <c r="O51" i="3"/>
  <c r="O19" i="3"/>
  <c r="Q483" i="3"/>
  <c r="Q355" i="3"/>
  <c r="Q227" i="3"/>
  <c r="O499" i="3"/>
  <c r="O355" i="3"/>
  <c r="N403" i="3"/>
  <c r="O403" i="3"/>
  <c r="N259" i="3"/>
  <c r="O259" i="3"/>
  <c r="Q67" i="3"/>
  <c r="Q597" i="5"/>
  <c r="Q581" i="5"/>
  <c r="Q565" i="5"/>
  <c r="Q549" i="5"/>
  <c r="Q533" i="5"/>
  <c r="Q517" i="5"/>
  <c r="Q501" i="5"/>
  <c r="Q485" i="5"/>
  <c r="Q469" i="5"/>
  <c r="Q453" i="5"/>
  <c r="Q437" i="5"/>
  <c r="Q421" i="5"/>
  <c r="Q405" i="5"/>
  <c r="Q389" i="5"/>
  <c r="Q373" i="5"/>
  <c r="Q357" i="5"/>
  <c r="Q341" i="5"/>
  <c r="Q325" i="5"/>
  <c r="Q309" i="5"/>
  <c r="Q293" i="5"/>
  <c r="Q277" i="5"/>
  <c r="Q261" i="5"/>
  <c r="Q245" i="5"/>
  <c r="Q229" i="5"/>
  <c r="Q213" i="5"/>
  <c r="Q197" i="5"/>
  <c r="Q181" i="5"/>
  <c r="Q165" i="5"/>
  <c r="Q149" i="5"/>
  <c r="Q133" i="5"/>
  <c r="Q117" i="5"/>
  <c r="Q101" i="5"/>
  <c r="Q85" i="5"/>
  <c r="Q69" i="5"/>
  <c r="Q53" i="5"/>
  <c r="Q37" i="5"/>
  <c r="Q21" i="5"/>
  <c r="Q484" i="5"/>
  <c r="Q468" i="5"/>
  <c r="Q148" i="5"/>
  <c r="Q100" i="5"/>
  <c r="P52" i="5"/>
  <c r="N36" i="5"/>
  <c r="N514" i="5"/>
  <c r="P450" i="5"/>
  <c r="Q418" i="5"/>
  <c r="Q338" i="5"/>
  <c r="O242" i="5"/>
  <c r="N162" i="5"/>
  <c r="N130" i="5"/>
  <c r="N82" i="5"/>
  <c r="Q34" i="5"/>
  <c r="Q544" i="5"/>
  <c r="Q528" i="5"/>
  <c r="N368" i="5"/>
  <c r="Q272" i="5"/>
  <c r="Q112" i="5"/>
  <c r="N64" i="5"/>
  <c r="N48" i="5"/>
  <c r="N16" i="5"/>
  <c r="P527" i="5"/>
  <c r="N599" i="5"/>
  <c r="Q478" i="5"/>
  <c r="Q430" i="5"/>
  <c r="Q350" i="5"/>
  <c r="Q254" i="5"/>
  <c r="Q222" i="5"/>
  <c r="N158" i="5"/>
  <c r="O142" i="5"/>
  <c r="Q78" i="5"/>
  <c r="N62" i="5"/>
  <c r="Q14" i="5"/>
  <c r="O585" i="5"/>
  <c r="Q524" i="5"/>
  <c r="N492" i="5"/>
  <c r="Q460" i="5"/>
  <c r="Q348" i="5"/>
  <c r="N284" i="5"/>
  <c r="N236" i="5"/>
  <c r="Q92" i="5"/>
  <c r="N60" i="5"/>
  <c r="P363" i="5"/>
  <c r="O331" i="5"/>
  <c r="N283" i="5"/>
  <c r="P267" i="5"/>
  <c r="P251" i="5"/>
  <c r="O235" i="5"/>
  <c r="Q203" i="5"/>
  <c r="Q187" i="5"/>
  <c r="Q155" i="5"/>
  <c r="Q107" i="5"/>
  <c r="N91" i="5"/>
  <c r="O75" i="5"/>
  <c r="N59" i="5"/>
  <c r="O11" i="5"/>
  <c r="O305" i="3"/>
  <c r="O241" i="3"/>
  <c r="O177" i="3"/>
  <c r="O113" i="3"/>
  <c r="O49" i="3"/>
  <c r="N553" i="5"/>
  <c r="N600" i="5"/>
  <c r="O602" i="5"/>
  <c r="N586" i="5"/>
  <c r="N570" i="5"/>
  <c r="P538" i="5"/>
  <c r="Q522" i="5"/>
  <c r="Q410" i="5"/>
  <c r="P394" i="5"/>
  <c r="N378" i="5"/>
  <c r="O362" i="5"/>
  <c r="P314" i="5"/>
  <c r="P266" i="5"/>
  <c r="N234" i="5"/>
  <c r="Q186" i="5"/>
  <c r="Q170" i="5"/>
  <c r="Q90" i="5"/>
  <c r="P74" i="5"/>
  <c r="P42" i="5"/>
  <c r="P10" i="5"/>
  <c r="N585" i="5"/>
  <c r="Q569" i="5"/>
  <c r="Q537" i="5"/>
  <c r="Q505" i="5"/>
  <c r="N425" i="5"/>
  <c r="P377" i="5"/>
  <c r="O313" i="5"/>
  <c r="Q297" i="5"/>
  <c r="Q281" i="5"/>
  <c r="N249" i="5"/>
  <c r="Q233" i="5"/>
  <c r="N169" i="5"/>
  <c r="P581" i="5"/>
  <c r="P501" i="5"/>
  <c r="P437" i="5"/>
  <c r="P389" i="5"/>
  <c r="P325" i="5"/>
  <c r="P277" i="5"/>
  <c r="P197" i="5"/>
  <c r="P85" i="5"/>
  <c r="Q548" i="5"/>
  <c r="N548" i="5"/>
  <c r="O548" i="5"/>
  <c r="P548" i="5"/>
  <c r="N68" i="5"/>
  <c r="P68" i="5"/>
  <c r="Q68" i="5"/>
  <c r="O68" i="5"/>
  <c r="Q67" i="5"/>
  <c r="P67" i="5"/>
  <c r="O67" i="5"/>
  <c r="N67" i="5"/>
  <c r="Q66" i="5"/>
  <c r="P66" i="5"/>
  <c r="O66" i="5"/>
  <c r="N66" i="5"/>
  <c r="P65" i="5"/>
  <c r="Q65" i="5"/>
  <c r="N83" i="5"/>
  <c r="P481" i="5"/>
  <c r="P497" i="5"/>
  <c r="O608" i="5"/>
  <c r="N608" i="5"/>
  <c r="P592" i="5"/>
  <c r="O592" i="5"/>
  <c r="N592" i="5"/>
  <c r="Q592" i="5"/>
  <c r="Q576" i="5"/>
  <c r="P576" i="5"/>
  <c r="O576" i="5"/>
  <c r="N576" i="5"/>
  <c r="P560" i="5"/>
  <c r="O560" i="5"/>
  <c r="N560" i="5"/>
  <c r="Q560" i="5"/>
  <c r="Q512" i="5"/>
  <c r="P512" i="5"/>
  <c r="O512" i="5"/>
  <c r="N512" i="5"/>
  <c r="N496" i="5"/>
  <c r="O496" i="5"/>
  <c r="Q480" i="5"/>
  <c r="P480" i="5"/>
  <c r="O480" i="5"/>
  <c r="N480" i="5"/>
  <c r="Q464" i="5"/>
  <c r="P464" i="5"/>
  <c r="O464" i="5"/>
  <c r="N464" i="5"/>
  <c r="Q448" i="5"/>
  <c r="O448" i="5"/>
  <c r="P448" i="5"/>
  <c r="N448" i="5"/>
  <c r="Q432" i="5"/>
  <c r="P432" i="5"/>
  <c r="N432" i="5"/>
  <c r="O432" i="5"/>
  <c r="O416" i="5"/>
  <c r="N416" i="5"/>
  <c r="Q416" i="5"/>
  <c r="P416" i="5"/>
  <c r="Q400" i="5"/>
  <c r="P400" i="5"/>
  <c r="O400" i="5"/>
  <c r="N400" i="5"/>
  <c r="Q384" i="5"/>
  <c r="N384" i="5"/>
  <c r="Q352" i="5"/>
  <c r="P352" i="5"/>
  <c r="O352" i="5"/>
  <c r="N352" i="5"/>
  <c r="P336" i="5"/>
  <c r="O336" i="5"/>
  <c r="N336" i="5"/>
  <c r="Q336" i="5"/>
  <c r="Q320" i="5"/>
  <c r="P320" i="5"/>
  <c r="O320" i="5"/>
  <c r="N320" i="5"/>
  <c r="O304" i="5"/>
  <c r="Q304" i="5"/>
  <c r="P304" i="5"/>
  <c r="N304" i="5"/>
  <c r="Q288" i="5"/>
  <c r="P288" i="5"/>
  <c r="O288" i="5"/>
  <c r="N288" i="5"/>
  <c r="Q256" i="5"/>
  <c r="P256" i="5"/>
  <c r="O256" i="5"/>
  <c r="N256" i="5"/>
  <c r="N240" i="5"/>
  <c r="Q240" i="5"/>
  <c r="P240" i="5"/>
  <c r="O240" i="5"/>
  <c r="O64" i="5"/>
  <c r="O83" i="5"/>
  <c r="P148" i="5"/>
  <c r="O162" i="5"/>
  <c r="O272" i="5"/>
  <c r="N435" i="5"/>
  <c r="P528" i="5"/>
  <c r="P64" i="5"/>
  <c r="P83" i="5"/>
  <c r="N100" i="5"/>
  <c r="O131" i="5"/>
  <c r="N241" i="5"/>
  <c r="P272" i="5"/>
  <c r="P353" i="5"/>
  <c r="Q64" i="5"/>
  <c r="O100" i="5"/>
  <c r="P131" i="5"/>
  <c r="O241" i="5"/>
  <c r="N484" i="5"/>
  <c r="N65" i="5"/>
  <c r="P100" i="5"/>
  <c r="Q131" i="5"/>
  <c r="P241" i="5"/>
  <c r="O484" i="5"/>
  <c r="P597" i="5"/>
  <c r="P533" i="5"/>
  <c r="P453" i="5"/>
  <c r="P373" i="5"/>
  <c r="P309" i="5"/>
  <c r="P245" i="5"/>
  <c r="P213" i="5"/>
  <c r="P165" i="5"/>
  <c r="P117" i="5"/>
  <c r="P69" i="5"/>
  <c r="P37" i="5"/>
  <c r="Q564" i="5"/>
  <c r="P564" i="5"/>
  <c r="O564" i="5"/>
  <c r="N564" i="5"/>
  <c r="Q516" i="5"/>
  <c r="P516" i="5"/>
  <c r="O516" i="5"/>
  <c r="N516" i="5"/>
  <c r="Q436" i="5"/>
  <c r="P436" i="5"/>
  <c r="O436" i="5"/>
  <c r="N436" i="5"/>
  <c r="O420" i="5"/>
  <c r="N420" i="5"/>
  <c r="P420" i="5"/>
  <c r="Q420" i="5"/>
  <c r="Q388" i="5"/>
  <c r="P388" i="5"/>
  <c r="O388" i="5"/>
  <c r="N388" i="5"/>
  <c r="Q372" i="5"/>
  <c r="P372" i="5"/>
  <c r="O372" i="5"/>
  <c r="N372" i="5"/>
  <c r="P340" i="5"/>
  <c r="O340" i="5"/>
  <c r="N340" i="5"/>
  <c r="P308" i="5"/>
  <c r="O308" i="5"/>
  <c r="N308" i="5"/>
  <c r="Q308" i="5"/>
  <c r="N276" i="5"/>
  <c r="Q276" i="5"/>
  <c r="P276" i="5"/>
  <c r="O276" i="5"/>
  <c r="Q228" i="5"/>
  <c r="P228" i="5"/>
  <c r="P196" i="5"/>
  <c r="Q196" i="5"/>
  <c r="O196" i="5"/>
  <c r="N196" i="5"/>
  <c r="N164" i="5"/>
  <c r="Q164" i="5"/>
  <c r="P164" i="5"/>
  <c r="O164" i="5"/>
  <c r="P132" i="5"/>
  <c r="Q132" i="5"/>
  <c r="O132" i="5"/>
  <c r="N132" i="5"/>
  <c r="Q116" i="5"/>
  <c r="P116" i="5"/>
  <c r="O116" i="5"/>
  <c r="N116" i="5"/>
  <c r="Q84" i="5"/>
  <c r="P84" i="5"/>
  <c r="O84" i="5"/>
  <c r="N84" i="5"/>
  <c r="Q20" i="5"/>
  <c r="P20" i="5"/>
  <c r="O20" i="5"/>
  <c r="N20" i="5"/>
  <c r="N563" i="5"/>
  <c r="Q563" i="5"/>
  <c r="O563" i="5"/>
  <c r="P563" i="5"/>
  <c r="N531" i="5"/>
  <c r="P531" i="5"/>
  <c r="Q531" i="5"/>
  <c r="O531" i="5"/>
  <c r="O515" i="5"/>
  <c r="N515" i="5"/>
  <c r="O483" i="5"/>
  <c r="N483" i="5"/>
  <c r="P483" i="5"/>
  <c r="Q451" i="5"/>
  <c r="P451" i="5"/>
  <c r="O451" i="5"/>
  <c r="N451" i="5"/>
  <c r="Q435" i="5"/>
  <c r="P435" i="5"/>
  <c r="P403" i="5"/>
  <c r="O403" i="5"/>
  <c r="N403" i="5"/>
  <c r="Q403" i="5"/>
  <c r="Q387" i="5"/>
  <c r="P387" i="5"/>
  <c r="O387" i="5"/>
  <c r="N387" i="5"/>
  <c r="Q371" i="5"/>
  <c r="N371" i="5"/>
  <c r="P371" i="5"/>
  <c r="O371" i="5"/>
  <c r="Q355" i="5"/>
  <c r="P355" i="5"/>
  <c r="Q323" i="5"/>
  <c r="P323" i="5"/>
  <c r="O323" i="5"/>
  <c r="N323" i="5"/>
  <c r="Q291" i="5"/>
  <c r="O291" i="5"/>
  <c r="P291" i="5"/>
  <c r="N291" i="5"/>
  <c r="Q243" i="5"/>
  <c r="P243" i="5"/>
  <c r="O243" i="5"/>
  <c r="N243" i="5"/>
  <c r="P211" i="5"/>
  <c r="Q211" i="5"/>
  <c r="O211" i="5"/>
  <c r="N211" i="5"/>
  <c r="O195" i="5"/>
  <c r="N195" i="5"/>
  <c r="Q195" i="5"/>
  <c r="P195" i="5"/>
  <c r="Q163" i="5"/>
  <c r="N163" i="5"/>
  <c r="P163" i="5"/>
  <c r="O163" i="5"/>
  <c r="Q147" i="5"/>
  <c r="P147" i="5"/>
  <c r="O147" i="5"/>
  <c r="N147" i="5"/>
  <c r="Q115" i="5"/>
  <c r="P115" i="5"/>
  <c r="O115" i="5"/>
  <c r="N115" i="5"/>
  <c r="Q19" i="5"/>
  <c r="P19" i="5"/>
  <c r="O19" i="5"/>
  <c r="N19" i="5"/>
  <c r="P594" i="5"/>
  <c r="O594" i="5"/>
  <c r="N594" i="5"/>
  <c r="Q594" i="5"/>
  <c r="Q562" i="5"/>
  <c r="P562" i="5"/>
  <c r="O562" i="5"/>
  <c r="N562" i="5"/>
  <c r="Q530" i="5"/>
  <c r="P530" i="5"/>
  <c r="O530" i="5"/>
  <c r="N530" i="5"/>
  <c r="O498" i="5"/>
  <c r="N498" i="5"/>
  <c r="Q498" i="5"/>
  <c r="P498" i="5"/>
  <c r="P466" i="5"/>
  <c r="O466" i="5"/>
  <c r="N466" i="5"/>
  <c r="Q466" i="5"/>
  <c r="N434" i="5"/>
  <c r="Q434" i="5"/>
  <c r="P434" i="5"/>
  <c r="O434" i="5"/>
  <c r="N402" i="5"/>
  <c r="Q402" i="5"/>
  <c r="P402" i="5"/>
  <c r="O402" i="5"/>
  <c r="Q386" i="5"/>
  <c r="P386" i="5"/>
  <c r="O386" i="5"/>
  <c r="N386" i="5"/>
  <c r="Q354" i="5"/>
  <c r="P354" i="5"/>
  <c r="N354" i="5"/>
  <c r="O354" i="5"/>
  <c r="Q322" i="5"/>
  <c r="P322" i="5"/>
  <c r="O322" i="5"/>
  <c r="N322" i="5"/>
  <c r="O290" i="5"/>
  <c r="N290" i="5"/>
  <c r="Q290" i="5"/>
  <c r="P290" i="5"/>
  <c r="P258" i="5"/>
  <c r="O258" i="5"/>
  <c r="N258" i="5"/>
  <c r="P210" i="5"/>
  <c r="O210" i="5"/>
  <c r="N210" i="5"/>
  <c r="Q210" i="5"/>
  <c r="Q178" i="5"/>
  <c r="O178" i="5"/>
  <c r="N178" i="5"/>
  <c r="N146" i="5"/>
  <c r="Q146" i="5"/>
  <c r="O146" i="5"/>
  <c r="P146" i="5"/>
  <c r="O114" i="5"/>
  <c r="N114" i="5"/>
  <c r="Q114" i="5"/>
  <c r="P114" i="5"/>
  <c r="O18" i="5"/>
  <c r="N18" i="5"/>
  <c r="Q577" i="5"/>
  <c r="P577" i="5"/>
  <c r="N577" i="5"/>
  <c r="O577" i="5"/>
  <c r="Q545" i="5"/>
  <c r="P545" i="5"/>
  <c r="O545" i="5"/>
  <c r="N545" i="5"/>
  <c r="P529" i="5"/>
  <c r="O529" i="5"/>
  <c r="N529" i="5"/>
  <c r="Q529" i="5"/>
  <c r="P513" i="5"/>
  <c r="O513" i="5"/>
  <c r="N513" i="5"/>
  <c r="Q465" i="5"/>
  <c r="P465" i="5"/>
  <c r="O465" i="5"/>
  <c r="N465" i="5"/>
  <c r="N433" i="5"/>
  <c r="Q433" i="5"/>
  <c r="O433" i="5"/>
  <c r="P433" i="5"/>
  <c r="Q401" i="5"/>
  <c r="P401" i="5"/>
  <c r="O401" i="5"/>
  <c r="N401" i="5"/>
  <c r="Q369" i="5"/>
  <c r="P369" i="5"/>
  <c r="O369" i="5"/>
  <c r="Q337" i="5"/>
  <c r="P337" i="5"/>
  <c r="O337" i="5"/>
  <c r="N337" i="5"/>
  <c r="Q321" i="5"/>
  <c r="P321" i="5"/>
  <c r="O321" i="5"/>
  <c r="N321" i="5"/>
  <c r="Q289" i="5"/>
  <c r="P289" i="5"/>
  <c r="Q257" i="5"/>
  <c r="O257" i="5"/>
  <c r="N257" i="5"/>
  <c r="Q225" i="5"/>
  <c r="N225" i="5"/>
  <c r="P225" i="5"/>
  <c r="O225" i="5"/>
  <c r="N177" i="5"/>
  <c r="Q177" i="5"/>
  <c r="P177" i="5"/>
  <c r="Q145" i="5"/>
  <c r="P145" i="5"/>
  <c r="O145" i="5"/>
  <c r="N145" i="5"/>
  <c r="Q113" i="5"/>
  <c r="P113" i="5"/>
  <c r="O113" i="5"/>
  <c r="N113" i="5"/>
  <c r="O81" i="5"/>
  <c r="Q81" i="5"/>
  <c r="P81" i="5"/>
  <c r="N81" i="5"/>
  <c r="P33" i="5"/>
  <c r="O33" i="5"/>
  <c r="N33" i="5"/>
  <c r="Q48" i="5"/>
  <c r="P48" i="5"/>
  <c r="O48" i="5"/>
  <c r="O65" i="5"/>
  <c r="O35" i="5"/>
  <c r="N468" i="5"/>
  <c r="N544" i="5"/>
  <c r="P35" i="5"/>
  <c r="O177" i="5"/>
  <c r="N339" i="5"/>
  <c r="P384" i="5"/>
  <c r="O468" i="5"/>
  <c r="P515" i="5"/>
  <c r="O544" i="5"/>
  <c r="P18" i="5"/>
  <c r="P178" i="5"/>
  <c r="N228" i="5"/>
  <c r="O339" i="5"/>
  <c r="P468" i="5"/>
  <c r="Q515" i="5"/>
  <c r="P544" i="5"/>
  <c r="P549" i="5"/>
  <c r="P469" i="5"/>
  <c r="P357" i="5"/>
  <c r="P261" i="5"/>
  <c r="P149" i="5"/>
  <c r="P596" i="5"/>
  <c r="O596" i="5"/>
  <c r="N596" i="5"/>
  <c r="Q596" i="5"/>
  <c r="O52" i="5"/>
  <c r="N52" i="5"/>
  <c r="Q579" i="5"/>
  <c r="P579" i="5"/>
  <c r="O579" i="5"/>
  <c r="N579" i="5"/>
  <c r="O51" i="5"/>
  <c r="N51" i="5"/>
  <c r="Q51" i="5"/>
  <c r="P51" i="5"/>
  <c r="Q50" i="5"/>
  <c r="N50" i="5"/>
  <c r="P50" i="5"/>
  <c r="O50" i="5"/>
  <c r="Q593" i="5"/>
  <c r="P593" i="5"/>
  <c r="O593" i="5"/>
  <c r="N593" i="5"/>
  <c r="P49" i="5"/>
  <c r="Q49" i="5"/>
  <c r="O49" i="5"/>
  <c r="N49" i="5"/>
  <c r="Q18" i="5"/>
  <c r="O228" i="5"/>
  <c r="P339" i="5"/>
  <c r="P565" i="5"/>
  <c r="P517" i="5"/>
  <c r="P485" i="5"/>
  <c r="P421" i="5"/>
  <c r="P405" i="5"/>
  <c r="P341" i="5"/>
  <c r="P293" i="5"/>
  <c r="P229" i="5"/>
  <c r="P181" i="5"/>
  <c r="P133" i="5"/>
  <c r="P101" i="5"/>
  <c r="P53" i="5"/>
  <c r="P21" i="5"/>
  <c r="O580" i="5"/>
  <c r="N580" i="5"/>
  <c r="Q580" i="5"/>
  <c r="P580" i="5"/>
  <c r="O532" i="5"/>
  <c r="N532" i="5"/>
  <c r="Q532" i="5"/>
  <c r="P532" i="5"/>
  <c r="N500" i="5"/>
  <c r="Q500" i="5"/>
  <c r="P500" i="5"/>
  <c r="O500" i="5"/>
  <c r="N452" i="5"/>
  <c r="Q452" i="5"/>
  <c r="O404" i="5"/>
  <c r="N404" i="5"/>
  <c r="Q404" i="5"/>
  <c r="P404" i="5"/>
  <c r="Q356" i="5"/>
  <c r="P356" i="5"/>
  <c r="O356" i="5"/>
  <c r="N356" i="5"/>
  <c r="Q324" i="5"/>
  <c r="O324" i="5"/>
  <c r="P324" i="5"/>
  <c r="Q292" i="5"/>
  <c r="P292" i="5"/>
  <c r="O292" i="5"/>
  <c r="N292" i="5"/>
  <c r="Q260" i="5"/>
  <c r="P260" i="5"/>
  <c r="O260" i="5"/>
  <c r="N260" i="5"/>
  <c r="N244" i="5"/>
  <c r="O244" i="5"/>
  <c r="Q244" i="5"/>
  <c r="P244" i="5"/>
  <c r="Q212" i="5"/>
  <c r="P212" i="5"/>
  <c r="N212" i="5"/>
  <c r="O212" i="5"/>
  <c r="Q180" i="5"/>
  <c r="P180" i="5"/>
  <c r="O180" i="5"/>
  <c r="N180" i="5"/>
  <c r="O148" i="5"/>
  <c r="N148" i="5"/>
  <c r="Q36" i="5"/>
  <c r="P36" i="5"/>
  <c r="O36" i="5"/>
  <c r="Q595" i="5"/>
  <c r="P595" i="5"/>
  <c r="O595" i="5"/>
  <c r="N595" i="5"/>
  <c r="Q547" i="5"/>
  <c r="P547" i="5"/>
  <c r="O547" i="5"/>
  <c r="N547" i="5"/>
  <c r="Q499" i="5"/>
  <c r="P499" i="5"/>
  <c r="N499" i="5"/>
  <c r="O499" i="5"/>
  <c r="N467" i="5"/>
  <c r="O467" i="5"/>
  <c r="Q419" i="5"/>
  <c r="N419" i="5"/>
  <c r="N307" i="5"/>
  <c r="Q307" i="5"/>
  <c r="P307" i="5"/>
  <c r="O307" i="5"/>
  <c r="Q275" i="5"/>
  <c r="O275" i="5"/>
  <c r="P275" i="5"/>
  <c r="N275" i="5"/>
  <c r="Q259" i="5"/>
  <c r="P259" i="5"/>
  <c r="O227" i="5"/>
  <c r="N227" i="5"/>
  <c r="P179" i="5"/>
  <c r="O179" i="5"/>
  <c r="N179" i="5"/>
  <c r="P99" i="5"/>
  <c r="O99" i="5"/>
  <c r="N99" i="5"/>
  <c r="Q578" i="5"/>
  <c r="P578" i="5"/>
  <c r="N578" i="5"/>
  <c r="O578" i="5"/>
  <c r="O546" i="5"/>
  <c r="N546" i="5"/>
  <c r="Q546" i="5"/>
  <c r="P546" i="5"/>
  <c r="Q514" i="5"/>
  <c r="P514" i="5"/>
  <c r="Q482" i="5"/>
  <c r="N482" i="5"/>
  <c r="P482" i="5"/>
  <c r="O482" i="5"/>
  <c r="Q450" i="5"/>
  <c r="O450" i="5"/>
  <c r="N450" i="5"/>
  <c r="P418" i="5"/>
  <c r="O418" i="5"/>
  <c r="N418" i="5"/>
  <c r="N370" i="5"/>
  <c r="Q370" i="5"/>
  <c r="P370" i="5"/>
  <c r="O370" i="5"/>
  <c r="O338" i="5"/>
  <c r="N338" i="5"/>
  <c r="Q306" i="5"/>
  <c r="P306" i="5"/>
  <c r="O306" i="5"/>
  <c r="N306" i="5"/>
  <c r="O274" i="5"/>
  <c r="N274" i="5"/>
  <c r="P274" i="5"/>
  <c r="Q274" i="5"/>
  <c r="Q242" i="5"/>
  <c r="P242" i="5"/>
  <c r="Q226" i="5"/>
  <c r="P226" i="5"/>
  <c r="O226" i="5"/>
  <c r="N226" i="5"/>
  <c r="Q194" i="5"/>
  <c r="P194" i="5"/>
  <c r="O194" i="5"/>
  <c r="N194" i="5"/>
  <c r="Q162" i="5"/>
  <c r="P162" i="5"/>
  <c r="Q130" i="5"/>
  <c r="P130" i="5"/>
  <c r="O130" i="5"/>
  <c r="P98" i="5"/>
  <c r="O98" i="5"/>
  <c r="N98" i="5"/>
  <c r="Q98" i="5"/>
  <c r="Q82" i="5"/>
  <c r="P82" i="5"/>
  <c r="O82" i="5"/>
  <c r="P34" i="5"/>
  <c r="O34" i="5"/>
  <c r="N34" i="5"/>
  <c r="O609" i="5"/>
  <c r="N609" i="5"/>
  <c r="Q561" i="5"/>
  <c r="P561" i="5"/>
  <c r="N561" i="5"/>
  <c r="O561" i="5"/>
  <c r="O481" i="5"/>
  <c r="N481" i="5"/>
  <c r="Q449" i="5"/>
  <c r="P449" i="5"/>
  <c r="O449" i="5"/>
  <c r="N449" i="5"/>
  <c r="N417" i="5"/>
  <c r="P417" i="5"/>
  <c r="Q417" i="5"/>
  <c r="O417" i="5"/>
  <c r="P385" i="5"/>
  <c r="O385" i="5"/>
  <c r="N385" i="5"/>
  <c r="O353" i="5"/>
  <c r="N353" i="5"/>
  <c r="Q305" i="5"/>
  <c r="P305" i="5"/>
  <c r="N305" i="5"/>
  <c r="O305" i="5"/>
  <c r="P273" i="5"/>
  <c r="O273" i="5"/>
  <c r="N273" i="5"/>
  <c r="Q273" i="5"/>
  <c r="P209" i="5"/>
  <c r="O209" i="5"/>
  <c r="N209" i="5"/>
  <c r="Q209" i="5"/>
  <c r="Q193" i="5"/>
  <c r="P193" i="5"/>
  <c r="O193" i="5"/>
  <c r="N129" i="5"/>
  <c r="O129" i="5"/>
  <c r="P97" i="5"/>
  <c r="O97" i="5"/>
  <c r="N97" i="5"/>
  <c r="Q97" i="5"/>
  <c r="Q17" i="5"/>
  <c r="P17" i="5"/>
  <c r="O17" i="5"/>
  <c r="N17" i="5"/>
  <c r="Q129" i="5"/>
  <c r="P32" i="5"/>
  <c r="O32" i="5"/>
  <c r="N32" i="5"/>
  <c r="Q32" i="5"/>
  <c r="N35" i="5"/>
  <c r="Q52" i="5"/>
  <c r="P338" i="5"/>
  <c r="O355" i="5"/>
  <c r="Q467" i="5"/>
  <c r="P484" i="5"/>
  <c r="P227" i="5"/>
  <c r="N242" i="5"/>
  <c r="O384" i="5"/>
  <c r="O514" i="5"/>
  <c r="N324" i="5"/>
  <c r="Q340" i="5"/>
  <c r="P419" i="5"/>
  <c r="O452" i="5"/>
  <c r="P224" i="5"/>
  <c r="O224" i="5"/>
  <c r="N224" i="5"/>
  <c r="Q208" i="5"/>
  <c r="P208" i="5"/>
  <c r="O208" i="5"/>
  <c r="N208" i="5"/>
  <c r="Q176" i="5"/>
  <c r="P176" i="5"/>
  <c r="N176" i="5"/>
  <c r="P160" i="5"/>
  <c r="O160" i="5"/>
  <c r="N160" i="5"/>
  <c r="Q144" i="5"/>
  <c r="P144" i="5"/>
  <c r="O144" i="5"/>
  <c r="Q128" i="5"/>
  <c r="P128" i="5"/>
  <c r="Q96" i="5"/>
  <c r="N96" i="5"/>
  <c r="Q80" i="5"/>
  <c r="P80" i="5"/>
  <c r="O80" i="5"/>
  <c r="N80" i="5"/>
  <c r="N144" i="5"/>
  <c r="P155" i="5"/>
  <c r="O607" i="5"/>
  <c r="N607" i="5"/>
  <c r="Q591" i="5"/>
  <c r="P591" i="5"/>
  <c r="O591" i="5"/>
  <c r="N591" i="5"/>
  <c r="Q575" i="5"/>
  <c r="P575" i="5"/>
  <c r="O575" i="5"/>
  <c r="N559" i="5"/>
  <c r="Q559" i="5"/>
  <c r="O559" i="5"/>
  <c r="Q543" i="5"/>
  <c r="P543" i="5"/>
  <c r="N543" i="5"/>
  <c r="O543" i="5"/>
  <c r="O511" i="5"/>
  <c r="N511" i="5"/>
  <c r="Q495" i="5"/>
  <c r="P495" i="5"/>
  <c r="O495" i="5"/>
  <c r="N495" i="5"/>
  <c r="O479" i="5"/>
  <c r="N479" i="5"/>
  <c r="O463" i="5"/>
  <c r="N463" i="5"/>
  <c r="O447" i="5"/>
  <c r="N447" i="5"/>
  <c r="Q447" i="5"/>
  <c r="P447" i="5"/>
  <c r="P431" i="5"/>
  <c r="O431" i="5"/>
  <c r="N431" i="5"/>
  <c r="Q431" i="5"/>
  <c r="Q415" i="5"/>
  <c r="P415" i="5"/>
  <c r="P399" i="5"/>
  <c r="O399" i="5"/>
  <c r="N399" i="5"/>
  <c r="Q367" i="5"/>
  <c r="P367" i="5"/>
  <c r="O367" i="5"/>
  <c r="Q351" i="5"/>
  <c r="P351" i="5"/>
  <c r="P335" i="5"/>
  <c r="O335" i="5"/>
  <c r="N335" i="5"/>
  <c r="Q319" i="5"/>
  <c r="P319" i="5"/>
  <c r="O319" i="5"/>
  <c r="N303" i="5"/>
  <c r="Q303" i="5"/>
  <c r="P303" i="5"/>
  <c r="O303" i="5"/>
  <c r="P287" i="5"/>
  <c r="O287" i="5"/>
  <c r="N287" i="5"/>
  <c r="Q255" i="5"/>
  <c r="N255" i="5"/>
  <c r="Q239" i="5"/>
  <c r="P239" i="5"/>
  <c r="O239" i="5"/>
  <c r="N239" i="5"/>
  <c r="O223" i="5"/>
  <c r="N223" i="5"/>
  <c r="Q223" i="5"/>
  <c r="Q207" i="5"/>
  <c r="N207" i="5"/>
  <c r="P191" i="5"/>
  <c r="O191" i="5"/>
  <c r="N191" i="5"/>
  <c r="Q159" i="5"/>
  <c r="P159" i="5"/>
  <c r="O159" i="5"/>
  <c r="N159" i="5"/>
  <c r="Q143" i="5"/>
  <c r="P143" i="5"/>
  <c r="O143" i="5"/>
  <c r="N143" i="5"/>
  <c r="N127" i="5"/>
  <c r="P127" i="5"/>
  <c r="Q63" i="5"/>
  <c r="P63" i="5"/>
  <c r="O63" i="5"/>
  <c r="O47" i="5"/>
  <c r="N47" i="5"/>
  <c r="P47" i="5"/>
  <c r="O90" i="5"/>
  <c r="P95" i="5"/>
  <c r="P107" i="5"/>
  <c r="P170" i="5"/>
  <c r="N251" i="5"/>
  <c r="N266" i="5"/>
  <c r="N319" i="5"/>
  <c r="O507" i="5"/>
  <c r="P522" i="5"/>
  <c r="O606" i="5"/>
  <c r="N606" i="5"/>
  <c r="O590" i="5"/>
  <c r="N590" i="5"/>
  <c r="Q574" i="5"/>
  <c r="P574" i="5"/>
  <c r="O574" i="5"/>
  <c r="N574" i="5"/>
  <c r="Q558" i="5"/>
  <c r="P558" i="5"/>
  <c r="O558" i="5"/>
  <c r="O542" i="5"/>
  <c r="N542" i="5"/>
  <c r="O526" i="5"/>
  <c r="N526" i="5"/>
  <c r="P526" i="5"/>
  <c r="P510" i="5"/>
  <c r="O510" i="5"/>
  <c r="N510" i="5"/>
  <c r="Q494" i="5"/>
  <c r="N494" i="5"/>
  <c r="P462" i="5"/>
  <c r="O462" i="5"/>
  <c r="N462" i="5"/>
  <c r="Q446" i="5"/>
  <c r="P446" i="5"/>
  <c r="O446" i="5"/>
  <c r="N446" i="5"/>
  <c r="Q414" i="5"/>
  <c r="N414" i="5"/>
  <c r="P414" i="5"/>
  <c r="O414" i="5"/>
  <c r="Q382" i="5"/>
  <c r="P382" i="5"/>
  <c r="O382" i="5"/>
  <c r="N382" i="5"/>
  <c r="N366" i="5"/>
  <c r="Q366" i="5"/>
  <c r="P366" i="5"/>
  <c r="O366" i="5"/>
  <c r="Q334" i="5"/>
  <c r="N334" i="5"/>
  <c r="N318" i="5"/>
  <c r="P318" i="5"/>
  <c r="O318" i="5"/>
  <c r="Q302" i="5"/>
  <c r="P302" i="5"/>
  <c r="O302" i="5"/>
  <c r="O286" i="5"/>
  <c r="N286" i="5"/>
  <c r="Q286" i="5"/>
  <c r="O270" i="5"/>
  <c r="N270" i="5"/>
  <c r="Q238" i="5"/>
  <c r="P238" i="5"/>
  <c r="O238" i="5"/>
  <c r="N238" i="5"/>
  <c r="P206" i="5"/>
  <c r="O206" i="5"/>
  <c r="N206" i="5"/>
  <c r="P190" i="5"/>
  <c r="O190" i="5"/>
  <c r="N190" i="5"/>
  <c r="Q190" i="5"/>
  <c r="Q174" i="5"/>
  <c r="P174" i="5"/>
  <c r="O174" i="5"/>
  <c r="N174" i="5"/>
  <c r="Q126" i="5"/>
  <c r="P126" i="5"/>
  <c r="O126" i="5"/>
  <c r="O110" i="5"/>
  <c r="N110" i="5"/>
  <c r="Q46" i="5"/>
  <c r="P46" i="5"/>
  <c r="O46" i="5"/>
  <c r="P30" i="5"/>
  <c r="O30" i="5"/>
  <c r="N30" i="5"/>
  <c r="Q30" i="5"/>
  <c r="O42" i="5"/>
  <c r="P90" i="5"/>
  <c r="N187" i="5"/>
  <c r="O251" i="5"/>
  <c r="O266" i="5"/>
  <c r="N415" i="5"/>
  <c r="N430" i="5"/>
  <c r="N491" i="5"/>
  <c r="P507" i="5"/>
  <c r="N14" i="5"/>
  <c r="O31" i="5"/>
  <c r="N79" i="5"/>
  <c r="O96" i="5"/>
  <c r="O187" i="5"/>
  <c r="N222" i="5"/>
  <c r="O415" i="5"/>
  <c r="O430" i="5"/>
  <c r="Q507" i="5"/>
  <c r="O523" i="5"/>
  <c r="N523" i="5"/>
  <c r="Q27" i="5"/>
  <c r="P27" i="5"/>
  <c r="O27" i="5"/>
  <c r="O127" i="5"/>
  <c r="O267" i="5"/>
  <c r="N539" i="5"/>
  <c r="Q490" i="5"/>
  <c r="P490" i="5"/>
  <c r="O490" i="5"/>
  <c r="N490" i="5"/>
  <c r="Q426" i="5"/>
  <c r="P426" i="5"/>
  <c r="O426" i="5"/>
  <c r="N426" i="5"/>
  <c r="Q378" i="5"/>
  <c r="P378" i="5"/>
  <c r="O378" i="5"/>
  <c r="P202" i="5"/>
  <c r="O202" i="5"/>
  <c r="N202" i="5"/>
  <c r="Q202" i="5"/>
  <c r="Q138" i="5"/>
  <c r="P138" i="5"/>
  <c r="O138" i="5"/>
  <c r="Q42" i="5"/>
  <c r="N42" i="5"/>
  <c r="Q79" i="5"/>
  <c r="O158" i="5"/>
  <c r="Q335" i="5"/>
  <c r="N394" i="5"/>
  <c r="Q463" i="5"/>
  <c r="N10" i="5"/>
  <c r="N15" i="5"/>
  <c r="O62" i="5"/>
  <c r="N74" i="5"/>
  <c r="N128" i="5"/>
  <c r="P158" i="5"/>
  <c r="P203" i="5"/>
  <c r="Q224" i="5"/>
  <c r="O254" i="5"/>
  <c r="P270" i="5"/>
  <c r="N314" i="5"/>
  <c r="O350" i="5"/>
  <c r="O394" i="5"/>
  <c r="P478" i="5"/>
  <c r="P539" i="5"/>
  <c r="O570" i="5"/>
  <c r="O586" i="5"/>
  <c r="O603" i="5"/>
  <c r="O43" i="5"/>
  <c r="N43" i="5"/>
  <c r="Q31" i="5"/>
  <c r="N203" i="5"/>
  <c r="P463" i="5"/>
  <c r="O538" i="5"/>
  <c r="N538" i="5"/>
  <c r="Q474" i="5"/>
  <c r="P474" i="5"/>
  <c r="P442" i="5"/>
  <c r="O442" i="5"/>
  <c r="N442" i="5"/>
  <c r="P346" i="5"/>
  <c r="Q346" i="5"/>
  <c r="Q298" i="5"/>
  <c r="P298" i="5"/>
  <c r="O298" i="5"/>
  <c r="N298" i="5"/>
  <c r="Q250" i="5"/>
  <c r="P250" i="5"/>
  <c r="O250" i="5"/>
  <c r="N250" i="5"/>
  <c r="N170" i="5"/>
  <c r="O170" i="5"/>
  <c r="P26" i="5"/>
  <c r="O26" i="5"/>
  <c r="N26" i="5"/>
  <c r="Q127" i="5"/>
  <c r="O203" i="5"/>
  <c r="P223" i="5"/>
  <c r="N254" i="5"/>
  <c r="N350" i="5"/>
  <c r="O478" i="5"/>
  <c r="O539" i="5"/>
  <c r="N602" i="5"/>
  <c r="Q26" i="5"/>
  <c r="P62" i="5"/>
  <c r="O74" i="5"/>
  <c r="O128" i="5"/>
  <c r="Q158" i="5"/>
  <c r="N175" i="5"/>
  <c r="P254" i="5"/>
  <c r="Q270" i="5"/>
  <c r="O314" i="5"/>
  <c r="P350" i="5"/>
  <c r="Q394" i="5"/>
  <c r="P479" i="5"/>
  <c r="Q510" i="5"/>
  <c r="Q526" i="5"/>
  <c r="P570" i="5"/>
  <c r="P586" i="5"/>
  <c r="P96" i="5"/>
  <c r="Q571" i="5"/>
  <c r="P571" i="5"/>
  <c r="O571" i="5"/>
  <c r="N571" i="5"/>
  <c r="N555" i="5"/>
  <c r="Q555" i="5"/>
  <c r="P555" i="5"/>
  <c r="O555" i="5"/>
  <c r="Q491" i="5"/>
  <c r="P491" i="5"/>
  <c r="O475" i="5"/>
  <c r="N475" i="5"/>
  <c r="Q475" i="5"/>
  <c r="P475" i="5"/>
  <c r="P427" i="5"/>
  <c r="O427" i="5"/>
  <c r="N427" i="5"/>
  <c r="Q411" i="5"/>
  <c r="P411" i="5"/>
  <c r="O411" i="5"/>
  <c r="N411" i="5"/>
  <c r="P395" i="5"/>
  <c r="O395" i="5"/>
  <c r="N395" i="5"/>
  <c r="Q379" i="5"/>
  <c r="N379" i="5"/>
  <c r="P379" i="5"/>
  <c r="O379" i="5"/>
  <c r="O363" i="5"/>
  <c r="N363" i="5"/>
  <c r="Q347" i="5"/>
  <c r="P347" i="5"/>
  <c r="O347" i="5"/>
  <c r="N347" i="5"/>
  <c r="Q331" i="5"/>
  <c r="P331" i="5"/>
  <c r="Q315" i="5"/>
  <c r="P315" i="5"/>
  <c r="O315" i="5"/>
  <c r="N299" i="5"/>
  <c r="Q299" i="5"/>
  <c r="P299" i="5"/>
  <c r="O299" i="5"/>
  <c r="Q283" i="5"/>
  <c r="P283" i="5"/>
  <c r="O283" i="5"/>
  <c r="Q267" i="5"/>
  <c r="N267" i="5"/>
  <c r="Q235" i="5"/>
  <c r="P235" i="5"/>
  <c r="O219" i="5"/>
  <c r="N219" i="5"/>
  <c r="Q219" i="5"/>
  <c r="P219" i="5"/>
  <c r="Q171" i="5"/>
  <c r="N171" i="5"/>
  <c r="P171" i="5"/>
  <c r="O171" i="5"/>
  <c r="Q139" i="5"/>
  <c r="P139" i="5"/>
  <c r="O139" i="5"/>
  <c r="N139" i="5"/>
  <c r="N123" i="5"/>
  <c r="Q123" i="5"/>
  <c r="P123" i="5"/>
  <c r="Q59" i="5"/>
  <c r="P59" i="5"/>
  <c r="O59" i="5"/>
  <c r="Q43" i="5"/>
  <c r="P91" i="5"/>
  <c r="Q554" i="5"/>
  <c r="P554" i="5"/>
  <c r="O554" i="5"/>
  <c r="N554" i="5"/>
  <c r="Q506" i="5"/>
  <c r="O506" i="5"/>
  <c r="P506" i="5"/>
  <c r="P458" i="5"/>
  <c r="O458" i="5"/>
  <c r="N458" i="5"/>
  <c r="Q458" i="5"/>
  <c r="N362" i="5"/>
  <c r="Q362" i="5"/>
  <c r="P362" i="5"/>
  <c r="O282" i="5"/>
  <c r="N282" i="5"/>
  <c r="Q218" i="5"/>
  <c r="P218" i="5"/>
  <c r="O218" i="5"/>
  <c r="P154" i="5"/>
  <c r="O154" i="5"/>
  <c r="N154" i="5"/>
  <c r="Q122" i="5"/>
  <c r="P122" i="5"/>
  <c r="O122" i="5"/>
  <c r="O106" i="5"/>
  <c r="N106" i="5"/>
  <c r="Q106" i="5"/>
  <c r="Q91" i="5"/>
  <c r="O10" i="5"/>
  <c r="O15" i="5"/>
  <c r="P110" i="5"/>
  <c r="N27" i="5"/>
  <c r="Q62" i="5"/>
  <c r="Q110" i="5"/>
  <c r="Q160" i="5"/>
  <c r="Q395" i="5"/>
  <c r="Q442" i="5"/>
  <c r="Q479" i="5"/>
  <c r="O494" i="5"/>
  <c r="P511" i="5"/>
  <c r="Q570" i="5"/>
  <c r="Q586" i="5"/>
  <c r="Q589" i="5"/>
  <c r="P589" i="5"/>
  <c r="O589" i="5"/>
  <c r="N589" i="5"/>
  <c r="P525" i="5"/>
  <c r="O525" i="5"/>
  <c r="N525" i="5"/>
  <c r="Q525" i="5"/>
  <c r="P461" i="5"/>
  <c r="O461" i="5"/>
  <c r="N461" i="5"/>
  <c r="Q445" i="5"/>
  <c r="P445" i="5"/>
  <c r="O445" i="5"/>
  <c r="O397" i="5"/>
  <c r="N397" i="5"/>
  <c r="Q381" i="5"/>
  <c r="P381" i="5"/>
  <c r="Q365" i="5"/>
  <c r="P365" i="5"/>
  <c r="O349" i="5"/>
  <c r="N349" i="5"/>
  <c r="Q317" i="5"/>
  <c r="P317" i="5"/>
  <c r="O317" i="5"/>
  <c r="P269" i="5"/>
  <c r="O269" i="5"/>
  <c r="N269" i="5"/>
  <c r="Q253" i="5"/>
  <c r="P253" i="5"/>
  <c r="O253" i="5"/>
  <c r="N253" i="5"/>
  <c r="Q189" i="5"/>
  <c r="P189" i="5"/>
  <c r="O189" i="5"/>
  <c r="N189" i="5"/>
  <c r="Q109" i="5"/>
  <c r="P109" i="5"/>
  <c r="P93" i="5"/>
  <c r="O93" i="5"/>
  <c r="N93" i="5"/>
  <c r="Q13" i="5"/>
  <c r="P13" i="5"/>
  <c r="O13" i="5"/>
  <c r="O285" i="5"/>
  <c r="P541" i="5"/>
  <c r="P588" i="5"/>
  <c r="O588" i="5"/>
  <c r="N588" i="5"/>
  <c r="Q540" i="5"/>
  <c r="P540" i="5"/>
  <c r="O540" i="5"/>
  <c r="N540" i="5"/>
  <c r="Q508" i="5"/>
  <c r="P508" i="5"/>
  <c r="O508" i="5"/>
  <c r="P476" i="5"/>
  <c r="O476" i="5"/>
  <c r="N476" i="5"/>
  <c r="Q428" i="5"/>
  <c r="P428" i="5"/>
  <c r="O412" i="5"/>
  <c r="N412" i="5"/>
  <c r="Q396" i="5"/>
  <c r="P396" i="5"/>
  <c r="P332" i="5"/>
  <c r="O332" i="5"/>
  <c r="N332" i="5"/>
  <c r="Q332" i="5"/>
  <c r="Q268" i="5"/>
  <c r="P268" i="5"/>
  <c r="O268" i="5"/>
  <c r="N268" i="5"/>
  <c r="Q252" i="5"/>
  <c r="P252" i="5"/>
  <c r="O252" i="5"/>
  <c r="Q204" i="5"/>
  <c r="P204" i="5"/>
  <c r="O204" i="5"/>
  <c r="N204" i="5"/>
  <c r="Q172" i="5"/>
  <c r="P172" i="5"/>
  <c r="P156" i="5"/>
  <c r="O156" i="5"/>
  <c r="N156" i="5"/>
  <c r="Q76" i="5"/>
  <c r="P76" i="5"/>
  <c r="O76" i="5"/>
  <c r="N76" i="5"/>
  <c r="P61" i="5"/>
  <c r="O77" i="5"/>
  <c r="Q269" i="5"/>
  <c r="N317" i="5"/>
  <c r="P493" i="5"/>
  <c r="N573" i="5"/>
  <c r="N605" i="5"/>
  <c r="P77" i="5"/>
  <c r="P397" i="5"/>
  <c r="O573" i="5"/>
  <c r="Q397" i="5"/>
  <c r="O601" i="5"/>
  <c r="N601" i="5"/>
  <c r="P521" i="5"/>
  <c r="O521" i="5"/>
  <c r="N521" i="5"/>
  <c r="Q441" i="5"/>
  <c r="P441" i="5"/>
  <c r="O441" i="5"/>
  <c r="Q361" i="5"/>
  <c r="P361" i="5"/>
  <c r="O345" i="5"/>
  <c r="N345" i="5"/>
  <c r="P265" i="5"/>
  <c r="O265" i="5"/>
  <c r="N265" i="5"/>
  <c r="Q185" i="5"/>
  <c r="P185" i="5"/>
  <c r="O185" i="5"/>
  <c r="P169" i="5"/>
  <c r="P233" i="5"/>
  <c r="N377" i="5"/>
  <c r="O505" i="5"/>
  <c r="P569" i="5"/>
  <c r="Q169" i="5"/>
  <c r="N313" i="5"/>
  <c r="O377" i="5"/>
  <c r="P505" i="5"/>
  <c r="N185" i="5"/>
  <c r="N21" i="5"/>
  <c r="N37" i="5"/>
  <c r="N53" i="5"/>
  <c r="N69" i="5"/>
  <c r="N85" i="5"/>
  <c r="N101" i="5"/>
  <c r="N117" i="5"/>
  <c r="N133" i="5"/>
  <c r="N149" i="5"/>
  <c r="N165" i="5"/>
  <c r="N181" i="5"/>
  <c r="N197" i="5"/>
  <c r="N213" i="5"/>
  <c r="N229" i="5"/>
  <c r="N245" i="5"/>
  <c r="N261" i="5"/>
  <c r="N277" i="5"/>
  <c r="N293" i="5"/>
  <c r="N309" i="5"/>
  <c r="N325" i="5"/>
  <c r="N341" i="5"/>
  <c r="N357" i="5"/>
  <c r="N373" i="5"/>
  <c r="N389" i="5"/>
  <c r="N405" i="5"/>
  <c r="N421" i="5"/>
  <c r="N437" i="5"/>
  <c r="N453" i="5"/>
  <c r="N469" i="5"/>
  <c r="N485" i="5"/>
  <c r="N501" i="5"/>
  <c r="N517" i="5"/>
  <c r="N533" i="5"/>
  <c r="N549" i="5"/>
  <c r="N565" i="5"/>
  <c r="N581" i="5"/>
  <c r="N597" i="5"/>
  <c r="O21" i="5"/>
  <c r="O37" i="5"/>
  <c r="O53" i="5"/>
  <c r="O69" i="5"/>
  <c r="O85" i="5"/>
  <c r="O101" i="5"/>
  <c r="O117" i="5"/>
  <c r="O133" i="5"/>
  <c r="O149" i="5"/>
  <c r="O165" i="5"/>
  <c r="O181" i="5"/>
  <c r="O197" i="5"/>
  <c r="O213" i="5"/>
  <c r="O229" i="5"/>
  <c r="O245" i="5"/>
  <c r="O261" i="5"/>
  <c r="O277" i="5"/>
  <c r="O293" i="5"/>
  <c r="O309" i="5"/>
  <c r="O325" i="5"/>
  <c r="O341" i="5"/>
  <c r="O357" i="5"/>
  <c r="O373" i="5"/>
  <c r="O389" i="5"/>
  <c r="O405" i="5"/>
  <c r="O421" i="5"/>
  <c r="O437" i="5"/>
  <c r="O453" i="5"/>
  <c r="O469" i="5"/>
  <c r="O485" i="5"/>
  <c r="O501" i="5"/>
  <c r="O517" i="5"/>
  <c r="O533" i="5"/>
  <c r="O549" i="5"/>
  <c r="O565" i="5"/>
  <c r="O581" i="5"/>
  <c r="O597" i="5"/>
  <c r="P133" i="3"/>
  <c r="P181" i="3"/>
  <c r="P213" i="3"/>
  <c r="P245" i="3"/>
  <c r="P149" i="3"/>
  <c r="P117" i="3"/>
  <c r="P229" i="3"/>
  <c r="P165" i="3"/>
  <c r="P197" i="3"/>
  <c r="O597" i="3"/>
  <c r="O581" i="3"/>
  <c r="O565" i="3"/>
  <c r="O549" i="3"/>
  <c r="O533" i="3"/>
  <c r="O517" i="3"/>
  <c r="O501" i="3"/>
  <c r="O485" i="3"/>
  <c r="O469" i="3"/>
  <c r="O453" i="3"/>
  <c r="O437" i="3"/>
  <c r="O421" i="3"/>
  <c r="O405" i="3"/>
  <c r="O389" i="3"/>
  <c r="O373" i="3"/>
  <c r="O357" i="3"/>
  <c r="O341" i="3"/>
  <c r="O325" i="3"/>
  <c r="O309" i="3"/>
  <c r="O293" i="3"/>
  <c r="O277" i="3"/>
  <c r="O261" i="3"/>
  <c r="O245" i="3"/>
  <c r="O229" i="3"/>
  <c r="O213" i="3"/>
  <c r="O197" i="3"/>
  <c r="O181" i="3"/>
  <c r="O165" i="3"/>
  <c r="O149" i="3"/>
  <c r="O133" i="3"/>
  <c r="O117" i="3"/>
  <c r="O101" i="3"/>
  <c r="O85" i="3"/>
  <c r="O69" i="3"/>
  <c r="O53" i="3"/>
  <c r="O37" i="3"/>
  <c r="O21" i="3"/>
  <c r="N597" i="3"/>
  <c r="N581" i="3"/>
  <c r="N565" i="3"/>
  <c r="N549" i="3"/>
  <c r="N533" i="3"/>
  <c r="N517" i="3"/>
  <c r="N501" i="3"/>
  <c r="N485" i="3"/>
  <c r="N469" i="3"/>
  <c r="N453" i="3"/>
  <c r="N437" i="3"/>
  <c r="N421" i="3"/>
  <c r="N405" i="3"/>
  <c r="N389" i="3"/>
  <c r="N373" i="3"/>
  <c r="N357" i="3"/>
  <c r="N341" i="3"/>
  <c r="N325" i="3"/>
  <c r="N309" i="3"/>
  <c r="N293" i="3"/>
  <c r="N277" i="3"/>
  <c r="N261" i="3"/>
  <c r="N245" i="3"/>
  <c r="N229" i="3"/>
  <c r="N213" i="3"/>
  <c r="N197" i="3"/>
  <c r="N181" i="3"/>
  <c r="N165" i="3"/>
  <c r="N149" i="3"/>
  <c r="N133" i="3"/>
  <c r="N117" i="3"/>
  <c r="N101" i="3"/>
  <c r="N85" i="3"/>
  <c r="N69" i="3"/>
  <c r="N53" i="3"/>
  <c r="N37" i="3"/>
  <c r="N21" i="3"/>
  <c r="O324" i="3"/>
  <c r="O308" i="3"/>
  <c r="O292" i="3"/>
  <c r="O276" i="3"/>
  <c r="O260" i="3"/>
  <c r="O244" i="3"/>
  <c r="O228" i="3"/>
  <c r="O212" i="3"/>
  <c r="O196" i="3"/>
  <c r="O180" i="3"/>
  <c r="O164" i="3"/>
  <c r="O148" i="3"/>
  <c r="O132" i="3"/>
  <c r="O116" i="3"/>
  <c r="O100" i="3"/>
  <c r="O84" i="3"/>
  <c r="O68" i="3"/>
  <c r="O52" i="3"/>
  <c r="O36" i="3"/>
  <c r="O20" i="3"/>
  <c r="Q597" i="3"/>
  <c r="Q581" i="3"/>
  <c r="Q565" i="3"/>
  <c r="Q549" i="3"/>
  <c r="Q533" i="3"/>
  <c r="Q517" i="3"/>
  <c r="Q501" i="3"/>
  <c r="Q485" i="3"/>
  <c r="Q469" i="3"/>
  <c r="Q453" i="3"/>
  <c r="Q437" i="3"/>
  <c r="Q421" i="3"/>
  <c r="Q405" i="3"/>
  <c r="Q389" i="3"/>
  <c r="Q373" i="3"/>
  <c r="Q357" i="3"/>
  <c r="Q341" i="3"/>
  <c r="Q325" i="3"/>
  <c r="Q309" i="3"/>
  <c r="Q293" i="3"/>
  <c r="Q277" i="3"/>
  <c r="Q261" i="3"/>
  <c r="Q245" i="3"/>
  <c r="Q229" i="3"/>
  <c r="Q213" i="3"/>
  <c r="Q197" i="3"/>
  <c r="Q181" i="3"/>
  <c r="Q165" i="3"/>
  <c r="Q149" i="3"/>
  <c r="Q133" i="3"/>
  <c r="Q117" i="3"/>
  <c r="Q101" i="3"/>
  <c r="Q85" i="3"/>
  <c r="Q69" i="3"/>
  <c r="Q53" i="3"/>
  <c r="Q37" i="3"/>
  <c r="Q21" i="3"/>
  <c r="Q610" i="5"/>
  <c r="Q614" i="5"/>
  <c r="P620" i="5"/>
  <c r="Q617" i="5"/>
  <c r="P601" i="5"/>
  <c r="Q604" i="5"/>
  <c r="Q651" i="5"/>
  <c r="Q619" i="5"/>
  <c r="Q603" i="5"/>
  <c r="Q605" i="5"/>
  <c r="Q615" i="5"/>
  <c r="P609" i="5"/>
  <c r="P610" i="5"/>
  <c r="Q609" i="5"/>
  <c r="Q608" i="5"/>
  <c r="Q607" i="5"/>
  <c r="P613" i="5"/>
  <c r="Q613" i="5"/>
  <c r="P656" i="5"/>
  <c r="Q656" i="5"/>
  <c r="Q606" i="5"/>
  <c r="Q648" i="5"/>
  <c r="Q664" i="5"/>
  <c r="Q616" i="5"/>
  <c r="Q622" i="5"/>
  <c r="Q632" i="5"/>
  <c r="P619" i="5"/>
  <c r="P603" i="5"/>
  <c r="P614" i="5"/>
  <c r="P623" i="5"/>
  <c r="Q623" i="5"/>
  <c r="P617" i="5"/>
  <c r="Q601" i="5"/>
  <c r="P622" i="5"/>
  <c r="Q640" i="5"/>
  <c r="P606" i="5"/>
  <c r="P626" i="5"/>
  <c r="P648" i="5"/>
  <c r="Q647" i="5"/>
  <c r="Q621" i="5"/>
  <c r="P635" i="5"/>
  <c r="P611" i="5"/>
  <c r="Q611" i="5"/>
  <c r="Q618" i="5"/>
  <c r="P618" i="5"/>
  <c r="Q626" i="5"/>
  <c r="Q602" i="5"/>
  <c r="P602" i="5"/>
  <c r="P605" i="5"/>
  <c r="P616" i="5"/>
  <c r="P621" i="5"/>
  <c r="P640" i="5"/>
  <c r="P604" i="5"/>
  <c r="P607" i="5"/>
  <c r="Q625" i="5"/>
  <c r="P625" i="5"/>
  <c r="P608" i="5"/>
  <c r="P615" i="5"/>
  <c r="P651" i="5"/>
  <c r="Q620" i="5"/>
  <c r="P632" i="5"/>
  <c r="Q604" i="3"/>
  <c r="Q622" i="3"/>
  <c r="Q637" i="3"/>
  <c r="Q621" i="3"/>
  <c r="Q605" i="3"/>
  <c r="Q641" i="3"/>
  <c r="P609" i="3"/>
  <c r="P618" i="3"/>
  <c r="P601" i="3"/>
  <c r="P616" i="3"/>
  <c r="Q616" i="3"/>
  <c r="Q609" i="3"/>
  <c r="P630" i="3"/>
  <c r="P621" i="3"/>
  <c r="P622" i="3"/>
  <c r="P626" i="3"/>
  <c r="P610" i="3"/>
  <c r="P614" i="3"/>
  <c r="P652" i="3"/>
  <c r="P657" i="3"/>
  <c r="P605" i="3"/>
  <c r="P662" i="3"/>
  <c r="P646" i="3"/>
  <c r="Q620" i="3"/>
  <c r="P615" i="3"/>
  <c r="Q613" i="3"/>
  <c r="P623" i="3"/>
  <c r="P602" i="3"/>
  <c r="P607" i="3"/>
  <c r="Q618" i="3"/>
  <c r="P637" i="3"/>
  <c r="P611" i="3"/>
  <c r="P606" i="3"/>
  <c r="Q657" i="3"/>
  <c r="P625" i="3"/>
  <c r="Q625" i="3"/>
  <c r="Q602" i="3"/>
  <c r="Q606" i="3"/>
  <c r="Q611" i="3"/>
  <c r="P603" i="3"/>
  <c r="Q603" i="3"/>
  <c r="P613" i="3"/>
  <c r="P635" i="3"/>
  <c r="Q635" i="3"/>
  <c r="P651" i="3"/>
  <c r="Q651" i="3"/>
  <c r="P640" i="3"/>
  <c r="P608" i="3"/>
  <c r="Q608" i="3"/>
  <c r="P628" i="3"/>
  <c r="P620" i="3"/>
  <c r="P604" i="3"/>
  <c r="Q626" i="3"/>
  <c r="P617" i="3"/>
  <c r="Q617" i="3"/>
  <c r="Q601" i="3"/>
  <c r="Q615" i="3"/>
  <c r="Q610" i="3"/>
  <c r="P619" i="3"/>
  <c r="Q619" i="3"/>
  <c r="Q662" i="3"/>
  <c r="Q646" i="3"/>
  <c r="Q630" i="3"/>
  <c r="Q614" i="3"/>
  <c r="Q623" i="3"/>
  <c r="Q607" i="3"/>
  <c r="V716" i="3" l="1"/>
  <c r="V924" i="3"/>
  <c r="V773" i="3"/>
  <c r="V901" i="3"/>
  <c r="V1189" i="3"/>
  <c r="V896" i="3"/>
  <c r="V898" i="3"/>
  <c r="V1226" i="3"/>
  <c r="V1080" i="3"/>
  <c r="V802" i="3"/>
  <c r="V1202" i="3"/>
  <c r="V832" i="3"/>
  <c r="V703" i="3"/>
  <c r="V963" i="3"/>
  <c r="V867" i="3"/>
  <c r="V942" i="3"/>
  <c r="V761" i="3"/>
  <c r="V1065" i="3"/>
  <c r="V1006" i="3"/>
  <c r="V785" i="3"/>
  <c r="V1193" i="3"/>
  <c r="V956" i="3"/>
  <c r="V843" i="3"/>
  <c r="V1119" i="3"/>
  <c r="V772" i="3"/>
  <c r="V1157" i="3"/>
  <c r="V1023" i="3"/>
  <c r="V890" i="3"/>
  <c r="V1218" i="3"/>
  <c r="V954" i="3"/>
  <c r="V856" i="3"/>
  <c r="V930" i="3"/>
  <c r="V1216" i="3"/>
  <c r="V1200" i="3"/>
  <c r="V1155" i="3"/>
  <c r="V931" i="3"/>
  <c r="V801" i="3"/>
  <c r="V1022" i="3"/>
  <c r="V750" i="3"/>
  <c r="V793" i="3"/>
  <c r="V980" i="3"/>
  <c r="V857" i="3"/>
  <c r="V1169" i="3"/>
  <c r="V1029" i="3"/>
  <c r="V1117" i="3"/>
  <c r="V724" i="3"/>
  <c r="V1004" i="3"/>
  <c r="V860" i="3"/>
  <c r="V693" i="3"/>
  <c r="V1229" i="3"/>
  <c r="V952" i="3"/>
  <c r="V914" i="3"/>
  <c r="V736" i="3"/>
  <c r="V1224" i="3"/>
  <c r="V882" i="3"/>
  <c r="V864" i="3"/>
  <c r="V1219" i="3"/>
  <c r="V1099" i="3"/>
  <c r="V897" i="3"/>
  <c r="V694" i="3"/>
  <c r="V841" i="3"/>
  <c r="V1105" i="3"/>
  <c r="V1209" i="3"/>
  <c r="V1031" i="3"/>
  <c r="V983" i="3"/>
  <c r="V884" i="3"/>
  <c r="V991" i="3"/>
  <c r="V940" i="3"/>
  <c r="V1111" i="3"/>
  <c r="V789" i="3"/>
  <c r="V909" i="3"/>
  <c r="V1053" i="3"/>
  <c r="V906" i="3"/>
  <c r="V776" i="3"/>
  <c r="V704" i="3"/>
  <c r="V986" i="3"/>
  <c r="V978" i="3"/>
  <c r="V936" i="3"/>
  <c r="V1058" i="3"/>
  <c r="V872" i="3"/>
  <c r="V1232" i="3"/>
  <c r="V696" i="3"/>
  <c r="V1027" i="3"/>
  <c r="V915" i="3"/>
  <c r="V966" i="3"/>
  <c r="V913" i="3"/>
  <c r="V1094" i="3"/>
  <c r="V1137" i="3"/>
  <c r="V758" i="3"/>
  <c r="V1102" i="3"/>
  <c r="V1068" i="3"/>
  <c r="V798" i="3"/>
  <c r="V921" i="3"/>
  <c r="V1217" i="3"/>
  <c r="V955" i="3"/>
  <c r="V695" i="3"/>
  <c r="V740" i="3"/>
  <c r="V1012" i="3"/>
  <c r="V701" i="3"/>
  <c r="V813" i="3"/>
  <c r="V1061" i="3"/>
  <c r="V1000" i="3"/>
  <c r="V946" i="3"/>
  <c r="V768" i="3"/>
  <c r="V1050" i="3"/>
  <c r="V720" i="3"/>
  <c r="V912" i="3"/>
  <c r="V1095" i="3"/>
  <c r="V1195" i="3"/>
  <c r="V939" i="3"/>
  <c r="V1014" i="3"/>
  <c r="V945" i="3"/>
  <c r="V998" i="3"/>
  <c r="V702" i="3"/>
  <c r="V865" i="3"/>
  <c r="V780" i="3"/>
  <c r="V825" i="3"/>
  <c r="V1164" i="3"/>
  <c r="V700" i="3"/>
  <c r="V805" i="3"/>
  <c r="V892" i="3"/>
  <c r="V1060" i="3"/>
  <c r="V711" i="3"/>
  <c r="V1159" i="3"/>
  <c r="V1052" i="3"/>
  <c r="V925" i="3"/>
  <c r="V962" i="3"/>
  <c r="V792" i="3"/>
  <c r="V1002" i="3"/>
  <c r="V994" i="3"/>
  <c r="V1048" i="3"/>
  <c r="V1074" i="3"/>
  <c r="V992" i="3"/>
  <c r="V1096" i="3"/>
  <c r="V888" i="3"/>
  <c r="V1045" i="3"/>
  <c r="V755" i="3"/>
  <c r="V796" i="3"/>
  <c r="V1038" i="3"/>
  <c r="V937" i="3"/>
  <c r="V828" i="3"/>
  <c r="V905" i="3"/>
  <c r="V1177" i="3"/>
  <c r="V873" i="3"/>
  <c r="V854" i="3"/>
  <c r="V969" i="3"/>
  <c r="V1147" i="3"/>
  <c r="V788" i="3"/>
  <c r="V741" i="3"/>
  <c r="V764" i="3"/>
  <c r="V1092" i="3"/>
  <c r="V1151" i="3"/>
  <c r="V709" i="3"/>
  <c r="V821" i="3"/>
  <c r="V941" i="3"/>
  <c r="V1101" i="3"/>
  <c r="V858" i="3"/>
  <c r="V1208" i="3"/>
  <c r="V970" i="3"/>
  <c r="V880" i="3"/>
  <c r="V1082" i="3"/>
  <c r="V800" i="3"/>
  <c r="V928" i="3"/>
  <c r="V723" i="3"/>
  <c r="V1184" i="3"/>
  <c r="V1091" i="3"/>
  <c r="V979" i="3"/>
  <c r="V1062" i="3"/>
  <c r="V985" i="3"/>
  <c r="V964" i="3"/>
  <c r="V766" i="3"/>
  <c r="V1134" i="3"/>
  <c r="V1206" i="3"/>
  <c r="V993" i="3"/>
  <c r="V756" i="3"/>
  <c r="V708" i="3"/>
  <c r="V743" i="3"/>
  <c r="V957" i="3"/>
  <c r="V932" i="3"/>
  <c r="V757" i="3"/>
  <c r="V799" i="3"/>
  <c r="V1140" i="3"/>
  <c r="V868" i="3"/>
  <c r="V735" i="3"/>
  <c r="V1010" i="3"/>
  <c r="V808" i="3"/>
  <c r="V1034" i="3"/>
  <c r="V1130" i="3"/>
  <c r="V730" i="3"/>
  <c r="V1162" i="3"/>
  <c r="V1008" i="3"/>
  <c r="V904" i="3"/>
  <c r="V803" i="3"/>
  <c r="V1043" i="3"/>
  <c r="V1150" i="3"/>
  <c r="V1025" i="3"/>
  <c r="V996" i="3"/>
  <c r="V1086" i="3"/>
  <c r="V1033" i="3"/>
  <c r="V1028" i="3"/>
  <c r="V1190" i="3"/>
  <c r="V929" i="3"/>
  <c r="V1233" i="3"/>
  <c r="V782" i="3"/>
  <c r="V1174" i="3"/>
  <c r="V889" i="3"/>
  <c r="V862" i="3"/>
  <c r="V881" i="3"/>
  <c r="V748" i="3"/>
  <c r="V1051" i="3"/>
  <c r="V852" i="3"/>
  <c r="V1093" i="3"/>
  <c r="V1087" i="3"/>
  <c r="V927" i="3"/>
  <c r="V804" i="3"/>
  <c r="V999" i="3"/>
  <c r="V725" i="3"/>
  <c r="V837" i="3"/>
  <c r="V949" i="3"/>
  <c r="V1109" i="3"/>
  <c r="V1088" i="3"/>
  <c r="V1018" i="3"/>
  <c r="V920" i="3"/>
  <c r="V1144" i="3"/>
  <c r="V1098" i="3"/>
  <c r="V816" i="3"/>
  <c r="V1083" i="3"/>
  <c r="V851" i="3"/>
  <c r="V806" i="3"/>
  <c r="V1070" i="3"/>
  <c r="V814" i="3"/>
  <c r="V1044" i="3"/>
  <c r="V997" i="3"/>
  <c r="V812" i="3"/>
  <c r="V783" i="3"/>
  <c r="V1165" i="3"/>
  <c r="V948" i="3"/>
  <c r="V943" i="3"/>
  <c r="V1180" i="3"/>
  <c r="V791" i="3"/>
  <c r="V1077" i="3"/>
  <c r="V988" i="3"/>
  <c r="V1026" i="3"/>
  <c r="V824" i="3"/>
  <c r="V698" i="3"/>
  <c r="V1066" i="3"/>
  <c r="V690" i="3"/>
  <c r="V712" i="3"/>
  <c r="V1104" i="3"/>
  <c r="V746" i="3"/>
  <c r="V1194" i="3"/>
  <c r="V1064" i="3"/>
  <c r="V976" i="3"/>
  <c r="V1112" i="3"/>
  <c r="V779" i="3"/>
  <c r="V707" i="3"/>
  <c r="V1115" i="3"/>
  <c r="V713" i="3"/>
  <c r="V1124" i="3"/>
  <c r="V1118" i="3"/>
  <c r="V1073" i="3"/>
  <c r="V1108" i="3"/>
  <c r="V953" i="3"/>
  <c r="V790" i="3"/>
  <c r="V1198" i="3"/>
  <c r="V697" i="3"/>
  <c r="V961" i="3"/>
  <c r="V705" i="3"/>
  <c r="V1017" i="3"/>
  <c r="V908" i="3"/>
  <c r="V1148" i="3"/>
  <c r="V1036" i="3"/>
  <c r="V1204" i="3"/>
  <c r="V1037" i="3"/>
  <c r="V836" i="3"/>
  <c r="V1116" i="3"/>
  <c r="V733" i="3"/>
  <c r="V853" i="3"/>
  <c r="V973" i="3"/>
  <c r="V1141" i="3"/>
  <c r="V1042" i="3"/>
  <c r="V984" i="3"/>
  <c r="V738" i="3"/>
  <c r="V1106" i="3"/>
  <c r="V944" i="3"/>
  <c r="V1032" i="3"/>
  <c r="V845" i="3"/>
  <c r="V859" i="3"/>
  <c r="V995" i="3"/>
  <c r="V1179" i="3"/>
  <c r="V838" i="3"/>
  <c r="V1078" i="3"/>
  <c r="V1041" i="3"/>
  <c r="V822" i="3"/>
  <c r="V1084" i="3"/>
  <c r="V718" i="3"/>
  <c r="V732" i="3"/>
  <c r="V926" i="3"/>
  <c r="V1156" i="3"/>
  <c r="V987" i="3"/>
  <c r="V1187" i="3"/>
  <c r="V731" i="3"/>
  <c r="V1020" i="3"/>
  <c r="V959" i="3"/>
  <c r="V1100" i="3"/>
  <c r="V1076" i="3"/>
  <c r="V820" i="3"/>
  <c r="V1188" i="3"/>
  <c r="V871" i="3"/>
  <c r="V727" i="3"/>
  <c r="V1103" i="3"/>
  <c r="V714" i="3"/>
  <c r="V1122" i="3"/>
  <c r="V968" i="3"/>
  <c r="V762" i="3"/>
  <c r="V1090" i="3"/>
  <c r="V794" i="3"/>
  <c r="V728" i="3"/>
  <c r="V1168" i="3"/>
  <c r="V754" i="3"/>
  <c r="V1210" i="3"/>
  <c r="V1128" i="3"/>
  <c r="V1152" i="3"/>
  <c r="V1133" i="3"/>
  <c r="V891" i="3"/>
  <c r="V795" i="3"/>
  <c r="V1003" i="3"/>
  <c r="V1089" i="3"/>
  <c r="V1172" i="3"/>
  <c r="V830" i="3"/>
  <c r="V1166" i="3"/>
  <c r="V1196" i="3"/>
  <c r="V910" i="3"/>
  <c r="V726" i="3"/>
  <c r="V1009" i="3"/>
  <c r="V844" i="3"/>
  <c r="V982" i="3"/>
  <c r="V729" i="3"/>
  <c r="V1113" i="3"/>
  <c r="V1211" i="3"/>
  <c r="V1220" i="3"/>
  <c r="V1215" i="3"/>
  <c r="V1191" i="3"/>
  <c r="V1063" i="3"/>
  <c r="V1231" i="3"/>
  <c r="V749" i="3"/>
  <c r="V861" i="3"/>
  <c r="V981" i="3"/>
  <c r="V1149" i="3"/>
  <c r="V760" i="3"/>
  <c r="V842" i="3"/>
  <c r="V1114" i="3"/>
  <c r="V1024" i="3"/>
  <c r="V770" i="3"/>
  <c r="V1170" i="3"/>
  <c r="V960" i="3"/>
  <c r="V893" i="3"/>
  <c r="V947" i="3"/>
  <c r="V1139" i="3"/>
  <c r="V691" i="3"/>
  <c r="V737" i="3"/>
  <c r="V1097" i="3"/>
  <c r="V1001" i="3"/>
  <c r="V846" i="3"/>
  <c r="V745" i="3"/>
  <c r="V809" i="3"/>
  <c r="V1121" i="3"/>
  <c r="V1011" i="3"/>
  <c r="V747" i="3"/>
  <c r="V977" i="3"/>
  <c r="V1132" i="3"/>
  <c r="V1071" i="3"/>
  <c r="V717" i="3"/>
  <c r="V1127" i="3"/>
  <c r="V1228" i="3"/>
  <c r="V911" i="3"/>
  <c r="V775" i="3"/>
  <c r="V823" i="3"/>
  <c r="V818" i="3"/>
  <c r="V1138" i="3"/>
  <c r="V1056" i="3"/>
  <c r="V810" i="3"/>
  <c r="V1146" i="3"/>
  <c r="V850" i="3"/>
  <c r="V744" i="3"/>
  <c r="V722" i="3"/>
  <c r="V786" i="3"/>
  <c r="V1072" i="3"/>
  <c r="V1160" i="3"/>
  <c r="V971" i="3"/>
  <c r="V1227" i="3"/>
  <c r="V817" i="3"/>
  <c r="V1054" i="3"/>
  <c r="V886" i="3"/>
  <c r="V1214" i="3"/>
  <c r="V721" i="3"/>
  <c r="V1161" i="3"/>
  <c r="V734" i="3"/>
  <c r="V769" i="3"/>
  <c r="V916" i="3"/>
  <c r="V990" i="3"/>
  <c r="V771" i="3"/>
  <c r="V774" i="3"/>
  <c r="V883" i="3"/>
  <c r="V829" i="3"/>
  <c r="V1057" i="3"/>
  <c r="V1221" i="3"/>
  <c r="V751" i="3"/>
  <c r="V692" i="3"/>
  <c r="V900" i="3"/>
  <c r="V989" i="3"/>
  <c r="V1205" i="3"/>
  <c r="V972" i="3"/>
  <c r="V765" i="3"/>
  <c r="V885" i="3"/>
  <c r="V1013" i="3"/>
  <c r="V848" i="3"/>
  <c r="V874" i="3"/>
  <c r="V1186" i="3"/>
  <c r="V1040" i="3"/>
  <c r="V778" i="3"/>
  <c r="V1178" i="3"/>
  <c r="V706" i="3"/>
  <c r="V1192" i="3"/>
  <c r="V1213" i="3"/>
  <c r="V1171" i="3"/>
  <c r="V902" i="3"/>
  <c r="V1201" i="3"/>
  <c r="V1129" i="3"/>
  <c r="V1049" i="3"/>
  <c r="V1081" i="3"/>
  <c r="V1145" i="3"/>
  <c r="V965" i="3"/>
  <c r="V1107" i="3"/>
  <c r="V835" i="3"/>
  <c r="V831" i="3"/>
  <c r="V1079" i="3"/>
  <c r="V1199" i="3"/>
  <c r="V951" i="3"/>
  <c r="V1181" i="3"/>
  <c r="V834" i="3"/>
  <c r="V1154" i="3"/>
  <c r="V1120" i="3"/>
  <c r="V826" i="3"/>
  <c r="V938" i="3"/>
  <c r="V840" i="3"/>
  <c r="V1016" i="3"/>
  <c r="V922" i="3"/>
  <c r="V752" i="3"/>
  <c r="V1176" i="3"/>
  <c r="V917" i="3"/>
  <c r="V1203" i="3"/>
  <c r="V875" i="3"/>
  <c r="V699" i="3"/>
  <c r="V1182" i="3"/>
  <c r="V849" i="3"/>
  <c r="V1225" i="3"/>
  <c r="V894" i="3"/>
  <c r="V1230" i="3"/>
  <c r="V1185" i="3"/>
  <c r="V974" i="3"/>
  <c r="V958" i="3"/>
  <c r="V753" i="3"/>
  <c r="V742" i="3"/>
  <c r="V1046" i="3"/>
  <c r="V833" i="3"/>
  <c r="V1085" i="3"/>
  <c r="V1123" i="3"/>
  <c r="T684" i="3"/>
  <c r="T679" i="3"/>
  <c r="T549" i="3"/>
  <c r="P1017" i="5"/>
  <c r="T81" i="3"/>
  <c r="T683" i="3"/>
  <c r="Q1099" i="3"/>
  <c r="T285" i="3"/>
  <c r="T171" i="3"/>
  <c r="Q899" i="3"/>
  <c r="Q721" i="3"/>
  <c r="T587" i="3"/>
  <c r="T671" i="3"/>
  <c r="T441" i="3"/>
  <c r="T667" i="3"/>
  <c r="P1019" i="3"/>
  <c r="T357" i="3"/>
  <c r="Q715" i="3"/>
  <c r="T177" i="3"/>
  <c r="T668" i="3"/>
  <c r="Q1158" i="3"/>
  <c r="P790" i="3"/>
  <c r="T531" i="3"/>
  <c r="T438" i="3"/>
  <c r="T149" i="3"/>
  <c r="T685" i="3"/>
  <c r="T673" i="3"/>
  <c r="T688" i="3"/>
  <c r="T54" i="3"/>
  <c r="Q822" i="3"/>
  <c r="T670" i="3"/>
  <c r="T97" i="3"/>
  <c r="T310" i="3"/>
  <c r="Q854" i="3"/>
  <c r="T677" i="3"/>
  <c r="T676" i="3"/>
  <c r="T603" i="3"/>
  <c r="V671" i="3"/>
  <c r="T91" i="3"/>
  <c r="Q744" i="5"/>
  <c r="T619" i="3"/>
  <c r="T561" i="3"/>
  <c r="T413" i="3"/>
  <c r="P758" i="3"/>
  <c r="T187" i="3"/>
  <c r="V669" i="3"/>
  <c r="V689" i="3"/>
  <c r="V667" i="3"/>
  <c r="V677" i="3"/>
  <c r="V684" i="3"/>
  <c r="V668" i="3"/>
  <c r="T582" i="3"/>
  <c r="V685" i="3"/>
  <c r="V688" i="3"/>
  <c r="V686" i="3"/>
  <c r="V672" i="3"/>
  <c r="V676" i="3"/>
  <c r="V680" i="3"/>
  <c r="Q1030" i="3"/>
  <c r="T687" i="3"/>
  <c r="V687" i="3"/>
  <c r="Q838" i="3"/>
  <c r="V675" i="3"/>
  <c r="V670" i="3"/>
  <c r="V678" i="3"/>
  <c r="V673" i="3"/>
  <c r="V681" i="3"/>
  <c r="T686" i="3"/>
  <c r="V682" i="3"/>
  <c r="V679" i="3"/>
  <c r="V683" i="3"/>
  <c r="Q902" i="3"/>
  <c r="T674" i="3"/>
  <c r="T669" i="3"/>
  <c r="P694" i="3"/>
  <c r="T30" i="3"/>
  <c r="T150" i="3"/>
  <c r="T534" i="3"/>
  <c r="Q950" i="3"/>
  <c r="T246" i="3"/>
  <c r="P710" i="3"/>
  <c r="Q670" i="3"/>
  <c r="P1150" i="3"/>
  <c r="T566" i="3"/>
  <c r="T206" i="3"/>
  <c r="T182" i="3"/>
  <c r="Q742" i="3"/>
  <c r="T38" i="3"/>
  <c r="T262" i="3"/>
  <c r="T462" i="3"/>
  <c r="V555" i="3"/>
  <c r="T70" i="3"/>
  <c r="T662" i="3"/>
  <c r="P934" i="3"/>
  <c r="P1046" i="3"/>
  <c r="Q1014" i="3"/>
  <c r="T118" i="3"/>
  <c r="T630" i="3"/>
  <c r="V86" i="3"/>
  <c r="T294" i="3"/>
  <c r="T486" i="3"/>
  <c r="Q678" i="3"/>
  <c r="P998" i="3"/>
  <c r="P750" i="3"/>
  <c r="Q806" i="3"/>
  <c r="Q1062" i="3"/>
  <c r="Q870" i="3"/>
  <c r="V359" i="3"/>
  <c r="V102" i="3"/>
  <c r="T502" i="3"/>
  <c r="T174" i="3"/>
  <c r="T134" i="3"/>
  <c r="P918" i="3"/>
  <c r="T550" i="3"/>
  <c r="Q894" i="3"/>
  <c r="P726" i="3"/>
  <c r="V489" i="3"/>
  <c r="Q1154" i="3"/>
  <c r="V406" i="3"/>
  <c r="V6" i="3"/>
  <c r="T22" i="3"/>
  <c r="P744" i="5"/>
  <c r="Q800" i="5"/>
  <c r="V248" i="3"/>
  <c r="V374" i="3"/>
  <c r="V537" i="3"/>
  <c r="P736" i="5"/>
  <c r="Q784" i="3"/>
  <c r="Q710" i="3"/>
  <c r="Q918" i="3"/>
  <c r="T96" i="3"/>
  <c r="Q1170" i="3"/>
  <c r="Q1147" i="3"/>
  <c r="T344" i="3"/>
  <c r="T112" i="3"/>
  <c r="P763" i="3"/>
  <c r="V139" i="3"/>
  <c r="Q1047" i="3"/>
  <c r="T48" i="3"/>
  <c r="T418" i="3"/>
  <c r="T142" i="3"/>
  <c r="V283" i="3"/>
  <c r="T321" i="3"/>
  <c r="P848" i="3"/>
  <c r="V138" i="3"/>
  <c r="Q834" i="3"/>
  <c r="Q934" i="3"/>
  <c r="P886" i="3"/>
  <c r="Q694" i="3"/>
  <c r="T291" i="3"/>
  <c r="V462" i="3"/>
  <c r="P1094" i="3"/>
  <c r="Q763" i="3"/>
  <c r="T131" i="3"/>
  <c r="T530" i="3"/>
  <c r="P902" i="3"/>
  <c r="V523" i="3"/>
  <c r="P1102" i="3"/>
  <c r="T376" i="3"/>
  <c r="T338" i="3"/>
  <c r="Q1058" i="3"/>
  <c r="Q1056" i="3"/>
  <c r="P1206" i="3"/>
  <c r="V443" i="3"/>
  <c r="Q1222" i="3"/>
  <c r="T329" i="3"/>
  <c r="Q1084" i="3"/>
  <c r="P715" i="3"/>
  <c r="V587" i="3"/>
  <c r="V91" i="3"/>
  <c r="Q726" i="3"/>
  <c r="P856" i="3"/>
  <c r="P738" i="3"/>
  <c r="T12" i="3"/>
  <c r="Q747" i="3"/>
  <c r="T529" i="3"/>
  <c r="P942" i="3"/>
  <c r="V292" i="3"/>
  <c r="T384" i="3"/>
  <c r="T102" i="3"/>
  <c r="P1051" i="3"/>
  <c r="Q1130" i="3"/>
  <c r="P1230" i="3"/>
  <c r="Q1162" i="3"/>
  <c r="P1178" i="3"/>
  <c r="P1202" i="3"/>
  <c r="Q971" i="3"/>
  <c r="Q816" i="3"/>
  <c r="V486" i="3"/>
  <c r="T155" i="3"/>
  <c r="Q681" i="3"/>
  <c r="V539" i="3"/>
  <c r="T528" i="3"/>
  <c r="T86" i="3"/>
  <c r="P854" i="3"/>
  <c r="V109" i="3"/>
  <c r="Q800" i="3"/>
  <c r="T288" i="3"/>
  <c r="P807" i="3"/>
  <c r="T651" i="3"/>
  <c r="P936" i="3"/>
  <c r="V69" i="3"/>
  <c r="P870" i="3"/>
  <c r="P1110" i="3"/>
  <c r="Q1078" i="3"/>
  <c r="Q1051" i="3"/>
  <c r="T322" i="3"/>
  <c r="T539" i="3"/>
  <c r="Q923" i="3"/>
  <c r="P1036" i="3"/>
  <c r="Q998" i="3"/>
  <c r="P1078" i="3"/>
  <c r="Q792" i="3"/>
  <c r="P678" i="3"/>
  <c r="Q1110" i="3"/>
  <c r="T208" i="3"/>
  <c r="Q1146" i="3"/>
  <c r="P1090" i="3"/>
  <c r="Q1098" i="3"/>
  <c r="T77" i="3"/>
  <c r="V502" i="3"/>
  <c r="V262" i="3"/>
  <c r="V134" i="3"/>
  <c r="V630" i="3"/>
  <c r="V496" i="3"/>
  <c r="P1142" i="3"/>
  <c r="V478" i="3"/>
  <c r="Q673" i="3"/>
  <c r="P1210" i="3"/>
  <c r="T477" i="3"/>
  <c r="T569" i="3"/>
  <c r="V299" i="3"/>
  <c r="V198" i="3"/>
  <c r="V294" i="3"/>
  <c r="V390" i="3"/>
  <c r="V326" i="3"/>
  <c r="P667" i="3"/>
  <c r="V454" i="3"/>
  <c r="V614" i="3"/>
  <c r="V230" i="3"/>
  <c r="T205" i="3"/>
  <c r="T47" i="3"/>
  <c r="T653" i="3"/>
  <c r="T236" i="3"/>
  <c r="T237" i="3"/>
  <c r="T658" i="3"/>
  <c r="Q1083" i="3"/>
  <c r="Q1190" i="3"/>
  <c r="V310" i="3"/>
  <c r="V278" i="3"/>
  <c r="Q1128" i="3"/>
  <c r="T419" i="3"/>
  <c r="Q869" i="3"/>
  <c r="Q1019" i="3"/>
  <c r="P1174" i="3"/>
  <c r="T87" i="3"/>
  <c r="T93" i="3"/>
  <c r="T216" i="3"/>
  <c r="T110" i="3"/>
  <c r="T165" i="3"/>
  <c r="T615" i="3"/>
  <c r="T429" i="3"/>
  <c r="T153" i="3"/>
  <c r="T407" i="3"/>
  <c r="T339" i="3"/>
  <c r="T105" i="3"/>
  <c r="T431" i="3"/>
  <c r="P783" i="3"/>
  <c r="T247" i="3"/>
  <c r="T242" i="3"/>
  <c r="T302" i="3"/>
  <c r="T269" i="3"/>
  <c r="P909" i="3"/>
  <c r="T558" i="3"/>
  <c r="T265" i="3"/>
  <c r="T92" i="3"/>
  <c r="T366" i="3"/>
  <c r="T591" i="3"/>
  <c r="P799" i="3"/>
  <c r="T634" i="3"/>
  <c r="Q999" i="3"/>
  <c r="T352" i="3"/>
  <c r="T557" i="3"/>
  <c r="T183" i="3"/>
  <c r="T233" i="3"/>
  <c r="T90" i="3"/>
  <c r="T645" i="3"/>
  <c r="T60" i="3"/>
  <c r="T461" i="3"/>
  <c r="T126" i="3"/>
  <c r="T393" i="3"/>
  <c r="T471" i="3"/>
  <c r="T387" i="3"/>
  <c r="T633" i="3"/>
  <c r="T410" i="3"/>
  <c r="T229" i="3"/>
  <c r="T628" i="3"/>
  <c r="T563" i="3"/>
  <c r="T292" i="3"/>
  <c r="T626" i="3"/>
  <c r="T442" i="3"/>
  <c r="T17" i="3"/>
  <c r="P1209" i="3"/>
  <c r="V342" i="3"/>
  <c r="V171" i="3"/>
  <c r="T189" i="3"/>
  <c r="T552" i="3"/>
  <c r="T580" i="3"/>
  <c r="T39" i="3"/>
  <c r="T589" i="3"/>
  <c r="T168" i="3"/>
  <c r="T37" i="3"/>
  <c r="T455" i="3"/>
  <c r="T221" i="3"/>
  <c r="T605" i="3"/>
  <c r="T446" i="3"/>
  <c r="T121" i="3"/>
  <c r="T239" i="3"/>
  <c r="T279" i="3"/>
  <c r="T456" i="3"/>
  <c r="V123" i="3"/>
  <c r="V662" i="3"/>
  <c r="V518" i="3"/>
  <c r="V103" i="3"/>
  <c r="P796" i="3"/>
  <c r="V391" i="3"/>
  <c r="V289" i="3"/>
  <c r="Q1174" i="3"/>
  <c r="T253" i="3"/>
  <c r="T180" i="3"/>
  <c r="T16" i="3"/>
  <c r="P1231" i="3"/>
  <c r="T663" i="3"/>
  <c r="P1023" i="3"/>
  <c r="Q895" i="3"/>
  <c r="Q1152" i="3"/>
  <c r="V571" i="3"/>
  <c r="T261" i="3"/>
  <c r="P1190" i="3"/>
  <c r="Q839" i="3"/>
  <c r="Q892" i="5"/>
  <c r="Q985" i="5"/>
  <c r="Q803" i="5"/>
  <c r="Q1114" i="5"/>
  <c r="P756" i="5"/>
  <c r="Q1116" i="5"/>
  <c r="P795" i="5"/>
  <c r="P738" i="5"/>
  <c r="T648" i="5"/>
  <c r="Q1211" i="5"/>
  <c r="P712" i="5"/>
  <c r="P674" i="5"/>
  <c r="P1123" i="5"/>
  <c r="Q907" i="5"/>
  <c r="Q843" i="5"/>
  <c r="P811" i="5"/>
  <c r="P870" i="5"/>
  <c r="P722" i="5"/>
  <c r="Q813" i="5"/>
  <c r="P962" i="5"/>
  <c r="Q1091" i="5"/>
  <c r="P941" i="5"/>
  <c r="Q725" i="5"/>
  <c r="Q1018" i="5"/>
  <c r="Q874" i="5"/>
  <c r="Q1048" i="5"/>
  <c r="P925" i="5"/>
  <c r="Q1213" i="5"/>
  <c r="Q867" i="5"/>
  <c r="Q1171" i="5"/>
  <c r="P1056" i="5"/>
  <c r="P1096" i="5"/>
  <c r="Q778" i="3"/>
  <c r="T629" i="3"/>
  <c r="T337" i="3"/>
  <c r="Q992" i="3"/>
  <c r="V246" i="3"/>
  <c r="T481" i="3"/>
  <c r="V166" i="3"/>
  <c r="V144" i="3"/>
  <c r="Q1195" i="3"/>
  <c r="T560" i="3"/>
  <c r="V77" i="3"/>
  <c r="Q1206" i="3"/>
  <c r="Q859" i="5"/>
  <c r="Q853" i="3"/>
  <c r="T6" i="3"/>
  <c r="V534" i="3"/>
  <c r="P731" i="5"/>
  <c r="P1066" i="3"/>
  <c r="P863" i="3"/>
  <c r="V659" i="3"/>
  <c r="T331" i="3"/>
  <c r="P680" i="3"/>
  <c r="T644" i="3"/>
  <c r="T618" i="3"/>
  <c r="Q993" i="3"/>
  <c r="V15" i="3"/>
  <c r="V231" i="3"/>
  <c r="Q807" i="3"/>
  <c r="V150" i="3"/>
  <c r="T447" i="3"/>
  <c r="V646" i="3"/>
  <c r="P950" i="3"/>
  <c r="V619" i="3"/>
  <c r="T151" i="3"/>
  <c r="P1152" i="3"/>
  <c r="Q699" i="3"/>
  <c r="P1072" i="5"/>
  <c r="P1050" i="3"/>
  <c r="P1114" i="3"/>
  <c r="V124" i="3"/>
  <c r="P1003" i="3"/>
  <c r="T507" i="3"/>
  <c r="Q737" i="3"/>
  <c r="Q1000" i="3"/>
  <c r="Q1057" i="3"/>
  <c r="Q817" i="3"/>
  <c r="Q1043" i="3"/>
  <c r="P1191" i="3"/>
  <c r="Q668" i="3"/>
  <c r="V651" i="3"/>
  <c r="P1126" i="3"/>
  <c r="V638" i="3"/>
  <c r="P770" i="3"/>
  <c r="Q1134" i="3"/>
  <c r="Q720" i="3"/>
  <c r="P971" i="5"/>
  <c r="Q938" i="3"/>
  <c r="Q962" i="3"/>
  <c r="V557" i="3"/>
  <c r="V225" i="3"/>
  <c r="P983" i="3"/>
  <c r="P824" i="5"/>
  <c r="V170" i="3"/>
  <c r="T83" i="3"/>
  <c r="T404" i="3"/>
  <c r="T383" i="3"/>
  <c r="V155" i="3"/>
  <c r="T190" i="3"/>
  <c r="P765" i="3"/>
  <c r="T504" i="3"/>
  <c r="T353" i="3"/>
  <c r="P877" i="3"/>
  <c r="P1166" i="3"/>
  <c r="T424" i="3"/>
  <c r="Q942" i="3"/>
  <c r="Q770" i="3"/>
  <c r="V517" i="3"/>
  <c r="V570" i="3"/>
  <c r="V609" i="3"/>
  <c r="T74" i="3"/>
  <c r="T517" i="3"/>
  <c r="T226" i="3"/>
  <c r="T243" i="3"/>
  <c r="T452" i="3"/>
  <c r="T546" i="3"/>
  <c r="T152" i="3"/>
  <c r="T100" i="3"/>
  <c r="T162" i="3"/>
  <c r="T188" i="3"/>
  <c r="T482" i="3"/>
  <c r="P926" i="3"/>
  <c r="T218" i="3"/>
  <c r="T570" i="3"/>
  <c r="P1189" i="3"/>
  <c r="P1172" i="3"/>
  <c r="T396" i="3"/>
  <c r="P1069" i="3"/>
  <c r="T595" i="3"/>
  <c r="T256" i="3"/>
  <c r="T449" i="3"/>
  <c r="T108" i="3"/>
  <c r="P962" i="3"/>
  <c r="P976" i="3"/>
  <c r="Q802" i="3"/>
  <c r="Q989" i="3"/>
  <c r="V438" i="3"/>
  <c r="Q1080" i="5"/>
  <c r="V22" i="3"/>
  <c r="Q982" i="3"/>
  <c r="Q1112" i="5"/>
  <c r="P684" i="3"/>
  <c r="P1037" i="3"/>
  <c r="Q788" i="5"/>
  <c r="Q974" i="5"/>
  <c r="V272" i="3"/>
  <c r="T103" i="3"/>
  <c r="V31" i="3"/>
  <c r="T272" i="3"/>
  <c r="V27" i="3"/>
  <c r="Q1175" i="3"/>
  <c r="P1131" i="3"/>
  <c r="Q812" i="5"/>
  <c r="P1202" i="5"/>
  <c r="Q916" i="5"/>
  <c r="P1003" i="5"/>
  <c r="T122" i="3"/>
  <c r="T31" i="3"/>
  <c r="P1220" i="3"/>
  <c r="V315" i="3"/>
  <c r="V476" i="3"/>
  <c r="T464" i="3"/>
  <c r="T49" i="3"/>
  <c r="P1104" i="3"/>
  <c r="P808" i="3"/>
  <c r="V23" i="3"/>
  <c r="V108" i="3"/>
  <c r="Q1142" i="3"/>
  <c r="V8" i="3"/>
  <c r="Q1215" i="3"/>
  <c r="T8" i="3"/>
  <c r="V179" i="3"/>
  <c r="Q739" i="5"/>
  <c r="T647" i="3"/>
  <c r="Q968" i="5"/>
  <c r="V36" i="3"/>
  <c r="Q1120" i="3"/>
  <c r="V38" i="3"/>
  <c r="P1083" i="3"/>
  <c r="P1052" i="5"/>
  <c r="Q672" i="5"/>
  <c r="V411" i="3"/>
  <c r="T491" i="3"/>
  <c r="P822" i="3"/>
  <c r="P935" i="3"/>
  <c r="Q731" i="5"/>
  <c r="V118" i="3"/>
  <c r="Q845" i="5"/>
  <c r="P734" i="5"/>
  <c r="Q1224" i="5"/>
  <c r="Q888" i="5"/>
  <c r="P1000" i="5"/>
  <c r="P798" i="3"/>
  <c r="V308" i="3"/>
  <c r="T600" i="3"/>
  <c r="V219" i="3"/>
  <c r="V560" i="3"/>
  <c r="Q739" i="3"/>
  <c r="T433" i="3"/>
  <c r="T411" i="3"/>
  <c r="P1214" i="3"/>
  <c r="T264" i="3"/>
  <c r="Q796" i="3"/>
  <c r="T479" i="3"/>
  <c r="P956" i="3"/>
  <c r="T624" i="3"/>
  <c r="V182" i="3"/>
  <c r="P1195" i="3"/>
  <c r="P1143" i="3"/>
  <c r="P1088" i="5"/>
  <c r="P914" i="3"/>
  <c r="V568" i="3"/>
  <c r="P1222" i="3"/>
  <c r="V115" i="3"/>
  <c r="Q1180" i="3"/>
  <c r="P1132" i="3"/>
  <c r="P728" i="3"/>
  <c r="Q1233" i="3"/>
  <c r="P838" i="3"/>
  <c r="P1062" i="3"/>
  <c r="Q1083" i="5"/>
  <c r="Q896" i="5"/>
  <c r="P1008" i="5"/>
  <c r="T42" i="3"/>
  <c r="Q986" i="3"/>
  <c r="V16" i="3"/>
  <c r="V384" i="3"/>
  <c r="V592" i="3"/>
  <c r="P699" i="3"/>
  <c r="T106" i="3"/>
  <c r="T80" i="3"/>
  <c r="V497" i="3"/>
  <c r="T224" i="3"/>
  <c r="T284" i="3"/>
  <c r="V665" i="3"/>
  <c r="Q1079" i="3"/>
  <c r="T519" i="3"/>
  <c r="P1056" i="3"/>
  <c r="P690" i="3"/>
  <c r="Q725" i="3"/>
  <c r="V203" i="3"/>
  <c r="Q796" i="5"/>
  <c r="V54" i="3"/>
  <c r="Q804" i="5"/>
  <c r="Q932" i="5"/>
  <c r="V107" i="3"/>
  <c r="T408" i="3"/>
  <c r="Q1067" i="3"/>
  <c r="Q976" i="3"/>
  <c r="Q1036" i="3"/>
  <c r="V550" i="3"/>
  <c r="P1107" i="5"/>
  <c r="Q931" i="5"/>
  <c r="P864" i="5"/>
  <c r="Q1016" i="5"/>
  <c r="T346" i="3"/>
  <c r="T423" i="3"/>
  <c r="T642" i="3"/>
  <c r="Q1008" i="3"/>
  <c r="T98" i="3"/>
  <c r="T476" i="3"/>
  <c r="Q840" i="3"/>
  <c r="P1167" i="3"/>
  <c r="Q667" i="3"/>
  <c r="V637" i="3"/>
  <c r="V75" i="3"/>
  <c r="V469" i="3"/>
  <c r="Q1179" i="3"/>
  <c r="T130" i="3"/>
  <c r="T18" i="3"/>
  <c r="P1163" i="3"/>
  <c r="P1158" i="3"/>
  <c r="T555" i="3"/>
  <c r="V365" i="3"/>
  <c r="T19" i="3"/>
  <c r="V119" i="3"/>
  <c r="T606" i="3"/>
  <c r="Q827" i="3"/>
  <c r="V228" i="3"/>
  <c r="V163" i="3"/>
  <c r="Q752" i="5"/>
  <c r="Q960" i="5"/>
  <c r="P951" i="3"/>
  <c r="Q874" i="3"/>
  <c r="V459" i="3"/>
  <c r="V331" i="3"/>
  <c r="V608" i="3"/>
  <c r="P1100" i="3"/>
  <c r="V282" i="3"/>
  <c r="Q1166" i="3"/>
  <c r="T609" i="3"/>
  <c r="P1004" i="3"/>
  <c r="Q680" i="3"/>
  <c r="T427" i="3"/>
  <c r="Q1094" i="3"/>
  <c r="Q775" i="3"/>
  <c r="P876" i="3"/>
  <c r="T378" i="3"/>
  <c r="V551" i="3"/>
  <c r="Q1132" i="5"/>
  <c r="P1115" i="5"/>
  <c r="Q1032" i="5"/>
  <c r="P1018" i="3"/>
  <c r="T660" i="3"/>
  <c r="P938" i="3"/>
  <c r="V235" i="3"/>
  <c r="P866" i="3"/>
  <c r="P1198" i="3"/>
  <c r="P846" i="3"/>
  <c r="P737" i="3"/>
  <c r="T608" i="3"/>
  <c r="T104" i="3"/>
  <c r="T568" i="3"/>
  <c r="V395" i="3"/>
  <c r="V358" i="3"/>
  <c r="V470" i="3"/>
  <c r="V70" i="3"/>
  <c r="V598" i="3"/>
  <c r="Q759" i="3"/>
  <c r="T548" i="3"/>
  <c r="Q955" i="3"/>
  <c r="T358" i="3"/>
  <c r="V427" i="3"/>
  <c r="Q758" i="3"/>
  <c r="P911" i="3"/>
  <c r="T463" i="3"/>
  <c r="V284" i="3"/>
  <c r="P1025" i="3"/>
  <c r="T574" i="3"/>
  <c r="P1215" i="3"/>
  <c r="T217" i="3"/>
  <c r="P1088" i="3"/>
  <c r="V660" i="3"/>
  <c r="V432" i="3"/>
  <c r="T612" i="3"/>
  <c r="V631" i="3"/>
  <c r="Q843" i="3"/>
  <c r="V593" i="3"/>
  <c r="P1196" i="3"/>
  <c r="P859" i="3"/>
  <c r="Q1056" i="5"/>
  <c r="V214" i="3"/>
  <c r="T296" i="3"/>
  <c r="Q1091" i="3"/>
  <c r="P688" i="3"/>
  <c r="P849" i="3"/>
  <c r="T209" i="3"/>
  <c r="V553" i="3"/>
  <c r="V281" i="3"/>
  <c r="T616" i="3"/>
  <c r="T111" i="3"/>
  <c r="V639" i="3"/>
  <c r="V344" i="3"/>
  <c r="P1207" i="3"/>
  <c r="V536" i="3"/>
  <c r="Q1046" i="3"/>
  <c r="T336" i="3"/>
  <c r="Q1035" i="3"/>
  <c r="P941" i="3"/>
  <c r="P1021" i="3"/>
  <c r="T416" i="3"/>
  <c r="Q769" i="3"/>
  <c r="P806" i="3"/>
  <c r="Q940" i="3"/>
  <c r="T374" i="3"/>
  <c r="V582" i="3"/>
  <c r="V629" i="3"/>
  <c r="P1008" i="3"/>
  <c r="V379" i="3"/>
  <c r="P1030" i="3"/>
  <c r="P673" i="3"/>
  <c r="P940" i="3"/>
  <c r="V334" i="3"/>
  <c r="P1096" i="3"/>
  <c r="T84" i="3"/>
  <c r="V465" i="3"/>
  <c r="Q752" i="3"/>
  <c r="V444" i="3"/>
  <c r="T220" i="3"/>
  <c r="V5" i="3"/>
  <c r="T656" i="3"/>
  <c r="T175" i="3"/>
  <c r="V9" i="3"/>
  <c r="Q1009" i="3"/>
  <c r="T287" i="3"/>
  <c r="V583" i="3"/>
  <c r="V145" i="3"/>
  <c r="T524" i="3"/>
  <c r="Q1191" i="3"/>
  <c r="V566" i="3"/>
  <c r="V655" i="3"/>
  <c r="T323" i="3"/>
  <c r="T290" i="3"/>
  <c r="V285" i="3"/>
  <c r="Q704" i="3"/>
  <c r="V635" i="3"/>
  <c r="Q772" i="3"/>
  <c r="T5" i="3"/>
  <c r="V658" i="3"/>
  <c r="Q774" i="3"/>
  <c r="Q768" i="5"/>
  <c r="V313" i="3"/>
  <c r="P720" i="3"/>
  <c r="Q790" i="3"/>
  <c r="Q795" i="3"/>
  <c r="V222" i="3"/>
  <c r="P944" i="3"/>
  <c r="Q876" i="3"/>
  <c r="Q1143" i="3"/>
  <c r="Q987" i="3"/>
  <c r="T166" i="3"/>
  <c r="Q936" i="3"/>
  <c r="Q1126" i="3"/>
  <c r="Q1138" i="3"/>
  <c r="T575" i="3"/>
  <c r="P974" i="3"/>
  <c r="T389" i="3"/>
  <c r="P1095" i="3"/>
  <c r="V622" i="3"/>
  <c r="V208" i="3"/>
  <c r="V174" i="3"/>
  <c r="Q880" i="3"/>
  <c r="Q708" i="3"/>
  <c r="Q1024" i="3"/>
  <c r="T576" i="3"/>
  <c r="T460" i="3"/>
  <c r="P1020" i="3"/>
  <c r="V176" i="3"/>
  <c r="Q847" i="3"/>
  <c r="V130" i="3"/>
  <c r="V422" i="3"/>
  <c r="T512" i="3"/>
  <c r="V507" i="3"/>
  <c r="Q888" i="3"/>
  <c r="T350" i="3"/>
  <c r="T432" i="3"/>
  <c r="P1000" i="3"/>
  <c r="P1064" i="3"/>
  <c r="P1015" i="3"/>
  <c r="T661" i="3"/>
  <c r="T592" i="3"/>
  <c r="P1134" i="3"/>
  <c r="Q983" i="3"/>
  <c r="T406" i="3"/>
  <c r="P1032" i="5"/>
  <c r="Q977" i="3"/>
  <c r="P742" i="3"/>
  <c r="Q912" i="5"/>
  <c r="P734" i="3"/>
  <c r="T244" i="3"/>
  <c r="Q1031" i="3"/>
  <c r="V535" i="3"/>
  <c r="T178" i="3"/>
  <c r="T349" i="3"/>
  <c r="P1181" i="3"/>
  <c r="P712" i="3"/>
  <c r="T179" i="3"/>
  <c r="T132" i="3"/>
  <c r="T607" i="3"/>
  <c r="Q693" i="3"/>
  <c r="V556" i="3"/>
  <c r="T194" i="3"/>
  <c r="T520" i="3"/>
  <c r="T307" i="3"/>
  <c r="V41" i="3"/>
  <c r="Q879" i="3"/>
  <c r="T506" i="3"/>
  <c r="T76" i="3"/>
  <c r="P823" i="3"/>
  <c r="T66" i="3"/>
  <c r="Q1213" i="3"/>
  <c r="Q985" i="3"/>
  <c r="T538" i="3"/>
  <c r="Q821" i="3"/>
  <c r="V238" i="3"/>
  <c r="Q1040" i="3"/>
  <c r="P1200" i="3"/>
  <c r="V106" i="3"/>
  <c r="T392" i="3"/>
  <c r="Q779" i="3"/>
  <c r="T192" i="3"/>
  <c r="V409" i="3"/>
  <c r="V224" i="3"/>
  <c r="T125" i="3"/>
  <c r="V541" i="3"/>
  <c r="V112" i="3"/>
  <c r="V187" i="3"/>
  <c r="T32" i="3"/>
  <c r="P1199" i="3"/>
  <c r="T544" i="3"/>
  <c r="P1006" i="3"/>
  <c r="Q919" i="3"/>
  <c r="P992" i="3"/>
  <c r="P891" i="3"/>
  <c r="Q1196" i="3"/>
  <c r="Q966" i="3"/>
  <c r="P1014" i="3"/>
  <c r="P1228" i="3"/>
  <c r="Q944" i="5"/>
  <c r="P1104" i="5"/>
  <c r="Q815" i="3"/>
  <c r="T260" i="3"/>
  <c r="P1038" i="3"/>
  <c r="T238" i="3"/>
  <c r="V335" i="3"/>
  <c r="T457" i="3"/>
  <c r="V56" i="3"/>
  <c r="Q1231" i="3"/>
  <c r="T627" i="3"/>
  <c r="V460" i="3"/>
  <c r="V416" i="3"/>
  <c r="V125" i="3"/>
  <c r="P860" i="3"/>
  <c r="T251" i="3"/>
  <c r="Q1227" i="3"/>
  <c r="P811" i="3"/>
  <c r="T280" i="3"/>
  <c r="T480" i="3"/>
  <c r="T25" i="3"/>
  <c r="P1168" i="3"/>
  <c r="Q780" i="3"/>
  <c r="P1211" i="3"/>
  <c r="T23" i="3"/>
  <c r="T590" i="3"/>
  <c r="T666" i="3"/>
  <c r="T210" i="3"/>
  <c r="T430" i="3"/>
  <c r="T227" i="3"/>
  <c r="T372" i="3"/>
  <c r="T623" i="3"/>
  <c r="V135" i="3"/>
  <c r="T354" i="3"/>
  <c r="T40" i="3"/>
  <c r="T648" i="3"/>
  <c r="V52" i="3"/>
  <c r="T522" i="3"/>
  <c r="T172" i="3"/>
  <c r="T356" i="3"/>
  <c r="T466" i="3"/>
  <c r="V627" i="3"/>
  <c r="T554" i="3"/>
  <c r="V256" i="3"/>
  <c r="V188" i="3"/>
  <c r="T156" i="3"/>
  <c r="Q972" i="3"/>
  <c r="V526" i="3"/>
  <c r="T596" i="3"/>
  <c r="T89" i="3"/>
  <c r="P884" i="5"/>
  <c r="P853" i="5"/>
  <c r="P740" i="5"/>
  <c r="P699" i="5"/>
  <c r="Q1110" i="5"/>
  <c r="P1157" i="5"/>
  <c r="P1180" i="5"/>
  <c r="P900" i="5"/>
  <c r="Q748" i="5"/>
  <c r="Q1178" i="5"/>
  <c r="P923" i="5"/>
  <c r="Q995" i="5"/>
  <c r="Q992" i="5"/>
  <c r="Q1138" i="5"/>
  <c r="P1016" i="5"/>
  <c r="Q741" i="5"/>
  <c r="P707" i="5"/>
  <c r="Q971" i="5"/>
  <c r="Q864" i="5"/>
  <c r="P1174" i="5"/>
  <c r="Q956" i="5"/>
  <c r="Q779" i="5"/>
  <c r="P1112" i="5"/>
  <c r="Q1096" i="5"/>
  <c r="T501" i="3"/>
  <c r="P1153" i="3"/>
  <c r="P717" i="3"/>
  <c r="P1154" i="3"/>
  <c r="P847" i="3"/>
  <c r="V159" i="3"/>
  <c r="V511" i="3"/>
  <c r="V645" i="3"/>
  <c r="T631" i="3"/>
  <c r="T632" i="3"/>
  <c r="P643" i="3"/>
  <c r="T643" i="3"/>
  <c r="Q740" i="3"/>
  <c r="V161" i="3"/>
  <c r="V601" i="3"/>
  <c r="Q659" i="3"/>
  <c r="T659" i="3"/>
  <c r="T401" i="3"/>
  <c r="V361" i="3"/>
  <c r="T308" i="3"/>
  <c r="V253" i="3"/>
  <c r="V350" i="3"/>
  <c r="V32" i="3"/>
  <c r="V574" i="3"/>
  <c r="V400" i="3"/>
  <c r="V647" i="3"/>
  <c r="T655" i="3"/>
  <c r="V657" i="3"/>
  <c r="V634" i="3"/>
  <c r="P767" i="3"/>
  <c r="T145" i="3"/>
  <c r="Q1044" i="3"/>
  <c r="Q1077" i="3"/>
  <c r="V17" i="3"/>
  <c r="Q652" i="3"/>
  <c r="T652" i="3"/>
  <c r="V505" i="3"/>
  <c r="T62" i="3"/>
  <c r="T394" i="3"/>
  <c r="T53" i="3"/>
  <c r="T167" i="3"/>
  <c r="T109" i="3"/>
  <c r="T312" i="3"/>
  <c r="T158" i="3"/>
  <c r="V201" i="3"/>
  <c r="T181" i="3"/>
  <c r="T445" i="3"/>
  <c r="T78" i="3"/>
  <c r="P1054" i="3"/>
  <c r="T377" i="3"/>
  <c r="T543" i="3"/>
  <c r="T439" i="3"/>
  <c r="Q824" i="3"/>
  <c r="T355" i="3"/>
  <c r="T345" i="3"/>
  <c r="T68" i="3"/>
  <c r="T495" i="3"/>
  <c r="T276" i="3"/>
  <c r="Q783" i="3"/>
  <c r="T343" i="3"/>
  <c r="V612" i="3"/>
  <c r="V641" i="3"/>
  <c r="V663" i="3"/>
  <c r="V653" i="3"/>
  <c r="V650" i="3"/>
  <c r="V632" i="3"/>
  <c r="P937" i="3"/>
  <c r="P725" i="3"/>
  <c r="P901" i="3"/>
  <c r="Q914" i="3"/>
  <c r="T9" i="3"/>
  <c r="V487" i="3"/>
  <c r="Q1199" i="3"/>
  <c r="Q1159" i="3"/>
  <c r="T400" i="3"/>
  <c r="P769" i="3"/>
  <c r="V636" i="3"/>
  <c r="Q785" i="3"/>
  <c r="P1151" i="3"/>
  <c r="P927" i="3"/>
  <c r="V473" i="3"/>
  <c r="V328" i="3"/>
  <c r="V55" i="3"/>
  <c r="P1128" i="3"/>
  <c r="V644" i="3"/>
  <c r="T641" i="3"/>
  <c r="V661" i="3"/>
  <c r="V666" i="3"/>
  <c r="V624" i="3"/>
  <c r="Q684" i="3"/>
  <c r="V520" i="3"/>
  <c r="V506" i="3"/>
  <c r="Q1136" i="3"/>
  <c r="Q1189" i="3"/>
  <c r="V12" i="3"/>
  <c r="T639" i="3"/>
  <c r="Q956" i="3"/>
  <c r="P668" i="3"/>
  <c r="Q1100" i="3"/>
  <c r="V603" i="3"/>
  <c r="V236" i="3"/>
  <c r="V327" i="3"/>
  <c r="T511" i="3"/>
  <c r="V202" i="3"/>
  <c r="Q887" i="3"/>
  <c r="P649" i="3"/>
  <c r="T649" i="3"/>
  <c r="P1205" i="3"/>
  <c r="Q1004" i="3"/>
  <c r="T348" i="3"/>
  <c r="V649" i="3"/>
  <c r="V628" i="3"/>
  <c r="T664" i="3"/>
  <c r="V642" i="3"/>
  <c r="P654" i="3"/>
  <c r="T654" i="3"/>
  <c r="Q867" i="3"/>
  <c r="P1076" i="3"/>
  <c r="P1213" i="3"/>
  <c r="V538" i="3"/>
  <c r="Q1114" i="3"/>
  <c r="Q638" i="3"/>
  <c r="T638" i="3"/>
  <c r="V7" i="3"/>
  <c r="P784" i="3"/>
  <c r="Q728" i="3"/>
  <c r="Q848" i="3"/>
  <c r="V625" i="3"/>
  <c r="V199" i="3"/>
  <c r="P665" i="3"/>
  <c r="T665" i="3"/>
  <c r="V652" i="3"/>
  <c r="V640" i="3"/>
  <c r="V664" i="3"/>
  <c r="T120" i="3"/>
  <c r="P916" i="3"/>
  <c r="Q1209" i="3"/>
  <c r="V656" i="3"/>
  <c r="V654" i="3"/>
  <c r="V633" i="3"/>
  <c r="V648" i="3"/>
  <c r="V175" i="3"/>
  <c r="Q636" i="3"/>
  <c r="T636" i="3"/>
  <c r="P775" i="3"/>
  <c r="Q690" i="3"/>
  <c r="T499" i="3"/>
  <c r="P782" i="3"/>
  <c r="T650" i="3"/>
  <c r="T277" i="3"/>
  <c r="T535" i="3"/>
  <c r="Q1181" i="3"/>
  <c r="Q712" i="3"/>
  <c r="T147" i="3"/>
  <c r="Q766" i="3"/>
  <c r="T297" i="3"/>
  <c r="Q906" i="3"/>
  <c r="P693" i="3"/>
  <c r="T556" i="3"/>
  <c r="T141" i="3"/>
  <c r="T509" i="3"/>
  <c r="V398" i="3"/>
  <c r="T41" i="3"/>
  <c r="V585" i="3"/>
  <c r="P1113" i="3"/>
  <c r="P879" i="3"/>
  <c r="P1223" i="3"/>
  <c r="Q823" i="3"/>
  <c r="T88" i="3"/>
  <c r="T579" i="3"/>
  <c r="P985" i="3"/>
  <c r="T127" i="3"/>
  <c r="Q1087" i="3"/>
  <c r="T341" i="3"/>
  <c r="Q981" i="3"/>
  <c r="P885" i="3"/>
  <c r="V151" i="3"/>
  <c r="Q875" i="3"/>
  <c r="T11" i="3"/>
  <c r="T267" i="3"/>
  <c r="Q862" i="3"/>
  <c r="V643" i="3"/>
  <c r="T640" i="3"/>
  <c r="V267" i="3"/>
  <c r="Q1140" i="5"/>
  <c r="P1170" i="3"/>
  <c r="P1148" i="5"/>
  <c r="P707" i="3"/>
  <c r="T421" i="3"/>
  <c r="V457" i="3"/>
  <c r="T319" i="3"/>
  <c r="T335" i="3"/>
  <c r="Q1160" i="5"/>
  <c r="P1219" i="3"/>
  <c r="P1044" i="3"/>
  <c r="Q953" i="5"/>
  <c r="P1111" i="3"/>
  <c r="Q1104" i="5"/>
  <c r="V519" i="3"/>
  <c r="Q952" i="3"/>
  <c r="T43" i="3"/>
  <c r="Q663" i="3"/>
  <c r="Q1120" i="5"/>
  <c r="T13" i="3"/>
  <c r="Q1101" i="3"/>
  <c r="P1075" i="3"/>
  <c r="P1164" i="3"/>
  <c r="P1024" i="3"/>
  <c r="Q1090" i="3"/>
  <c r="P1212" i="3"/>
  <c r="Q1164" i="3"/>
  <c r="Q849" i="3"/>
  <c r="T56" i="3"/>
  <c r="T553" i="3"/>
  <c r="T248" i="3"/>
  <c r="Q701" i="3"/>
  <c r="V616" i="3"/>
  <c r="V85" i="3"/>
  <c r="V341" i="3"/>
  <c r="V33" i="3"/>
  <c r="P1087" i="5"/>
  <c r="Q787" i="5"/>
  <c r="P960" i="5"/>
  <c r="P920" i="5"/>
  <c r="P1024" i="5"/>
  <c r="T417" i="3"/>
  <c r="T44" i="3"/>
  <c r="T617" i="3"/>
  <c r="T95" i="3"/>
  <c r="Q991" i="3"/>
  <c r="V332" i="3"/>
  <c r="T434" i="3"/>
  <c r="V435" i="3"/>
  <c r="T232" i="3"/>
  <c r="T436" i="3"/>
  <c r="T58" i="3"/>
  <c r="T69" i="3"/>
  <c r="V94" i="3"/>
  <c r="T266" i="3"/>
  <c r="Q629" i="3"/>
  <c r="P1093" i="3"/>
  <c r="V209" i="3"/>
  <c r="V61" i="3"/>
  <c r="V588" i="3"/>
  <c r="P695" i="3"/>
  <c r="V64" i="3"/>
  <c r="T368" i="3"/>
  <c r="Q1161" i="3"/>
  <c r="V501" i="3"/>
  <c r="P776" i="3"/>
  <c r="T73" i="3"/>
  <c r="T51" i="3"/>
  <c r="Q1072" i="3"/>
  <c r="Q1076" i="3"/>
  <c r="P821" i="3"/>
  <c r="Q1102" i="5"/>
  <c r="Q901" i="3"/>
  <c r="Q1038" i="3"/>
  <c r="V96" i="3"/>
  <c r="P1081" i="3"/>
  <c r="T484" i="3"/>
  <c r="P895" i="3"/>
  <c r="V450" i="3"/>
  <c r="V11" i="3"/>
  <c r="T444" i="3"/>
  <c r="Q1041" i="3"/>
  <c r="P1136" i="3"/>
  <c r="P1043" i="3"/>
  <c r="P968" i="5"/>
  <c r="V503" i="3"/>
  <c r="V524" i="3"/>
  <c r="V297" i="3"/>
  <c r="Q1147" i="5"/>
  <c r="Q694" i="5"/>
  <c r="V142" i="3"/>
  <c r="T164" i="3"/>
  <c r="V428" i="3"/>
  <c r="P786" i="3"/>
  <c r="P656" i="3"/>
  <c r="T281" i="3"/>
  <c r="V479" i="3"/>
  <c r="T440" i="3"/>
  <c r="Q1200" i="3"/>
  <c r="P944" i="5"/>
  <c r="P740" i="3"/>
  <c r="T585" i="3"/>
  <c r="P1110" i="5"/>
  <c r="Q903" i="3"/>
  <c r="P828" i="5"/>
  <c r="P752" i="3"/>
  <c r="Q1150" i="3"/>
  <c r="V474" i="3"/>
  <c r="V325" i="3"/>
  <c r="V572" i="3"/>
  <c r="T119" i="3"/>
  <c r="Q916" i="3"/>
  <c r="T176" i="3"/>
  <c r="P867" i="3"/>
  <c r="P705" i="3"/>
  <c r="P912" i="5"/>
  <c r="V584" i="3"/>
  <c r="V244" i="3"/>
  <c r="T572" i="3"/>
  <c r="Q1053" i="3"/>
  <c r="Q1145" i="3"/>
  <c r="P670" i="3"/>
  <c r="Q798" i="3"/>
  <c r="V437" i="3"/>
  <c r="V65" i="3"/>
  <c r="P1094" i="5"/>
  <c r="Q811" i="5"/>
  <c r="P755" i="5"/>
  <c r="Q707" i="5"/>
  <c r="P1048" i="5"/>
  <c r="P749" i="3"/>
  <c r="T540" i="3"/>
  <c r="P716" i="3"/>
  <c r="T85" i="3"/>
  <c r="T497" i="3"/>
  <c r="Q1020" i="3"/>
  <c r="V76" i="3"/>
  <c r="P1173" i="3"/>
  <c r="Q1152" i="5"/>
  <c r="P1136" i="5"/>
  <c r="P841" i="3"/>
  <c r="V160" i="3"/>
  <c r="P875" i="3"/>
  <c r="V484" i="3"/>
  <c r="V447" i="3"/>
  <c r="P1027" i="5"/>
  <c r="P667" i="5"/>
  <c r="Q822" i="5"/>
  <c r="Q643" i="3"/>
  <c r="P1117" i="3"/>
  <c r="Q1156" i="5"/>
  <c r="P955" i="5"/>
  <c r="T259" i="3"/>
  <c r="Q1157" i="3"/>
  <c r="V220" i="3"/>
  <c r="P736" i="3"/>
  <c r="T583" i="3"/>
  <c r="V113" i="3"/>
  <c r="Q910" i="3"/>
  <c r="Q959" i="3"/>
  <c r="Q917" i="3"/>
  <c r="T475" i="3"/>
  <c r="P708" i="3"/>
  <c r="V307" i="3"/>
  <c r="Q863" i="3"/>
  <c r="Q782" i="3"/>
  <c r="T398" i="3"/>
  <c r="P862" i="3"/>
  <c r="V607" i="3"/>
  <c r="Q1000" i="5"/>
  <c r="T140" i="3"/>
  <c r="P779" i="5"/>
  <c r="Q1089" i="3"/>
  <c r="V133" i="3"/>
  <c r="V287" i="3"/>
  <c r="P802" i="3"/>
  <c r="P1077" i="3"/>
  <c r="P815" i="3"/>
  <c r="P1009" i="3"/>
  <c r="Q1153" i="3"/>
  <c r="Q1088" i="5"/>
  <c r="V81" i="3"/>
  <c r="Q893" i="5"/>
  <c r="Q1098" i="5"/>
  <c r="P1139" i="5"/>
  <c r="P1091" i="5"/>
  <c r="P1040" i="5"/>
  <c r="Q1064" i="5"/>
  <c r="V412" i="3"/>
  <c r="T228" i="3"/>
  <c r="Q948" i="3"/>
  <c r="T351" i="3"/>
  <c r="T492" i="3"/>
  <c r="T114" i="3"/>
  <c r="P1074" i="3"/>
  <c r="T483" i="3"/>
  <c r="Q724" i="3"/>
  <c r="T303" i="3"/>
  <c r="V424" i="3"/>
  <c r="T163" i="3"/>
  <c r="T186" i="3"/>
  <c r="T245" i="3"/>
  <c r="T34" i="3"/>
  <c r="T510" i="3"/>
  <c r="T330" i="3"/>
  <c r="P949" i="3"/>
  <c r="P837" i="3"/>
  <c r="V66" i="3"/>
  <c r="V194" i="3"/>
  <c r="P1005" i="3"/>
  <c r="P1144" i="5"/>
  <c r="Q722" i="3"/>
  <c r="T21" i="3"/>
  <c r="T525" i="3"/>
  <c r="Q1186" i="3"/>
  <c r="V448" i="3"/>
  <c r="Q1201" i="3"/>
  <c r="Q1192" i="5"/>
  <c r="P1031" i="3"/>
  <c r="T59" i="3"/>
  <c r="P834" i="3"/>
  <c r="Q964" i="5"/>
  <c r="T565" i="3"/>
  <c r="V111" i="3"/>
  <c r="V515" i="3"/>
  <c r="Q688" i="3"/>
  <c r="Q1203" i="3"/>
  <c r="V389" i="3"/>
  <c r="P760" i="5"/>
  <c r="Q763" i="5"/>
  <c r="P1080" i="5"/>
  <c r="P1122" i="3"/>
  <c r="V254" i="3"/>
  <c r="V418" i="3"/>
  <c r="P764" i="3"/>
  <c r="T459" i="3"/>
  <c r="T235" i="3"/>
  <c r="V104" i="3"/>
  <c r="P960" i="3"/>
  <c r="P993" i="3"/>
  <c r="T15" i="3"/>
  <c r="P820" i="5"/>
  <c r="Q767" i="3"/>
  <c r="P1040" i="3"/>
  <c r="V132" i="3"/>
  <c r="P747" i="5"/>
  <c r="T173" i="3"/>
  <c r="T508" i="3"/>
  <c r="Q1050" i="3"/>
  <c r="P680" i="5"/>
  <c r="Q948" i="5"/>
  <c r="P1232" i="5"/>
  <c r="T465" i="3"/>
  <c r="V367" i="3"/>
  <c r="T160" i="3"/>
  <c r="T622" i="3"/>
  <c r="P869" i="3"/>
  <c r="P780" i="3"/>
  <c r="P645" i="5"/>
  <c r="V227" i="3"/>
  <c r="V623" i="3"/>
  <c r="Q700" i="3"/>
  <c r="V121" i="3"/>
  <c r="P972" i="3"/>
  <c r="T115" i="3"/>
  <c r="Q997" i="3"/>
  <c r="T241" i="3"/>
  <c r="V525" i="3"/>
  <c r="P771" i="3"/>
  <c r="P779" i="3"/>
  <c r="V458" i="3"/>
  <c r="P1099" i="3"/>
  <c r="Q860" i="3"/>
  <c r="P899" i="3"/>
  <c r="T428" i="3"/>
  <c r="T170" i="3"/>
  <c r="Q1163" i="3"/>
  <c r="T536" i="3"/>
  <c r="V59" i="3"/>
  <c r="V264" i="3"/>
  <c r="Q1027" i="5"/>
  <c r="V408" i="3"/>
  <c r="P639" i="3"/>
  <c r="T588" i="3"/>
  <c r="Q1006" i="3"/>
  <c r="Q636" i="5"/>
  <c r="P612" i="5"/>
  <c r="V392" i="3"/>
  <c r="V25" i="3"/>
  <c r="P1120" i="5"/>
  <c r="Q1008" i="5"/>
  <c r="P1063" i="3"/>
  <c r="P959" i="3"/>
  <c r="P638" i="3"/>
  <c r="P907" i="5"/>
  <c r="Q829" i="3"/>
  <c r="V441" i="3"/>
  <c r="Q644" i="5"/>
  <c r="Q1132" i="3"/>
  <c r="P1171" i="3"/>
  <c r="Q1214" i="3"/>
  <c r="Q1135" i="3"/>
  <c r="P820" i="3"/>
  <c r="Q676" i="3"/>
  <c r="T426" i="3"/>
  <c r="Q1106" i="3"/>
  <c r="P981" i="3"/>
  <c r="V372" i="3"/>
  <c r="P933" i="3"/>
  <c r="P652" i="5"/>
  <c r="Q1003" i="5"/>
  <c r="V43" i="3"/>
  <c r="V613" i="3"/>
  <c r="Q637" i="5"/>
  <c r="P816" i="3"/>
  <c r="V352" i="3"/>
  <c r="Q643" i="5"/>
  <c r="V606" i="3"/>
  <c r="T496" i="3"/>
  <c r="Q926" i="3"/>
  <c r="P681" i="3"/>
  <c r="V343" i="3"/>
  <c r="V191" i="3"/>
  <c r="Q786" i="3"/>
  <c r="Q1211" i="3"/>
  <c r="Q1198" i="3"/>
  <c r="P659" i="5"/>
  <c r="P1185" i="3"/>
  <c r="T135" i="3"/>
  <c r="Q979" i="3"/>
  <c r="T144" i="3"/>
  <c r="P1064" i="5"/>
  <c r="Q755" i="5"/>
  <c r="Q811" i="3"/>
  <c r="P952" i="3"/>
  <c r="Q1172" i="3"/>
  <c r="Q1064" i="3"/>
  <c r="P1175" i="3"/>
  <c r="Q731" i="3"/>
  <c r="Q716" i="3"/>
  <c r="P1091" i="3"/>
  <c r="T7" i="3"/>
  <c r="P931" i="5"/>
  <c r="Q1040" i="5"/>
  <c r="V468" i="3"/>
  <c r="Q1030" i="5"/>
  <c r="V120" i="3"/>
  <c r="V177" i="3"/>
  <c r="Q831" i="3"/>
  <c r="P1162" i="3"/>
  <c r="V546" i="3"/>
  <c r="Q744" i="3"/>
  <c r="Q1184" i="5"/>
  <c r="T578" i="3"/>
  <c r="P686" i="3"/>
  <c r="V122" i="3"/>
  <c r="V595" i="3"/>
  <c r="T207" i="3"/>
  <c r="P903" i="3"/>
  <c r="P1165" i="3"/>
  <c r="P1197" i="3"/>
  <c r="Q1003" i="3"/>
  <c r="Q624" i="5"/>
  <c r="T55" i="3"/>
  <c r="Q1167" i="3"/>
  <c r="P929" i="3"/>
  <c r="Q771" i="3"/>
  <c r="Q736" i="3"/>
  <c r="P787" i="5"/>
  <c r="Q1063" i="3"/>
  <c r="Q764" i="3"/>
  <c r="Q960" i="3"/>
  <c r="T64" i="3"/>
  <c r="Q707" i="3"/>
  <c r="Q649" i="5"/>
  <c r="Q628" i="5"/>
  <c r="V397" i="3"/>
  <c r="P1168" i="5"/>
  <c r="Q1168" i="5"/>
  <c r="Q816" i="5"/>
  <c r="P816" i="5"/>
  <c r="Q984" i="5"/>
  <c r="P984" i="5"/>
  <c r="Q1128" i="5"/>
  <c r="P1128" i="5"/>
  <c r="V26" i="3"/>
  <c r="T26" i="3"/>
  <c r="Q666" i="3"/>
  <c r="P666" i="3"/>
  <c r="Q679" i="3"/>
  <c r="P679" i="3"/>
  <c r="V573" i="3"/>
  <c r="T573" i="3"/>
  <c r="Q968" i="3"/>
  <c r="P968" i="3"/>
  <c r="P878" i="3"/>
  <c r="Q878" i="3"/>
  <c r="V604" i="3"/>
  <c r="T604" i="3"/>
  <c r="T215" i="3"/>
  <c r="V215" i="3"/>
  <c r="Q755" i="3"/>
  <c r="P755" i="3"/>
  <c r="V414" i="3"/>
  <c r="T414" i="3"/>
  <c r="Q713" i="3"/>
  <c r="P713" i="3"/>
  <c r="T72" i="3"/>
  <c r="V72" i="3"/>
  <c r="V263" i="3"/>
  <c r="T263" i="3"/>
  <c r="P627" i="3"/>
  <c r="Q627" i="3"/>
  <c r="Q830" i="3"/>
  <c r="P830" i="3"/>
  <c r="P970" i="3"/>
  <c r="Q970" i="3"/>
  <c r="Q1049" i="3"/>
  <c r="P1049" i="3"/>
  <c r="T340" i="3"/>
  <c r="V340" i="3"/>
  <c r="Q1141" i="3"/>
  <c r="P1141" i="3"/>
  <c r="P723" i="3"/>
  <c r="Q723" i="3"/>
  <c r="Q1026" i="3"/>
  <c r="P1026" i="3"/>
  <c r="Q865" i="3"/>
  <c r="P865" i="3"/>
  <c r="P907" i="3"/>
  <c r="Q907" i="3"/>
  <c r="Q711" i="3"/>
  <c r="P711" i="3"/>
  <c r="T363" i="3"/>
  <c r="V363" i="3"/>
  <c r="Q897" i="3"/>
  <c r="P897" i="3"/>
  <c r="P1027" i="3"/>
  <c r="Q1027" i="3"/>
  <c r="P1070" i="3"/>
  <c r="Q1070" i="3"/>
  <c r="Q1216" i="5"/>
  <c r="P1216" i="5"/>
  <c r="Q1022" i="3"/>
  <c r="P1022" i="3"/>
  <c r="V40" i="3"/>
  <c r="T52" i="3"/>
  <c r="P1034" i="3"/>
  <c r="Q1034" i="3"/>
  <c r="Q1073" i="3"/>
  <c r="P1073" i="3"/>
  <c r="Q1208" i="5"/>
  <c r="P1208" i="5"/>
  <c r="Q1116" i="3"/>
  <c r="P1116" i="3"/>
  <c r="Q841" i="3"/>
  <c r="P1193" i="3"/>
  <c r="Q1193" i="3"/>
  <c r="P1055" i="3"/>
  <c r="Q1055" i="3"/>
  <c r="P1065" i="3"/>
  <c r="P1152" i="5"/>
  <c r="T505" i="3"/>
  <c r="P871" i="3"/>
  <c r="Q871" i="3"/>
  <c r="P1060" i="3"/>
  <c r="Q1060" i="3"/>
  <c r="P1061" i="3"/>
  <c r="P1121" i="3"/>
  <c r="Q1121" i="3"/>
  <c r="Q1216" i="3"/>
  <c r="P1216" i="3"/>
  <c r="Q980" i="5"/>
  <c r="P855" i="3"/>
  <c r="Q855" i="3"/>
  <c r="Q936" i="5"/>
  <c r="P936" i="5"/>
  <c r="P832" i="5"/>
  <c r="Q832" i="5"/>
  <c r="Q1033" i="3"/>
  <c r="P1033" i="3"/>
  <c r="P791" i="3"/>
  <c r="Q791" i="3"/>
  <c r="T533" i="3"/>
  <c r="P997" i="3"/>
  <c r="V404" i="3"/>
  <c r="V168" i="3"/>
  <c r="P793" i="3"/>
  <c r="Q793" i="3"/>
  <c r="P1226" i="3"/>
  <c r="Q1226" i="3"/>
  <c r="Q848" i="5"/>
  <c r="P848" i="5"/>
  <c r="Q1129" i="3"/>
  <c r="P1129" i="3"/>
  <c r="Q788" i="3"/>
  <c r="P1217" i="3"/>
  <c r="Q1217" i="3"/>
  <c r="P980" i="3"/>
  <c r="Q980" i="3"/>
  <c r="V522" i="3"/>
  <c r="P864" i="3"/>
  <c r="Q864" i="3"/>
  <c r="P882" i="3"/>
  <c r="Q882" i="3"/>
  <c r="Q704" i="5"/>
  <c r="P704" i="5"/>
  <c r="V21" i="3"/>
  <c r="Q769" i="5"/>
  <c r="P769" i="5"/>
  <c r="Q791" i="5"/>
  <c r="P1227" i="5"/>
  <c r="Q1227" i="5"/>
  <c r="P1155" i="5"/>
  <c r="Q1155" i="5"/>
  <c r="Q898" i="3"/>
  <c r="P898" i="3"/>
  <c r="T185" i="3"/>
  <c r="V185" i="3"/>
  <c r="P703" i="3"/>
  <c r="Q703" i="3"/>
  <c r="P683" i="3"/>
  <c r="Q683" i="3"/>
  <c r="P1120" i="3"/>
  <c r="P1227" i="3"/>
  <c r="P803" i="5"/>
  <c r="V37" i="3"/>
  <c r="P860" i="5"/>
  <c r="Q692" i="3"/>
  <c r="P692" i="3"/>
  <c r="P845" i="3"/>
  <c r="Q845" i="3"/>
  <c r="V353" i="3"/>
  <c r="P771" i="5"/>
  <c r="V552" i="3"/>
  <c r="Q1124" i="3"/>
  <c r="P1124" i="3"/>
  <c r="V354" i="3"/>
  <c r="Q756" i="3"/>
  <c r="V172" i="3"/>
  <c r="Q965" i="3"/>
  <c r="P674" i="3"/>
  <c r="Q674" i="3"/>
  <c r="V241" i="3"/>
  <c r="P675" i="5"/>
  <c r="Q675" i="5"/>
  <c r="P655" i="3"/>
  <c r="Q655" i="3"/>
  <c r="Q730" i="3"/>
  <c r="P730" i="3"/>
  <c r="P671" i="3"/>
  <c r="Q671" i="3"/>
  <c r="P881" i="3"/>
  <c r="Q881" i="3"/>
  <c r="Q912" i="3"/>
  <c r="P912" i="3"/>
  <c r="V280" i="3"/>
  <c r="V452" i="3"/>
  <c r="V375" i="3"/>
  <c r="T375" i="3"/>
  <c r="V152" i="3"/>
  <c r="P794" i="3"/>
  <c r="P1029" i="3"/>
  <c r="P753" i="3"/>
  <c r="Q753" i="3"/>
  <c r="V565" i="3"/>
  <c r="V57" i="3"/>
  <c r="P904" i="5"/>
  <c r="Q904" i="5"/>
  <c r="Q856" i="5"/>
  <c r="P856" i="5"/>
  <c r="V240" i="3"/>
  <c r="P672" i="3"/>
  <c r="Q672" i="3"/>
  <c r="Q1137" i="3"/>
  <c r="P1137" i="3"/>
  <c r="Q939" i="3"/>
  <c r="P939" i="3"/>
  <c r="P1127" i="3"/>
  <c r="Q1127" i="3"/>
  <c r="V581" i="3"/>
  <c r="V467" i="3"/>
  <c r="Q996" i="5"/>
  <c r="Q1200" i="5"/>
  <c r="P1200" i="5"/>
  <c r="Q984" i="3"/>
  <c r="V516" i="3"/>
  <c r="V250" i="3"/>
  <c r="P691" i="3"/>
  <c r="P748" i="3"/>
  <c r="Q748" i="3"/>
  <c r="P1148" i="3"/>
  <c r="Q1148" i="3"/>
  <c r="P727" i="3"/>
  <c r="Q727" i="3"/>
  <c r="P1184" i="3"/>
  <c r="Q1184" i="3"/>
  <c r="Q794" i="3"/>
  <c r="P700" i="3"/>
  <c r="P880" i="5"/>
  <c r="P896" i="5"/>
  <c r="P875" i="5"/>
  <c r="V140" i="3"/>
  <c r="Q1202" i="3"/>
  <c r="Q1105" i="3"/>
  <c r="P831" i="3"/>
  <c r="P957" i="3"/>
  <c r="T448" i="3"/>
  <c r="P888" i="5"/>
  <c r="V73" i="3"/>
  <c r="T601" i="3"/>
  <c r="Q1219" i="5"/>
  <c r="V192" i="3"/>
  <c r="P1192" i="5"/>
  <c r="Q812" i="3"/>
  <c r="P812" i="3"/>
  <c r="P648" i="3"/>
  <c r="Q648" i="3"/>
  <c r="V10" i="3"/>
  <c r="V320" i="3"/>
  <c r="T320" i="3"/>
  <c r="T36" i="3"/>
  <c r="V329" i="3"/>
  <c r="V533" i="3"/>
  <c r="V580" i="3"/>
  <c r="Q1179" i="5"/>
  <c r="P1179" i="5"/>
  <c r="V39" i="3"/>
  <c r="P1016" i="3"/>
  <c r="Q1016" i="3"/>
  <c r="V456" i="3"/>
  <c r="Q933" i="3"/>
  <c r="V251" i="3"/>
  <c r="P1085" i="3"/>
  <c r="Q1085" i="3"/>
  <c r="P910" i="3"/>
  <c r="Q808" i="5"/>
  <c r="P808" i="5"/>
  <c r="P1176" i="5"/>
  <c r="Q1176" i="5"/>
  <c r="P1068" i="3"/>
  <c r="Q1068" i="3"/>
  <c r="P1115" i="3"/>
  <c r="Q1115" i="3"/>
  <c r="V99" i="3"/>
  <c r="V18" i="3"/>
  <c r="P675" i="3"/>
  <c r="Q675" i="3"/>
  <c r="P945" i="3"/>
  <c r="Q945" i="3"/>
  <c r="V504" i="3"/>
  <c r="Q750" i="3"/>
  <c r="Q696" i="5"/>
  <c r="V89" i="3"/>
  <c r="P943" i="3"/>
  <c r="P1201" i="3"/>
  <c r="P952" i="5"/>
  <c r="P917" i="3"/>
  <c r="Q761" i="3"/>
  <c r="Q776" i="3"/>
  <c r="V221" i="3"/>
  <c r="P659" i="3"/>
  <c r="Q1178" i="3"/>
  <c r="Q1069" i="3"/>
  <c r="P709" i="3"/>
  <c r="T138" i="3"/>
  <c r="Q1136" i="5"/>
  <c r="Q840" i="5"/>
  <c r="P840" i="5"/>
  <c r="P787" i="3"/>
  <c r="Q787" i="3"/>
  <c r="V455" i="3"/>
  <c r="V279" i="3"/>
  <c r="P784" i="5"/>
  <c r="Q784" i="5"/>
  <c r="V480" i="3"/>
  <c r="P971" i="3"/>
  <c r="P1072" i="3"/>
  <c r="V530" i="3"/>
  <c r="Q920" i="3"/>
  <c r="P920" i="3"/>
  <c r="Q927" i="3"/>
  <c r="V218" i="3"/>
  <c r="T268" i="3"/>
  <c r="V268" i="3"/>
  <c r="V347" i="3"/>
  <c r="T347" i="3"/>
  <c r="P1133" i="3"/>
  <c r="Q1133" i="3"/>
  <c r="T240" i="3"/>
  <c r="P965" i="3"/>
  <c r="P1160" i="5"/>
  <c r="V309" i="3"/>
  <c r="P836" i="5"/>
  <c r="Q836" i="5"/>
  <c r="Q689" i="3"/>
  <c r="P689" i="3"/>
  <c r="P896" i="3"/>
  <c r="Q896" i="3"/>
  <c r="Q1107" i="3"/>
  <c r="P1107" i="3"/>
  <c r="P745" i="3"/>
  <c r="Q745" i="3"/>
  <c r="Q720" i="5"/>
  <c r="P720" i="5"/>
  <c r="P688" i="5"/>
  <c r="Q688" i="5"/>
  <c r="T333" i="3"/>
  <c r="V200" i="3"/>
  <c r="V29" i="3"/>
  <c r="V45" i="3"/>
  <c r="V449" i="3"/>
  <c r="P756" i="3"/>
  <c r="P1224" i="5"/>
  <c r="P722" i="3"/>
  <c r="V531" i="3"/>
  <c r="Q699" i="5"/>
  <c r="Q1029" i="3"/>
  <c r="P833" i="3"/>
  <c r="P792" i="5"/>
  <c r="Q808" i="3"/>
  <c r="Q1061" i="3"/>
  <c r="Q1065" i="3"/>
  <c r="T526" i="3"/>
  <c r="Q824" i="5"/>
  <c r="P1184" i="5"/>
  <c r="P992" i="5"/>
  <c r="V421" i="3"/>
  <c r="Q1168" i="3"/>
  <c r="P1180" i="3"/>
  <c r="P744" i="3"/>
  <c r="Q1232" i="5"/>
  <c r="V79" i="3"/>
  <c r="T403" i="3"/>
  <c r="P634" i="3"/>
  <c r="V156" i="3"/>
  <c r="Q1123" i="3"/>
  <c r="P904" i="3"/>
  <c r="Q904" i="3"/>
  <c r="Q799" i="3"/>
  <c r="Q1219" i="3"/>
  <c r="Q813" i="3"/>
  <c r="V131" i="3"/>
  <c r="Q1230" i="3"/>
  <c r="P788" i="3"/>
  <c r="Q631" i="3"/>
  <c r="P1130" i="3"/>
  <c r="Q669" i="3"/>
  <c r="Q1144" i="5"/>
  <c r="V440" i="3"/>
  <c r="V547" i="3"/>
  <c r="V356" i="3"/>
  <c r="Q1076" i="5"/>
  <c r="V396" i="3"/>
  <c r="P728" i="5"/>
  <c r="V47" i="3"/>
  <c r="V80" i="3"/>
  <c r="P840" i="3"/>
  <c r="V20" i="3"/>
  <c r="P1172" i="5"/>
  <c r="V491" i="3"/>
  <c r="V508" i="3"/>
  <c r="Q732" i="3"/>
  <c r="P732" i="3"/>
  <c r="P1228" i="5"/>
  <c r="Q683" i="5"/>
  <c r="V247" i="3"/>
  <c r="P1139" i="3"/>
  <c r="Q1210" i="3"/>
  <c r="V323" i="3"/>
  <c r="Q923" i="5"/>
  <c r="T412" i="3"/>
  <c r="T620" i="3"/>
  <c r="V322" i="3"/>
  <c r="Q827" i="5"/>
  <c r="T514" i="3"/>
  <c r="V481" i="3"/>
  <c r="Q1012" i="5"/>
  <c r="Q1020" i="5"/>
  <c r="V561" i="3"/>
  <c r="V369" i="3"/>
  <c r="Q1197" i="5"/>
  <c r="V190" i="3"/>
  <c r="V276" i="3"/>
  <c r="P1212" i="5"/>
  <c r="V286" i="3"/>
  <c r="P661" i="3"/>
  <c r="V430" i="3"/>
  <c r="P644" i="3"/>
  <c r="Q708" i="5"/>
  <c r="Q928" i="5"/>
  <c r="P928" i="5"/>
  <c r="T211" i="3"/>
  <c r="Q872" i="5"/>
  <c r="V540" i="3"/>
  <c r="V596" i="3"/>
  <c r="P966" i="5"/>
  <c r="Q801" i="3"/>
  <c r="P801" i="3"/>
  <c r="Q976" i="5"/>
  <c r="V74" i="3"/>
  <c r="V319" i="3"/>
  <c r="Q765" i="3"/>
  <c r="V243" i="3"/>
  <c r="P1188" i="5"/>
  <c r="P739" i="3"/>
  <c r="P999" i="3"/>
  <c r="Q1204" i="5"/>
  <c r="V368" i="3"/>
  <c r="T487" i="3"/>
  <c r="V316" i="3"/>
  <c r="Q884" i="3"/>
  <c r="Q698" i="3"/>
  <c r="P757" i="3"/>
  <c r="V589" i="3"/>
  <c r="Q1068" i="5"/>
  <c r="Q1043" i="5"/>
  <c r="T274" i="3"/>
  <c r="V274" i="3"/>
  <c r="Q875" i="5"/>
  <c r="Q724" i="5"/>
  <c r="P859" i="5"/>
  <c r="Q873" i="3"/>
  <c r="P873" i="3"/>
  <c r="Q695" i="3"/>
  <c r="Q952" i="5"/>
  <c r="Q846" i="3"/>
  <c r="P1161" i="3"/>
  <c r="P752" i="5"/>
  <c r="Q649" i="3"/>
  <c r="Q1088" i="3"/>
  <c r="Q1102" i="3"/>
  <c r="Q776" i="5"/>
  <c r="Q920" i="5"/>
  <c r="P1219" i="5"/>
  <c r="V296" i="3"/>
  <c r="V211" i="3"/>
  <c r="V401" i="3"/>
  <c r="Q1060" i="5"/>
  <c r="Q987" i="5"/>
  <c r="V605" i="3"/>
  <c r="Q932" i="3"/>
  <c r="T562" i="3"/>
  <c r="V210" i="3"/>
  <c r="V173" i="3"/>
  <c r="V162" i="3"/>
  <c r="V13" i="3"/>
  <c r="P1028" i="5"/>
  <c r="Q994" i="5"/>
  <c r="Q691" i="5"/>
  <c r="V482" i="3"/>
  <c r="Q1075" i="5"/>
  <c r="P1075" i="5"/>
  <c r="T154" i="3"/>
  <c r="V189" i="3"/>
  <c r="Q1196" i="5"/>
  <c r="T148" i="3"/>
  <c r="V97" i="3"/>
  <c r="P1159" i="3"/>
  <c r="P1043" i="5"/>
  <c r="Q880" i="5"/>
  <c r="P692" i="5"/>
  <c r="Q1220" i="5"/>
  <c r="P1084" i="5"/>
  <c r="Q670" i="5"/>
  <c r="Q1074" i="3"/>
  <c r="V337" i="3"/>
  <c r="T306" i="3"/>
  <c r="V348" i="3"/>
  <c r="V618" i="3"/>
  <c r="T282" i="3"/>
  <c r="Q738" i="3"/>
  <c r="Q1024" i="5"/>
  <c r="V239" i="3"/>
  <c r="V143" i="3"/>
  <c r="P852" i="5"/>
  <c r="Q669" i="5"/>
  <c r="Q906" i="5"/>
  <c r="P1100" i="5"/>
  <c r="P982" i="5"/>
  <c r="P819" i="5"/>
  <c r="P636" i="3"/>
  <c r="T24" i="3"/>
  <c r="Q719" i="3"/>
  <c r="T146" i="3"/>
  <c r="T515" i="3"/>
  <c r="T116" i="3"/>
  <c r="Q820" i="3"/>
  <c r="Q1052" i="3"/>
  <c r="P931" i="3"/>
  <c r="V542" i="3"/>
  <c r="T472" i="3"/>
  <c r="T195" i="3"/>
  <c r="P676" i="3"/>
  <c r="Q1028" i="3"/>
  <c r="Q1187" i="3"/>
  <c r="T50" i="3"/>
  <c r="T362" i="3"/>
  <c r="V128" i="3"/>
  <c r="Q1220" i="3"/>
  <c r="P1004" i="5"/>
  <c r="Q772" i="5"/>
  <c r="P1108" i="5"/>
  <c r="Q716" i="5"/>
  <c r="Q686" i="5"/>
  <c r="Q851" i="5"/>
  <c r="P715" i="5"/>
  <c r="P1186" i="3"/>
  <c r="Q835" i="3"/>
  <c r="V141" i="3"/>
  <c r="V324" i="3"/>
  <c r="V317" i="3"/>
  <c r="V321" i="3"/>
  <c r="V98" i="3"/>
  <c r="P1011" i="3"/>
  <c r="V35" i="3"/>
  <c r="V453" i="3"/>
  <c r="V19" i="3"/>
  <c r="V207" i="3"/>
  <c r="V100" i="3"/>
  <c r="V51" i="3"/>
  <c r="V205" i="3"/>
  <c r="V413" i="3"/>
  <c r="V193" i="3"/>
  <c r="Q1101" i="5"/>
  <c r="P1124" i="5"/>
  <c r="Q972" i="5"/>
  <c r="Q1164" i="5"/>
  <c r="P764" i="5"/>
  <c r="P822" i="5"/>
  <c r="P1035" i="5"/>
  <c r="P1059" i="5"/>
  <c r="P891" i="5"/>
  <c r="Q1163" i="5"/>
  <c r="Q937" i="3"/>
  <c r="Q735" i="3"/>
  <c r="P650" i="3"/>
  <c r="V475" i="3"/>
  <c r="V336" i="3"/>
  <c r="V385" i="3"/>
  <c r="V197" i="3"/>
  <c r="V383" i="3"/>
  <c r="V49" i="3"/>
  <c r="V83" i="3"/>
  <c r="Q988" i="5"/>
  <c r="Q780" i="5"/>
  <c r="Q835" i="5"/>
  <c r="Q1195" i="5"/>
  <c r="V206" i="3"/>
  <c r="Q682" i="3"/>
  <c r="V433" i="3"/>
  <c r="V490" i="3"/>
  <c r="T490" i="3"/>
  <c r="P928" i="3"/>
  <c r="Q928" i="3"/>
  <c r="V611" i="3"/>
  <c r="T611" i="3"/>
  <c r="V513" i="3"/>
  <c r="Q1122" i="3"/>
  <c r="V216" i="3"/>
  <c r="Q1183" i="3"/>
  <c r="P1183" i="3"/>
  <c r="P1194" i="3"/>
  <c r="Q1194" i="3"/>
  <c r="T222" i="3"/>
  <c r="P883" i="3"/>
  <c r="Q883" i="3"/>
  <c r="Q647" i="3"/>
  <c r="Q677" i="3"/>
  <c r="T489" i="3"/>
  <c r="V291" i="3"/>
  <c r="P704" i="3"/>
  <c r="V569" i="3"/>
  <c r="P762" i="3"/>
  <c r="Q953" i="3"/>
  <c r="T527" i="3"/>
  <c r="P819" i="3"/>
  <c r="Q819" i="3"/>
  <c r="T304" i="3"/>
  <c r="V304" i="3"/>
  <c r="P1149" i="3"/>
  <c r="Q691" i="3"/>
  <c r="V471" i="3"/>
  <c r="Q890" i="3"/>
  <c r="P890" i="3"/>
  <c r="Q1012" i="3"/>
  <c r="Q768" i="3"/>
  <c r="P768" i="3"/>
  <c r="Q963" i="3"/>
  <c r="T334" i="3"/>
  <c r="V370" i="3"/>
  <c r="T370" i="3"/>
  <c r="P857" i="3"/>
  <c r="Q857" i="3"/>
  <c r="V407" i="3"/>
  <c r="P990" i="3"/>
  <c r="Q990" i="3"/>
  <c r="Q973" i="3"/>
  <c r="P973" i="3"/>
  <c r="P1156" i="3"/>
  <c r="Q1156" i="3"/>
  <c r="V258" i="3"/>
  <c r="V393" i="3"/>
  <c r="P988" i="3"/>
  <c r="Q988" i="3"/>
  <c r="T494" i="3"/>
  <c r="V494" i="3"/>
  <c r="V415" i="3"/>
  <c r="T415" i="3"/>
  <c r="V558" i="3"/>
  <c r="Q1075" i="3"/>
  <c r="Q944" i="3"/>
  <c r="Q832" i="3"/>
  <c r="P832" i="3"/>
  <c r="V110" i="3"/>
  <c r="Q913" i="3"/>
  <c r="P913" i="3"/>
  <c r="V275" i="3"/>
  <c r="T275" i="3"/>
  <c r="V512" i="3"/>
  <c r="P961" i="3"/>
  <c r="Q961" i="3"/>
  <c r="Q1005" i="3"/>
  <c r="T202" i="3"/>
  <c r="V591" i="3"/>
  <c r="T295" i="3"/>
  <c r="V295" i="3"/>
  <c r="P861" i="3"/>
  <c r="Q1155" i="3"/>
  <c r="P1155" i="3"/>
  <c r="V44" i="3"/>
  <c r="P1097" i="3"/>
  <c r="Q1104" i="3"/>
  <c r="P818" i="3"/>
  <c r="Q818" i="3"/>
  <c r="Q1025" i="3"/>
  <c r="P1123" i="3"/>
  <c r="Q658" i="3"/>
  <c r="Q866" i="3"/>
  <c r="P1232" i="3"/>
  <c r="Q1232" i="3"/>
  <c r="Q685" i="3"/>
  <c r="Q718" i="3"/>
  <c r="P760" i="3"/>
  <c r="P967" i="3"/>
  <c r="Q967" i="3"/>
  <c r="P872" i="3"/>
  <c r="Q872" i="3"/>
  <c r="T559" i="3"/>
  <c r="T316" i="3"/>
  <c r="V599" i="3"/>
  <c r="T599" i="3"/>
  <c r="Q1204" i="3"/>
  <c r="P1204" i="3"/>
  <c r="V265" i="3"/>
  <c r="V92" i="3"/>
  <c r="Q1023" i="3"/>
  <c r="P887" i="3"/>
  <c r="V405" i="3"/>
  <c r="V101" i="3"/>
  <c r="V357" i="3"/>
  <c r="V223" i="3"/>
  <c r="V381" i="3"/>
  <c r="V477" i="3"/>
  <c r="V451" i="3"/>
  <c r="V500" i="3"/>
  <c r="P836" i="3"/>
  <c r="P991" i="3"/>
  <c r="Q994" i="3"/>
  <c r="T435" i="3"/>
  <c r="Q1010" i="3"/>
  <c r="P892" i="3"/>
  <c r="P629" i="3"/>
  <c r="V366" i="3"/>
  <c r="V50" i="3"/>
  <c r="P1087" i="3"/>
  <c r="P906" i="3"/>
  <c r="P1106" i="3"/>
  <c r="P664" i="3"/>
  <c r="V260" i="3"/>
  <c r="V483" i="3"/>
  <c r="V529" i="3"/>
  <c r="T545" i="3"/>
  <c r="Q1042" i="3"/>
  <c r="T196" i="3"/>
  <c r="T159" i="3"/>
  <c r="V394" i="3"/>
  <c r="T364" i="3"/>
  <c r="V167" i="3"/>
  <c r="T82" i="3"/>
  <c r="T451" i="3"/>
  <c r="T255" i="3"/>
  <c r="Q1165" i="3"/>
  <c r="T360" i="3"/>
  <c r="T67" i="3"/>
  <c r="V377" i="3"/>
  <c r="T500" i="3"/>
  <c r="T101" i="3"/>
  <c r="T35" i="3"/>
  <c r="V439" i="3"/>
  <c r="P1188" i="3"/>
  <c r="Q1011" i="3"/>
  <c r="T286" i="3"/>
  <c r="P1086" i="3"/>
  <c r="P900" i="3"/>
  <c r="T298" i="3"/>
  <c r="V378" i="3"/>
  <c r="V127" i="3"/>
  <c r="V562" i="3"/>
  <c r="V24" i="3"/>
  <c r="T324" i="3"/>
  <c r="V88" i="3"/>
  <c r="V577" i="3"/>
  <c r="V226" i="3"/>
  <c r="V578" i="3"/>
  <c r="V544" i="3"/>
  <c r="Q909" i="3"/>
  <c r="Q1140" i="3"/>
  <c r="V84" i="3"/>
  <c r="P996" i="3"/>
  <c r="P880" i="3"/>
  <c r="P800" i="3"/>
  <c r="P624" i="3"/>
  <c r="Q1095" i="3"/>
  <c r="V554" i="3"/>
  <c r="V146" i="3"/>
  <c r="V464" i="3"/>
  <c r="V626" i="3"/>
  <c r="P677" i="3"/>
  <c r="Q1017" i="3"/>
  <c r="P721" i="3"/>
  <c r="P1138" i="3"/>
  <c r="Q1096" i="3"/>
  <c r="P1187" i="3"/>
  <c r="Q1113" i="3"/>
  <c r="V257" i="3"/>
  <c r="T10" i="3"/>
  <c r="V446" i="3"/>
  <c r="V528" i="3"/>
  <c r="P696" i="3"/>
  <c r="Q931" i="3"/>
  <c r="P735" i="3"/>
  <c r="P1052" i="3"/>
  <c r="Q885" i="3"/>
  <c r="V78" i="3"/>
  <c r="V590" i="3"/>
  <c r="V576" i="3"/>
  <c r="P1144" i="3"/>
  <c r="Q889" i="3"/>
  <c r="Q1169" i="3"/>
  <c r="P835" i="3"/>
  <c r="V164" i="3"/>
  <c r="V273" i="3"/>
  <c r="V48" i="3"/>
  <c r="V288" i="3"/>
  <c r="V290" i="3"/>
  <c r="V466" i="3"/>
  <c r="P853" i="3"/>
  <c r="T128" i="3"/>
  <c r="P1135" i="3"/>
  <c r="V472" i="3"/>
  <c r="P1028" i="3"/>
  <c r="T542" i="3"/>
  <c r="Q1225" i="3"/>
  <c r="V305" i="3"/>
  <c r="V548" i="3"/>
  <c r="V306" i="3"/>
  <c r="T327" i="3"/>
  <c r="P1098" i="3"/>
  <c r="Q892" i="3"/>
  <c r="Q974" i="3"/>
  <c r="V196" i="3"/>
  <c r="V53" i="3"/>
  <c r="V259" i="3"/>
  <c r="V445" i="3"/>
  <c r="V579" i="3"/>
  <c r="V419" i="3"/>
  <c r="T129" i="3"/>
  <c r="T28" i="3"/>
  <c r="P946" i="3"/>
  <c r="Q803" i="3"/>
  <c r="T521" i="3"/>
  <c r="T63" i="3"/>
  <c r="P746" i="3"/>
  <c r="T204" i="3"/>
  <c r="T386" i="3"/>
  <c r="P653" i="3"/>
  <c r="Q1080" i="3"/>
  <c r="T371" i="3"/>
  <c r="T212" i="3"/>
  <c r="P905" i="3"/>
  <c r="T516" i="3"/>
  <c r="T117" i="3"/>
  <c r="P844" i="3"/>
  <c r="V567" i="3"/>
  <c r="V237" i="3"/>
  <c r="T200" i="3"/>
  <c r="P702" i="3"/>
  <c r="P1103" i="3"/>
  <c r="P810" i="3"/>
  <c r="T380" i="3"/>
  <c r="T594" i="3"/>
  <c r="V488" i="3"/>
  <c r="T99" i="3"/>
  <c r="T46" i="3"/>
  <c r="P958" i="3"/>
  <c r="T57" i="3"/>
  <c r="Q1081" i="3"/>
  <c r="T420" i="3"/>
  <c r="T399" i="3"/>
  <c r="T250" i="3"/>
  <c r="T597" i="3"/>
  <c r="Q1013" i="3"/>
  <c r="V178" i="3"/>
  <c r="V270" i="3"/>
  <c r="V386" i="3"/>
  <c r="V300" i="3"/>
  <c r="V338" i="3"/>
  <c r="V298" i="3"/>
  <c r="V302" i="3"/>
  <c r="V410" i="3"/>
  <c r="V532" i="3"/>
  <c r="V429" i="3"/>
  <c r="V266" i="3"/>
  <c r="V169" i="3"/>
  <c r="V602" i="3"/>
  <c r="V564" i="3"/>
  <c r="V493" i="3"/>
  <c r="V436" i="3"/>
  <c r="V364" i="3"/>
  <c r="V442" i="3"/>
  <c r="V426" i="3"/>
  <c r="V563" i="3"/>
  <c r="V417" i="3"/>
  <c r="V509" i="3"/>
  <c r="V362" i="3"/>
  <c r="V271" i="3"/>
  <c r="T271" i="3"/>
  <c r="Q925" i="3"/>
  <c r="P925" i="3"/>
  <c r="V234" i="3"/>
  <c r="T234" i="3"/>
  <c r="Q697" i="3"/>
  <c r="P697" i="3"/>
  <c r="V594" i="3"/>
  <c r="Q729" i="3"/>
  <c r="P729" i="3"/>
  <c r="P1082" i="3"/>
  <c r="Q1082" i="3"/>
  <c r="V105" i="3"/>
  <c r="Q1048" i="3"/>
  <c r="P1048" i="3"/>
  <c r="P1119" i="3"/>
  <c r="V58" i="3"/>
  <c r="P642" i="3"/>
  <c r="Q642" i="3"/>
  <c r="P1176" i="3"/>
  <c r="Q634" i="3"/>
  <c r="V63" i="3"/>
  <c r="Q850" i="3"/>
  <c r="P850" i="3"/>
  <c r="T498" i="3"/>
  <c r="V498" i="3"/>
  <c r="Q1032" i="3"/>
  <c r="P1032" i="3"/>
  <c r="V183" i="3"/>
  <c r="Q1224" i="3"/>
  <c r="P814" i="3"/>
  <c r="Q814" i="3"/>
  <c r="V126" i="3"/>
  <c r="T409" i="3"/>
  <c r="V114" i="3"/>
  <c r="Q628" i="3"/>
  <c r="Q837" i="3"/>
  <c r="Q893" i="3"/>
  <c r="Q900" i="3"/>
  <c r="T493" i="3"/>
  <c r="Q911" i="3"/>
  <c r="Q1119" i="3"/>
  <c r="Q905" i="3"/>
  <c r="Q1018" i="3"/>
  <c r="P1157" i="3"/>
  <c r="P1224" i="3"/>
  <c r="P772" i="3"/>
  <c r="P685" i="3"/>
  <c r="T361" i="3"/>
  <c r="Q828" i="3"/>
  <c r="T537" i="3"/>
  <c r="V42" i="3"/>
  <c r="V600" i="3"/>
  <c r="T314" i="3"/>
  <c r="V314" i="3"/>
  <c r="V71" i="3"/>
  <c r="T71" i="3"/>
  <c r="V311" i="3"/>
  <c r="T311" i="3"/>
  <c r="Q1108" i="3"/>
  <c r="P1108" i="3"/>
  <c r="Q706" i="3"/>
  <c r="P706" i="3"/>
  <c r="Q810" i="3"/>
  <c r="Q1221" i="3"/>
  <c r="P1221" i="3"/>
  <c r="V87" i="3"/>
  <c r="P1112" i="3"/>
  <c r="Q1112" i="3"/>
  <c r="V586" i="3"/>
  <c r="T586" i="3"/>
  <c r="V153" i="3"/>
  <c r="P851" i="3"/>
  <c r="Q851" i="3"/>
  <c r="Q826" i="3"/>
  <c r="P826" i="3"/>
  <c r="V610" i="3"/>
  <c r="T610" i="3"/>
  <c r="P1208" i="3"/>
  <c r="P932" i="3"/>
  <c r="T94" i="3"/>
  <c r="P682" i="3"/>
  <c r="Q653" i="3"/>
  <c r="V117" i="3"/>
  <c r="V62" i="3"/>
  <c r="T201" i="3"/>
  <c r="Q921" i="3"/>
  <c r="P1192" i="3"/>
  <c r="Q1192" i="3"/>
  <c r="Q1007" i="3"/>
  <c r="P1007" i="3"/>
  <c r="Q754" i="3"/>
  <c r="V233" i="3"/>
  <c r="Q1118" i="3"/>
  <c r="P1118" i="3"/>
  <c r="Q1139" i="3"/>
  <c r="T532" i="3"/>
  <c r="P724" i="3"/>
  <c r="V186" i="3"/>
  <c r="Q1103" i="3"/>
  <c r="P612" i="3"/>
  <c r="P984" i="3"/>
  <c r="T258" i="3"/>
  <c r="V514" i="3"/>
  <c r="Q702" i="3"/>
  <c r="Q805" i="3"/>
  <c r="P994" i="3"/>
  <c r="Q951" i="3"/>
  <c r="P948" i="3"/>
  <c r="P687" i="3"/>
  <c r="Q844" i="3"/>
  <c r="P1058" i="3"/>
  <c r="V423" i="3"/>
  <c r="V318" i="3"/>
  <c r="T252" i="3"/>
  <c r="V252" i="3"/>
  <c r="T137" i="3"/>
  <c r="V137" i="3"/>
  <c r="V157" i="3"/>
  <c r="P804" i="3"/>
  <c r="Q804" i="3"/>
  <c r="P930" i="3"/>
  <c r="Q930" i="3"/>
  <c r="Q842" i="3"/>
  <c r="P842" i="3"/>
  <c r="T388" i="3"/>
  <c r="V380" i="3"/>
  <c r="Q908" i="3"/>
  <c r="T458" i="3"/>
  <c r="Q915" i="3"/>
  <c r="V346" i="3"/>
  <c r="V165" i="3"/>
  <c r="P718" i="3"/>
  <c r="Q760" i="3"/>
  <c r="Q852" i="3"/>
  <c r="T270" i="3"/>
  <c r="Q1149" i="3"/>
  <c r="T564" i="3"/>
  <c r="V232" i="3"/>
  <c r="Q1093" i="3"/>
  <c r="V345" i="3"/>
  <c r="P1042" i="3"/>
  <c r="Q749" i="3"/>
  <c r="P1125" i="3"/>
  <c r="Q1197" i="3"/>
  <c r="V360" i="3"/>
  <c r="Q757" i="3"/>
  <c r="Q645" i="3"/>
  <c r="P645" i="3"/>
  <c r="P741" i="3"/>
  <c r="Q741" i="3"/>
  <c r="P1092" i="3"/>
  <c r="Q1092" i="3"/>
  <c r="P1013" i="3"/>
  <c r="Q1054" i="3"/>
  <c r="Q1208" i="3"/>
  <c r="Q1176" i="3"/>
  <c r="Q958" i="3"/>
  <c r="P1010" i="3"/>
  <c r="Q949" i="3"/>
  <c r="P698" i="3"/>
  <c r="P733" i="3"/>
  <c r="P792" i="3"/>
  <c r="P803" i="3"/>
  <c r="T488" i="3"/>
  <c r="T450" i="3"/>
  <c r="V492" i="3"/>
  <c r="T184" i="3"/>
  <c r="V184" i="3"/>
  <c r="V371" i="3"/>
  <c r="P1039" i="3"/>
  <c r="P1160" i="3"/>
  <c r="P868" i="3"/>
  <c r="Q868" i="3"/>
  <c r="V46" i="3"/>
  <c r="Q762" i="3"/>
  <c r="Q858" i="3"/>
  <c r="P858" i="3"/>
  <c r="V615" i="3"/>
  <c r="Q856" i="3"/>
  <c r="P1059" i="3"/>
  <c r="Q1059" i="3"/>
  <c r="V617" i="3"/>
  <c r="V434" i="3"/>
  <c r="V373" i="3"/>
  <c r="V355" i="3"/>
  <c r="P1218" i="3"/>
  <c r="Q1218" i="3"/>
  <c r="Q922" i="3"/>
  <c r="P922" i="3"/>
  <c r="P743" i="3"/>
  <c r="Q743" i="3"/>
  <c r="P888" i="3"/>
  <c r="V82" i="3"/>
  <c r="V136" i="3"/>
  <c r="T136" i="3"/>
  <c r="Q964" i="3"/>
  <c r="P964" i="3"/>
  <c r="Q789" i="3"/>
  <c r="P789" i="3"/>
  <c r="V217" i="3"/>
  <c r="T602" i="3"/>
  <c r="P797" i="3"/>
  <c r="Q797" i="3"/>
  <c r="Q1097" i="3"/>
  <c r="V60" i="3"/>
  <c r="Q751" i="3"/>
  <c r="Q1086" i="3"/>
  <c r="P754" i="3"/>
  <c r="V14" i="3"/>
  <c r="T14" i="3"/>
  <c r="V402" i="3"/>
  <c r="T402" i="3"/>
  <c r="V420" i="3"/>
  <c r="V28" i="3"/>
  <c r="Q1177" i="3"/>
  <c r="P1177" i="3"/>
  <c r="P954" i="3"/>
  <c r="Q954" i="3"/>
  <c r="V403" i="3"/>
  <c r="V129" i="3"/>
  <c r="Q978" i="3"/>
  <c r="P953" i="3"/>
  <c r="Q861" i="3"/>
  <c r="P778" i="3"/>
  <c r="Q1182" i="3"/>
  <c r="P1182" i="3"/>
  <c r="P986" i="3"/>
  <c r="T300" i="3"/>
  <c r="V158" i="3"/>
  <c r="V543" i="3"/>
  <c r="Q773" i="3"/>
  <c r="P773" i="3"/>
  <c r="Q777" i="3"/>
  <c r="P777" i="3"/>
  <c r="Q661" i="3"/>
  <c r="Q1125" i="3"/>
  <c r="V425" i="3"/>
  <c r="T425" i="3"/>
  <c r="T328" i="3"/>
  <c r="P1002" i="3"/>
  <c r="Q1002" i="3"/>
  <c r="P1229" i="3"/>
  <c r="P969" i="3"/>
  <c r="Q969" i="3"/>
  <c r="T621" i="3"/>
  <c r="V621" i="3"/>
  <c r="P975" i="3"/>
  <c r="Q975" i="3"/>
  <c r="Q714" i="3"/>
  <c r="Q947" i="3"/>
  <c r="P947" i="3"/>
  <c r="Q781" i="3"/>
  <c r="P781" i="3"/>
  <c r="P825" i="3"/>
  <c r="Q825" i="3"/>
  <c r="V212" i="3"/>
  <c r="V204" i="3"/>
  <c r="Q1045" i="3"/>
  <c r="P1045" i="3"/>
  <c r="V597" i="3"/>
  <c r="P1109" i="3"/>
  <c r="Q1109" i="3"/>
  <c r="Q836" i="3"/>
  <c r="T332" i="3"/>
  <c r="P915" i="3"/>
  <c r="P1080" i="3"/>
  <c r="V312" i="3"/>
  <c r="P1001" i="3"/>
  <c r="P924" i="3"/>
  <c r="Q924" i="3"/>
  <c r="P824" i="3"/>
  <c r="V495" i="3"/>
  <c r="Q943" i="3"/>
  <c r="P874" i="3"/>
  <c r="P884" i="3"/>
  <c r="Q660" i="3"/>
  <c r="P660" i="3"/>
  <c r="Q1039" i="3"/>
  <c r="T313" i="3"/>
  <c r="V149" i="3"/>
  <c r="V242" i="3"/>
  <c r="V90" i="3"/>
  <c r="P633" i="3"/>
  <c r="Q1229" i="3"/>
  <c r="P809" i="3"/>
  <c r="P1071" i="3"/>
  <c r="P1012" i="3"/>
  <c r="V34" i="3"/>
  <c r="Q1160" i="3"/>
  <c r="Q1001" i="3"/>
  <c r="Q1188" i="3"/>
  <c r="Q1015" i="3"/>
  <c r="V351" i="3"/>
  <c r="V376" i="3"/>
  <c r="V382" i="3"/>
  <c r="P852" i="3"/>
  <c r="Q633" i="3"/>
  <c r="Q946" i="3"/>
  <c r="P978" i="3"/>
  <c r="Q746" i="3"/>
  <c r="P921" i="3"/>
  <c r="P1079" i="3"/>
  <c r="T567" i="3"/>
  <c r="V463" i="3"/>
  <c r="V510" i="3"/>
  <c r="Q1205" i="3"/>
  <c r="Q1071" i="3"/>
  <c r="V301" i="3"/>
  <c r="P1017" i="3"/>
  <c r="P766" i="3"/>
  <c r="P714" i="3"/>
  <c r="P1140" i="3"/>
  <c r="Q734" i="3"/>
  <c r="P889" i="3"/>
  <c r="V213" i="3"/>
  <c r="V67" i="3"/>
  <c r="V431" i="3"/>
  <c r="V388" i="3"/>
  <c r="V521" i="3"/>
  <c r="Q996" i="3"/>
  <c r="Q995" i="3"/>
  <c r="Q696" i="3"/>
  <c r="P719" i="3"/>
  <c r="Q632" i="3"/>
  <c r="V620" i="3"/>
  <c r="V116" i="3"/>
  <c r="V229" i="3"/>
  <c r="V485" i="3"/>
  <c r="V387" i="3"/>
  <c r="V527" i="3"/>
  <c r="V349" i="3"/>
  <c r="V399" i="3"/>
  <c r="V181" i="3"/>
  <c r="V249" i="3"/>
  <c r="Q1066" i="3"/>
  <c r="Q1223" i="3"/>
  <c r="P894" i="3"/>
  <c r="T169" i="3"/>
  <c r="V499" i="3"/>
  <c r="V245" i="3"/>
  <c r="V269" i="3"/>
  <c r="V330" i="3"/>
  <c r="V255" i="3"/>
  <c r="V575" i="3"/>
  <c r="V147" i="3"/>
  <c r="V154" i="3"/>
  <c r="Q665" i="3"/>
  <c r="V30" i="3"/>
  <c r="V148" i="3"/>
  <c r="V261" i="3"/>
  <c r="V559" i="3"/>
  <c r="V303" i="3"/>
  <c r="P1146" i="3"/>
  <c r="V545" i="3"/>
  <c r="Q809" i="3"/>
  <c r="V277" i="3"/>
  <c r="V333" i="3"/>
  <c r="V93" i="3"/>
  <c r="V68" i="3"/>
  <c r="Q1144" i="3"/>
  <c r="T254" i="3"/>
  <c r="V180" i="3"/>
  <c r="V293" i="3"/>
  <c r="V549" i="3"/>
  <c r="V195" i="3"/>
  <c r="V95" i="3"/>
  <c r="V339" i="3"/>
  <c r="V461" i="3"/>
  <c r="V768" i="5"/>
  <c r="V672" i="5"/>
  <c r="T712" i="5"/>
  <c r="V712" i="5"/>
  <c r="V648" i="5"/>
  <c r="V704" i="5"/>
  <c r="V1168" i="5"/>
  <c r="V784" i="5"/>
  <c r="V760" i="5"/>
  <c r="T1008" i="5"/>
  <c r="V936" i="5"/>
  <c r="T1128" i="5"/>
  <c r="T992" i="5"/>
  <c r="V1048" i="5"/>
  <c r="T880" i="5"/>
  <c r="V1032" i="5"/>
  <c r="T632" i="5"/>
  <c r="V1016" i="5"/>
  <c r="V800" i="5"/>
  <c r="T1064" i="5"/>
  <c r="T1032" i="5"/>
  <c r="T800" i="5"/>
  <c r="T872" i="5"/>
  <c r="V880" i="5"/>
  <c r="T864" i="5"/>
  <c r="V808" i="5"/>
  <c r="V944" i="5"/>
  <c r="T936" i="5"/>
  <c r="V992" i="5"/>
  <c r="T896" i="5"/>
  <c r="T840" i="5"/>
  <c r="T856" i="5"/>
  <c r="T1216" i="5"/>
  <c r="V707" i="5"/>
  <c r="V640" i="5"/>
  <c r="V1112" i="5"/>
  <c r="T744" i="5"/>
  <c r="T1168" i="5"/>
  <c r="T696" i="5"/>
  <c r="T728" i="5"/>
  <c r="T944" i="5"/>
  <c r="T784" i="5"/>
  <c r="T1000" i="5"/>
  <c r="T1080" i="5"/>
  <c r="T602" i="5"/>
  <c r="V1224" i="5"/>
  <c r="T888" i="5"/>
  <c r="T672" i="5"/>
  <c r="T1152" i="5"/>
  <c r="T952" i="5"/>
  <c r="T1160" i="5"/>
  <c r="V1096" i="5"/>
  <c r="V1144" i="5"/>
  <c r="V1216" i="5"/>
  <c r="T756" i="5"/>
  <c r="V816" i="5"/>
  <c r="T808" i="5"/>
  <c r="T1016" i="5"/>
  <c r="V1136" i="5"/>
  <c r="V792" i="5"/>
  <c r="T138" i="5"/>
  <c r="T1188" i="5"/>
  <c r="T760" i="5"/>
  <c r="V840" i="5"/>
  <c r="V856" i="5"/>
  <c r="V1128" i="5"/>
  <c r="V1088" i="5"/>
  <c r="T1144" i="5"/>
  <c r="T1120" i="5"/>
  <c r="V824" i="5"/>
  <c r="V736" i="5"/>
  <c r="T618" i="5"/>
  <c r="T960" i="5"/>
  <c r="T1088" i="5"/>
  <c r="T768" i="5"/>
  <c r="T1224" i="5"/>
  <c r="V888" i="5"/>
  <c r="V904" i="5"/>
  <c r="V1000" i="5"/>
  <c r="V720" i="5"/>
  <c r="T752" i="5"/>
  <c r="V928" i="5"/>
  <c r="T1056" i="5"/>
  <c r="V949" i="5"/>
  <c r="T904" i="5"/>
  <c r="V632" i="5"/>
  <c r="T1072" i="5"/>
  <c r="V952" i="5"/>
  <c r="T1104" i="5"/>
  <c r="V1152" i="5"/>
  <c r="V1008" i="5"/>
  <c r="V960" i="5"/>
  <c r="T824" i="5"/>
  <c r="V1080" i="5"/>
  <c r="V728" i="5"/>
  <c r="T656" i="5"/>
  <c r="T816" i="5"/>
  <c r="T330" i="5"/>
  <c r="V1056" i="5"/>
  <c r="V968" i="5"/>
  <c r="T640" i="5"/>
  <c r="V832" i="5"/>
  <c r="T635" i="5"/>
  <c r="V752" i="5"/>
  <c r="V1160" i="5"/>
  <c r="T832" i="5"/>
  <c r="V896" i="5"/>
  <c r="V1064" i="5"/>
  <c r="T968" i="5"/>
  <c r="T58" i="5"/>
  <c r="V696" i="5"/>
  <c r="T1048" i="5"/>
  <c r="V1072" i="5"/>
  <c r="T928" i="5"/>
  <c r="T704" i="5"/>
  <c r="V1184" i="5"/>
  <c r="T984" i="5"/>
  <c r="T1112" i="5"/>
  <c r="T776" i="5"/>
  <c r="T920" i="5"/>
  <c r="T1200" i="5"/>
  <c r="V912" i="5"/>
  <c r="V872" i="5"/>
  <c r="V1040" i="5"/>
  <c r="T1027" i="5"/>
  <c r="V864" i="5"/>
  <c r="T976" i="5"/>
  <c r="T1192" i="5"/>
  <c r="T1136" i="5"/>
  <c r="V744" i="5"/>
  <c r="V848" i="5"/>
  <c r="V976" i="5"/>
  <c r="V122" i="5"/>
  <c r="T1096" i="5"/>
  <c r="T912" i="5"/>
  <c r="V624" i="5"/>
  <c r="T688" i="5"/>
  <c r="T764" i="5"/>
  <c r="T720" i="5"/>
  <c r="T805" i="5"/>
  <c r="T1176" i="5"/>
  <c r="V1192" i="5"/>
  <c r="T1057" i="5"/>
  <c r="T1049" i="5"/>
  <c r="T703" i="5"/>
  <c r="T765" i="5"/>
  <c r="T783" i="5"/>
  <c r="T848" i="5"/>
  <c r="V1200" i="5"/>
  <c r="T1040" i="5"/>
  <c r="V984" i="5"/>
  <c r="T1184" i="5"/>
  <c r="V616" i="5"/>
  <c r="V506" i="5"/>
  <c r="V1104" i="5"/>
  <c r="V699" i="5"/>
  <c r="T711" i="5"/>
  <c r="V688" i="5"/>
  <c r="V1232" i="5"/>
  <c r="T731" i="5"/>
  <c r="T1155" i="5"/>
  <c r="V1208" i="5"/>
  <c r="T664" i="5"/>
  <c r="V779" i="5"/>
  <c r="V1024" i="5"/>
  <c r="T474" i="5"/>
  <c r="T792" i="5"/>
  <c r="V330" i="5"/>
  <c r="V920" i="5"/>
  <c r="T1208" i="5"/>
  <c r="V1027" i="5"/>
  <c r="V787" i="5"/>
  <c r="V397" i="5"/>
  <c r="V106" i="5"/>
  <c r="T274" i="5"/>
  <c r="V346" i="5"/>
  <c r="V979" i="5"/>
  <c r="T1139" i="5"/>
  <c r="T699" i="5"/>
  <c r="T675" i="5"/>
  <c r="T1091" i="5"/>
  <c r="T346" i="5"/>
  <c r="V776" i="5"/>
  <c r="T1187" i="5"/>
  <c r="V58" i="5"/>
  <c r="T988" i="5"/>
  <c r="V522" i="5"/>
  <c r="V683" i="5"/>
  <c r="V687" i="5"/>
  <c r="V186" i="5"/>
  <c r="V1176" i="5"/>
  <c r="T831" i="5"/>
  <c r="T933" i="5"/>
  <c r="V964" i="5"/>
  <c r="V916" i="5"/>
  <c r="V1175" i="5"/>
  <c r="T958" i="5"/>
  <c r="V1193" i="5"/>
  <c r="V1146" i="5"/>
  <c r="T971" i="5"/>
  <c r="T951" i="5"/>
  <c r="V1123" i="5"/>
  <c r="T860" i="5"/>
  <c r="T935" i="5"/>
  <c r="T1013" i="5"/>
  <c r="T796" i="5"/>
  <c r="V1163" i="5"/>
  <c r="V1003" i="5"/>
  <c r="T624" i="5"/>
  <c r="T1143" i="5"/>
  <c r="V1215" i="5"/>
  <c r="T186" i="5"/>
  <c r="T234" i="5"/>
  <c r="T1177" i="5"/>
  <c r="V1052" i="5"/>
  <c r="T989" i="5"/>
  <c r="V1183" i="5"/>
  <c r="T686" i="5"/>
  <c r="T1070" i="5"/>
  <c r="T1043" i="5"/>
  <c r="V715" i="5"/>
  <c r="V680" i="5"/>
  <c r="V1091" i="5"/>
  <c r="V889" i="5"/>
  <c r="T755" i="5"/>
  <c r="T1163" i="5"/>
  <c r="T970" i="5"/>
  <c r="T1194" i="5"/>
  <c r="T218" i="5"/>
  <c r="V514" i="5"/>
  <c r="T977" i="5"/>
  <c r="T1087" i="5"/>
  <c r="T1142" i="5"/>
  <c r="T723" i="5"/>
  <c r="T1024" i="5"/>
  <c r="V731" i="5"/>
  <c r="T873" i="5"/>
  <c r="T687" i="5"/>
  <c r="T1005" i="5"/>
  <c r="T899" i="5"/>
  <c r="T939" i="5"/>
  <c r="T823" i="5"/>
  <c r="T1179" i="5"/>
  <c r="T857" i="5"/>
  <c r="T946" i="5"/>
  <c r="T1232" i="5"/>
  <c r="T1147" i="5"/>
  <c r="V939" i="5"/>
  <c r="V1120" i="5"/>
  <c r="V843" i="5"/>
  <c r="T673" i="5"/>
  <c r="T854" i="5"/>
  <c r="V676" i="5"/>
  <c r="V917" i="5"/>
  <c r="T1114" i="5"/>
  <c r="T1078" i="5"/>
  <c r="V793" i="5"/>
  <c r="T522" i="5"/>
  <c r="V1161" i="5"/>
  <c r="T1170" i="5"/>
  <c r="T735" i="5"/>
  <c r="T770" i="5"/>
  <c r="V656" i="5"/>
  <c r="V947" i="5"/>
  <c r="V811" i="5"/>
  <c r="T926" i="5"/>
  <c r="T906" i="5"/>
  <c r="T716" i="5"/>
  <c r="V786" i="5"/>
  <c r="V755" i="5"/>
  <c r="T785" i="5"/>
  <c r="T683" i="5"/>
  <c r="V678" i="5"/>
  <c r="V971" i="5"/>
  <c r="V1135" i="5"/>
  <c r="V900" i="5"/>
  <c r="V973" i="5"/>
  <c r="V869" i="5"/>
  <c r="T861" i="5"/>
  <c r="T903" i="5"/>
  <c r="V1103" i="5"/>
  <c r="T1205" i="5"/>
  <c r="T774" i="5"/>
  <c r="T934" i="5"/>
  <c r="T643" i="5"/>
  <c r="T950" i="5"/>
  <c r="T710" i="5"/>
  <c r="T1106" i="5"/>
  <c r="V818" i="5"/>
  <c r="T626" i="5"/>
  <c r="T690" i="5"/>
  <c r="T1054" i="5"/>
  <c r="T1009" i="5"/>
  <c r="V1187" i="5"/>
  <c r="T1218" i="5"/>
  <c r="T1006" i="5"/>
  <c r="V474" i="5"/>
  <c r="T865" i="5"/>
  <c r="T983" i="5"/>
  <c r="T671" i="5"/>
  <c r="V729" i="5"/>
  <c r="V671" i="5"/>
  <c r="T616" i="5"/>
  <c r="T1123" i="5"/>
  <c r="T897" i="5"/>
  <c r="V990" i="5"/>
  <c r="T721" i="5"/>
  <c r="T1209" i="5"/>
  <c r="T914" i="5"/>
  <c r="T1191" i="5"/>
  <c r="T722" i="5"/>
  <c r="V677" i="5"/>
  <c r="T1167" i="5"/>
  <c r="T1164" i="5"/>
  <c r="T961" i="5"/>
  <c r="V963" i="5"/>
  <c r="T668" i="5"/>
  <c r="T846" i="5"/>
  <c r="T1129" i="5"/>
  <c r="T942" i="5"/>
  <c r="V1035" i="5"/>
  <c r="T1195" i="5"/>
  <c r="T758" i="5"/>
  <c r="T881" i="5"/>
  <c r="T778" i="5"/>
  <c r="T930" i="5"/>
  <c r="V985" i="5"/>
  <c r="T787" i="5"/>
  <c r="T748" i="5"/>
  <c r="T689" i="5"/>
  <c r="T1185" i="5"/>
  <c r="T1166" i="5"/>
  <c r="T737" i="5"/>
  <c r="T780" i="5"/>
  <c r="T828" i="5"/>
  <c r="T895" i="5"/>
  <c r="T1010" i="5"/>
  <c r="T725" i="5"/>
  <c r="T917" i="5"/>
  <c r="V1093" i="5"/>
  <c r="T1180" i="5"/>
  <c r="T773" i="5"/>
  <c r="V804" i="5"/>
  <c r="T1109" i="5"/>
  <c r="T1019" i="5"/>
  <c r="T772" i="5"/>
  <c r="T922" i="5"/>
  <c r="T834" i="5"/>
  <c r="V799" i="5"/>
  <c r="T998" i="5"/>
  <c r="T782" i="5"/>
  <c r="T835" i="5"/>
  <c r="V1203" i="5"/>
  <c r="T1095" i="5"/>
  <c r="V814" i="5"/>
  <c r="T941" i="5"/>
  <c r="T1158" i="5"/>
  <c r="T739" i="5"/>
  <c r="T810" i="5"/>
  <c r="T870" i="5"/>
  <c r="T1014" i="5"/>
  <c r="T921" i="5"/>
  <c r="V1154" i="5"/>
  <c r="T682" i="5"/>
  <c r="T1186" i="5"/>
  <c r="T775" i="5"/>
  <c r="V940" i="5"/>
  <c r="T882" i="5"/>
  <c r="T701" i="5"/>
  <c r="T911" i="5"/>
  <c r="T719" i="5"/>
  <c r="T740" i="5"/>
  <c r="T836" i="5"/>
  <c r="T788" i="5"/>
  <c r="T1090" i="5"/>
  <c r="T852" i="5"/>
  <c r="T1062" i="5"/>
  <c r="T798" i="5"/>
  <c r="T745" i="5"/>
  <c r="T842" i="5"/>
  <c r="T1202" i="5"/>
  <c r="V878" i="5"/>
  <c r="T803" i="5"/>
  <c r="T763" i="5"/>
  <c r="V801" i="5"/>
  <c r="T793" i="5"/>
  <c r="T1171" i="5"/>
  <c r="T726" i="5"/>
  <c r="T943" i="5"/>
  <c r="T679" i="5"/>
  <c r="T898" i="5"/>
  <c r="T1222" i="5"/>
  <c r="T1075" i="5"/>
  <c r="T1219" i="5"/>
  <c r="T779" i="5"/>
  <c r="V714" i="5"/>
  <c r="V1059" i="5"/>
  <c r="V675" i="5"/>
  <c r="T1148" i="5"/>
  <c r="T1103" i="5"/>
  <c r="T1089" i="5"/>
  <c r="T1003" i="5"/>
  <c r="T994" i="5"/>
  <c r="T202" i="5"/>
  <c r="V90" i="5"/>
  <c r="T713" i="5"/>
  <c r="T929" i="5"/>
  <c r="T1017" i="5"/>
  <c r="T954" i="5"/>
  <c r="T1226" i="5"/>
  <c r="V791" i="5"/>
  <c r="T957" i="5"/>
  <c r="V972" i="5"/>
  <c r="T991" i="5"/>
  <c r="V1004" i="5"/>
  <c r="T1066" i="5"/>
  <c r="T749" i="5"/>
  <c r="V1101" i="5"/>
  <c r="V1119" i="5"/>
  <c r="V1189" i="5"/>
  <c r="T1071" i="5"/>
  <c r="V980" i="5"/>
  <c r="T1102" i="5"/>
  <c r="T1159" i="5"/>
  <c r="T1115" i="5"/>
  <c r="T966" i="5"/>
  <c r="V819" i="5"/>
  <c r="V906" i="5"/>
  <c r="V727" i="5"/>
  <c r="T924" i="5"/>
  <c r="V732" i="5"/>
  <c r="V893" i="5"/>
  <c r="T747" i="5"/>
  <c r="V1094" i="5"/>
  <c r="V705" i="5"/>
  <c r="T676" i="5"/>
  <c r="T822" i="5"/>
  <c r="V730" i="5"/>
  <c r="V745" i="5"/>
  <c r="V743" i="5"/>
  <c r="V927" i="5"/>
  <c r="V741" i="5"/>
  <c r="V1063" i="5"/>
  <c r="V1069" i="5"/>
  <c r="V892" i="5"/>
  <c r="T754" i="5"/>
  <c r="T1039" i="5"/>
  <c r="V679" i="5"/>
  <c r="T1084" i="5"/>
  <c r="T916" i="5"/>
  <c r="T714" i="5"/>
  <c r="T938" i="5"/>
  <c r="T1093" i="5"/>
  <c r="T1197" i="5"/>
  <c r="T684" i="5"/>
  <c r="T1060" i="5"/>
  <c r="V943" i="5"/>
  <c r="T1127" i="5"/>
  <c r="T1183" i="5"/>
  <c r="T1034" i="5"/>
  <c r="T1181" i="5"/>
  <c r="T982" i="5"/>
  <c r="V706" i="5"/>
  <c r="V953" i="5"/>
  <c r="V1219" i="5"/>
  <c r="T987" i="5"/>
  <c r="V1054" i="5"/>
  <c r="T811" i="5"/>
  <c r="V802" i="5"/>
  <c r="V769" i="5"/>
  <c r="V1204" i="5"/>
  <c r="V761" i="5"/>
  <c r="T1011" i="5"/>
  <c r="V1116" i="5"/>
  <c r="T900" i="5"/>
  <c r="V1012" i="5"/>
  <c r="V974" i="5"/>
  <c r="T1082" i="5"/>
  <c r="T738" i="5"/>
  <c r="T797" i="5"/>
  <c r="V1157" i="5"/>
  <c r="T1059" i="5"/>
  <c r="V810" i="5"/>
  <c r="V785" i="5"/>
  <c r="T1138" i="5"/>
  <c r="V983" i="5"/>
  <c r="V1227" i="5"/>
  <c r="T1206" i="5"/>
  <c r="T815" i="5"/>
  <c r="V1111" i="5"/>
  <c r="V1021" i="5"/>
  <c r="V709" i="5"/>
  <c r="T1174" i="5"/>
  <c r="T974" i="5"/>
  <c r="T724" i="5"/>
  <c r="V1023" i="5"/>
  <c r="V845" i="5"/>
  <c r="T879" i="5"/>
  <c r="T993" i="5"/>
  <c r="V978" i="5"/>
  <c r="T863" i="5"/>
  <c r="T962" i="5"/>
  <c r="T667" i="5"/>
  <c r="T1233" i="5"/>
  <c r="T1153" i="5"/>
  <c r="T999" i="5"/>
  <c r="T833" i="5"/>
  <c r="T1035" i="5"/>
  <c r="V790" i="5"/>
  <c r="T1028" i="5"/>
  <c r="T1038" i="5"/>
  <c r="T844" i="5"/>
  <c r="V996" i="5"/>
  <c r="T975" i="5"/>
  <c r="T883" i="5"/>
  <c r="T1151" i="5"/>
  <c r="V859" i="5"/>
  <c r="V674" i="5"/>
  <c r="V1073" i="5"/>
  <c r="T1050" i="5"/>
  <c r="T1223" i="5"/>
  <c r="T876" i="5"/>
  <c r="T1132" i="5"/>
  <c r="T1199" i="5"/>
  <c r="T874" i="5"/>
  <c r="T519" i="5"/>
  <c r="V740" i="5"/>
  <c r="T1026" i="5"/>
  <c r="T1031" i="5"/>
  <c r="T766" i="5"/>
  <c r="T727" i="5"/>
  <c r="V698" i="5"/>
  <c r="V803" i="5"/>
  <c r="V758" i="5"/>
  <c r="T1211" i="5"/>
  <c r="V1028" i="5"/>
  <c r="V1020" i="5"/>
  <c r="T1225" i="5"/>
  <c r="T1020" i="5"/>
  <c r="V667" i="5"/>
  <c r="T809" i="5"/>
  <c r="T915" i="5"/>
  <c r="T715" i="5"/>
  <c r="T827" i="5"/>
  <c r="V1218" i="5"/>
  <c r="T1058" i="5"/>
  <c r="T1033" i="5"/>
  <c r="T1121" i="5"/>
  <c r="T850" i="5"/>
  <c r="V1018" i="5"/>
  <c r="T990" i="5"/>
  <c r="T890" i="5"/>
  <c r="T751" i="5"/>
  <c r="T1230" i="5"/>
  <c r="T697" i="5"/>
  <c r="T1126" i="5"/>
  <c r="T795" i="5"/>
  <c r="T804" i="5"/>
  <c r="T959" i="5"/>
  <c r="T681" i="5"/>
  <c r="T1178" i="5"/>
  <c r="T862" i="5"/>
  <c r="V1137" i="5"/>
  <c r="T964" i="5"/>
  <c r="T1175" i="5"/>
  <c r="T812" i="5"/>
  <c r="T786" i="5"/>
  <c r="T1227" i="5"/>
  <c r="V747" i="5"/>
  <c r="T1086" i="5"/>
  <c r="T932" i="5"/>
  <c r="T1134" i="5"/>
  <c r="T884" i="5"/>
  <c r="V1173" i="5"/>
  <c r="T777" i="5"/>
  <c r="T866" i="5"/>
  <c r="T967" i="5"/>
  <c r="V673" i="5"/>
  <c r="T902" i="5"/>
  <c r="V907" i="5"/>
  <c r="T734" i="5"/>
  <c r="T889" i="5"/>
  <c r="T1081" i="5"/>
  <c r="T1130" i="5"/>
  <c r="V1202" i="5"/>
  <c r="T1004" i="5"/>
  <c r="T980" i="5"/>
  <c r="T1094" i="5"/>
  <c r="V1067" i="5"/>
  <c r="T1067" i="5"/>
  <c r="V1210" i="5"/>
  <c r="T892" i="5"/>
  <c r="T965" i="5"/>
  <c r="V1042" i="5"/>
  <c r="T1201" i="5"/>
  <c r="T1119" i="5"/>
  <c r="T838" i="5"/>
  <c r="T1018" i="5"/>
  <c r="T729" i="5"/>
  <c r="T907" i="5"/>
  <c r="T791" i="5"/>
  <c r="V830" i="5"/>
  <c r="T830" i="5"/>
  <c r="T1002" i="5"/>
  <c r="V682" i="5"/>
  <c r="T940" i="5"/>
  <c r="T918" i="5"/>
  <c r="T905" i="5"/>
  <c r="V1074" i="5"/>
  <c r="T1074" i="5"/>
  <c r="V1076" i="5"/>
  <c r="Q908" i="5"/>
  <c r="T908" i="5"/>
  <c r="T855" i="5"/>
  <c r="T1055" i="5"/>
  <c r="V806" i="5"/>
  <c r="T806" i="5"/>
  <c r="V1030" i="5"/>
  <c r="T1030" i="5"/>
  <c r="T817" i="5"/>
  <c r="T1001" i="5"/>
  <c r="V826" i="5"/>
  <c r="V1002" i="5"/>
  <c r="V890" i="5"/>
  <c r="Q1051" i="5"/>
  <c r="T1051" i="5"/>
  <c r="P1131" i="5"/>
  <c r="T1131" i="5"/>
  <c r="V891" i="5"/>
  <c r="T891" i="5"/>
  <c r="V742" i="5"/>
  <c r="V777" i="5"/>
  <c r="T887" i="5"/>
  <c r="T1041" i="5"/>
  <c r="V828" i="5"/>
  <c r="V895" i="5"/>
  <c r="V948" i="5"/>
  <c r="T948" i="5"/>
  <c r="P1122" i="5"/>
  <c r="T1122" i="5"/>
  <c r="V1045" i="5"/>
  <c r="V1180" i="5"/>
  <c r="T1182" i="5"/>
  <c r="T1042" i="5"/>
  <c r="V1110" i="5"/>
  <c r="T1110" i="5"/>
  <c r="T1044" i="5"/>
  <c r="Q762" i="5"/>
  <c r="T762" i="5"/>
  <c r="T743" i="5"/>
  <c r="V725" i="5"/>
  <c r="V807" i="5"/>
  <c r="T807" i="5"/>
  <c r="T1077" i="5"/>
  <c r="V1077" i="5"/>
  <c r="T978" i="5"/>
  <c r="T750" i="5"/>
  <c r="V1097" i="5"/>
  <c r="T1097" i="5"/>
  <c r="V838" i="5"/>
  <c r="V1226" i="5"/>
  <c r="T837" i="5"/>
  <c r="T1149" i="5"/>
  <c r="V1149" i="5"/>
  <c r="V1102" i="5"/>
  <c r="V931" i="5"/>
  <c r="V993" i="5"/>
  <c r="T1037" i="5"/>
  <c r="V1205" i="5"/>
  <c r="V1099" i="5"/>
  <c r="T1099" i="5"/>
  <c r="T1012" i="5"/>
  <c r="V1049" i="5"/>
  <c r="V1053" i="5"/>
  <c r="T1023" i="5"/>
  <c r="T1141" i="5"/>
  <c r="V885" i="5"/>
  <c r="V1061" i="5"/>
  <c r="V717" i="5"/>
  <c r="T669" i="5"/>
  <c r="T947" i="5"/>
  <c r="V735" i="5"/>
  <c r="V967" i="5"/>
  <c r="T733" i="5"/>
  <c r="T670" i="5"/>
  <c r="V695" i="5"/>
  <c r="V711" i="5"/>
  <c r="T678" i="5"/>
  <c r="T691" i="5"/>
  <c r="T1198" i="5"/>
  <c r="V1113" i="5"/>
  <c r="V933" i="5"/>
  <c r="V989" i="5"/>
  <c r="T986" i="5"/>
  <c r="Q1022" i="5"/>
  <c r="T1022" i="5"/>
  <c r="V1041" i="5"/>
  <c r="T694" i="5"/>
  <c r="V691" i="5"/>
  <c r="V1147" i="5"/>
  <c r="T1107" i="5"/>
  <c r="T867" i="5"/>
  <c r="V738" i="5"/>
  <c r="T1137" i="5"/>
  <c r="V857" i="5"/>
  <c r="T1100" i="5"/>
  <c r="T858" i="5"/>
  <c r="T913" i="5"/>
  <c r="T1207" i="5"/>
  <c r="T1076" i="5"/>
  <c r="T1162" i="5"/>
  <c r="T692" i="5"/>
  <c r="T1015" i="5"/>
  <c r="T799" i="5"/>
  <c r="T1025" i="5"/>
  <c r="T1161" i="5"/>
  <c r="T702" i="5"/>
  <c r="V987" i="5"/>
  <c r="V1070" i="5"/>
  <c r="V746" i="5"/>
  <c r="V959" i="5"/>
  <c r="V852" i="5"/>
  <c r="T1124" i="5"/>
  <c r="V870" i="5"/>
  <c r="T1135" i="5"/>
  <c r="V923" i="5"/>
  <c r="T923" i="5"/>
  <c r="V1126" i="5"/>
  <c r="V1145" i="5"/>
  <c r="V1026" i="5"/>
  <c r="V965" i="5"/>
  <c r="V1230" i="5"/>
  <c r="T1214" i="5"/>
  <c r="T1083" i="5"/>
  <c r="P700" i="5"/>
  <c r="T700" i="5"/>
  <c r="V903" i="5"/>
  <c r="T660" i="5"/>
  <c r="T1046" i="5"/>
  <c r="T708" i="5"/>
  <c r="T794" i="5"/>
  <c r="V1037" i="5"/>
  <c r="V765" i="5"/>
  <c r="V1118" i="5"/>
  <c r="V1106" i="5"/>
  <c r="V1051" i="5"/>
  <c r="T818" i="5"/>
  <c r="T1098" i="5"/>
  <c r="V841" i="5"/>
  <c r="T1063" i="5"/>
  <c r="V1036" i="5"/>
  <c r="T1221" i="5"/>
  <c r="T847" i="5"/>
  <c r="V827" i="5"/>
  <c r="T801" i="5"/>
  <c r="V1133" i="5"/>
  <c r="V1221" i="5"/>
  <c r="V847" i="5"/>
  <c r="V1196" i="5"/>
  <c r="V1134" i="5"/>
  <c r="T742" i="5"/>
  <c r="T410" i="5"/>
  <c r="V410" i="5"/>
  <c r="P995" i="5"/>
  <c r="V995" i="5"/>
  <c r="T1145" i="5"/>
  <c r="V1060" i="5"/>
  <c r="V975" i="5"/>
  <c r="T1092" i="5"/>
  <c r="T1203" i="5"/>
  <c r="T1217" i="5"/>
  <c r="T1079" i="5"/>
  <c r="T767" i="5"/>
  <c r="T1231" i="5"/>
  <c r="V809" i="5"/>
  <c r="V1001" i="5"/>
  <c r="T1204" i="5"/>
  <c r="V1114" i="5"/>
  <c r="V751" i="5"/>
  <c r="T1069" i="5"/>
  <c r="V962" i="5"/>
  <c r="V1068" i="5"/>
  <c r="V1170" i="5"/>
  <c r="V1038" i="5"/>
  <c r="T931" i="5"/>
  <c r="T841" i="5"/>
  <c r="V831" i="5"/>
  <c r="T877" i="5"/>
  <c r="T901" i="5"/>
  <c r="V783" i="5"/>
  <c r="V1190" i="5"/>
  <c r="V825" i="5"/>
  <c r="V796" i="5"/>
  <c r="V733" i="5"/>
  <c r="V958" i="5"/>
  <c r="Q945" i="5"/>
  <c r="T945" i="5"/>
  <c r="V956" i="5"/>
  <c r="T996" i="5"/>
  <c r="V1165" i="5"/>
  <c r="T821" i="5"/>
  <c r="T1213" i="5"/>
  <c r="V781" i="5"/>
  <c r="T919" i="5"/>
  <c r="T1156" i="5"/>
  <c r="T973" i="5"/>
  <c r="T1172" i="5"/>
  <c r="T1228" i="5"/>
  <c r="T1140" i="5"/>
  <c r="T1007" i="5"/>
  <c r="T718" i="5"/>
  <c r="V798" i="5"/>
  <c r="V886" i="5"/>
  <c r="T995" i="5"/>
  <c r="V754" i="5"/>
  <c r="V874" i="5"/>
  <c r="T753" i="5"/>
  <c r="V833" i="5"/>
  <c r="T937" i="5"/>
  <c r="T1193" i="5"/>
  <c r="T1101" i="5"/>
  <c r="V918" i="5"/>
  <c r="T698" i="5"/>
  <c r="V837" i="5"/>
  <c r="V1141" i="5"/>
  <c r="T1061" i="5"/>
  <c r="T717" i="5"/>
  <c r="T1118" i="5"/>
  <c r="V942" i="5"/>
  <c r="V1065" i="5"/>
  <c r="T1065" i="5"/>
  <c r="T790" i="5"/>
  <c r="V1233" i="5"/>
  <c r="V1057" i="5"/>
  <c r="T1068" i="5"/>
  <c r="V1085" i="5"/>
  <c r="T886" i="5"/>
  <c r="V1107" i="5"/>
  <c r="T761" i="5"/>
  <c r="T1133" i="5"/>
  <c r="V941" i="5"/>
  <c r="V877" i="5"/>
  <c r="T1190" i="5"/>
  <c r="T1113" i="5"/>
  <c r="V1081" i="5"/>
  <c r="V930" i="5"/>
  <c r="V860" i="5"/>
  <c r="V887" i="5"/>
  <c r="T1189" i="5"/>
  <c r="V1117" i="5"/>
  <c r="T781" i="5"/>
  <c r="V670" i="5"/>
  <c r="T1146" i="5"/>
  <c r="V919" i="5"/>
  <c r="V718" i="5"/>
  <c r="V627" i="5"/>
  <c r="V835" i="5"/>
  <c r="T1052" i="5"/>
  <c r="T730" i="5"/>
  <c r="V1177" i="5"/>
  <c r="V1156" i="5"/>
  <c r="T789" i="5"/>
  <c r="T1150" i="5"/>
  <c r="T759" i="5"/>
  <c r="V694" i="5"/>
  <c r="V1222" i="5"/>
  <c r="T1154" i="5"/>
  <c r="T868" i="5"/>
  <c r="T674" i="5"/>
  <c r="T956" i="5"/>
  <c r="V875" i="5"/>
  <c r="T875" i="5"/>
  <c r="T979" i="5"/>
  <c r="V858" i="5"/>
  <c r="V1185" i="5"/>
  <c r="V1153" i="5"/>
  <c r="V901" i="5"/>
  <c r="T820" i="5"/>
  <c r="T1212" i="5"/>
  <c r="T1108" i="5"/>
  <c r="T1047" i="5"/>
  <c r="T839" i="5"/>
  <c r="T927" i="5"/>
  <c r="T969" i="5"/>
  <c r="T769" i="5"/>
  <c r="V849" i="5"/>
  <c r="T849" i="5"/>
  <c r="T953" i="5"/>
  <c r="V1212" i="5"/>
  <c r="V721" i="5"/>
  <c r="T1073" i="5"/>
  <c r="V795" i="5"/>
  <c r="V1155" i="5"/>
  <c r="V929" i="5"/>
  <c r="V957" i="5"/>
  <c r="T972" i="5"/>
  <c r="V749" i="5"/>
  <c r="T869" i="5"/>
  <c r="V1206" i="5"/>
  <c r="V861" i="5"/>
  <c r="T1085" i="5"/>
  <c r="T843" i="5"/>
  <c r="T825" i="5"/>
  <c r="T1210" i="5"/>
  <c r="T802" i="5"/>
  <c r="V1130" i="5"/>
  <c r="V764" i="5"/>
  <c r="T1116" i="5"/>
  <c r="V703" i="5"/>
  <c r="V950" i="5"/>
  <c r="T695" i="5"/>
  <c r="V1201" i="5"/>
  <c r="V955" i="5"/>
  <c r="T955" i="5"/>
  <c r="V1131" i="5"/>
  <c r="T1169" i="5"/>
  <c r="V1121" i="5"/>
  <c r="T885" i="5"/>
  <c r="T1196" i="5"/>
  <c r="T1117" i="5"/>
  <c r="V669" i="5"/>
  <c r="V1194" i="5"/>
  <c r="V902" i="5"/>
  <c r="V1115" i="5"/>
  <c r="T814" i="5"/>
  <c r="T1036" i="5"/>
  <c r="T1165" i="5"/>
  <c r="V805" i="5"/>
  <c r="T746" i="5"/>
  <c r="V932" i="5"/>
  <c r="V924" i="5"/>
  <c r="V820" i="5"/>
  <c r="T1220" i="5"/>
  <c r="V876" i="5"/>
  <c r="V1132" i="5"/>
  <c r="T1111" i="5"/>
  <c r="T1021" i="5"/>
  <c r="T1125" i="5"/>
  <c r="V1125" i="5"/>
  <c r="V1199" i="5"/>
  <c r="V685" i="5"/>
  <c r="T1229" i="5"/>
  <c r="T732" i="5"/>
  <c r="V839" i="5"/>
  <c r="V1039" i="5"/>
  <c r="T709" i="5"/>
  <c r="T871" i="5"/>
  <c r="V871" i="5"/>
  <c r="T893" i="5"/>
  <c r="V925" i="5"/>
  <c r="V1174" i="5"/>
  <c r="V668" i="5"/>
  <c r="T1105" i="5"/>
  <c r="V762" i="5"/>
  <c r="T826" i="5"/>
  <c r="V1033" i="5"/>
  <c r="T910" i="5"/>
  <c r="T705" i="5"/>
  <c r="V883" i="5"/>
  <c r="T819" i="5"/>
  <c r="T894" i="5"/>
  <c r="V1083" i="5"/>
  <c r="V986" i="5"/>
  <c r="V873" i="5"/>
  <c r="V1031" i="5"/>
  <c r="T1215" i="5"/>
  <c r="T706" i="5"/>
  <c r="V773" i="5"/>
  <c r="V855" i="5"/>
  <c r="V1055" i="5"/>
  <c r="T757" i="5"/>
  <c r="V788" i="5"/>
  <c r="T997" i="5"/>
  <c r="V1109" i="5"/>
  <c r="V822" i="5"/>
  <c r="V772" i="5"/>
  <c r="V922" i="5"/>
  <c r="V898" i="5"/>
  <c r="V1050" i="5"/>
  <c r="V689" i="5"/>
  <c r="V771" i="5"/>
  <c r="V1211" i="5"/>
  <c r="V794" i="5"/>
  <c r="V866" i="5"/>
  <c r="V697" i="5"/>
  <c r="V1034" i="5"/>
  <c r="V780" i="5"/>
  <c r="V1122" i="5"/>
  <c r="V737" i="5"/>
  <c r="V1025" i="5"/>
  <c r="V921" i="5"/>
  <c r="V1186" i="5"/>
  <c r="V775" i="5"/>
  <c r="V884" i="5"/>
  <c r="T741" i="5"/>
  <c r="V1188" i="5"/>
  <c r="V701" i="5"/>
  <c r="T1045" i="5"/>
  <c r="V1044" i="5"/>
  <c r="V1223" i="5"/>
  <c r="V719" i="5"/>
  <c r="T845" i="5"/>
  <c r="V836" i="5"/>
  <c r="V879" i="5"/>
  <c r="V757" i="5"/>
  <c r="V997" i="5"/>
  <c r="T1173" i="5"/>
  <c r="V1062" i="5"/>
  <c r="V1182" i="5"/>
  <c r="V750" i="5"/>
  <c r="V863" i="5"/>
  <c r="V842" i="5"/>
  <c r="V823" i="5"/>
  <c r="V1138" i="5"/>
  <c r="V915" i="5"/>
  <c r="V966" i="5"/>
  <c r="V1142" i="5"/>
  <c r="V954" i="5"/>
  <c r="V926" i="5"/>
  <c r="V817" i="5"/>
  <c r="V1178" i="5"/>
  <c r="V1082" i="5"/>
  <c r="V1162" i="5"/>
  <c r="V913" i="5"/>
  <c r="V938" i="5"/>
  <c r="V935" i="5"/>
  <c r="V1124" i="5"/>
  <c r="V815" i="5"/>
  <c r="V821" i="5"/>
  <c r="V1071" i="5"/>
  <c r="V1150" i="5"/>
  <c r="V868" i="5"/>
  <c r="V1046" i="5"/>
  <c r="V846" i="5"/>
  <c r="V1006" i="5"/>
  <c r="V994" i="5"/>
  <c r="V1228" i="5"/>
  <c r="V897" i="5"/>
  <c r="V724" i="5"/>
  <c r="V988" i="5"/>
  <c r="V1079" i="5"/>
  <c r="V1100" i="5"/>
  <c r="T909" i="5"/>
  <c r="V1005" i="5"/>
  <c r="V999" i="5"/>
  <c r="V991" i="5"/>
  <c r="V1207" i="5"/>
  <c r="T829" i="5"/>
  <c r="V797" i="5"/>
  <c r="V726" i="5"/>
  <c r="V716" i="5"/>
  <c r="V881" i="5"/>
  <c r="V951" i="5"/>
  <c r="V1139" i="5"/>
  <c r="V1011" i="5"/>
  <c r="T771" i="5"/>
  <c r="T851" i="5"/>
  <c r="V1198" i="5"/>
  <c r="V690" i="5"/>
  <c r="V914" i="5"/>
  <c r="V1089" i="5"/>
  <c r="T985" i="5"/>
  <c r="V763" i="5"/>
  <c r="V894" i="5"/>
  <c r="V1209" i="5"/>
  <c r="V1159" i="5"/>
  <c r="V961" i="5"/>
  <c r="V739" i="5"/>
  <c r="V1087" i="5"/>
  <c r="V1197" i="5"/>
  <c r="V686" i="5"/>
  <c r="V982" i="5"/>
  <c r="V759" i="5"/>
  <c r="V766" i="5"/>
  <c r="V910" i="5"/>
  <c r="V834" i="5"/>
  <c r="V753" i="5"/>
  <c r="V1167" i="5"/>
  <c r="V1098" i="5"/>
  <c r="V1058" i="5"/>
  <c r="V946" i="5"/>
  <c r="V1127" i="5"/>
  <c r="V700" i="5"/>
  <c r="V1172" i="5"/>
  <c r="V692" i="5"/>
  <c r="V1015" i="5"/>
  <c r="V909" i="5"/>
  <c r="V1140" i="5"/>
  <c r="V1151" i="5"/>
  <c r="T1029" i="5"/>
  <c r="V911" i="5"/>
  <c r="V1007" i="5"/>
  <c r="V1013" i="5"/>
  <c r="V829" i="5"/>
  <c r="T813" i="5"/>
  <c r="V908" i="5"/>
  <c r="V998" i="5"/>
  <c r="V1158" i="5"/>
  <c r="V722" i="5"/>
  <c r="V713" i="5"/>
  <c r="V854" i="5"/>
  <c r="V1171" i="5"/>
  <c r="T707" i="5"/>
  <c r="V782" i="5"/>
  <c r="V1019" i="5"/>
  <c r="V1078" i="5"/>
  <c r="V1195" i="5"/>
  <c r="V770" i="5"/>
  <c r="V1105" i="5"/>
  <c r="V734" i="5"/>
  <c r="V1225" i="5"/>
  <c r="V977" i="5"/>
  <c r="V937" i="5"/>
  <c r="V1090" i="5"/>
  <c r="V865" i="5"/>
  <c r="V684" i="5"/>
  <c r="V1092" i="5"/>
  <c r="V1148" i="5"/>
  <c r="V789" i="5"/>
  <c r="V1213" i="5"/>
  <c r="V1084" i="5"/>
  <c r="V899" i="5"/>
  <c r="T878" i="5"/>
  <c r="V1095" i="5"/>
  <c r="V756" i="5"/>
  <c r="V1108" i="5"/>
  <c r="V1047" i="5"/>
  <c r="T981" i="5"/>
  <c r="V1191" i="5"/>
  <c r="V1029" i="5"/>
  <c r="V767" i="5"/>
  <c r="V1231" i="5"/>
  <c r="T693" i="5"/>
  <c r="T853" i="5"/>
  <c r="V813" i="5"/>
  <c r="V1009" i="5"/>
  <c r="V774" i="5"/>
  <c r="V1014" i="5"/>
  <c r="V970" i="5"/>
  <c r="V723" i="5"/>
  <c r="V867" i="5"/>
  <c r="V1179" i="5"/>
  <c r="V1075" i="5"/>
  <c r="V710" i="5"/>
  <c r="T859" i="5"/>
  <c r="V934" i="5"/>
  <c r="V1214" i="5"/>
  <c r="V850" i="5"/>
  <c r="V1010" i="5"/>
  <c r="V1129" i="5"/>
  <c r="V905" i="5"/>
  <c r="V708" i="5"/>
  <c r="V681" i="5"/>
  <c r="V969" i="5"/>
  <c r="V702" i="5"/>
  <c r="V844" i="5"/>
  <c r="V61" i="5"/>
  <c r="V1217" i="5"/>
  <c r="V1066" i="5"/>
  <c r="V1143" i="5"/>
  <c r="T949" i="5"/>
  <c r="V748" i="5"/>
  <c r="V1220" i="5"/>
  <c r="T677" i="5"/>
  <c r="V812" i="5"/>
  <c r="V981" i="5"/>
  <c r="V1181" i="5"/>
  <c r="V1164" i="5"/>
  <c r="T685" i="5"/>
  <c r="V1229" i="5"/>
  <c r="T1053" i="5"/>
  <c r="V693" i="5"/>
  <c r="V853" i="5"/>
  <c r="T925" i="5"/>
  <c r="T963" i="5"/>
  <c r="V1166" i="5"/>
  <c r="V1169" i="5"/>
  <c r="V778" i="5"/>
  <c r="V882" i="5"/>
  <c r="V1043" i="5"/>
  <c r="V862" i="5"/>
  <c r="V1022" i="5"/>
  <c r="V1086" i="5"/>
  <c r="V945" i="5"/>
  <c r="V1017" i="5"/>
  <c r="V851" i="5"/>
  <c r="T1157" i="5"/>
  <c r="Q873" i="5"/>
  <c r="T652" i="5"/>
  <c r="Q886" i="5"/>
  <c r="T666" i="5"/>
  <c r="Q674" i="5"/>
  <c r="T663" i="5"/>
  <c r="P1037" i="5"/>
  <c r="Q761" i="5"/>
  <c r="Q884" i="5"/>
  <c r="T657" i="5"/>
  <c r="Q900" i="5"/>
  <c r="T662" i="5"/>
  <c r="P683" i="5"/>
  <c r="Q1123" i="5"/>
  <c r="Q738" i="5"/>
  <c r="V635" i="5"/>
  <c r="P902" i="5"/>
  <c r="V654" i="5"/>
  <c r="Q1202" i="5"/>
  <c r="V641" i="5"/>
  <c r="T655" i="5"/>
  <c r="V660" i="5"/>
  <c r="Q910" i="5"/>
  <c r="V664" i="5"/>
  <c r="V658" i="5"/>
  <c r="P791" i="5"/>
  <c r="Q1139" i="5"/>
  <c r="V22" i="5"/>
  <c r="T310" i="5"/>
  <c r="T311" i="5"/>
  <c r="T428" i="5"/>
  <c r="P1222" i="5"/>
  <c r="T658" i="5"/>
  <c r="P774" i="5"/>
  <c r="P934" i="5"/>
  <c r="V199" i="5"/>
  <c r="T326" i="5"/>
  <c r="V89" i="5"/>
  <c r="P763" i="5"/>
  <c r="V665" i="5"/>
  <c r="V659" i="5"/>
  <c r="V63" i="5"/>
  <c r="P1063" i="5"/>
  <c r="Q1082" i="5"/>
  <c r="P917" i="5"/>
  <c r="P695" i="5"/>
  <c r="Q778" i="5"/>
  <c r="Q1165" i="5"/>
  <c r="T636" i="5"/>
  <c r="Q770" i="5"/>
  <c r="Q782" i="5"/>
  <c r="V183" i="5"/>
  <c r="T627" i="5"/>
  <c r="Q629" i="5"/>
  <c r="P988" i="5"/>
  <c r="P953" i="5"/>
  <c r="Q1131" i="5"/>
  <c r="T445" i="5"/>
  <c r="P1006" i="5"/>
  <c r="P956" i="5"/>
  <c r="P691" i="5"/>
  <c r="Q909" i="5"/>
  <c r="Q1133" i="5"/>
  <c r="P1051" i="5"/>
  <c r="Q639" i="5"/>
  <c r="Q1078" i="5"/>
  <c r="Q671" i="5"/>
  <c r="Q1167" i="5"/>
  <c r="P676" i="5"/>
  <c r="Q718" i="5"/>
  <c r="T654" i="5"/>
  <c r="P1163" i="5"/>
  <c r="T118" i="5"/>
  <c r="P685" i="5"/>
  <c r="Q898" i="5"/>
  <c r="P1189" i="5"/>
  <c r="P719" i="5"/>
  <c r="Q935" i="5"/>
  <c r="P690" i="5"/>
  <c r="Q930" i="5"/>
  <c r="Q1106" i="5"/>
  <c r="Q703" i="5"/>
  <c r="P1119" i="5"/>
  <c r="Q805" i="5"/>
  <c r="P710" i="5"/>
  <c r="V652" i="5"/>
  <c r="V666" i="5"/>
  <c r="T659" i="5"/>
  <c r="T661" i="5"/>
  <c r="T665" i="5"/>
  <c r="V661" i="5"/>
  <c r="V662" i="5"/>
  <c r="V663" i="5"/>
  <c r="V655" i="5"/>
  <c r="T653" i="5"/>
  <c r="V657" i="5"/>
  <c r="V653" i="5"/>
  <c r="P634" i="5"/>
  <c r="Q715" i="5"/>
  <c r="T353" i="5"/>
  <c r="T99" i="5"/>
  <c r="V146" i="5"/>
  <c r="T480" i="5"/>
  <c r="T585" i="5"/>
  <c r="V5" i="5"/>
  <c r="Q891" i="5"/>
  <c r="Q751" i="5"/>
  <c r="Q645" i="5"/>
  <c r="P1211" i="5"/>
  <c r="Q638" i="5"/>
  <c r="Q646" i="5"/>
  <c r="Q883" i="5"/>
  <c r="Q993" i="5"/>
  <c r="P878" i="5"/>
  <c r="P958" i="5"/>
  <c r="Q698" i="5"/>
  <c r="Q786" i="5"/>
  <c r="P914" i="5"/>
  <c r="P1226" i="5"/>
  <c r="Q727" i="5"/>
  <c r="P943" i="5"/>
  <c r="Q701" i="5"/>
  <c r="P957" i="5"/>
  <c r="P1125" i="5"/>
  <c r="P1127" i="5"/>
  <c r="V614" i="5"/>
  <c r="P631" i="5"/>
  <c r="P643" i="5"/>
  <c r="V504" i="5"/>
  <c r="P628" i="5"/>
  <c r="P630" i="5"/>
  <c r="P629" i="5"/>
  <c r="Q1228" i="5"/>
  <c r="P642" i="5"/>
  <c r="P641" i="5"/>
  <c r="Q642" i="5"/>
  <c r="P647" i="5"/>
  <c r="Q650" i="5"/>
  <c r="P987" i="5"/>
  <c r="P1133" i="5"/>
  <c r="Q1117" i="5"/>
  <c r="P1019" i="5"/>
  <c r="Q1162" i="5"/>
  <c r="Q903" i="5"/>
  <c r="T394" i="5"/>
  <c r="Q941" i="5"/>
  <c r="Q766" i="5"/>
  <c r="Q955" i="5"/>
  <c r="Q1011" i="5"/>
  <c r="Q795" i="5"/>
  <c r="Q1125" i="5"/>
  <c r="Q711" i="5"/>
  <c r="P686" i="5"/>
  <c r="P671" i="5"/>
  <c r="P998" i="5"/>
  <c r="P1053" i="5"/>
  <c r="Q895" i="5"/>
  <c r="Q919" i="5"/>
  <c r="Q771" i="5"/>
  <c r="V375" i="5"/>
  <c r="Q747" i="5"/>
  <c r="P1173" i="5"/>
  <c r="P782" i="5"/>
  <c r="P843" i="5"/>
  <c r="V493" i="5"/>
  <c r="P973" i="5"/>
  <c r="Q807" i="5"/>
  <c r="T104" i="5"/>
  <c r="P1230" i="5"/>
  <c r="P893" i="5"/>
  <c r="P885" i="5"/>
  <c r="P1085" i="5"/>
  <c r="P703" i="5"/>
  <c r="P805" i="5"/>
  <c r="P739" i="5"/>
  <c r="P909" i="5"/>
  <c r="T257" i="5"/>
  <c r="Q846" i="5"/>
  <c r="Q862" i="5"/>
  <c r="T136" i="5"/>
  <c r="V408" i="5"/>
  <c r="V610" i="5"/>
  <c r="V6" i="5"/>
  <c r="Q965" i="5"/>
  <c r="Q749" i="5"/>
  <c r="Q658" i="5"/>
  <c r="Q1115" i="5"/>
  <c r="Q999" i="5"/>
  <c r="V184" i="5"/>
  <c r="V367" i="5"/>
  <c r="P773" i="5"/>
  <c r="V329" i="5"/>
  <c r="Q1149" i="5"/>
  <c r="Q1036" i="5"/>
  <c r="P993" i="5"/>
  <c r="V31" i="5"/>
  <c r="V509" i="5"/>
  <c r="Q1041" i="5"/>
  <c r="P1223" i="5"/>
  <c r="P842" i="5"/>
  <c r="Q970" i="5"/>
  <c r="V644" i="5"/>
  <c r="P961" i="5"/>
  <c r="Q1069" i="5"/>
  <c r="Q819" i="5"/>
  <c r="Q627" i="5"/>
  <c r="Q943" i="5"/>
  <c r="P1147" i="5"/>
  <c r="V104" i="5"/>
  <c r="P646" i="5"/>
  <c r="T504" i="5"/>
  <c r="V618" i="5"/>
  <c r="P658" i="5"/>
  <c r="Q853" i="5"/>
  <c r="Q1151" i="5"/>
  <c r="P799" i="5"/>
  <c r="P638" i="5"/>
  <c r="P636" i="5"/>
  <c r="T447" i="5"/>
  <c r="T486" i="5"/>
  <c r="P1050" i="5"/>
  <c r="V620" i="5"/>
  <c r="Q612" i="5"/>
  <c r="V383" i="5"/>
  <c r="T281" i="5"/>
  <c r="T550" i="5"/>
  <c r="V622" i="5"/>
  <c r="T376" i="5"/>
  <c r="T625" i="5"/>
  <c r="V248" i="5"/>
  <c r="P654" i="5"/>
  <c r="T253" i="5"/>
  <c r="T427" i="5"/>
  <c r="T402" i="5"/>
  <c r="Q1009" i="5"/>
  <c r="P785" i="5"/>
  <c r="Q740" i="5"/>
  <c r="P665" i="5"/>
  <c r="T184" i="5"/>
  <c r="Q630" i="5"/>
  <c r="T458" i="5"/>
  <c r="T267" i="5"/>
  <c r="T287" i="5"/>
  <c r="V575" i="5"/>
  <c r="T545" i="5"/>
  <c r="T137" i="5"/>
  <c r="V407" i="5"/>
  <c r="V297" i="5"/>
  <c r="Q790" i="5"/>
  <c r="P1029" i="5"/>
  <c r="P969" i="5"/>
  <c r="P890" i="5"/>
  <c r="T621" i="5"/>
  <c r="P742" i="5"/>
  <c r="V198" i="5"/>
  <c r="Q1019" i="5"/>
  <c r="P678" i="5"/>
  <c r="T375" i="5"/>
  <c r="V40" i="5"/>
  <c r="Q753" i="5"/>
  <c r="P670" i="5"/>
  <c r="Q957" i="5"/>
  <c r="Q1052" i="5"/>
  <c r="P946" i="5"/>
  <c r="Q998" i="5"/>
  <c r="T520" i="5"/>
  <c r="P1054" i="5"/>
  <c r="P994" i="5"/>
  <c r="P726" i="5"/>
  <c r="V343" i="5"/>
  <c r="P1121" i="5"/>
  <c r="Q977" i="5"/>
  <c r="P644" i="5"/>
  <c r="T96" i="5"/>
  <c r="T518" i="5"/>
  <c r="V424" i="5"/>
  <c r="T9" i="5"/>
  <c r="P1083" i="5"/>
  <c r="P903" i="5"/>
  <c r="Q1107" i="5"/>
  <c r="P804" i="5"/>
  <c r="P1097" i="5"/>
  <c r="Q633" i="5"/>
  <c r="V445" i="5"/>
  <c r="T419" i="5"/>
  <c r="T580" i="5"/>
  <c r="V235" i="5"/>
  <c r="V111" i="5"/>
  <c r="T87" i="5"/>
  <c r="V391" i="5"/>
  <c r="P743" i="5"/>
  <c r="P894" i="5"/>
  <c r="T279" i="5"/>
  <c r="T439" i="5"/>
  <c r="Q685" i="5"/>
  <c r="P749" i="5"/>
  <c r="Q692" i="5"/>
  <c r="P1013" i="5"/>
  <c r="P895" i="5"/>
  <c r="Q966" i="5"/>
  <c r="Q831" i="5"/>
  <c r="P990" i="5"/>
  <c r="T360" i="5"/>
  <c r="T55" i="5"/>
  <c r="Q1226" i="5"/>
  <c r="P839" i="5"/>
  <c r="Q950" i="5"/>
  <c r="P1105" i="5"/>
  <c r="P711" i="5"/>
  <c r="T261" i="5"/>
  <c r="T455" i="5"/>
  <c r="V29" i="5"/>
  <c r="P1129" i="5"/>
  <c r="T493" i="5"/>
  <c r="Q798" i="5"/>
  <c r="Q1154" i="5"/>
  <c r="Q758" i="5"/>
  <c r="V312" i="5"/>
  <c r="P1079" i="5"/>
  <c r="Q719" i="5"/>
  <c r="P906" i="5"/>
  <c r="Q789" i="5"/>
  <c r="Q666" i="5"/>
  <c r="P716" i="5"/>
  <c r="Q1186" i="5"/>
  <c r="Q1057" i="5"/>
  <c r="Q631" i="5"/>
  <c r="V481" i="5"/>
  <c r="T294" i="5"/>
  <c r="P706" i="5"/>
  <c r="Q947" i="5"/>
  <c r="T472" i="5"/>
  <c r="T296" i="5"/>
  <c r="T262" i="5"/>
  <c r="V151" i="5"/>
  <c r="V168" i="5"/>
  <c r="V23" i="5"/>
  <c r="T457" i="5"/>
  <c r="V233" i="5"/>
  <c r="Q662" i="5"/>
  <c r="Q695" i="5"/>
  <c r="P812" i="5"/>
  <c r="Q1084" i="5"/>
  <c r="P1140" i="5"/>
  <c r="Q793" i="5"/>
  <c r="Q870" i="5"/>
  <c r="T13" i="5"/>
  <c r="V333" i="5"/>
  <c r="T454" i="5"/>
  <c r="T393" i="5"/>
  <c r="V71" i="5"/>
  <c r="T471" i="5"/>
  <c r="Q926" i="5"/>
  <c r="P1214" i="5"/>
  <c r="P759" i="5"/>
  <c r="Q1053" i="5"/>
  <c r="Q858" i="5"/>
  <c r="Q901" i="5"/>
  <c r="P1162" i="5"/>
  <c r="P766" i="5"/>
  <c r="T91" i="5"/>
  <c r="P845" i="5"/>
  <c r="V281" i="5"/>
  <c r="V200" i="5"/>
  <c r="T535" i="5"/>
  <c r="T40" i="5"/>
  <c r="T491" i="5"/>
  <c r="V86" i="5"/>
  <c r="Q726" i="5"/>
  <c r="V16" i="5"/>
  <c r="Q757" i="5"/>
  <c r="P758" i="5"/>
  <c r="T29" i="5"/>
  <c r="P867" i="5"/>
  <c r="P1195" i="5"/>
  <c r="V135" i="5"/>
  <c r="T198" i="5"/>
  <c r="Q911" i="5"/>
  <c r="Q742" i="5"/>
  <c r="V91" i="5"/>
  <c r="Q1074" i="5"/>
  <c r="Q667" i="5"/>
  <c r="P1020" i="5"/>
  <c r="V182" i="5"/>
  <c r="V455" i="5"/>
  <c r="T146" i="5"/>
  <c r="V296" i="5"/>
  <c r="P919" i="5"/>
  <c r="P980" i="5"/>
  <c r="P886" i="5"/>
  <c r="P1089" i="5"/>
  <c r="Q902" i="5"/>
  <c r="Q1124" i="5"/>
  <c r="T89" i="5"/>
  <c r="T391" i="5"/>
  <c r="P1068" i="5"/>
  <c r="P1167" i="5"/>
  <c r="P1113" i="5"/>
  <c r="P945" i="5"/>
  <c r="P684" i="5"/>
  <c r="Q1108" i="5"/>
  <c r="Q934" i="5"/>
  <c r="Q958" i="5"/>
  <c r="Q1100" i="5"/>
  <c r="P797" i="5"/>
  <c r="Q735" i="5"/>
  <c r="Q951" i="5"/>
  <c r="P714" i="5"/>
  <c r="Q973" i="5"/>
  <c r="P1194" i="5"/>
  <c r="Q1135" i="5"/>
  <c r="P1005" i="5"/>
  <c r="Q702" i="5"/>
  <c r="Q1046" i="5"/>
  <c r="V535" i="5"/>
  <c r="T280" i="5"/>
  <c r="Q1209" i="5"/>
  <c r="Q861" i="5"/>
  <c r="T407" i="5"/>
  <c r="V56" i="5"/>
  <c r="V328" i="5"/>
  <c r="P927" i="5"/>
  <c r="T406" i="5"/>
  <c r="V257" i="5"/>
  <c r="P1117" i="5"/>
  <c r="T31" i="5"/>
  <c r="P1012" i="5"/>
  <c r="P926" i="5"/>
  <c r="T603" i="5"/>
  <c r="Q773" i="5"/>
  <c r="Q1225" i="5"/>
  <c r="T24" i="5"/>
  <c r="P1156" i="5"/>
  <c r="Q1037" i="5"/>
  <c r="Q1044" i="5"/>
  <c r="Q1049" i="5"/>
  <c r="P1164" i="5"/>
  <c r="P1220" i="5"/>
  <c r="P972" i="5"/>
  <c r="P698" i="5"/>
  <c r="Q710" i="5"/>
  <c r="V361" i="5"/>
  <c r="T312" i="5"/>
  <c r="V280" i="5"/>
  <c r="T443" i="5"/>
  <c r="Q854" i="5"/>
  <c r="T120" i="5"/>
  <c r="V88" i="5"/>
  <c r="T88" i="5"/>
  <c r="Q1070" i="5"/>
  <c r="P1070" i="5"/>
  <c r="Q979" i="5"/>
  <c r="P979" i="5"/>
  <c r="P844" i="5"/>
  <c r="Q844" i="5"/>
  <c r="P653" i="5"/>
  <c r="Q653" i="5"/>
  <c r="Q689" i="5"/>
  <c r="P689" i="5"/>
  <c r="P1206" i="5"/>
  <c r="Q983" i="5"/>
  <c r="P983" i="5"/>
  <c r="T345" i="5"/>
  <c r="T340" i="5"/>
  <c r="T460" i="5"/>
  <c r="V20" i="5"/>
  <c r="Q1223" i="5"/>
  <c r="V8" i="5"/>
  <c r="T8" i="5"/>
  <c r="T584" i="5"/>
  <c r="V480" i="5"/>
  <c r="V215" i="5"/>
  <c r="Q918" i="5"/>
  <c r="P918" i="5"/>
  <c r="P879" i="5"/>
  <c r="Q1002" i="5"/>
  <c r="P751" i="5"/>
  <c r="V322" i="5"/>
  <c r="V459" i="5"/>
  <c r="T92" i="5"/>
  <c r="P713" i="5"/>
  <c r="Q713" i="5"/>
  <c r="P1134" i="5"/>
  <c r="V646" i="5"/>
  <c r="P750" i="5"/>
  <c r="Q750" i="5"/>
  <c r="Q743" i="5"/>
  <c r="Q927" i="5"/>
  <c r="Q837" i="5"/>
  <c r="P847" i="5"/>
  <c r="Q949" i="5"/>
  <c r="T105" i="5"/>
  <c r="P1209" i="5"/>
  <c r="P1071" i="5"/>
  <c r="T328" i="5"/>
  <c r="P1158" i="5"/>
  <c r="V120" i="5"/>
  <c r="V137" i="5"/>
  <c r="Q799" i="5"/>
  <c r="Q1172" i="5"/>
  <c r="Q734" i="5"/>
  <c r="Q723" i="5"/>
  <c r="P723" i="5"/>
  <c r="P1137" i="5"/>
  <c r="Q1137" i="5"/>
  <c r="Q924" i="5"/>
  <c r="P924" i="5"/>
  <c r="Q915" i="5"/>
  <c r="V529" i="5"/>
  <c r="P655" i="5"/>
  <c r="P981" i="5"/>
  <c r="Q1191" i="5"/>
  <c r="Q1205" i="5"/>
  <c r="T392" i="5"/>
  <c r="V392" i="5"/>
  <c r="P851" i="5"/>
  <c r="P854" i="5"/>
  <c r="T450" i="5"/>
  <c r="V141" i="5"/>
  <c r="V167" i="5"/>
  <c r="P1182" i="5"/>
  <c r="Q959" i="5"/>
  <c r="V456" i="5"/>
  <c r="T456" i="5"/>
  <c r="V274" i="5"/>
  <c r="V489" i="5"/>
  <c r="T489" i="5"/>
  <c r="T134" i="5"/>
  <c r="V294" i="5"/>
  <c r="Q1092" i="5"/>
  <c r="P1092" i="5"/>
  <c r="V412" i="5"/>
  <c r="V574" i="5"/>
  <c r="T224" i="5"/>
  <c r="V545" i="5"/>
  <c r="V416" i="5"/>
  <c r="P967" i="5"/>
  <c r="Q730" i="5"/>
  <c r="P730" i="5"/>
  <c r="T297" i="5"/>
  <c r="V444" i="5"/>
  <c r="P1007" i="5"/>
  <c r="P1111" i="5"/>
  <c r="Q1090" i="5"/>
  <c r="V279" i="5"/>
  <c r="P1102" i="5"/>
  <c r="V550" i="5"/>
  <c r="P1090" i="5"/>
  <c r="T200" i="5"/>
  <c r="V621" i="5"/>
  <c r="T620" i="5"/>
  <c r="Q1006" i="5"/>
  <c r="P846" i="5"/>
  <c r="P741" i="5"/>
  <c r="Q890" i="5"/>
  <c r="P1203" i="5"/>
  <c r="Q1203" i="5"/>
  <c r="Q939" i="5"/>
  <c r="P939" i="5"/>
  <c r="T215" i="5"/>
  <c r="P1146" i="5"/>
  <c r="Q1146" i="5"/>
  <c r="T109" i="5"/>
  <c r="V109" i="5"/>
  <c r="Q839" i="5"/>
  <c r="P1221" i="5"/>
  <c r="P775" i="5"/>
  <c r="Q775" i="5"/>
  <c r="P989" i="5"/>
  <c r="Q989" i="5"/>
  <c r="V359" i="5"/>
  <c r="Q1059" i="5"/>
  <c r="V605" i="5"/>
  <c r="T347" i="5"/>
  <c r="V536" i="5"/>
  <c r="V422" i="5"/>
  <c r="T422" i="5"/>
  <c r="P913" i="5"/>
  <c r="Q913" i="5"/>
  <c r="Q1166" i="5"/>
  <c r="P1099" i="5"/>
  <c r="T193" i="5"/>
  <c r="T152" i="5"/>
  <c r="V152" i="5"/>
  <c r="T383" i="5"/>
  <c r="P1014" i="5"/>
  <c r="Q663" i="5"/>
  <c r="P1229" i="5"/>
  <c r="Q1190" i="5"/>
  <c r="P1190" i="5"/>
  <c r="V458" i="5"/>
  <c r="T128" i="5"/>
  <c r="T67" i="5"/>
  <c r="T368" i="5"/>
  <c r="V524" i="5"/>
  <c r="V278" i="5"/>
  <c r="Q838" i="5"/>
  <c r="Q1198" i="5"/>
  <c r="T86" i="5"/>
  <c r="Q1086" i="5"/>
  <c r="Q1026" i="5"/>
  <c r="Q882" i="5"/>
  <c r="V486" i="5"/>
  <c r="P1060" i="5"/>
  <c r="P915" i="5"/>
  <c r="T235" i="5"/>
  <c r="P718" i="5"/>
  <c r="P1046" i="5"/>
  <c r="P862" i="5"/>
  <c r="P861" i="5"/>
  <c r="Q1035" i="5"/>
  <c r="Q899" i="5"/>
  <c r="P899" i="5"/>
  <c r="V72" i="5"/>
  <c r="T72" i="5"/>
  <c r="V613" i="5"/>
  <c r="T613" i="5"/>
  <c r="P947" i="5"/>
  <c r="V360" i="5"/>
  <c r="Q1207" i="5"/>
  <c r="P813" i="5"/>
  <c r="P725" i="5"/>
  <c r="V472" i="5"/>
  <c r="V528" i="5"/>
  <c r="T528" i="5"/>
  <c r="V376" i="5"/>
  <c r="V204" i="5"/>
  <c r="V250" i="5"/>
  <c r="V334" i="5"/>
  <c r="V473" i="5"/>
  <c r="T502" i="5"/>
  <c r="V519" i="5"/>
  <c r="Q1118" i="5"/>
  <c r="T645" i="5"/>
  <c r="P963" i="5"/>
  <c r="Q963" i="5"/>
  <c r="V136" i="5"/>
  <c r="V267" i="5"/>
  <c r="V340" i="5"/>
  <c r="V105" i="5"/>
  <c r="P762" i="5"/>
  <c r="P717" i="5"/>
  <c r="P974" i="5"/>
  <c r="T123" i="5"/>
  <c r="V123" i="5"/>
  <c r="V491" i="5"/>
  <c r="T385" i="5"/>
  <c r="V230" i="5"/>
  <c r="T217" i="5"/>
  <c r="Q981" i="5"/>
  <c r="T23" i="5"/>
  <c r="P781" i="5"/>
  <c r="Q781" i="5"/>
  <c r="Q1042" i="5"/>
  <c r="P911" i="5"/>
  <c r="P1154" i="5"/>
  <c r="T408" i="5"/>
  <c r="T119" i="5"/>
  <c r="V439" i="5"/>
  <c r="Q1067" i="5"/>
  <c r="Q894" i="5"/>
  <c r="T359" i="5"/>
  <c r="T622" i="5"/>
  <c r="Q1230" i="5"/>
  <c r="P1205" i="5"/>
  <c r="T168" i="5"/>
  <c r="Q1099" i="5"/>
  <c r="V363" i="5"/>
  <c r="V191" i="5"/>
  <c r="V609" i="5"/>
  <c r="V145" i="5"/>
  <c r="V178" i="5"/>
  <c r="V592" i="5"/>
  <c r="T552" i="5"/>
  <c r="V95" i="5"/>
  <c r="V420" i="5"/>
  <c r="P877" i="5"/>
  <c r="P1067" i="5"/>
  <c r="V169" i="5"/>
  <c r="V568" i="5"/>
  <c r="T103" i="5"/>
  <c r="V505" i="5"/>
  <c r="V534" i="5"/>
  <c r="P1098" i="5"/>
  <c r="Q765" i="5"/>
  <c r="P765" i="5"/>
  <c r="P679" i="5"/>
  <c r="P778" i="5"/>
  <c r="P662" i="5"/>
  <c r="T651" i="5"/>
  <c r="Q1071" i="5"/>
  <c r="V203" i="5"/>
  <c r="T448" i="5"/>
  <c r="V205" i="5"/>
  <c r="V45" i="5"/>
  <c r="T151" i="5"/>
  <c r="Q1233" i="5"/>
  <c r="P1233" i="5"/>
  <c r="T644" i="5"/>
  <c r="Q1103" i="5"/>
  <c r="P669" i="5"/>
  <c r="Q1130" i="5"/>
  <c r="V625" i="5"/>
  <c r="V626" i="5"/>
  <c r="V399" i="5"/>
  <c r="V32" i="5"/>
  <c r="V155" i="5"/>
  <c r="V211" i="5"/>
  <c r="V619" i="5"/>
  <c r="Q1062" i="5"/>
  <c r="P1062" i="5"/>
  <c r="Q1077" i="5"/>
  <c r="Q877" i="5"/>
  <c r="T557" i="5"/>
  <c r="T6" i="5"/>
  <c r="V492" i="5"/>
  <c r="Q1015" i="5"/>
  <c r="P901" i="5"/>
  <c r="Q1047" i="5"/>
  <c r="V572" i="5"/>
  <c r="V125" i="5"/>
  <c r="T95" i="5"/>
  <c r="V409" i="5"/>
  <c r="Q975" i="5"/>
  <c r="Q942" i="5"/>
  <c r="P942" i="5"/>
  <c r="Q1079" i="5"/>
  <c r="V55" i="5"/>
  <c r="V35" i="5"/>
  <c r="V54" i="5"/>
  <c r="Q885" i="5"/>
  <c r="P1165" i="5"/>
  <c r="T233" i="5"/>
  <c r="Q1217" i="5"/>
  <c r="P937" i="5"/>
  <c r="T183" i="5"/>
  <c r="Q1158" i="5"/>
  <c r="V549" i="5"/>
  <c r="V384" i="5"/>
  <c r="P783" i="5"/>
  <c r="P1095" i="5"/>
  <c r="P821" i="5"/>
  <c r="Q1093" i="5"/>
  <c r="Q1031" i="5"/>
  <c r="Q868" i="5"/>
  <c r="P868" i="5"/>
  <c r="Q1119" i="5"/>
  <c r="P789" i="5"/>
  <c r="Q1013" i="5"/>
  <c r="Q1170" i="5"/>
  <c r="T441" i="5"/>
  <c r="V298" i="5"/>
  <c r="V321" i="5"/>
  <c r="V336" i="5"/>
  <c r="T537" i="5"/>
  <c r="T527" i="5"/>
  <c r="T166" i="5"/>
  <c r="P729" i="5"/>
  <c r="Q729" i="5"/>
  <c r="Q1150" i="5"/>
  <c r="T631" i="5"/>
  <c r="T77" i="5"/>
  <c r="T214" i="5"/>
  <c r="V57" i="5"/>
  <c r="V246" i="5"/>
  <c r="Q857" i="5"/>
  <c r="P857" i="5"/>
  <c r="P1210" i="5"/>
  <c r="V262" i="5"/>
  <c r="Q732" i="5"/>
  <c r="P732" i="5"/>
  <c r="V503" i="5"/>
  <c r="V342" i="5"/>
  <c r="V615" i="5"/>
  <c r="Q997" i="5"/>
  <c r="T642" i="5"/>
  <c r="T327" i="5"/>
  <c r="P827" i="5"/>
  <c r="P910" i="5"/>
  <c r="T11" i="5"/>
  <c r="P777" i="5"/>
  <c r="Q777" i="5"/>
  <c r="Q687" i="5"/>
  <c r="V633" i="5"/>
  <c r="Q682" i="5"/>
  <c r="V139" i="5"/>
  <c r="V551" i="5"/>
  <c r="V121" i="5"/>
  <c r="V438" i="5"/>
  <c r="T356" i="5"/>
  <c r="Q1214" i="5"/>
  <c r="V216" i="5"/>
  <c r="V41" i="5"/>
  <c r="Q1038" i="5"/>
  <c r="P965" i="5"/>
  <c r="T536" i="5"/>
  <c r="V518" i="5"/>
  <c r="V119" i="5"/>
  <c r="T342" i="5"/>
  <c r="V73" i="5"/>
  <c r="T623" i="5"/>
  <c r="P1039" i="5"/>
  <c r="V567" i="5"/>
  <c r="T343" i="5"/>
  <c r="V249" i="5"/>
  <c r="V107" i="5"/>
  <c r="T436" i="5"/>
  <c r="P999" i="5"/>
  <c r="P950" i="5"/>
  <c r="T424" i="5"/>
  <c r="P757" i="5"/>
  <c r="T176" i="5"/>
  <c r="T566" i="5"/>
  <c r="V443" i="5"/>
  <c r="T649" i="5"/>
  <c r="T409" i="5"/>
  <c r="Q1004" i="5"/>
  <c r="P922" i="5"/>
  <c r="T25" i="5"/>
  <c r="Q802" i="5"/>
  <c r="Q806" i="5"/>
  <c r="T248" i="5"/>
  <c r="Q1199" i="5"/>
  <c r="P1149" i="5"/>
  <c r="T367" i="5"/>
  <c r="T369" i="5"/>
  <c r="P1175" i="5"/>
  <c r="Q1181" i="5"/>
  <c r="Q678" i="5"/>
  <c r="T264" i="5"/>
  <c r="T182" i="5"/>
  <c r="V134" i="5"/>
  <c r="P1078" i="5"/>
  <c r="T332" i="5"/>
  <c r="T189" i="5"/>
  <c r="T589" i="5"/>
  <c r="V175" i="5"/>
  <c r="V80" i="5"/>
  <c r="T97" i="5"/>
  <c r="V305" i="5"/>
  <c r="T98" i="5"/>
  <c r="T418" i="5"/>
  <c r="V578" i="5"/>
  <c r="V50" i="5"/>
  <c r="T464" i="5"/>
  <c r="V396" i="5"/>
  <c r="T488" i="5"/>
  <c r="Q693" i="5"/>
  <c r="P938" i="5"/>
  <c r="Q1218" i="5"/>
  <c r="P829" i="5"/>
  <c r="P1058" i="5"/>
  <c r="V92" i="5"/>
  <c r="P814" i="5"/>
  <c r="T41" i="5"/>
  <c r="T320" i="5"/>
  <c r="P883" i="5"/>
  <c r="P1187" i="5"/>
  <c r="T289" i="5"/>
  <c r="T232" i="5"/>
  <c r="V451" i="5"/>
  <c r="Q1087" i="5"/>
  <c r="V440" i="5"/>
  <c r="T271" i="5"/>
  <c r="V584" i="5"/>
  <c r="P1034" i="5"/>
  <c r="Q657" i="5"/>
  <c r="T265" i="5"/>
  <c r="V170" i="5"/>
  <c r="V318" i="5"/>
  <c r="T542" i="5"/>
  <c r="T208" i="5"/>
  <c r="T481" i="5"/>
  <c r="T114" i="5"/>
  <c r="T530" i="5"/>
  <c r="T115" i="5"/>
  <c r="T64" i="5"/>
  <c r="T66" i="5"/>
  <c r="T56" i="5"/>
  <c r="T647" i="5"/>
  <c r="Q823" i="5"/>
  <c r="Q1215" i="5"/>
  <c r="P1183" i="5"/>
  <c r="P709" i="5"/>
  <c r="Q797" i="5"/>
  <c r="P933" i="5"/>
  <c r="P807" i="5"/>
  <c r="Q706" i="5"/>
  <c r="Q954" i="5"/>
  <c r="T629" i="5"/>
  <c r="P694" i="5"/>
  <c r="V582" i="5"/>
  <c r="T612" i="5"/>
  <c r="V232" i="5"/>
  <c r="T617" i="5"/>
  <c r="P905" i="5"/>
  <c r="P1218" i="5"/>
  <c r="P959" i="5"/>
  <c r="P748" i="5"/>
  <c r="P849" i="5"/>
  <c r="Q709" i="5"/>
  <c r="T107" i="5"/>
  <c r="P1181" i="5"/>
  <c r="Q722" i="5"/>
  <c r="P835" i="5"/>
  <c r="Q1221" i="5"/>
  <c r="Q814" i="5"/>
  <c r="P682" i="5"/>
  <c r="P735" i="5"/>
  <c r="Q660" i="5"/>
  <c r="Q1014" i="5"/>
  <c r="V264" i="5"/>
  <c r="T412" i="5"/>
  <c r="V463" i="5"/>
  <c r="V353" i="5"/>
  <c r="T322" i="5"/>
  <c r="T562" i="5"/>
  <c r="T243" i="5"/>
  <c r="V67" i="5"/>
  <c r="T220" i="5"/>
  <c r="Q830" i="5"/>
  <c r="T646" i="5"/>
  <c r="T634" i="5"/>
  <c r="P951" i="5"/>
  <c r="Q1194" i="5"/>
  <c r="V99" i="5"/>
  <c r="P668" i="5"/>
  <c r="P985" i="5"/>
  <c r="Q1189" i="5"/>
  <c r="P1207" i="5"/>
  <c r="Q745" i="5"/>
  <c r="P1106" i="5"/>
  <c r="Q690" i="5"/>
  <c r="T230" i="5"/>
  <c r="Q1222" i="5"/>
  <c r="T199" i="5"/>
  <c r="Q879" i="5"/>
  <c r="T459" i="5"/>
  <c r="Q820" i="5"/>
  <c r="Q1174" i="5"/>
  <c r="Q714" i="5"/>
  <c r="V217" i="5"/>
  <c r="V28" i="5"/>
  <c r="V643" i="5"/>
  <c r="T583" i="5"/>
  <c r="Q986" i="5"/>
  <c r="T553" i="5"/>
  <c r="Q1180" i="5"/>
  <c r="T440" i="5"/>
  <c r="T90" i="5"/>
  <c r="P806" i="5"/>
  <c r="T122" i="5"/>
  <c r="Q938" i="5"/>
  <c r="T135" i="5"/>
  <c r="V617" i="5"/>
  <c r="V103" i="5"/>
  <c r="V457" i="5"/>
  <c r="T54" i="5"/>
  <c r="V470" i="5"/>
  <c r="V102" i="5"/>
  <c r="V454" i="5"/>
  <c r="V398" i="5"/>
  <c r="V25" i="5"/>
  <c r="V7" i="5"/>
  <c r="T263" i="5"/>
  <c r="V244" i="5"/>
  <c r="V487" i="5"/>
  <c r="V39" i="5"/>
  <c r="Q759" i="5"/>
  <c r="P1015" i="5"/>
  <c r="Q794" i="5"/>
  <c r="P1065" i="5"/>
  <c r="Q1109" i="5"/>
  <c r="T71" i="5"/>
  <c r="P693" i="5"/>
  <c r="V207" i="5"/>
  <c r="V214" i="5"/>
  <c r="V390" i="5"/>
  <c r="T348" i="5"/>
  <c r="V428" i="5"/>
  <c r="T344" i="5"/>
  <c r="Q962" i="5"/>
  <c r="T650" i="5"/>
  <c r="P1215" i="5"/>
  <c r="P1026" i="5"/>
  <c r="P687" i="5"/>
  <c r="Q1127" i="5"/>
  <c r="P1186" i="5"/>
  <c r="Q774" i="5"/>
  <c r="Q1229" i="5"/>
  <c r="P935" i="5"/>
  <c r="P1033" i="5"/>
  <c r="P964" i="5"/>
  <c r="T5" i="5"/>
  <c r="P1135" i="5"/>
  <c r="P1030" i="5"/>
  <c r="Q914" i="5"/>
  <c r="T167" i="5"/>
  <c r="T278" i="5"/>
  <c r="P954" i="5"/>
  <c r="V293" i="5"/>
  <c r="V37" i="5"/>
  <c r="T525" i="5"/>
  <c r="T395" i="5"/>
  <c r="T442" i="5"/>
  <c r="T223" i="5"/>
  <c r="T431" i="5"/>
  <c r="T273" i="5"/>
  <c r="T449" i="5"/>
  <c r="T177" i="5"/>
  <c r="T18" i="5"/>
  <c r="T386" i="5"/>
  <c r="T19" i="5"/>
  <c r="T323" i="5"/>
  <c r="T272" i="5"/>
  <c r="T497" i="5"/>
  <c r="T78" i="5"/>
  <c r="T614" i="5"/>
  <c r="Q991" i="5"/>
  <c r="Q733" i="5"/>
  <c r="P826" i="5"/>
  <c r="P1010" i="5"/>
  <c r="P815" i="5"/>
  <c r="Q1055" i="5"/>
  <c r="P869" i="5"/>
  <c r="P871" i="5"/>
  <c r="Q677" i="5"/>
  <c r="P1021" i="5"/>
  <c r="Q1050" i="5"/>
  <c r="V639" i="5"/>
  <c r="Q1094" i="5"/>
  <c r="P1116" i="5"/>
  <c r="Q1017" i="5"/>
  <c r="P863" i="5"/>
  <c r="P1191" i="5"/>
  <c r="P1022" i="5"/>
  <c r="P701" i="5"/>
  <c r="P802" i="5"/>
  <c r="P1170" i="5"/>
  <c r="P1199" i="5"/>
  <c r="P702" i="5"/>
  <c r="P930" i="5"/>
  <c r="Q933" i="5"/>
  <c r="Q1183" i="5"/>
  <c r="T567" i="5"/>
  <c r="P1002" i="5"/>
  <c r="V348" i="5"/>
  <c r="T315" i="5"/>
  <c r="V302" i="5"/>
  <c r="T12" i="5"/>
  <c r="V423" i="5"/>
  <c r="T150" i="5"/>
  <c r="T38" i="5"/>
  <c r="T582" i="5"/>
  <c r="T374" i="5"/>
  <c r="V263" i="5"/>
  <c r="V326" i="5"/>
  <c r="V358" i="5"/>
  <c r="V231" i="5"/>
  <c r="V419" i="5"/>
  <c r="T329" i="5"/>
  <c r="T252" i="5"/>
  <c r="T316" i="5"/>
  <c r="V380" i="5"/>
  <c r="V9" i="5"/>
  <c r="P767" i="5"/>
  <c r="Q1063" i="5"/>
  <c r="Q810" i="5"/>
  <c r="P1074" i="5"/>
  <c r="V651" i="5"/>
  <c r="P887" i="5"/>
  <c r="Q746" i="5"/>
  <c r="P837" i="5"/>
  <c r="Q1145" i="5"/>
  <c r="Q866" i="5"/>
  <c r="Q1029" i="5"/>
  <c r="Q1141" i="5"/>
  <c r="Q1045" i="5"/>
  <c r="Q850" i="5"/>
  <c r="P1069" i="5"/>
  <c r="V153" i="5"/>
  <c r="V87" i="5"/>
  <c r="V331" i="5"/>
  <c r="Q1182" i="5"/>
  <c r="T633" i="5"/>
  <c r="P1041" i="5"/>
  <c r="P663" i="5"/>
  <c r="P865" i="5"/>
  <c r="Q655" i="5"/>
  <c r="P770" i="5"/>
  <c r="Q1134" i="5"/>
  <c r="P1047" i="5"/>
  <c r="P996" i="5"/>
  <c r="T503" i="5"/>
  <c r="P1086" i="5"/>
  <c r="T575" i="5"/>
  <c r="P1114" i="5"/>
  <c r="T517" i="5"/>
  <c r="T156" i="5"/>
  <c r="T540" i="5"/>
  <c r="T282" i="5"/>
  <c r="T222" i="5"/>
  <c r="T30" i="5"/>
  <c r="T190" i="5"/>
  <c r="T526" i="5"/>
  <c r="T507" i="5"/>
  <c r="T143" i="5"/>
  <c r="T239" i="5"/>
  <c r="T335" i="5"/>
  <c r="V212" i="5"/>
  <c r="T596" i="5"/>
  <c r="T81" i="5"/>
  <c r="T498" i="5"/>
  <c r="T195" i="5"/>
  <c r="V563" i="5"/>
  <c r="T560" i="5"/>
  <c r="V59" i="5"/>
  <c r="T587" i="5"/>
  <c r="T221" i="5"/>
  <c r="T94" i="5"/>
  <c r="V24" i="5"/>
  <c r="T192" i="5"/>
  <c r="V70" i="5"/>
  <c r="V150" i="5"/>
  <c r="V566" i="5"/>
  <c r="V327" i="5"/>
  <c r="V406" i="5"/>
  <c r="T361" i="5"/>
  <c r="T247" i="5"/>
  <c r="V260" i="5"/>
  <c r="Q878" i="5"/>
  <c r="T628" i="5"/>
  <c r="V634" i="5"/>
  <c r="P661" i="5"/>
  <c r="P949" i="5"/>
  <c r="Q969" i="5"/>
  <c r="T246" i="5"/>
  <c r="T473" i="5"/>
  <c r="V295" i="5"/>
  <c r="Q922" i="5"/>
  <c r="Q978" i="5"/>
  <c r="P929" i="5"/>
  <c r="P898" i="5"/>
  <c r="P823" i="5"/>
  <c r="Q1034" i="5"/>
  <c r="P1171" i="5"/>
  <c r="P1150" i="5"/>
  <c r="P786" i="5"/>
  <c r="Q1161" i="5"/>
  <c r="P997" i="5"/>
  <c r="Q764" i="5"/>
  <c r="P1130" i="5"/>
  <c r="V441" i="5"/>
  <c r="V501" i="5"/>
  <c r="V245" i="5"/>
  <c r="T490" i="5"/>
  <c r="T468" i="5"/>
  <c r="V241" i="5"/>
  <c r="T400" i="5"/>
  <c r="V425" i="5"/>
  <c r="T75" i="5"/>
  <c r="V259" i="5"/>
  <c r="V351" i="5"/>
  <c r="P727" i="5"/>
  <c r="T619" i="5"/>
  <c r="V427" i="5"/>
  <c r="V161" i="5"/>
  <c r="P1231" i="5"/>
  <c r="Q1005" i="5"/>
  <c r="Q1007" i="5"/>
  <c r="P1169" i="5"/>
  <c r="P737" i="5"/>
  <c r="Q982" i="5"/>
  <c r="Q1081" i="5"/>
  <c r="Q1175" i="5"/>
  <c r="T397" i="5"/>
  <c r="V402" i="5"/>
  <c r="V485" i="5"/>
  <c r="V229" i="5"/>
  <c r="V573" i="5"/>
  <c r="T219" i="5"/>
  <c r="T571" i="5"/>
  <c r="V96" i="5"/>
  <c r="T451" i="5"/>
  <c r="V638" i="5"/>
  <c r="T638" i="5"/>
  <c r="P754" i="5"/>
  <c r="Q1061" i="5"/>
  <c r="Q855" i="5"/>
  <c r="V642" i="5"/>
  <c r="Q1066" i="5"/>
  <c r="Q818" i="5"/>
  <c r="V201" i="5"/>
  <c r="Q967" i="5"/>
  <c r="Q925" i="5"/>
  <c r="P1151" i="5"/>
  <c r="P1213" i="5"/>
  <c r="Q1187" i="5"/>
  <c r="P1198" i="5"/>
  <c r="T73" i="5"/>
  <c r="V13" i="5"/>
  <c r="V502" i="5"/>
  <c r="V213" i="5"/>
  <c r="V128" i="5"/>
  <c r="V240" i="5"/>
  <c r="T630" i="5"/>
  <c r="Q1126" i="5"/>
  <c r="P1142" i="5"/>
  <c r="Q1143" i="5"/>
  <c r="Q834" i="5"/>
  <c r="Q1173" i="5"/>
  <c r="T641" i="5"/>
  <c r="T639" i="5"/>
  <c r="Q1023" i="5"/>
  <c r="Q679" i="5"/>
  <c r="Q917" i="5"/>
  <c r="Q1085" i="5"/>
  <c r="P921" i="5"/>
  <c r="T605" i="5"/>
  <c r="T145" i="5"/>
  <c r="P1038" i="5"/>
  <c r="P916" i="5"/>
  <c r="V583" i="5"/>
  <c r="V220" i="5"/>
  <c r="V193" i="5"/>
  <c r="T588" i="5"/>
  <c r="T250" i="5"/>
  <c r="T446" i="5"/>
  <c r="T159" i="5"/>
  <c r="V129" i="5"/>
  <c r="V532" i="5"/>
  <c r="T141" i="5"/>
  <c r="T301" i="5"/>
  <c r="V612" i="5"/>
  <c r="Q1206" i="5"/>
  <c r="P831" i="5"/>
  <c r="Q1159" i="5"/>
  <c r="P1031" i="5"/>
  <c r="V649" i="5"/>
  <c r="V647" i="5"/>
  <c r="P1132" i="5"/>
  <c r="P876" i="5"/>
  <c r="P892" i="5"/>
  <c r="Q871" i="5"/>
  <c r="Q700" i="5"/>
  <c r="P1042" i="5"/>
  <c r="Q852" i="5"/>
  <c r="Q825" i="5"/>
  <c r="Q1188" i="5"/>
  <c r="V628" i="5"/>
  <c r="V631" i="5"/>
  <c r="P796" i="5"/>
  <c r="P1185" i="5"/>
  <c r="P889" i="5"/>
  <c r="P897" i="5"/>
  <c r="P855" i="5"/>
  <c r="P1077" i="5"/>
  <c r="P780" i="5"/>
  <c r="P798" i="5"/>
  <c r="P724" i="5"/>
  <c r="Q767" i="5"/>
  <c r="P858" i="5"/>
  <c r="Q717" i="5"/>
  <c r="Q754" i="5"/>
  <c r="Q869" i="5"/>
  <c r="Q847" i="5"/>
  <c r="Q1148" i="5"/>
  <c r="P1101" i="5"/>
  <c r="Q887" i="5"/>
  <c r="P681" i="5"/>
  <c r="Q1142" i="5"/>
  <c r="V650" i="5"/>
  <c r="P810" i="5"/>
  <c r="Q1122" i="5"/>
  <c r="Q1111" i="5"/>
  <c r="P801" i="5"/>
  <c r="P1061" i="5"/>
  <c r="P908" i="5"/>
  <c r="V630" i="5"/>
  <c r="P1023" i="5"/>
  <c r="P1093" i="5"/>
  <c r="Q1054" i="5"/>
  <c r="Q1177" i="5"/>
  <c r="Q1153" i="5"/>
  <c r="Q817" i="5"/>
  <c r="P1201" i="5"/>
  <c r="P881" i="5"/>
  <c r="P705" i="5"/>
  <c r="Q961" i="5"/>
  <c r="P794" i="5"/>
  <c r="P1141" i="5"/>
  <c r="P818" i="5"/>
  <c r="Q841" i="5"/>
  <c r="P882" i="5"/>
  <c r="P1103" i="5"/>
  <c r="Q990" i="5"/>
  <c r="P772" i="5"/>
  <c r="Q863" i="5"/>
  <c r="P986" i="5"/>
  <c r="Q1021" i="5"/>
  <c r="P788" i="5"/>
  <c r="P834" i="5"/>
  <c r="P673" i="5"/>
  <c r="Q809" i="5"/>
  <c r="Q1095" i="5"/>
  <c r="P1138" i="5"/>
  <c r="P708" i="5"/>
  <c r="Q1212" i="5"/>
  <c r="Q826" i="5"/>
  <c r="Q828" i="5"/>
  <c r="P838" i="5"/>
  <c r="P721" i="5"/>
  <c r="Q1231" i="5"/>
  <c r="P1204" i="5"/>
  <c r="P850" i="5"/>
  <c r="P1143" i="5"/>
  <c r="P866" i="5"/>
  <c r="Q946" i="5"/>
  <c r="P746" i="5"/>
  <c r="Q842" i="5"/>
  <c r="P733" i="5"/>
  <c r="Q661" i="5"/>
  <c r="Q860" i="5"/>
  <c r="P1178" i="5"/>
  <c r="V645" i="5"/>
  <c r="P991" i="5"/>
  <c r="P1145" i="5"/>
  <c r="P1018" i="5"/>
  <c r="P970" i="5"/>
  <c r="P975" i="5"/>
  <c r="P1073" i="5"/>
  <c r="P833" i="5"/>
  <c r="P1159" i="5"/>
  <c r="P677" i="5"/>
  <c r="P1066" i="5"/>
  <c r="Q1010" i="5"/>
  <c r="P948" i="5"/>
  <c r="P1126" i="5"/>
  <c r="P932" i="5"/>
  <c r="T637" i="5"/>
  <c r="V636" i="5"/>
  <c r="Q1065" i="5"/>
  <c r="P1045" i="5"/>
  <c r="P1196" i="5"/>
  <c r="P978" i="5"/>
  <c r="P1197" i="5"/>
  <c r="P1109" i="5"/>
  <c r="Q783" i="5"/>
  <c r="P874" i="5"/>
  <c r="V637" i="5"/>
  <c r="Q756" i="5"/>
  <c r="Q940" i="5"/>
  <c r="Q697" i="5"/>
  <c r="Q815" i="5"/>
  <c r="Q1039" i="5"/>
  <c r="P1082" i="5"/>
  <c r="P790" i="5"/>
  <c r="P1193" i="5"/>
  <c r="P1025" i="5"/>
  <c r="P1166" i="5"/>
  <c r="P1076" i="5"/>
  <c r="P1118" i="5"/>
  <c r="Q1058" i="5"/>
  <c r="Q1028" i="5"/>
  <c r="Q829" i="5"/>
  <c r="P830" i="5"/>
  <c r="Q1157" i="5"/>
  <c r="P1001" i="5"/>
  <c r="P1055" i="5"/>
  <c r="V629" i="5"/>
  <c r="Q821" i="5"/>
  <c r="V623" i="5"/>
  <c r="T615" i="5"/>
  <c r="T57" i="5"/>
  <c r="T22" i="5"/>
  <c r="V393" i="5"/>
  <c r="T364" i="5"/>
  <c r="T534" i="5"/>
  <c r="T121" i="5"/>
  <c r="T70" i="5"/>
  <c r="V38" i="5"/>
  <c r="V565" i="5"/>
  <c r="T309" i="5"/>
  <c r="V53" i="5"/>
  <c r="V508" i="5"/>
  <c r="T426" i="5"/>
  <c r="T286" i="5"/>
  <c r="T606" i="5"/>
  <c r="T511" i="5"/>
  <c r="T607" i="5"/>
  <c r="T226" i="5"/>
  <c r="T593" i="5"/>
  <c r="T52" i="5"/>
  <c r="T33" i="5"/>
  <c r="V403" i="5"/>
  <c r="V435" i="5"/>
  <c r="V60" i="5"/>
  <c r="V604" i="5"/>
  <c r="T598" i="5"/>
  <c r="V569" i="5"/>
  <c r="T365" i="5"/>
  <c r="T505" i="5"/>
  <c r="V310" i="5"/>
  <c r="V599" i="5"/>
  <c r="T102" i="5"/>
  <c r="T295" i="5"/>
  <c r="T390" i="5"/>
  <c r="T39" i="5"/>
  <c r="V533" i="5"/>
  <c r="V277" i="5"/>
  <c r="V21" i="5"/>
  <c r="V185" i="5"/>
  <c r="V544" i="5"/>
  <c r="T236" i="5"/>
  <c r="T380" i="5"/>
  <c r="V237" i="5"/>
  <c r="T112" i="5"/>
  <c r="T231" i="5"/>
  <c r="T155" i="5"/>
  <c r="T423" i="5"/>
  <c r="V316" i="5"/>
  <c r="V118" i="5"/>
  <c r="V374" i="5"/>
  <c r="T211" i="5"/>
  <c r="T308" i="5"/>
  <c r="T420" i="5"/>
  <c r="T172" i="5"/>
  <c r="V108" i="5"/>
  <c r="V192" i="5"/>
  <c r="T411" i="5"/>
  <c r="T201" i="5"/>
  <c r="T568" i="5"/>
  <c r="T153" i="5"/>
  <c r="T549" i="5"/>
  <c r="V265" i="5"/>
  <c r="V571" i="5"/>
  <c r="T170" i="5"/>
  <c r="T538" i="5"/>
  <c r="V46" i="5"/>
  <c r="V447" i="5"/>
  <c r="V208" i="5"/>
  <c r="T355" i="5"/>
  <c r="V307" i="5"/>
  <c r="T595" i="5"/>
  <c r="V356" i="5"/>
  <c r="T532" i="5"/>
  <c r="T401" i="5"/>
  <c r="T529" i="5"/>
  <c r="V115" i="5"/>
  <c r="T20" i="5"/>
  <c r="V164" i="5"/>
  <c r="V320" i="5"/>
  <c r="T576" i="5"/>
  <c r="T492" i="5"/>
  <c r="T36" i="5"/>
  <c r="V289" i="5"/>
  <c r="V172" i="5"/>
  <c r="T444" i="5"/>
  <c r="T611" i="5"/>
  <c r="T7" i="5"/>
  <c r="T358" i="5"/>
  <c r="V468" i="5"/>
  <c r="V471" i="5"/>
  <c r="T558" i="5"/>
  <c r="T255" i="5"/>
  <c r="V188" i="5"/>
  <c r="V14" i="5"/>
  <c r="T487" i="5"/>
  <c r="V166" i="5"/>
  <c r="V588" i="5"/>
  <c r="V347" i="5"/>
  <c r="T463" i="5"/>
  <c r="V113" i="5"/>
  <c r="V290" i="5"/>
  <c r="V436" i="5"/>
  <c r="V585" i="5"/>
  <c r="V301" i="5"/>
  <c r="T398" i="5"/>
  <c r="V520" i="5"/>
  <c r="V79" i="5"/>
  <c r="V345" i="5"/>
  <c r="V253" i="5"/>
  <c r="T110" i="5"/>
  <c r="T238" i="5"/>
  <c r="T244" i="5"/>
  <c r="T147" i="5"/>
  <c r="T164" i="5"/>
  <c r="T470" i="5"/>
  <c r="T438" i="5"/>
  <c r="V247" i="5"/>
  <c r="T229" i="5"/>
  <c r="V110" i="5"/>
  <c r="V287" i="5"/>
  <c r="V224" i="5"/>
  <c r="V36" i="5"/>
  <c r="V562" i="5"/>
  <c r="V147" i="5"/>
  <c r="V243" i="5"/>
  <c r="V602" i="5"/>
  <c r="V368" i="5"/>
  <c r="T216" i="5"/>
  <c r="V311" i="5"/>
  <c r="V283" i="5"/>
  <c r="T126" i="5"/>
  <c r="T131" i="5"/>
  <c r="V552" i="5"/>
  <c r="V527" i="5"/>
  <c r="V252" i="5"/>
  <c r="T478" i="5"/>
  <c r="V43" i="5"/>
  <c r="V179" i="5"/>
  <c r="V387" i="5"/>
  <c r="V372" i="5"/>
  <c r="V516" i="5"/>
  <c r="V496" i="5"/>
  <c r="T300" i="5"/>
  <c r="V556" i="5"/>
  <c r="T551" i="5"/>
  <c r="V546" i="5"/>
  <c r="V500" i="5"/>
  <c r="V381" i="5"/>
  <c r="V222" i="5"/>
  <c r="V332" i="5"/>
  <c r="V98" i="5"/>
  <c r="T237" i="5"/>
  <c r="T45" i="5"/>
  <c r="V315" i="5"/>
  <c r="T79" i="5"/>
  <c r="V542" i="5"/>
  <c r="V559" i="5"/>
  <c r="V114" i="5"/>
  <c r="V488" i="5"/>
  <c r="V497" i="5"/>
  <c r="V238" i="5"/>
  <c r="V561" i="5"/>
  <c r="T113" i="5"/>
  <c r="T290" i="5"/>
  <c r="T371" i="5"/>
  <c r="T277" i="5"/>
  <c r="V365" i="5"/>
  <c r="T245" i="5"/>
  <c r="V611" i="5"/>
  <c r="T188" i="5"/>
  <c r="V460" i="5"/>
  <c r="T569" i="5"/>
  <c r="V272" i="5"/>
  <c r="V140" i="5"/>
  <c r="V112" i="5"/>
  <c r="V355" i="5"/>
  <c r="T524" i="5"/>
  <c r="V255" i="5"/>
  <c r="T213" i="5"/>
  <c r="V285" i="5"/>
  <c r="T139" i="5"/>
  <c r="T363" i="5"/>
  <c r="T298" i="5"/>
  <c r="T43" i="5"/>
  <c r="T74" i="5"/>
  <c r="V202" i="5"/>
  <c r="V27" i="5"/>
  <c r="V462" i="5"/>
  <c r="T574" i="5"/>
  <c r="T191" i="5"/>
  <c r="T399" i="5"/>
  <c r="V479" i="5"/>
  <c r="T32" i="5"/>
  <c r="V385" i="5"/>
  <c r="T609" i="5"/>
  <c r="V306" i="5"/>
  <c r="T179" i="5"/>
  <c r="T260" i="5"/>
  <c r="V580" i="5"/>
  <c r="V51" i="5"/>
  <c r="T35" i="5"/>
  <c r="T321" i="5"/>
  <c r="T178" i="5"/>
  <c r="T387" i="5"/>
  <c r="V483" i="5"/>
  <c r="V84" i="5"/>
  <c r="V196" i="5"/>
  <c r="T372" i="5"/>
  <c r="T516" i="5"/>
  <c r="V256" i="5"/>
  <c r="T336" i="5"/>
  <c r="T416" i="5"/>
  <c r="T592" i="5"/>
  <c r="T600" i="5"/>
  <c r="T157" i="5"/>
  <c r="V541" i="5"/>
  <c r="T314" i="5"/>
  <c r="V275" i="5"/>
  <c r="T259" i="5"/>
  <c r="T106" i="5"/>
  <c r="T61" i="5"/>
  <c r="T46" i="5"/>
  <c r="T373" i="5"/>
  <c r="V453" i="5"/>
  <c r="V62" i="5"/>
  <c r="V144" i="5"/>
  <c r="T482" i="5"/>
  <c r="V434" i="5"/>
  <c r="T100" i="5"/>
  <c r="V142" i="5"/>
  <c r="T44" i="5"/>
  <c r="V598" i="5"/>
  <c r="T548" i="5"/>
  <c r="T599" i="5"/>
  <c r="T414" i="5"/>
  <c r="V596" i="5"/>
  <c r="V271" i="5"/>
  <c r="V344" i="5"/>
  <c r="T425" i="5"/>
  <c r="V138" i="5"/>
  <c r="V558" i="5"/>
  <c r="T181" i="5"/>
  <c r="V366" i="5"/>
  <c r="T209" i="5"/>
  <c r="T34" i="5"/>
  <c r="T148" i="5"/>
  <c r="T48" i="5"/>
  <c r="V577" i="5"/>
  <c r="V354" i="5"/>
  <c r="T283" i="5"/>
  <c r="V300" i="5"/>
  <c r="V557" i="5"/>
  <c r="T509" i="5"/>
  <c r="V371" i="5"/>
  <c r="V236" i="5"/>
  <c r="V421" i="5"/>
  <c r="V165" i="5"/>
  <c r="V254" i="5"/>
  <c r="T586" i="5"/>
  <c r="T251" i="5"/>
  <c r="T108" i="5"/>
  <c r="T413" i="5"/>
  <c r="T16" i="5"/>
  <c r="V11" i="5"/>
  <c r="V581" i="5"/>
  <c r="V325" i="5"/>
  <c r="V69" i="5"/>
  <c r="V405" i="5"/>
  <c r="T149" i="5"/>
  <c r="V377" i="5"/>
  <c r="T521" i="5"/>
  <c r="T76" i="5"/>
  <c r="T268" i="5"/>
  <c r="T93" i="5"/>
  <c r="V554" i="5"/>
  <c r="V171" i="5"/>
  <c r="V570" i="5"/>
  <c r="T187" i="5"/>
  <c r="T510" i="5"/>
  <c r="T160" i="5"/>
  <c r="T324" i="5"/>
  <c r="T17" i="5"/>
  <c r="T180" i="5"/>
  <c r="T292" i="5"/>
  <c r="T228" i="5"/>
  <c r="T337" i="5"/>
  <c r="T210" i="5"/>
  <c r="T388" i="5"/>
  <c r="T564" i="5"/>
  <c r="T173" i="5"/>
  <c r="V429" i="5"/>
  <c r="V553" i="5"/>
  <c r="T28" i="5"/>
  <c r="V269" i="5"/>
  <c r="T591" i="5"/>
  <c r="V579" i="5"/>
  <c r="V515" i="5"/>
  <c r="T169" i="5"/>
  <c r="V131" i="5"/>
  <c r="V461" i="5"/>
  <c r="V270" i="5"/>
  <c r="T462" i="5"/>
  <c r="V317" i="5"/>
  <c r="T379" i="5"/>
  <c r="V523" i="5"/>
  <c r="V174" i="5"/>
  <c r="V382" i="5"/>
  <c r="V590" i="5"/>
  <c r="V303" i="5"/>
  <c r="V338" i="5"/>
  <c r="V227" i="5"/>
  <c r="T499" i="5"/>
  <c r="T452" i="5"/>
  <c r="V466" i="5"/>
  <c r="V594" i="5"/>
  <c r="T163" i="5"/>
  <c r="V291" i="5"/>
  <c r="V116" i="5"/>
  <c r="V352" i="5"/>
  <c r="V512" i="5"/>
  <c r="V608" i="5"/>
  <c r="T161" i="5"/>
  <c r="T62" i="5"/>
  <c r="T84" i="5"/>
  <c r="T541" i="5"/>
  <c r="T556" i="5"/>
  <c r="V600" i="5"/>
  <c r="T389" i="5"/>
  <c r="V133" i="5"/>
  <c r="V268" i="5"/>
  <c r="V319" i="5"/>
  <c r="V160" i="5"/>
  <c r="V82" i="5"/>
  <c r="V370" i="5"/>
  <c r="V292" i="5"/>
  <c r="V337" i="5"/>
  <c r="V276" i="5"/>
  <c r="V388" i="5"/>
  <c r="T68" i="5"/>
  <c r="V124" i="5"/>
  <c r="T351" i="5"/>
  <c r="T111" i="5"/>
  <c r="T572" i="5"/>
  <c r="T196" i="5"/>
  <c r="V482" i="5"/>
  <c r="V64" i="5"/>
  <c r="V12" i="5"/>
  <c r="V44" i="5"/>
  <c r="V157" i="5"/>
  <c r="V537" i="5"/>
  <c r="V373" i="5"/>
  <c r="T117" i="5"/>
  <c r="V299" i="5"/>
  <c r="V555" i="5"/>
  <c r="V314" i="5"/>
  <c r="V426" i="5"/>
  <c r="T430" i="5"/>
  <c r="V42" i="5"/>
  <c r="V606" i="5"/>
  <c r="V607" i="5"/>
  <c r="V593" i="5"/>
  <c r="T531" i="5"/>
  <c r="T604" i="5"/>
  <c r="T256" i="5"/>
  <c r="T501" i="5"/>
  <c r="T435" i="5"/>
  <c r="T610" i="5"/>
  <c r="V478" i="5"/>
  <c r="T101" i="5"/>
  <c r="T601" i="5"/>
  <c r="T349" i="5"/>
  <c r="T27" i="5"/>
  <c r="T26" i="5"/>
  <c r="V442" i="5"/>
  <c r="T158" i="5"/>
  <c r="V415" i="5"/>
  <c r="V414" i="5"/>
  <c r="V127" i="5"/>
  <c r="V543" i="5"/>
  <c r="V449" i="5"/>
  <c r="T546" i="5"/>
  <c r="T275" i="5"/>
  <c r="T547" i="5"/>
  <c r="V225" i="5"/>
  <c r="T513" i="5"/>
  <c r="T258" i="5"/>
  <c r="V19" i="5"/>
  <c r="T132" i="5"/>
  <c r="T65" i="5"/>
  <c r="T304" i="5"/>
  <c r="T83" i="5"/>
  <c r="V548" i="5"/>
  <c r="T313" i="5"/>
  <c r="T362" i="5"/>
  <c r="T140" i="5"/>
  <c r="T429" i="5"/>
  <c r="V78" i="5"/>
  <c r="T47" i="5"/>
  <c r="T496" i="5"/>
  <c r="V475" i="5"/>
  <c r="T142" i="5"/>
  <c r="T341" i="5"/>
  <c r="T144" i="5"/>
  <c r="T51" i="5"/>
  <c r="V15" i="5"/>
  <c r="V560" i="5"/>
  <c r="V587" i="5"/>
  <c r="T483" i="5"/>
  <c r="V469" i="5"/>
  <c r="T333" i="5"/>
  <c r="T331" i="5"/>
  <c r="T453" i="5"/>
  <c r="T197" i="5"/>
  <c r="V74" i="5"/>
  <c r="V206" i="5"/>
  <c r="V446" i="5"/>
  <c r="T285" i="5"/>
  <c r="T495" i="5"/>
  <c r="T404" i="5"/>
  <c r="V47" i="5"/>
  <c r="T85" i="5"/>
  <c r="V335" i="5"/>
  <c r="V477" i="5"/>
  <c r="T125" i="5"/>
  <c r="V100" i="5"/>
  <c r="T485" i="5"/>
  <c r="T396" i="5"/>
  <c r="T307" i="5"/>
  <c r="V576" i="5"/>
  <c r="T14" i="5"/>
  <c r="T467" i="5"/>
  <c r="T49" i="5"/>
  <c r="T597" i="5"/>
  <c r="V526" i="5"/>
  <c r="V195" i="5"/>
  <c r="V221" i="5"/>
  <c r="T306" i="5"/>
  <c r="V10" i="5"/>
  <c r="T60" i="5"/>
  <c r="V66" i="5"/>
  <c r="V126" i="5"/>
  <c r="V538" i="5"/>
  <c r="T479" i="5"/>
  <c r="V194" i="5"/>
  <c r="V432" i="5"/>
  <c r="V476" i="5"/>
  <c r="V350" i="5"/>
  <c r="V284" i="5"/>
  <c r="T381" i="5"/>
  <c r="V413" i="5"/>
  <c r="T266" i="5"/>
  <c r="T434" i="5"/>
  <c r="V595" i="5"/>
  <c r="V386" i="5"/>
  <c r="T305" i="5"/>
  <c r="V75" i="5"/>
  <c r="T53" i="5"/>
  <c r="V589" i="5"/>
  <c r="T59" i="5"/>
  <c r="V97" i="5"/>
  <c r="V418" i="5"/>
  <c r="T578" i="5"/>
  <c r="T563" i="5"/>
  <c r="V76" i="5"/>
  <c r="T124" i="5"/>
  <c r="V601" i="5"/>
  <c r="T370" i="5"/>
  <c r="V30" i="5"/>
  <c r="T212" i="5"/>
  <c r="V176" i="5"/>
  <c r="V400" i="5"/>
  <c r="V219" i="5"/>
  <c r="T206" i="5"/>
  <c r="T50" i="5"/>
  <c r="V530" i="5"/>
  <c r="V308" i="5"/>
  <c r="V521" i="5"/>
  <c r="V210" i="5"/>
  <c r="V511" i="5"/>
  <c r="V52" i="5"/>
  <c r="V242" i="5"/>
  <c r="V18" i="5"/>
  <c r="T500" i="5"/>
  <c r="T37" i="5"/>
  <c r="V304" i="5"/>
  <c r="T203" i="5"/>
  <c r="T415" i="5"/>
  <c r="T284" i="5"/>
  <c r="V94" i="5"/>
  <c r="V464" i="5"/>
  <c r="T533" i="5"/>
  <c r="V362" i="5"/>
  <c r="V130" i="5"/>
  <c r="V177" i="5"/>
  <c r="V401" i="5"/>
  <c r="V93" i="5"/>
  <c r="T276" i="5"/>
  <c r="V540" i="5"/>
  <c r="T555" i="5"/>
  <c r="V190" i="5"/>
  <c r="T116" i="5"/>
  <c r="T133" i="5"/>
  <c r="T477" i="5"/>
  <c r="T174" i="5"/>
  <c r="V490" i="5"/>
  <c r="V437" i="5"/>
  <c r="T185" i="5"/>
  <c r="V539" i="5"/>
  <c r="V159" i="5"/>
  <c r="T559" i="5"/>
  <c r="T129" i="5"/>
  <c r="T561" i="5"/>
  <c r="V450" i="5"/>
  <c r="V510" i="5"/>
  <c r="V180" i="5"/>
  <c r="V364" i="5"/>
  <c r="V286" i="5"/>
  <c r="T512" i="5"/>
  <c r="V239" i="5"/>
  <c r="T175" i="5"/>
  <c r="T382" i="5"/>
  <c r="T205" i="5"/>
  <c r="V369" i="5"/>
  <c r="V17" i="5"/>
  <c r="V394" i="5"/>
  <c r="T543" i="5"/>
  <c r="V547" i="5"/>
  <c r="V513" i="5"/>
  <c r="T319" i="5"/>
  <c r="V498" i="5"/>
  <c r="T403" i="5"/>
  <c r="T302" i="5"/>
  <c r="V173" i="5"/>
  <c r="V65" i="5"/>
  <c r="V81" i="5"/>
  <c r="T171" i="5"/>
  <c r="V187" i="5"/>
  <c r="V223" i="5"/>
  <c r="V132" i="5"/>
  <c r="V156" i="5"/>
  <c r="T127" i="5"/>
  <c r="T565" i="5"/>
  <c r="V313" i="5"/>
  <c r="T227" i="5"/>
  <c r="V226" i="5"/>
  <c r="V525" i="5"/>
  <c r="V273" i="5"/>
  <c r="T82" i="5"/>
  <c r="T42" i="5"/>
  <c r="T242" i="5"/>
  <c r="V228" i="5"/>
  <c r="V448" i="5"/>
  <c r="V431" i="5"/>
  <c r="V349" i="5"/>
  <c r="V26" i="5"/>
  <c r="T69" i="5"/>
  <c r="V282" i="5"/>
  <c r="V83" i="5"/>
  <c r="T293" i="5"/>
  <c r="T249" i="5"/>
  <c r="T21" i="5"/>
  <c r="V234" i="5"/>
  <c r="T357" i="5"/>
  <c r="V101" i="5"/>
  <c r="T476" i="5"/>
  <c r="T461" i="5"/>
  <c r="T154" i="5"/>
  <c r="V379" i="5"/>
  <c r="T475" i="5"/>
  <c r="T350" i="5"/>
  <c r="T15" i="5"/>
  <c r="V378" i="5"/>
  <c r="V266" i="5"/>
  <c r="T270" i="5"/>
  <c r="V494" i="5"/>
  <c r="V417" i="5"/>
  <c r="V433" i="5"/>
  <c r="V163" i="5"/>
  <c r="T291" i="5"/>
  <c r="V68" i="5"/>
  <c r="V564" i="5"/>
  <c r="V33" i="5"/>
  <c r="V389" i="5"/>
  <c r="V395" i="5"/>
  <c r="V323" i="5"/>
  <c r="T162" i="5"/>
  <c r="T581" i="5"/>
  <c r="V143" i="5"/>
  <c r="V597" i="5"/>
  <c r="V341" i="5"/>
  <c r="V85" i="5"/>
  <c r="T299" i="5"/>
  <c r="T10" i="5"/>
  <c r="T523" i="5"/>
  <c r="T590" i="5"/>
  <c r="V209" i="5"/>
  <c r="V34" i="5"/>
  <c r="T338" i="5"/>
  <c r="V499" i="5"/>
  <c r="V148" i="5"/>
  <c r="T339" i="5"/>
  <c r="V465" i="5"/>
  <c r="T577" i="5"/>
  <c r="T354" i="5"/>
  <c r="T466" i="5"/>
  <c r="T594" i="5"/>
  <c r="V531" i="5"/>
  <c r="V484" i="5"/>
  <c r="T288" i="5"/>
  <c r="T352" i="5"/>
  <c r="T608" i="5"/>
  <c r="V154" i="5"/>
  <c r="V591" i="5"/>
  <c r="V288" i="5"/>
  <c r="V49" i="5"/>
  <c r="T384" i="5"/>
  <c r="V149" i="5"/>
  <c r="T317" i="5"/>
  <c r="T377" i="5"/>
  <c r="V258" i="5"/>
  <c r="V324" i="5"/>
  <c r="V495" i="5"/>
  <c r="V77" i="5"/>
  <c r="T269" i="5"/>
  <c r="T515" i="5"/>
  <c r="V189" i="5"/>
  <c r="T366" i="5"/>
  <c r="T570" i="5"/>
  <c r="T421" i="5"/>
  <c r="T579" i="5"/>
  <c r="T318" i="5"/>
  <c r="V309" i="5"/>
  <c r="T80" i="5"/>
  <c r="T405" i="5"/>
  <c r="T241" i="5"/>
  <c r="T130" i="5"/>
  <c r="T506" i="5"/>
  <c r="V586" i="5"/>
  <c r="V357" i="5"/>
  <c r="V181" i="5"/>
  <c r="V517" i="5"/>
  <c r="V261" i="5"/>
  <c r="T254" i="5"/>
  <c r="T165" i="5"/>
  <c r="T303" i="5"/>
  <c r="T63" i="5"/>
  <c r="T240" i="5"/>
  <c r="T469" i="5"/>
  <c r="T544" i="5"/>
  <c r="T417" i="5"/>
  <c r="V339" i="5"/>
  <c r="V404" i="5"/>
  <c r="T484" i="5"/>
  <c r="T465" i="5"/>
  <c r="T225" i="5"/>
  <c r="V430" i="5"/>
  <c r="V507" i="5"/>
  <c r="T207" i="5"/>
  <c r="T554" i="5"/>
  <c r="V48" i="5"/>
  <c r="T325" i="5"/>
  <c r="T508" i="5"/>
  <c r="V117" i="5"/>
  <c r="V411" i="5"/>
  <c r="V158" i="5"/>
  <c r="T194" i="5"/>
  <c r="T433" i="5"/>
  <c r="T334" i="5"/>
  <c r="T432" i="5"/>
  <c r="T204" i="5"/>
  <c r="T514" i="5"/>
  <c r="T573" i="5"/>
  <c r="V251" i="5"/>
  <c r="V197" i="5"/>
  <c r="T494" i="5"/>
  <c r="V603" i="5"/>
  <c r="V452" i="5"/>
  <c r="V467" i="5"/>
  <c r="V218" i="5"/>
  <c r="V162" i="5"/>
  <c r="T437" i="5"/>
  <c r="T378" i="5"/>
  <c r="T539" i="5"/>
  <c r="A33" i="3" l="1"/>
  <c r="A8" i="3"/>
  <c r="A22" i="3"/>
  <c r="A21" i="3"/>
  <c r="A30" i="3"/>
  <c r="A31" i="3"/>
  <c r="A11" i="3"/>
  <c r="A26" i="3"/>
  <c r="A27" i="3"/>
  <c r="A12" i="3"/>
  <c r="A5" i="3"/>
  <c r="A29" i="3"/>
  <c r="A32" i="3"/>
  <c r="A15" i="3"/>
  <c r="A23" i="3"/>
  <c r="A17" i="3"/>
  <c r="A14" i="3"/>
  <c r="A24" i="3"/>
  <c r="A6" i="3"/>
  <c r="A19" i="3"/>
  <c r="A7" i="3"/>
  <c r="A28" i="3"/>
  <c r="A25" i="3"/>
  <c r="A20" i="3"/>
  <c r="A18" i="3"/>
  <c r="A9" i="3"/>
  <c r="A34" i="3"/>
  <c r="A16" i="3"/>
  <c r="A10" i="3"/>
  <c r="A13" i="3"/>
  <c r="U4" i="3"/>
  <c r="V4" i="3"/>
  <c r="A18" i="5"/>
  <c r="A12" i="5"/>
  <c r="A32" i="5"/>
  <c r="A9" i="5"/>
  <c r="A27" i="5"/>
  <c r="A15" i="5"/>
  <c r="A20" i="5"/>
  <c r="A6" i="5"/>
  <c r="A34" i="5"/>
  <c r="A13" i="5"/>
  <c r="A21" i="5"/>
  <c r="A19" i="5"/>
  <c r="A5" i="5"/>
  <c r="A11" i="5"/>
  <c r="A28" i="5"/>
  <c r="A29" i="5"/>
  <c r="A22" i="5"/>
  <c r="A33" i="5"/>
  <c r="A30" i="5"/>
  <c r="A25" i="5"/>
  <c r="A23" i="5"/>
  <c r="A14" i="5"/>
  <c r="A16" i="5"/>
  <c r="A31" i="5"/>
  <c r="A10" i="5"/>
  <c r="A17" i="5"/>
  <c r="A8" i="5"/>
  <c r="A24" i="5"/>
  <c r="A26" i="5"/>
  <c r="A7" i="5"/>
  <c r="V4" i="5"/>
  <c r="U4" i="5"/>
</calcChain>
</file>

<file path=xl/sharedStrings.xml><?xml version="1.0" encoding="utf-8"?>
<sst xmlns="http://schemas.openxmlformats.org/spreadsheetml/2006/main" count="3792" uniqueCount="68">
  <si>
    <t>Date</t>
  </si>
  <si>
    <t>Time</t>
  </si>
  <si>
    <t>Visitor</t>
  </si>
  <si>
    <t>PTS Visitor</t>
  </si>
  <si>
    <t>Home</t>
  </si>
  <si>
    <t>PTS Home</t>
  </si>
  <si>
    <t>7:30p</t>
  </si>
  <si>
    <t>Los Angeles Lakers</t>
  </si>
  <si>
    <t>Denver Nuggets</t>
  </si>
  <si>
    <t>10:00p</t>
  </si>
  <si>
    <t>Phoenix Suns</t>
  </si>
  <si>
    <t>Golden State Warriors</t>
  </si>
  <si>
    <t>7:00p</t>
  </si>
  <si>
    <t>Houston Rockets</t>
  </si>
  <si>
    <t>Orlando Magic</t>
  </si>
  <si>
    <t>Boston Celtics</t>
  </si>
  <si>
    <t>New York Knicks</t>
  </si>
  <si>
    <t>Washington Wizards</t>
  </si>
  <si>
    <t>Indiana Pacers</t>
  </si>
  <si>
    <t>Atlanta Hawks</t>
  </si>
  <si>
    <t>Charlotte Hornets</t>
  </si>
  <si>
    <t>Detroit Pistons</t>
  </si>
  <si>
    <t>Miami Heat</t>
  </si>
  <si>
    <t>Minnesota Timberwolves</t>
  </si>
  <si>
    <t>Toronto Raptors</t>
  </si>
  <si>
    <t>Cleveland Cavaliers</t>
  </si>
  <si>
    <t>Brooklyn Nets</t>
  </si>
  <si>
    <t>8:00p</t>
  </si>
  <si>
    <t>New Orleans Pelicans</t>
  </si>
  <si>
    <t>Memphis Grizzlies</t>
  </si>
  <si>
    <t>Oklahoma City Thunder</t>
  </si>
  <si>
    <t>Chicago Bulls</t>
  </si>
  <si>
    <t>9:00p</t>
  </si>
  <si>
    <t>Sacramento Kings</t>
  </si>
  <si>
    <t>Utah Jazz</t>
  </si>
  <si>
    <t>9:30p</t>
  </si>
  <si>
    <t>Dallas Mavericks</t>
  </si>
  <si>
    <t>San Antonio Spurs</t>
  </si>
  <si>
    <t>10:30p</t>
  </si>
  <si>
    <t>Portland Trail Blazers</t>
  </si>
  <si>
    <t>Los Angeles Clippers</t>
  </si>
  <si>
    <t>Philadelphia 76ers</t>
  </si>
  <si>
    <t>Milwaukee Bucks</t>
  </si>
  <si>
    <t>8:30p</t>
  </si>
  <si>
    <t>3:30p</t>
  </si>
  <si>
    <t>1:00p</t>
  </si>
  <si>
    <t>3:00p</t>
  </si>
  <si>
    <t>6:00p</t>
  </si>
  <si>
    <t>12:00p</t>
  </si>
  <si>
    <t>4:00p</t>
  </si>
  <si>
    <t>5:00p</t>
  </si>
  <si>
    <t>2:30p</t>
  </si>
  <si>
    <t>12:30p</t>
  </si>
  <si>
    <t>2:00p</t>
  </si>
  <si>
    <t>5:30p</t>
  </si>
  <si>
    <t>Times</t>
  </si>
  <si>
    <t>Prevision Home</t>
  </si>
  <si>
    <t>Prevision Visitor</t>
  </si>
  <si>
    <t>Brier Score:</t>
  </si>
  <si>
    <t>Pontos Marcados Casa</t>
  </si>
  <si>
    <t>Pontos Sofridos Casa</t>
  </si>
  <si>
    <t>Pontos Marcados Fora</t>
  </si>
  <si>
    <t>Pontos Sofridos Fora</t>
  </si>
  <si>
    <t>Prob Home</t>
  </si>
  <si>
    <t>ProB Visitor</t>
  </si>
  <si>
    <t>Pontuação Home</t>
  </si>
  <si>
    <t>Pontuação Visitor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</si>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</sst>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4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9" fontId="0" fillId="2" borderId="0" xfId="1" applyFont="1" applyFill="1" applyAlignment="1">
      <alignment horizontal="center" vertical="center"/>
    </xf>
    <xf numFmtId="2" fontId="0" fillId="2" borderId="0" xfId="1" applyNumberFormat="1" applyFont="1" applyFill="1" applyAlignment="1">
      <alignment horizontal="center" vertical="center"/>
    </xf>
    <xf numFmtId="2" fontId="0" fillId="2" borderId="0" xfId="1" applyNumberFormat="1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14" fontId="0" fillId="0" borderId="0" xfId="0" applyNumberForma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30480</xdr:rowOff>
    </xdr:from>
    <xdr:to>
      <xdr:col>2</xdr:col>
      <xdr:colOff>198120</xdr:colOff>
      <xdr:row>2</xdr:row>
      <xdr:rowOff>121920</xdr:rowOff>
    </xdr:to>
    <xdr:sp macro="[0]!Macro1" textlink="">
      <xdr:nvSpPr>
        <xdr:cNvPr id="2" name="Elipse 1">
          <a:extLst>
            <a:ext uri="{FF2B5EF4-FFF2-40B4-BE49-F238E27FC236}">
              <a16:creationId xmlns:a16="http://schemas.microsoft.com/office/drawing/2014/main" id="{94478282-62B9-406F-B256-CE879DD53E02}"/>
            </a:ext>
          </a:extLst>
        </xdr:cNvPr>
        <xdr:cNvSpPr/>
      </xdr:nvSpPr>
      <xdr:spPr>
        <a:xfrm>
          <a:off x="807720" y="30480"/>
          <a:ext cx="1188720" cy="4572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SOLVER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948612</xdr:colOff>
      <xdr:row>0</xdr:row>
      <xdr:rowOff>77755</xdr:rowOff>
    </xdr:from>
    <xdr:to>
      <xdr:col>2</xdr:col>
      <xdr:colOff>637592</xdr:colOff>
      <xdr:row>2</xdr:row>
      <xdr:rowOff>116633</xdr:rowOff>
    </xdr:to>
    <xdr:sp macro="[0]!Macro3" textlink="">
      <xdr:nvSpPr>
        <xdr:cNvPr id="3" name="Retângulo 2">
          <a:extLst>
            <a:ext uri="{FF2B5EF4-FFF2-40B4-BE49-F238E27FC236}">
              <a16:creationId xmlns:a16="http://schemas.microsoft.com/office/drawing/2014/main" id="{431B90A4-E3AC-423C-BFC1-016BE8BF3BBD}"/>
            </a:ext>
          </a:extLst>
        </xdr:cNvPr>
        <xdr:cNvSpPr/>
      </xdr:nvSpPr>
      <xdr:spPr>
        <a:xfrm>
          <a:off x="1251857" y="77755"/>
          <a:ext cx="1181878" cy="41210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55D60-7385-4060-AAAD-CAD108E699E4}">
  <sheetPr codeName="Planilha1"/>
  <dimension ref="A4:V4761"/>
  <sheetViews>
    <sheetView zoomScale="98" zoomScaleNormal="98" workbookViewId="0">
      <selection activeCell="E6" sqref="E6"/>
    </sheetView>
  </sheetViews>
  <sheetFormatPr defaultRowHeight="14.4" x14ac:dyDescent="0.3"/>
  <cols>
    <col min="1" max="1" width="4.44140625" style="1" bestFit="1" customWidth="1"/>
    <col min="2" max="2" width="21.77734375" style="3" bestFit="1" customWidth="1"/>
    <col min="3" max="3" width="24.21875" style="3" bestFit="1" customWidth="1"/>
    <col min="4" max="4" width="22.77734375" style="3" bestFit="1" customWidth="1"/>
    <col min="5" max="5" width="24" style="4" bestFit="1" customWidth="1"/>
    <col min="6" max="6" width="22.5546875" style="4" bestFit="1" customWidth="1"/>
    <col min="7" max="7" width="8.88671875" style="4"/>
    <col min="8" max="8" width="10.5546875" style="2" bestFit="1" customWidth="1"/>
    <col min="9" max="9" width="6.5546875" style="3" bestFit="1" customWidth="1"/>
    <col min="10" max="10" width="21.77734375" style="3" bestFit="1" customWidth="1"/>
    <col min="11" max="11" width="9.5546875" style="3" bestFit="1" customWidth="1"/>
    <col min="12" max="12" width="21.77734375" style="3" bestFit="1" customWidth="1"/>
    <col min="13" max="13" width="9.21875" style="3" bestFit="1" customWidth="1"/>
    <col min="14" max="14" width="10.5546875" style="6" bestFit="1" customWidth="1"/>
    <col min="15" max="15" width="10.109375" style="6" bestFit="1" customWidth="1"/>
    <col min="16" max="16" width="15.21875" style="6" bestFit="1" customWidth="1"/>
    <col min="17" max="17" width="15.5546875" style="6" bestFit="1" customWidth="1"/>
    <col min="18" max="18" width="13.77734375" style="9" bestFit="1" customWidth="1"/>
    <col min="19" max="19" width="14.109375" style="9" bestFit="1" customWidth="1"/>
    <col min="20" max="20" width="10.44140625" style="4" bestFit="1" customWidth="1"/>
    <col min="21" max="21" width="11.44140625" style="4" bestFit="1" customWidth="1"/>
    <col min="22" max="16384" width="8.88671875" style="1"/>
  </cols>
  <sheetData>
    <row r="4" spans="1:22" x14ac:dyDescent="0.3">
      <c r="A4" s="1" t="s">
        <v>67</v>
      </c>
      <c r="B4" s="3" t="s">
        <v>55</v>
      </c>
      <c r="C4" s="3" t="s">
        <v>59</v>
      </c>
      <c r="D4" s="3" t="s">
        <v>60</v>
      </c>
      <c r="E4" s="3" t="s">
        <v>61</v>
      </c>
      <c r="F4" s="3" t="s">
        <v>62</v>
      </c>
      <c r="H4" s="10" t="s">
        <v>0</v>
      </c>
      <c r="I4" s="10" t="s">
        <v>1</v>
      </c>
      <c r="J4" s="10" t="s">
        <v>2</v>
      </c>
      <c r="K4" s="10" t="s">
        <v>3</v>
      </c>
      <c r="L4" s="10" t="s">
        <v>4</v>
      </c>
      <c r="M4" s="10" t="s">
        <v>5</v>
      </c>
      <c r="N4" s="5" t="s">
        <v>64</v>
      </c>
      <c r="O4" s="5" t="s">
        <v>63</v>
      </c>
      <c r="P4" s="5" t="s">
        <v>65</v>
      </c>
      <c r="Q4" s="5" t="s">
        <v>66</v>
      </c>
      <c r="R4" s="8" t="s">
        <v>56</v>
      </c>
      <c r="S4" s="8" t="s">
        <v>57</v>
      </c>
      <c r="T4" s="3" t="s">
        <v>58</v>
      </c>
      <c r="U4" s="3" t="e">
        <f>SUM(T:T)</f>
        <v>#VALUE!</v>
      </c>
      <c r="V4" s="1" t="e">
        <f>(1-AVERAGE(V5:V1235))*100%</f>
        <v>#VALUE!</v>
      </c>
    </row>
    <row r="5" spans="1:22" x14ac:dyDescent="0.3">
      <c r="A5" s="8" t="e">
        <f t="shared" ref="A5:A34" si="0">((SUMIF($L:$L,B5,$P:$P)+SUMIF($J:$J,B5,$Q:$Q))/((COUNTIF($J:$J,B5)+COUNTIF($L:$L,B5))*2))</f>
        <v>#DIV/0!</v>
      </c>
      <c r="B5" s="3" t="s">
        <v>15</v>
      </c>
      <c r="C5" s="3">
        <v>53.649903862530564</v>
      </c>
      <c r="D5" s="3">
        <v>61.479309442270385</v>
      </c>
      <c r="E5" s="4">
        <v>51.357738937790863</v>
      </c>
      <c r="F5" s="4">
        <v>64.864495649423645</v>
      </c>
      <c r="H5" s="2" t="str">
        <f>IF(Planilha1!B2="","",Planilha1!B2)</f>
        <v>7:30p</v>
      </c>
      <c r="I5" s="2" t="str">
        <f>IF(Planilha1!C2="","",Planilha1!C2)</f>
        <v>Los Angeles Lakers</v>
      </c>
      <c r="J5" s="2">
        <f>IF(Planilha1!D2="","",Planilha1!D2)</f>
        <v>107</v>
      </c>
      <c r="K5" s="10" t="str">
        <f>IF(Planilha1!E2="","",IF(Planilha1!E2=0,"",Planilha1!E2))</f>
        <v>Denver Nuggets</v>
      </c>
      <c r="L5" s="10">
        <f>IF(Planilha1!F2="","",Planilha1!F2)</f>
        <v>119</v>
      </c>
      <c r="M5" s="10">
        <f>IF(Planilha1!G2="","",IF(Planilha1!G2=0,"",Planilha1!G2))</f>
        <v>119</v>
      </c>
      <c r="N5" s="5">
        <f>IF(K5="","",IF(K5&gt;M5,100%,0%))</f>
        <v>1</v>
      </c>
      <c r="O5" s="5">
        <f>IF(K5="","",IF(K5&lt;M5,100%,0%))</f>
        <v>0</v>
      </c>
      <c r="P5" s="5">
        <f>IF(M5="",IF(R5&gt;S5,2,0),IF(K5&lt;M5,2,0))</f>
        <v>0</v>
      </c>
      <c r="Q5" s="5">
        <f>IF(M5="",IF(R5&gt;S5,0,2),IF(K5&gt;M5,2,0))</f>
        <v>2</v>
      </c>
      <c r="R5" s="8">
        <f>SUMIF($B:$B,J5,$C:$C)+(SUMIF($B:$B,L5,$F:$F))</f>
        <v>0</v>
      </c>
      <c r="S5" s="8">
        <f>SUMIF($B:$B,L5,$E:$E)+(SUMIF($B:$B,J5,$D:$D))</f>
        <v>0</v>
      </c>
      <c r="T5" s="3" t="e">
        <f>IF(M5="","",(K5-S5)^2+(M5-R5)^2)</f>
        <v>#VALUE!</v>
      </c>
      <c r="V5" s="1" t="e">
        <f>IF(O5="","",1/((M5-K5)/(R5-S5)))</f>
        <v>#VALUE!</v>
      </c>
    </row>
    <row r="6" spans="1:22" x14ac:dyDescent="0.3">
      <c r="A6" s="8" t="e">
        <f t="shared" si="0"/>
        <v>#DIV/0!</v>
      </c>
      <c r="B6" s="3" t="s">
        <v>41</v>
      </c>
      <c r="C6" s="3">
        <v>55.637738507432303</v>
      </c>
      <c r="D6" s="3">
        <v>60.546527065268336</v>
      </c>
      <c r="E6" s="4">
        <v>53.769748061310139</v>
      </c>
      <c r="F6" s="4">
        <v>61.414750960530817</v>
      </c>
      <c r="H6" s="2" t="str">
        <f>IF(Planilha1!B3="","",Planilha1!B3)</f>
        <v>10:00p</v>
      </c>
      <c r="I6" s="2" t="str">
        <f>IF(Planilha1!C3="","",Planilha1!C3)</f>
        <v>Phoenix Suns</v>
      </c>
      <c r="J6" s="2">
        <f>IF(Planilha1!D3="","",Planilha1!D3)</f>
        <v>108</v>
      </c>
      <c r="K6" s="10" t="str">
        <f>IF(Planilha1!E3="","",IF(Planilha1!E3=0,"",Planilha1!E3))</f>
        <v>Golden State Warriors</v>
      </c>
      <c r="L6" s="10">
        <f>IF(Planilha1!F3="","",Planilha1!F3)</f>
        <v>104</v>
      </c>
      <c r="M6" s="10">
        <f>IF(Planilha1!G3="","",IF(Planilha1!G3=0,"",Planilha1!G3))</f>
        <v>104</v>
      </c>
      <c r="N6" s="5">
        <f t="shared" ref="N6:N69" si="1">IF(K6="","",IF(K6&gt;M6,100%,0%))</f>
        <v>1</v>
      </c>
      <c r="O6" s="5">
        <f t="shared" ref="O6:O69" si="2">IF(K6="","",IF(K6&lt;M6,100%,0%))</f>
        <v>0</v>
      </c>
      <c r="P6" s="5">
        <f t="shared" ref="P6:P69" si="3">IF(M6="",IF(R6&gt;S6,2,0),IF(K6&lt;M6,2,0))</f>
        <v>0</v>
      </c>
      <c r="Q6" s="5">
        <f t="shared" ref="Q6:Q69" si="4">IF(M6="",IF(R6&gt;S6,0,2),IF(K6&gt;M6,2,0))</f>
        <v>2</v>
      </c>
      <c r="R6" s="8">
        <f t="shared" ref="R6:R69" si="5">SUMIF($B:$B,J6,$C:$C)+(SUMIF($B:$B,L6,$F:$F))</f>
        <v>0</v>
      </c>
      <c r="S6" s="8">
        <f t="shared" ref="S6:S69" si="6">SUMIF($B:$B,L6,$E:$E)+(SUMIF($B:$B,J6,$D:$D))</f>
        <v>0</v>
      </c>
      <c r="T6" s="3" t="e">
        <f t="shared" ref="T6:T69" si="7">IF(M6="","",(K6-S6)^2+(M6-R6)^2)</f>
        <v>#VALUE!</v>
      </c>
      <c r="V6" s="1" t="e">
        <f t="shared" ref="V6:V69" si="8">IF(O6="","",1/((M6-K6)/(R6-S6)))</f>
        <v>#VALUE!</v>
      </c>
    </row>
    <row r="7" spans="1:22" x14ac:dyDescent="0.3">
      <c r="A7" s="8" t="e">
        <f t="shared" si="0"/>
        <v>#DIV/0!</v>
      </c>
      <c r="B7" s="3" t="s">
        <v>30</v>
      </c>
      <c r="C7" s="3">
        <v>55.089421583350315</v>
      </c>
      <c r="D7" s="3">
        <v>62.395634833974825</v>
      </c>
      <c r="E7" s="4">
        <v>57.001485876925742</v>
      </c>
      <c r="F7" s="4">
        <v>66.138159452372022</v>
      </c>
      <c r="H7" s="2" t="str">
        <f>IF(Planilha1!B4="","",Planilha1!B4)</f>
        <v>7:00p</v>
      </c>
      <c r="I7" s="2" t="str">
        <f>IF(Planilha1!C4="","",Planilha1!C4)</f>
        <v>Houston Rockets</v>
      </c>
      <c r="J7" s="2">
        <f>IF(Planilha1!D4="","",Planilha1!D4)</f>
        <v>86</v>
      </c>
      <c r="K7" s="10" t="str">
        <f>IF(Planilha1!E4="","",IF(Planilha1!E4=0,"",Planilha1!E4))</f>
        <v>Orlando Magic</v>
      </c>
      <c r="L7" s="10">
        <f>IF(Planilha1!F4="","",Planilha1!F4)</f>
        <v>116</v>
      </c>
      <c r="M7" s="10">
        <f>IF(Planilha1!G4="","",IF(Planilha1!G4=0,"",Planilha1!G4))</f>
        <v>116</v>
      </c>
      <c r="N7" s="5">
        <f t="shared" si="1"/>
        <v>1</v>
      </c>
      <c r="O7" s="5">
        <f t="shared" si="2"/>
        <v>0</v>
      </c>
      <c r="P7" s="5">
        <f t="shared" si="3"/>
        <v>0</v>
      </c>
      <c r="Q7" s="5">
        <f t="shared" si="4"/>
        <v>2</v>
      </c>
      <c r="R7" s="8">
        <f t="shared" si="5"/>
        <v>0</v>
      </c>
      <c r="S7" s="8">
        <f t="shared" si="6"/>
        <v>0</v>
      </c>
      <c r="T7" s="3" t="e">
        <f t="shared" si="7"/>
        <v>#VALUE!</v>
      </c>
      <c r="V7" s="1" t="e">
        <f t="shared" si="8"/>
        <v>#VALUE!</v>
      </c>
    </row>
    <row r="8" spans="1:22" x14ac:dyDescent="0.3">
      <c r="A8" s="8" t="e">
        <f t="shared" si="0"/>
        <v>#DIV/0!</v>
      </c>
      <c r="B8" s="3" t="s">
        <v>40</v>
      </c>
      <c r="C8" s="3">
        <v>54.498559332712027</v>
      </c>
      <c r="D8" s="3">
        <v>59.288555120757977</v>
      </c>
      <c r="E8" s="4">
        <v>53.907252484016844</v>
      </c>
      <c r="F8" s="4">
        <v>61.549286168646816</v>
      </c>
      <c r="H8" s="2" t="str">
        <f>IF(Planilha1!B5="","",Planilha1!B5)</f>
        <v>7:00p</v>
      </c>
      <c r="I8" s="2" t="str">
        <f>IF(Planilha1!C5="","",Planilha1!C5)</f>
        <v>Boston Celtics</v>
      </c>
      <c r="J8" s="2">
        <f>IF(Planilha1!D5="","",Planilha1!D5)</f>
        <v>108</v>
      </c>
      <c r="K8" s="10" t="str">
        <f>IF(Planilha1!E5="","",IF(Planilha1!E5=0,"",Planilha1!E5))</f>
        <v>New York Knicks</v>
      </c>
      <c r="L8" s="10">
        <f>IF(Planilha1!F5="","",Planilha1!F5)</f>
        <v>104</v>
      </c>
      <c r="M8" s="10">
        <f>IF(Planilha1!G5="","",IF(Planilha1!G5=0,"",Planilha1!G5))</f>
        <v>104</v>
      </c>
      <c r="N8" s="5">
        <f t="shared" si="1"/>
        <v>1</v>
      </c>
      <c r="O8" s="5">
        <f t="shared" si="2"/>
        <v>0</v>
      </c>
      <c r="P8" s="5">
        <f t="shared" si="3"/>
        <v>0</v>
      </c>
      <c r="Q8" s="5">
        <f t="shared" si="4"/>
        <v>2</v>
      </c>
      <c r="R8" s="8">
        <f t="shared" si="5"/>
        <v>0</v>
      </c>
      <c r="S8" s="8">
        <f t="shared" si="6"/>
        <v>0</v>
      </c>
      <c r="T8" s="3" t="e">
        <f t="shared" si="7"/>
        <v>#VALUE!</v>
      </c>
      <c r="V8" s="1" t="e">
        <f t="shared" si="8"/>
        <v>#VALUE!</v>
      </c>
    </row>
    <row r="9" spans="1:22" x14ac:dyDescent="0.3">
      <c r="A9" s="8" t="e">
        <f t="shared" si="0"/>
        <v>#DIV/0!</v>
      </c>
      <c r="B9" s="3" t="s">
        <v>23</v>
      </c>
      <c r="C9" s="3">
        <v>53.096134896272076</v>
      </c>
      <c r="D9" s="3">
        <v>55.480907300586622</v>
      </c>
      <c r="E9" s="4">
        <v>46.333081100511762</v>
      </c>
      <c r="F9" s="4">
        <v>54.654774049376698</v>
      </c>
      <c r="H9" s="2" t="str">
        <f>IF(Planilha1!B6="","",Planilha1!B6)</f>
        <v>7:00p</v>
      </c>
      <c r="I9" s="2" t="str">
        <f>IF(Planilha1!C6="","",Planilha1!C6)</f>
        <v>Washington Wizards</v>
      </c>
      <c r="J9" s="2">
        <f>IF(Planilha1!D6="","",Planilha1!D6)</f>
        <v>120</v>
      </c>
      <c r="K9" s="10" t="str">
        <f>IF(Planilha1!E6="","",IF(Planilha1!E6=0,"",Planilha1!E6))</f>
        <v>Indiana Pacers</v>
      </c>
      <c r="L9" s="10">
        <f>IF(Planilha1!F6="","",Planilha1!F6)</f>
        <v>143</v>
      </c>
      <c r="M9" s="10">
        <f>IF(Planilha1!G6="","",IF(Planilha1!G6=0,"",Planilha1!G6))</f>
        <v>143</v>
      </c>
      <c r="N9" s="5">
        <f t="shared" si="1"/>
        <v>1</v>
      </c>
      <c r="O9" s="5">
        <f t="shared" si="2"/>
        <v>0</v>
      </c>
      <c r="P9" s="5">
        <f t="shared" si="3"/>
        <v>0</v>
      </c>
      <c r="Q9" s="5">
        <f t="shared" si="4"/>
        <v>2</v>
      </c>
      <c r="R9" s="8">
        <f t="shared" si="5"/>
        <v>0</v>
      </c>
      <c r="S9" s="8">
        <f t="shared" si="6"/>
        <v>0</v>
      </c>
      <c r="T9" s="3" t="e">
        <f t="shared" si="7"/>
        <v>#VALUE!</v>
      </c>
      <c r="V9" s="1" t="e">
        <f t="shared" si="8"/>
        <v>#VALUE!</v>
      </c>
    </row>
    <row r="10" spans="1:22" x14ac:dyDescent="0.3">
      <c r="A10" s="8" t="e">
        <f t="shared" si="0"/>
        <v>#DIV/0!</v>
      </c>
      <c r="B10" s="3" t="s">
        <v>42</v>
      </c>
      <c r="C10" s="3">
        <v>64.815232614357086</v>
      </c>
      <c r="D10" s="3">
        <v>66.25739419166932</v>
      </c>
      <c r="E10" s="4">
        <v>62.117420060601006</v>
      </c>
      <c r="F10" s="4">
        <v>66.309717010461299</v>
      </c>
      <c r="H10" s="2" t="str">
        <f>IF(Planilha1!B7="","",Planilha1!B7)</f>
        <v>7:00p</v>
      </c>
      <c r="I10" s="2" t="str">
        <f>IF(Planilha1!C7="","",Planilha1!C7)</f>
        <v>Atlanta Hawks</v>
      </c>
      <c r="J10" s="2">
        <f>IF(Planilha1!D7="","",Planilha1!D7)</f>
        <v>110</v>
      </c>
      <c r="K10" s="10" t="str">
        <f>IF(Planilha1!E7="","",IF(Planilha1!E7=0,"",Planilha1!E7))</f>
        <v>Charlotte Hornets</v>
      </c>
      <c r="L10" s="10">
        <f>IF(Planilha1!F7="","",Planilha1!F7)</f>
        <v>116</v>
      </c>
      <c r="M10" s="10">
        <f>IF(Planilha1!G7="","",IF(Planilha1!G7=0,"",Planilha1!G7))</f>
        <v>116</v>
      </c>
      <c r="N10" s="5">
        <f t="shared" si="1"/>
        <v>1</v>
      </c>
      <c r="O10" s="5">
        <f t="shared" si="2"/>
        <v>0</v>
      </c>
      <c r="P10" s="5">
        <f t="shared" si="3"/>
        <v>0</v>
      </c>
      <c r="Q10" s="5">
        <f t="shared" si="4"/>
        <v>2</v>
      </c>
      <c r="R10" s="8">
        <f t="shared" si="5"/>
        <v>0</v>
      </c>
      <c r="S10" s="8">
        <f t="shared" si="6"/>
        <v>0</v>
      </c>
      <c r="T10" s="3" t="e">
        <f t="shared" si="7"/>
        <v>#VALUE!</v>
      </c>
      <c r="V10" s="1" t="e">
        <f t="shared" si="8"/>
        <v>#VALUE!</v>
      </c>
    </row>
    <row r="11" spans="1:22" x14ac:dyDescent="0.3">
      <c r="A11" s="8" t="e">
        <f t="shared" si="0"/>
        <v>#DIV/0!</v>
      </c>
      <c r="B11" s="3" t="s">
        <v>8</v>
      </c>
      <c r="C11" s="3">
        <v>53.318293219202886</v>
      </c>
      <c r="D11" s="3">
        <v>54.367710445923635</v>
      </c>
      <c r="E11" s="4">
        <v>53.119359179901124</v>
      </c>
      <c r="F11" s="4">
        <v>61.371972720801708</v>
      </c>
      <c r="H11" s="2" t="str">
        <f>IF(Planilha1!B8="","",Planilha1!B8)</f>
        <v>7:30p</v>
      </c>
      <c r="I11" s="2" t="str">
        <f>IF(Planilha1!C8="","",Planilha1!C8)</f>
        <v>Detroit Pistons</v>
      </c>
      <c r="J11" s="2">
        <f>IF(Planilha1!D8="","",Planilha1!D8)</f>
        <v>102</v>
      </c>
      <c r="K11" s="10" t="str">
        <f>IF(Planilha1!E8="","",IF(Planilha1!E8=0,"",Planilha1!E8))</f>
        <v>Miami Heat</v>
      </c>
      <c r="L11" s="10">
        <f>IF(Planilha1!F8="","",Planilha1!F8)</f>
        <v>103</v>
      </c>
      <c r="M11" s="10">
        <f>IF(Planilha1!G8="","",IF(Planilha1!G8=0,"",Planilha1!G8))</f>
        <v>103</v>
      </c>
      <c r="N11" s="5">
        <f t="shared" si="1"/>
        <v>1</v>
      </c>
      <c r="O11" s="5">
        <f t="shared" si="2"/>
        <v>0</v>
      </c>
      <c r="P11" s="5">
        <f t="shared" si="3"/>
        <v>0</v>
      </c>
      <c r="Q11" s="5">
        <f t="shared" si="4"/>
        <v>2</v>
      </c>
      <c r="R11" s="8">
        <f t="shared" si="5"/>
        <v>0</v>
      </c>
      <c r="S11" s="8">
        <f t="shared" si="6"/>
        <v>0</v>
      </c>
      <c r="T11" s="3" t="e">
        <f t="shared" si="7"/>
        <v>#VALUE!</v>
      </c>
      <c r="V11" s="1" t="e">
        <f t="shared" si="8"/>
        <v>#VALUE!</v>
      </c>
    </row>
    <row r="12" spans="1:22" x14ac:dyDescent="0.3">
      <c r="A12" s="8" t="e">
        <f t="shared" si="0"/>
        <v>#DIV/0!</v>
      </c>
      <c r="B12" s="3" t="s">
        <v>28</v>
      </c>
      <c r="C12" s="3">
        <v>54.316100051821344</v>
      </c>
      <c r="D12" s="3">
        <v>60.384120352899259</v>
      </c>
      <c r="E12" s="4">
        <v>55.057804836432176</v>
      </c>
      <c r="F12" s="4">
        <v>58.883400269157796</v>
      </c>
      <c r="H12" s="2" t="str">
        <f>IF(Planilha1!B9="","",Planilha1!B9)</f>
        <v>7:30p</v>
      </c>
      <c r="I12" s="2" t="str">
        <f>IF(Planilha1!C9="","",Planilha1!C9)</f>
        <v>Minnesota Timberwolves</v>
      </c>
      <c r="J12" s="2">
        <f>IF(Planilha1!D9="","",Planilha1!D9)</f>
        <v>94</v>
      </c>
      <c r="K12" s="10" t="str">
        <f>IF(Planilha1!E9="","",IF(Planilha1!E9=0,"",Planilha1!E9))</f>
        <v>Toronto Raptors</v>
      </c>
      <c r="L12" s="10">
        <f>IF(Planilha1!F9="","",Planilha1!F9)</f>
        <v>97</v>
      </c>
      <c r="M12" s="10">
        <f>IF(Planilha1!G9="","",IF(Planilha1!G9=0,"",Planilha1!G9))</f>
        <v>97</v>
      </c>
      <c r="N12" s="5">
        <f t="shared" si="1"/>
        <v>1</v>
      </c>
      <c r="O12" s="5">
        <f t="shared" si="2"/>
        <v>0</v>
      </c>
      <c r="P12" s="5">
        <f t="shared" si="3"/>
        <v>0</v>
      </c>
      <c r="Q12" s="5">
        <f t="shared" si="4"/>
        <v>2</v>
      </c>
      <c r="R12" s="8">
        <f t="shared" si="5"/>
        <v>0</v>
      </c>
      <c r="S12" s="8">
        <f t="shared" si="6"/>
        <v>0</v>
      </c>
      <c r="T12" s="3" t="e">
        <f t="shared" si="7"/>
        <v>#VALUE!</v>
      </c>
      <c r="V12" s="1" t="e">
        <f t="shared" si="8"/>
        <v>#VALUE!</v>
      </c>
    </row>
    <row r="13" spans="1:22" x14ac:dyDescent="0.3">
      <c r="A13" s="8" t="e">
        <f t="shared" si="0"/>
        <v>#DIV/0!</v>
      </c>
      <c r="B13" s="3" t="s">
        <v>16</v>
      </c>
      <c r="C13" s="3">
        <v>54.48649963795431</v>
      </c>
      <c r="D13" s="3">
        <v>58.114108013193416</v>
      </c>
      <c r="E13" s="4">
        <v>47.847614585556137</v>
      </c>
      <c r="F13" s="4">
        <v>55.561854340965077</v>
      </c>
      <c r="H13" s="2" t="str">
        <f>IF(Planilha1!B10="","",Planilha1!B10)</f>
        <v>7:30p</v>
      </c>
      <c r="I13" s="2" t="str">
        <f>IF(Planilha1!C10="","",Planilha1!C10)</f>
        <v>Cleveland Cavaliers</v>
      </c>
      <c r="J13" s="2">
        <f>IF(Planilha1!D10="","",Planilha1!D10)</f>
        <v>114</v>
      </c>
      <c r="K13" s="10" t="str">
        <f>IF(Planilha1!E10="","",IF(Planilha1!E10=0,"",Planilha1!E10))</f>
        <v>Brooklyn Nets</v>
      </c>
      <c r="L13" s="10">
        <f>IF(Planilha1!F10="","",Planilha1!F10)</f>
        <v>113</v>
      </c>
      <c r="M13" s="10">
        <f>IF(Planilha1!G10="","",IF(Planilha1!G10=0,"",Planilha1!G10))</f>
        <v>113</v>
      </c>
      <c r="N13" s="5">
        <f t="shared" si="1"/>
        <v>1</v>
      </c>
      <c r="O13" s="5">
        <f t="shared" si="2"/>
        <v>0</v>
      </c>
      <c r="P13" s="5">
        <f t="shared" si="3"/>
        <v>0</v>
      </c>
      <c r="Q13" s="5">
        <f t="shared" si="4"/>
        <v>2</v>
      </c>
      <c r="R13" s="8">
        <f t="shared" si="5"/>
        <v>0</v>
      </c>
      <c r="S13" s="8">
        <f t="shared" si="6"/>
        <v>0</v>
      </c>
      <c r="T13" s="3" t="e">
        <f t="shared" si="7"/>
        <v>#VALUE!</v>
      </c>
      <c r="V13" s="1" t="e">
        <f t="shared" si="8"/>
        <v>#VALUE!</v>
      </c>
    </row>
    <row r="14" spans="1:22" x14ac:dyDescent="0.3">
      <c r="A14" s="8" t="e">
        <f t="shared" si="0"/>
        <v>#DIV/0!</v>
      </c>
      <c r="B14" s="3" t="s">
        <v>14</v>
      </c>
      <c r="C14" s="3">
        <v>53.123368740450417</v>
      </c>
      <c r="D14" s="3">
        <v>51.651818057082394</v>
      </c>
      <c r="E14" s="4">
        <v>51.343958632897952</v>
      </c>
      <c r="F14" s="4">
        <v>55.600351561407464</v>
      </c>
      <c r="H14" s="2" t="str">
        <f>IF(Planilha1!B11="","",Planilha1!B11)</f>
        <v>8:00p</v>
      </c>
      <c r="I14" s="2" t="str">
        <f>IF(Planilha1!C11="","",Planilha1!C11)</f>
        <v>New Orleans Pelicans</v>
      </c>
      <c r="J14" s="2">
        <f>IF(Planilha1!D11="","",Planilha1!D11)</f>
        <v>111</v>
      </c>
      <c r="K14" s="10" t="str">
        <f>IF(Planilha1!E11="","",IF(Planilha1!E11=0,"",Planilha1!E11))</f>
        <v>Memphis Grizzlies</v>
      </c>
      <c r="L14" s="10">
        <f>IF(Planilha1!F11="","",Planilha1!F11)</f>
        <v>104</v>
      </c>
      <c r="M14" s="10">
        <f>IF(Planilha1!G11="","",IF(Planilha1!G11=0,"",Planilha1!G11))</f>
        <v>104</v>
      </c>
      <c r="N14" s="5">
        <f t="shared" si="1"/>
        <v>1</v>
      </c>
      <c r="O14" s="5">
        <f t="shared" si="2"/>
        <v>0</v>
      </c>
      <c r="P14" s="5">
        <f t="shared" si="3"/>
        <v>0</v>
      </c>
      <c r="Q14" s="5">
        <f t="shared" si="4"/>
        <v>2</v>
      </c>
      <c r="R14" s="8">
        <f t="shared" si="5"/>
        <v>0</v>
      </c>
      <c r="S14" s="8">
        <f t="shared" si="6"/>
        <v>0</v>
      </c>
      <c r="T14" s="3" t="e">
        <f t="shared" si="7"/>
        <v>#VALUE!</v>
      </c>
      <c r="V14" s="1" t="e">
        <f t="shared" si="8"/>
        <v>#VALUE!</v>
      </c>
    </row>
    <row r="15" spans="1:22" x14ac:dyDescent="0.3">
      <c r="A15" s="8" t="e">
        <f t="shared" si="0"/>
        <v>#DIV/0!</v>
      </c>
      <c r="B15" s="3" t="s">
        <v>18</v>
      </c>
      <c r="C15" s="3">
        <v>66.561704798030974</v>
      </c>
      <c r="D15" s="3">
        <v>64.131053902006272</v>
      </c>
      <c r="E15" s="4">
        <v>63.156656048624768</v>
      </c>
      <c r="F15" s="4">
        <v>68.037351436703432</v>
      </c>
      <c r="H15" s="2" t="str">
        <f>IF(Planilha1!B12="","",Planilha1!B12)</f>
        <v>8:00p</v>
      </c>
      <c r="I15" s="2" t="str">
        <f>IF(Planilha1!C12="","",Planilha1!C12)</f>
        <v>Oklahoma City Thunder</v>
      </c>
      <c r="J15" s="2">
        <f>IF(Planilha1!D12="","",Planilha1!D12)</f>
        <v>124</v>
      </c>
      <c r="K15" s="10" t="str">
        <f>IF(Planilha1!E12="","",IF(Planilha1!E12=0,"",Planilha1!E12))</f>
        <v>Chicago Bulls</v>
      </c>
      <c r="L15" s="10">
        <f>IF(Planilha1!F12="","",Planilha1!F12)</f>
        <v>104</v>
      </c>
      <c r="M15" s="10">
        <f>IF(Planilha1!G12="","",IF(Planilha1!G12=0,"",Planilha1!G12))</f>
        <v>104</v>
      </c>
      <c r="N15" s="5">
        <f t="shared" si="1"/>
        <v>1</v>
      </c>
      <c r="O15" s="5">
        <f t="shared" si="2"/>
        <v>0</v>
      </c>
      <c r="P15" s="5">
        <f t="shared" si="3"/>
        <v>0</v>
      </c>
      <c r="Q15" s="5">
        <f t="shared" si="4"/>
        <v>2</v>
      </c>
      <c r="R15" s="8">
        <f t="shared" si="5"/>
        <v>0</v>
      </c>
      <c r="S15" s="8">
        <f t="shared" si="6"/>
        <v>0</v>
      </c>
      <c r="T15" s="3" t="e">
        <f t="shared" si="7"/>
        <v>#VALUE!</v>
      </c>
      <c r="V15" s="1" t="e">
        <f t="shared" si="8"/>
        <v>#VALUE!</v>
      </c>
    </row>
    <row r="16" spans="1:22" x14ac:dyDescent="0.3">
      <c r="A16" s="8" t="e">
        <f t="shared" si="0"/>
        <v>#DIV/0!</v>
      </c>
      <c r="B16" s="3" t="s">
        <v>36</v>
      </c>
      <c r="C16" s="3">
        <v>61.07444443068966</v>
      </c>
      <c r="D16" s="3">
        <v>59.3807826964104</v>
      </c>
      <c r="E16" s="4">
        <v>60.776492164694545</v>
      </c>
      <c r="F16" s="4">
        <v>62.779632176168761</v>
      </c>
      <c r="H16" s="2" t="str">
        <f>IF(Planilha1!B13="","",Planilha1!B13)</f>
        <v>9:00p</v>
      </c>
      <c r="I16" s="2" t="str">
        <f>IF(Planilha1!C13="","",Planilha1!C13)</f>
        <v>Sacramento Kings</v>
      </c>
      <c r="J16" s="2">
        <f>IF(Planilha1!D13="","",Planilha1!D13)</f>
        <v>130</v>
      </c>
      <c r="K16" s="10" t="str">
        <f>IF(Planilha1!E13="","",IF(Planilha1!E13=0,"",Planilha1!E13))</f>
        <v>Utah Jazz</v>
      </c>
      <c r="L16" s="10">
        <f>IF(Planilha1!F13="","",Planilha1!F13)</f>
        <v>114</v>
      </c>
      <c r="M16" s="10">
        <f>IF(Planilha1!G13="","",IF(Planilha1!G13=0,"",Planilha1!G13))</f>
        <v>114</v>
      </c>
      <c r="N16" s="5">
        <f t="shared" si="1"/>
        <v>1</v>
      </c>
      <c r="O16" s="5">
        <f t="shared" si="2"/>
        <v>0</v>
      </c>
      <c r="P16" s="5">
        <f t="shared" si="3"/>
        <v>0</v>
      </c>
      <c r="Q16" s="5">
        <f t="shared" si="4"/>
        <v>2</v>
      </c>
      <c r="R16" s="8">
        <f t="shared" si="5"/>
        <v>0</v>
      </c>
      <c r="S16" s="8">
        <f t="shared" si="6"/>
        <v>0</v>
      </c>
      <c r="T16" s="3" t="e">
        <f t="shared" si="7"/>
        <v>#VALUE!</v>
      </c>
      <c r="V16" s="1" t="e">
        <f t="shared" si="8"/>
        <v>#VALUE!</v>
      </c>
    </row>
    <row r="17" spans="1:22" x14ac:dyDescent="0.3">
      <c r="A17" s="8" t="e">
        <f t="shared" si="0"/>
        <v>#DIV/0!</v>
      </c>
      <c r="B17" s="3" t="s">
        <v>33</v>
      </c>
      <c r="C17" s="3">
        <v>56.92177520330695</v>
      </c>
      <c r="D17" s="3">
        <v>58.020673180829704</v>
      </c>
      <c r="E17" s="4">
        <v>62.811258066528758</v>
      </c>
      <c r="F17" s="4">
        <v>63.282128275189407</v>
      </c>
      <c r="H17" s="2" t="str">
        <f>IF(Planilha1!B14="","",Planilha1!B14)</f>
        <v>9:30p</v>
      </c>
      <c r="I17" s="2" t="str">
        <f>IF(Planilha1!C14="","",Planilha1!C14)</f>
        <v>Dallas Mavericks</v>
      </c>
      <c r="J17" s="2">
        <f>IF(Planilha1!D14="","",Planilha1!D14)</f>
        <v>126</v>
      </c>
      <c r="K17" s="10" t="str">
        <f>IF(Planilha1!E14="","",IF(Planilha1!E14=0,"",Planilha1!E14))</f>
        <v>San Antonio Spurs</v>
      </c>
      <c r="L17" s="10">
        <f>IF(Planilha1!F14="","",Planilha1!F14)</f>
        <v>119</v>
      </c>
      <c r="M17" s="10">
        <f>IF(Planilha1!G14="","",IF(Planilha1!G14=0,"",Planilha1!G14))</f>
        <v>119</v>
      </c>
      <c r="N17" s="5">
        <f t="shared" si="1"/>
        <v>1</v>
      </c>
      <c r="O17" s="5">
        <f t="shared" si="2"/>
        <v>0</v>
      </c>
      <c r="P17" s="5">
        <f t="shared" si="3"/>
        <v>0</v>
      </c>
      <c r="Q17" s="5">
        <f t="shared" si="4"/>
        <v>2</v>
      </c>
      <c r="R17" s="8">
        <f t="shared" si="5"/>
        <v>0</v>
      </c>
      <c r="S17" s="8">
        <f t="shared" si="6"/>
        <v>0</v>
      </c>
      <c r="T17" s="3" t="e">
        <f t="shared" si="7"/>
        <v>#VALUE!</v>
      </c>
      <c r="V17" s="1" t="e">
        <f t="shared" si="8"/>
        <v>#VALUE!</v>
      </c>
    </row>
    <row r="18" spans="1:22" x14ac:dyDescent="0.3">
      <c r="A18" s="8" t="e">
        <f t="shared" si="0"/>
        <v>#DIV/0!</v>
      </c>
      <c r="B18" s="3" t="s">
        <v>13</v>
      </c>
      <c r="C18" s="3">
        <v>59.428631489859164</v>
      </c>
      <c r="D18" s="3">
        <v>54.799439664505584</v>
      </c>
      <c r="E18" s="4">
        <v>51.242030902593207</v>
      </c>
      <c r="F18" s="4">
        <v>56.025445826456618</v>
      </c>
      <c r="H18" s="2" t="str">
        <f>IF(Planilha1!B15="","",Planilha1!B15)</f>
        <v>10:30p</v>
      </c>
      <c r="I18" s="2" t="str">
        <f>IF(Planilha1!C15="","",Planilha1!C15)</f>
        <v>Portland Trail Blazers</v>
      </c>
      <c r="J18" s="2">
        <f>IF(Planilha1!D15="","",Planilha1!D15)</f>
        <v>111</v>
      </c>
      <c r="K18" s="10" t="str">
        <f>IF(Planilha1!E15="","",IF(Planilha1!E15=0,"",Planilha1!E15))</f>
        <v>Los Angeles Clippers</v>
      </c>
      <c r="L18" s="10">
        <f>IF(Planilha1!F15="","",Planilha1!F15)</f>
        <v>123</v>
      </c>
      <c r="M18" s="10">
        <f>IF(Planilha1!G15="","",IF(Planilha1!G15=0,"",Planilha1!G15))</f>
        <v>123</v>
      </c>
      <c r="N18" s="5">
        <f t="shared" si="1"/>
        <v>1</v>
      </c>
      <c r="O18" s="5">
        <f t="shared" si="2"/>
        <v>0</v>
      </c>
      <c r="P18" s="5">
        <f t="shared" si="3"/>
        <v>0</v>
      </c>
      <c r="Q18" s="5">
        <f t="shared" si="4"/>
        <v>2</v>
      </c>
      <c r="R18" s="8">
        <f t="shared" si="5"/>
        <v>0</v>
      </c>
      <c r="S18" s="8">
        <f t="shared" si="6"/>
        <v>0</v>
      </c>
      <c r="T18" s="3" t="e">
        <f t="shared" si="7"/>
        <v>#VALUE!</v>
      </c>
      <c r="V18" s="1" t="e">
        <f t="shared" si="8"/>
        <v>#VALUE!</v>
      </c>
    </row>
    <row r="19" spans="1:22" x14ac:dyDescent="0.3">
      <c r="A19" s="8" t="e">
        <f t="shared" si="0"/>
        <v>#DIV/0!</v>
      </c>
      <c r="B19" s="3" t="s">
        <v>25</v>
      </c>
      <c r="C19" s="3">
        <v>50.894971172195397</v>
      </c>
      <c r="D19" s="3">
        <v>56.131447361906162</v>
      </c>
      <c r="E19" s="4">
        <v>52.262538536961507</v>
      </c>
      <c r="F19" s="4">
        <v>54.466001917741835</v>
      </c>
      <c r="H19" s="2" t="str">
        <f>IF(Planilha1!B16="","",Planilha1!B16)</f>
        <v>7:30p</v>
      </c>
      <c r="I19" s="2" t="str">
        <f>IF(Planilha1!C16="","",Planilha1!C16)</f>
        <v>Philadelphia 76ers</v>
      </c>
      <c r="J19" s="2">
        <f>IF(Planilha1!D16="","",Planilha1!D16)</f>
        <v>117</v>
      </c>
      <c r="K19" s="10" t="str">
        <f>IF(Planilha1!E16="","",IF(Planilha1!E16=0,"",Planilha1!E16))</f>
        <v>Milwaukee Bucks</v>
      </c>
      <c r="L19" s="10">
        <f>IF(Planilha1!F16="","",Planilha1!F16)</f>
        <v>118</v>
      </c>
      <c r="M19" s="10">
        <f>IF(Planilha1!G16="","",IF(Planilha1!G16=0,"",Planilha1!G16))</f>
        <v>118</v>
      </c>
      <c r="N19" s="5">
        <f t="shared" si="1"/>
        <v>1</v>
      </c>
      <c r="O19" s="5">
        <f t="shared" si="2"/>
        <v>0</v>
      </c>
      <c r="P19" s="5">
        <f t="shared" si="3"/>
        <v>0</v>
      </c>
      <c r="Q19" s="5">
        <f t="shared" si="4"/>
        <v>2</v>
      </c>
      <c r="R19" s="8">
        <f t="shared" si="5"/>
        <v>0</v>
      </c>
      <c r="S19" s="8">
        <f t="shared" si="6"/>
        <v>0</v>
      </c>
      <c r="T19" s="3" t="e">
        <f t="shared" si="7"/>
        <v>#VALUE!</v>
      </c>
      <c r="V19" s="1" t="e">
        <f t="shared" si="8"/>
        <v>#VALUE!</v>
      </c>
    </row>
    <row r="20" spans="1:22" x14ac:dyDescent="0.3">
      <c r="A20" s="8" t="e">
        <f t="shared" si="0"/>
        <v>#DIV/0!</v>
      </c>
      <c r="B20" s="3" t="s">
        <v>34</v>
      </c>
      <c r="C20" s="3">
        <v>64.141696028615911</v>
      </c>
      <c r="D20" s="3">
        <v>55.550677597391733</v>
      </c>
      <c r="E20" s="4">
        <v>59.241484220103388</v>
      </c>
      <c r="F20" s="4">
        <v>66.785919029323082</v>
      </c>
      <c r="H20" s="2" t="str">
        <f>IF(Planilha1!B17="","",Planilha1!B17)</f>
        <v>10:00p</v>
      </c>
      <c r="I20" s="2" t="str">
        <f>IF(Planilha1!C17="","",Planilha1!C17)</f>
        <v>Phoenix Suns</v>
      </c>
      <c r="J20" s="2">
        <f>IF(Planilha1!D17="","",Planilha1!D17)</f>
        <v>95</v>
      </c>
      <c r="K20" s="10" t="str">
        <f>IF(Planilha1!E17="","",IF(Planilha1!E17=0,"",Planilha1!E17))</f>
        <v>Los Angeles Lakers</v>
      </c>
      <c r="L20" s="10">
        <f>IF(Planilha1!F17="","",Planilha1!F17)</f>
        <v>100</v>
      </c>
      <c r="M20" s="10">
        <f>IF(Planilha1!G17="","",IF(Planilha1!G17=0,"",Planilha1!G17))</f>
        <v>100</v>
      </c>
      <c r="N20" s="5">
        <f t="shared" si="1"/>
        <v>1</v>
      </c>
      <c r="O20" s="5">
        <f t="shared" si="2"/>
        <v>0</v>
      </c>
      <c r="P20" s="5">
        <f t="shared" si="3"/>
        <v>0</v>
      </c>
      <c r="Q20" s="5">
        <f t="shared" si="4"/>
        <v>2</v>
      </c>
      <c r="R20" s="8">
        <f t="shared" si="5"/>
        <v>0</v>
      </c>
      <c r="S20" s="8">
        <f t="shared" si="6"/>
        <v>0</v>
      </c>
      <c r="T20" s="3" t="e">
        <f t="shared" si="7"/>
        <v>#VALUE!</v>
      </c>
      <c r="V20" s="1" t="e">
        <f t="shared" si="8"/>
        <v>#VALUE!</v>
      </c>
    </row>
    <row r="21" spans="1:22" x14ac:dyDescent="0.3">
      <c r="A21" s="8" t="e">
        <f t="shared" si="0"/>
        <v>#DIV/0!</v>
      </c>
      <c r="B21" s="3" t="s">
        <v>7</v>
      </c>
      <c r="C21" s="3">
        <v>62.765720353062193</v>
      </c>
      <c r="D21" s="3">
        <v>57.371032347891727</v>
      </c>
      <c r="E21" s="4">
        <v>55.230935306919676</v>
      </c>
      <c r="F21" s="4">
        <v>59.557009840298285</v>
      </c>
      <c r="H21" s="2" t="str">
        <f>IF(Planilha1!B18="","",Planilha1!B18)</f>
        <v>7:00p</v>
      </c>
      <c r="I21" s="2" t="str">
        <f>IF(Planilha1!C18="","",Planilha1!C18)</f>
        <v>Denver Nuggets</v>
      </c>
      <c r="J21" s="2">
        <f>IF(Planilha1!D18="","",Planilha1!D18)</f>
        <v>108</v>
      </c>
      <c r="K21" s="10" t="str">
        <f>IF(Planilha1!E18="","",IF(Planilha1!E18=0,"",Planilha1!E18))</f>
        <v>Memphis Grizzlies</v>
      </c>
      <c r="L21" s="10">
        <f>IF(Planilha1!F18="","",Planilha1!F18)</f>
        <v>104</v>
      </c>
      <c r="M21" s="10">
        <f>IF(Planilha1!G18="","",IF(Planilha1!G18=0,"",Planilha1!G18))</f>
        <v>104</v>
      </c>
      <c r="N21" s="5">
        <f t="shared" si="1"/>
        <v>1</v>
      </c>
      <c r="O21" s="5">
        <f t="shared" si="2"/>
        <v>0</v>
      </c>
      <c r="P21" s="5">
        <f t="shared" si="3"/>
        <v>0</v>
      </c>
      <c r="Q21" s="5">
        <f t="shared" si="4"/>
        <v>2</v>
      </c>
      <c r="R21" s="8">
        <f t="shared" si="5"/>
        <v>0</v>
      </c>
      <c r="S21" s="8">
        <f t="shared" si="6"/>
        <v>0</v>
      </c>
      <c r="T21" s="3" t="e">
        <f t="shared" si="7"/>
        <v>#VALUE!</v>
      </c>
      <c r="V21" s="1" t="e">
        <f t="shared" si="8"/>
        <v>#VALUE!</v>
      </c>
    </row>
    <row r="22" spans="1:22" x14ac:dyDescent="0.3">
      <c r="A22" s="8" t="e">
        <f t="shared" si="0"/>
        <v>#DIV/0!</v>
      </c>
      <c r="B22" s="3" t="s">
        <v>10</v>
      </c>
      <c r="C22" s="3">
        <v>54.901710339135725</v>
      </c>
      <c r="D22" s="3">
        <v>59.363947908329877</v>
      </c>
      <c r="E22" s="4">
        <v>59.143091007694274</v>
      </c>
      <c r="F22" s="4">
        <v>58.544489886235318</v>
      </c>
      <c r="H22" s="2" t="str">
        <f>IF(Planilha1!B19="","",Planilha1!B19)</f>
        <v>7:00p</v>
      </c>
      <c r="I22" s="2" t="str">
        <f>IF(Planilha1!C19="","",Planilha1!C19)</f>
        <v>Detroit Pistons</v>
      </c>
      <c r="J22" s="2">
        <f>IF(Planilha1!D19="","",Planilha1!D19)</f>
        <v>111</v>
      </c>
      <c r="K22" s="10" t="str">
        <f>IF(Planilha1!E19="","",IF(Planilha1!E19=0,"",Planilha1!E19))</f>
        <v>Charlotte Hornets</v>
      </c>
      <c r="L22" s="10">
        <f>IF(Planilha1!F19="","",Planilha1!F19)</f>
        <v>99</v>
      </c>
      <c r="M22" s="10">
        <f>IF(Planilha1!G19="","",IF(Planilha1!G19=0,"",Planilha1!G19))</f>
        <v>99</v>
      </c>
      <c r="N22" s="5">
        <f t="shared" si="1"/>
        <v>1</v>
      </c>
      <c r="O22" s="5">
        <f t="shared" si="2"/>
        <v>0</v>
      </c>
      <c r="P22" s="5">
        <f t="shared" si="3"/>
        <v>0</v>
      </c>
      <c r="Q22" s="5">
        <f t="shared" si="4"/>
        <v>2</v>
      </c>
      <c r="R22" s="8">
        <f t="shared" si="5"/>
        <v>0</v>
      </c>
      <c r="S22" s="8">
        <f t="shared" si="6"/>
        <v>0</v>
      </c>
      <c r="T22" s="3" t="e">
        <f t="shared" si="7"/>
        <v>#VALUE!</v>
      </c>
      <c r="V22" s="1" t="e">
        <f t="shared" si="8"/>
        <v>#VALUE!</v>
      </c>
    </row>
    <row r="23" spans="1:22" x14ac:dyDescent="0.3">
      <c r="A23" s="8" t="e">
        <f t="shared" si="0"/>
        <v>#DIV/0!</v>
      </c>
      <c r="B23" s="3" t="s">
        <v>22</v>
      </c>
      <c r="C23" s="3">
        <v>50.861917882102709</v>
      </c>
      <c r="D23" s="3">
        <v>51.263963112884511</v>
      </c>
      <c r="E23" s="4">
        <v>57.584277486757365</v>
      </c>
      <c r="F23" s="4">
        <v>54.158935450286194</v>
      </c>
      <c r="H23" s="2" t="str">
        <f>IF(Planilha1!B20="","",Planilha1!B20)</f>
        <v>7:30p</v>
      </c>
      <c r="I23" s="2" t="str">
        <f>IF(Planilha1!C20="","",Planilha1!C20)</f>
        <v>New York Knicks</v>
      </c>
      <c r="J23" s="2">
        <f>IF(Planilha1!D20="","",Planilha1!D20)</f>
        <v>126</v>
      </c>
      <c r="K23" s="10" t="str">
        <f>IF(Planilha1!E20="","",IF(Planilha1!E20=0,"",Planilha1!E20))</f>
        <v>Atlanta Hawks</v>
      </c>
      <c r="L23" s="10">
        <f>IF(Planilha1!F20="","",Planilha1!F20)</f>
        <v>120</v>
      </c>
      <c r="M23" s="10">
        <f>IF(Planilha1!G20="","",IF(Planilha1!G20=0,"",Planilha1!G20))</f>
        <v>120</v>
      </c>
      <c r="N23" s="5">
        <f t="shared" si="1"/>
        <v>1</v>
      </c>
      <c r="O23" s="5">
        <f t="shared" si="2"/>
        <v>0</v>
      </c>
      <c r="P23" s="5">
        <f t="shared" si="3"/>
        <v>0</v>
      </c>
      <c r="Q23" s="5">
        <f t="shared" si="4"/>
        <v>2</v>
      </c>
      <c r="R23" s="8">
        <f t="shared" si="5"/>
        <v>0</v>
      </c>
      <c r="S23" s="8">
        <f t="shared" si="6"/>
        <v>0</v>
      </c>
      <c r="T23" s="3" t="e">
        <f t="shared" si="7"/>
        <v>#VALUE!</v>
      </c>
      <c r="V23" s="1" t="e">
        <f t="shared" si="8"/>
        <v>#VALUE!</v>
      </c>
    </row>
    <row r="24" spans="1:22" x14ac:dyDescent="0.3">
      <c r="A24" s="8" t="e">
        <f t="shared" si="0"/>
        <v>#DIV/0!</v>
      </c>
      <c r="B24" s="3" t="s">
        <v>24</v>
      </c>
      <c r="C24" s="3">
        <v>62.463251873716239</v>
      </c>
      <c r="D24" s="3">
        <v>60.005729150587761</v>
      </c>
      <c r="E24" s="4">
        <v>54.718997174706203</v>
      </c>
      <c r="F24" s="4">
        <v>54.025066671937921</v>
      </c>
      <c r="H24" s="2" t="str">
        <f>IF(Planilha1!B21="","",Planilha1!B21)</f>
        <v>7:30p</v>
      </c>
      <c r="I24" s="2" t="str">
        <f>IF(Planilha1!C21="","",Planilha1!C21)</f>
        <v>Oklahoma City Thunder</v>
      </c>
      <c r="J24" s="2">
        <f>IF(Planilha1!D21="","",Planilha1!D21)</f>
        <v>108</v>
      </c>
      <c r="K24" s="10" t="str">
        <f>IF(Planilha1!E21="","",IF(Planilha1!E21=0,"",Planilha1!E21))</f>
        <v>Cleveland Cavaliers</v>
      </c>
      <c r="L24" s="10">
        <f>IF(Planilha1!F21="","",Planilha1!F21)</f>
        <v>105</v>
      </c>
      <c r="M24" s="10">
        <f>IF(Planilha1!G21="","",IF(Planilha1!G21=0,"",Planilha1!G21))</f>
        <v>105</v>
      </c>
      <c r="N24" s="5">
        <f t="shared" si="1"/>
        <v>1</v>
      </c>
      <c r="O24" s="5">
        <f t="shared" si="2"/>
        <v>0</v>
      </c>
      <c r="P24" s="5">
        <f t="shared" si="3"/>
        <v>0</v>
      </c>
      <c r="Q24" s="5">
        <f t="shared" si="4"/>
        <v>2</v>
      </c>
      <c r="R24" s="8">
        <f t="shared" si="5"/>
        <v>0</v>
      </c>
      <c r="S24" s="8">
        <f t="shared" si="6"/>
        <v>0</v>
      </c>
      <c r="T24" s="3" t="e">
        <f t="shared" si="7"/>
        <v>#VALUE!</v>
      </c>
      <c r="V24" s="1" t="e">
        <f t="shared" si="8"/>
        <v>#VALUE!</v>
      </c>
    </row>
    <row r="25" spans="1:22" x14ac:dyDescent="0.3">
      <c r="A25" s="8" t="e">
        <f t="shared" si="0"/>
        <v>#DIV/0!</v>
      </c>
      <c r="B25" s="3" t="s">
        <v>11</v>
      </c>
      <c r="C25" s="3">
        <v>59.349088087611804</v>
      </c>
      <c r="D25" s="3">
        <v>62.137691078467448</v>
      </c>
      <c r="E25" s="4">
        <v>61.836236779272063</v>
      </c>
      <c r="F25" s="4">
        <v>60.126710338958254</v>
      </c>
      <c r="H25" s="2" t="str">
        <f>IF(Planilha1!B22="","",Planilha1!B22)</f>
        <v>7:30p</v>
      </c>
      <c r="I25" s="2" t="str">
        <f>IF(Planilha1!C22="","",Planilha1!C22)</f>
        <v>Miami Heat</v>
      </c>
      <c r="J25" s="2">
        <f>IF(Planilha1!D22="","",Planilha1!D22)</f>
        <v>111</v>
      </c>
      <c r="K25" s="10" t="str">
        <f>IF(Planilha1!E22="","",IF(Planilha1!E22=0,"",Planilha1!E22))</f>
        <v>Boston Celtics</v>
      </c>
      <c r="L25" s="10">
        <f>IF(Planilha1!F22="","",Planilha1!F22)</f>
        <v>119</v>
      </c>
      <c r="M25" s="10">
        <f>IF(Planilha1!G22="","",IF(Planilha1!G22=0,"",Planilha1!G22))</f>
        <v>119</v>
      </c>
      <c r="N25" s="5">
        <f t="shared" si="1"/>
        <v>1</v>
      </c>
      <c r="O25" s="5">
        <f t="shared" si="2"/>
        <v>0</v>
      </c>
      <c r="P25" s="5">
        <f t="shared" si="3"/>
        <v>0</v>
      </c>
      <c r="Q25" s="5">
        <f t="shared" si="4"/>
        <v>2</v>
      </c>
      <c r="R25" s="8">
        <f t="shared" si="5"/>
        <v>0</v>
      </c>
      <c r="S25" s="8">
        <f t="shared" si="6"/>
        <v>0</v>
      </c>
      <c r="T25" s="3" t="e">
        <f t="shared" si="7"/>
        <v>#VALUE!</v>
      </c>
      <c r="V25" s="1" t="e">
        <f t="shared" si="8"/>
        <v>#VALUE!</v>
      </c>
    </row>
    <row r="26" spans="1:22" x14ac:dyDescent="0.3">
      <c r="A26" s="8" t="e">
        <f t="shared" si="0"/>
        <v>#DIV/0!</v>
      </c>
      <c r="B26" s="3" t="s">
        <v>26</v>
      </c>
      <c r="C26" s="3">
        <v>59.499055025731444</v>
      </c>
      <c r="D26" s="3">
        <v>54.331033396845662</v>
      </c>
      <c r="E26" s="4">
        <v>55.366586362101614</v>
      </c>
      <c r="F26" s="4">
        <v>56.933954846246039</v>
      </c>
      <c r="H26" s="2" t="str">
        <f>IF(Planilha1!B23="","",Planilha1!B23)</f>
        <v>8:00p</v>
      </c>
      <c r="I26" s="2" t="str">
        <f>IF(Planilha1!C23="","",Planilha1!C23)</f>
        <v>Toronto Raptors</v>
      </c>
      <c r="J26" s="2">
        <f>IF(Planilha1!D23="","",Planilha1!D23)</f>
        <v>103</v>
      </c>
      <c r="K26" s="10" t="str">
        <f>IF(Planilha1!E23="","",IF(Planilha1!E23=0,"",Planilha1!E23))</f>
        <v>Chicago Bulls</v>
      </c>
      <c r="L26" s="10">
        <f>IF(Planilha1!F23="","",Planilha1!F23)</f>
        <v>104</v>
      </c>
      <c r="M26" s="10">
        <f>IF(Planilha1!G23="","",IF(Planilha1!G23=0,"",Planilha1!G23))</f>
        <v>104</v>
      </c>
      <c r="N26" s="5">
        <f t="shared" si="1"/>
        <v>1</v>
      </c>
      <c r="O26" s="5">
        <f t="shared" si="2"/>
        <v>0</v>
      </c>
      <c r="P26" s="5">
        <f t="shared" si="3"/>
        <v>0</v>
      </c>
      <c r="Q26" s="5">
        <f t="shared" si="4"/>
        <v>2</v>
      </c>
      <c r="R26" s="8">
        <f t="shared" si="5"/>
        <v>0</v>
      </c>
      <c r="S26" s="8">
        <f t="shared" si="6"/>
        <v>0</v>
      </c>
      <c r="T26" s="3" t="e">
        <f t="shared" si="7"/>
        <v>#VALUE!</v>
      </c>
      <c r="V26" s="1" t="e">
        <f t="shared" si="8"/>
        <v>#VALUE!</v>
      </c>
    </row>
    <row r="27" spans="1:22" x14ac:dyDescent="0.3">
      <c r="A27" s="8" t="e">
        <f t="shared" si="0"/>
        <v>#DIV/0!</v>
      </c>
      <c r="B27" s="3" t="s">
        <v>31</v>
      </c>
      <c r="C27" s="3">
        <v>57.77485930364756</v>
      </c>
      <c r="D27" s="3">
        <v>52.933281972237523</v>
      </c>
      <c r="E27" s="4">
        <v>52.239130633687552</v>
      </c>
      <c r="F27" s="4">
        <v>53.0177603055186</v>
      </c>
      <c r="H27" s="2" t="str">
        <f>IF(Planilha1!B24="","",Planilha1!B24)</f>
        <v>8:00p</v>
      </c>
      <c r="I27" s="2" t="str">
        <f>IF(Planilha1!C24="","",Planilha1!C24)</f>
        <v>Houston Rockets</v>
      </c>
      <c r="J27" s="2">
        <f>IF(Planilha1!D24="","",Planilha1!D24)</f>
        <v>122</v>
      </c>
      <c r="K27" s="10" t="str">
        <f>IF(Planilha1!E24="","",IF(Planilha1!E24=0,"",Planilha1!E24))</f>
        <v>San Antonio Spurs</v>
      </c>
      <c r="L27" s="10">
        <f>IF(Planilha1!F24="","",Planilha1!F24)</f>
        <v>126</v>
      </c>
      <c r="M27" s="10">
        <f>IF(Planilha1!G24="","",IF(Planilha1!G24=0,"",Planilha1!G24))</f>
        <v>126</v>
      </c>
      <c r="N27" s="5">
        <f t="shared" si="1"/>
        <v>1</v>
      </c>
      <c r="O27" s="5">
        <f t="shared" si="2"/>
        <v>0</v>
      </c>
      <c r="P27" s="5">
        <f t="shared" si="3"/>
        <v>0</v>
      </c>
      <c r="Q27" s="5">
        <f t="shared" si="4"/>
        <v>2</v>
      </c>
      <c r="R27" s="8">
        <f t="shared" si="5"/>
        <v>0</v>
      </c>
      <c r="S27" s="8">
        <f t="shared" si="6"/>
        <v>0</v>
      </c>
      <c r="T27" s="3" t="e">
        <f t="shared" si="7"/>
        <v>#VALUE!</v>
      </c>
      <c r="V27" s="1" t="e">
        <f t="shared" si="8"/>
        <v>#VALUE!</v>
      </c>
    </row>
    <row r="28" spans="1:22" x14ac:dyDescent="0.3">
      <c r="A28" s="8" t="e">
        <f t="shared" si="0"/>
        <v>#DIV/0!</v>
      </c>
      <c r="B28" s="3" t="s">
        <v>19</v>
      </c>
      <c r="C28" s="3">
        <v>63.866095874482887</v>
      </c>
      <c r="D28" s="3">
        <v>61.012555602074556</v>
      </c>
      <c r="E28" s="4">
        <v>66.707343721152256</v>
      </c>
      <c r="F28" s="4">
        <v>62.305654158648622</v>
      </c>
      <c r="H28" s="2" t="str">
        <f>IF(Planilha1!B25="","",Planilha1!B25)</f>
        <v>8:30p</v>
      </c>
      <c r="I28" s="2" t="str">
        <f>IF(Planilha1!C25="","",Planilha1!C25)</f>
        <v>Brooklyn Nets</v>
      </c>
      <c r="J28" s="2">
        <f>IF(Planilha1!D25="","",Planilha1!D25)</f>
        <v>120</v>
      </c>
      <c r="K28" s="10" t="str">
        <f>IF(Planilha1!E25="","",IF(Planilha1!E25=0,"",Planilha1!E25))</f>
        <v>Dallas Mavericks</v>
      </c>
      <c r="L28" s="10">
        <f>IF(Planilha1!F25="","",Planilha1!F25)</f>
        <v>125</v>
      </c>
      <c r="M28" s="10">
        <f>IF(Planilha1!G25="","",IF(Planilha1!G25=0,"",Planilha1!G25))</f>
        <v>125</v>
      </c>
      <c r="N28" s="5">
        <f t="shared" si="1"/>
        <v>1</v>
      </c>
      <c r="O28" s="5">
        <f t="shared" si="2"/>
        <v>0</v>
      </c>
      <c r="P28" s="5">
        <f t="shared" si="3"/>
        <v>0</v>
      </c>
      <c r="Q28" s="5">
        <f t="shared" si="4"/>
        <v>2</v>
      </c>
      <c r="R28" s="8">
        <f t="shared" si="5"/>
        <v>0</v>
      </c>
      <c r="S28" s="8">
        <f t="shared" si="6"/>
        <v>0</v>
      </c>
      <c r="T28" s="3" t="e">
        <f t="shared" si="7"/>
        <v>#VALUE!</v>
      </c>
      <c r="V28" s="1" t="e">
        <f t="shared" si="8"/>
        <v>#VALUE!</v>
      </c>
    </row>
    <row r="29" spans="1:22" x14ac:dyDescent="0.3">
      <c r="A29" s="8" t="e">
        <f t="shared" si="0"/>
        <v>#DIV/0!</v>
      </c>
      <c r="B29" s="3" t="s">
        <v>29</v>
      </c>
      <c r="C29" s="3">
        <v>55.154060519183766</v>
      </c>
      <c r="D29" s="3">
        <v>52.431150713050855</v>
      </c>
      <c r="E29" s="4">
        <v>54.471746584841121</v>
      </c>
      <c r="F29" s="4">
        <v>47.267788174214033</v>
      </c>
      <c r="H29" s="2" t="str">
        <f>IF(Planilha1!B26="","",Planilha1!B26)</f>
        <v>9:30p</v>
      </c>
      <c r="I29" s="2" t="str">
        <f>IF(Planilha1!C26="","",Planilha1!C26)</f>
        <v>Los Angeles Clippers</v>
      </c>
      <c r="J29" s="2">
        <f>IF(Planilha1!D26="","",Planilha1!D26)</f>
        <v>118</v>
      </c>
      <c r="K29" s="10" t="str">
        <f>IF(Planilha1!E26="","",IF(Planilha1!E26=0,"",Planilha1!E26))</f>
        <v>Utah Jazz</v>
      </c>
      <c r="L29" s="10">
        <f>IF(Planilha1!F26="","",Planilha1!F26)</f>
        <v>120</v>
      </c>
      <c r="M29" s="10">
        <f>IF(Planilha1!G26="","",IF(Planilha1!G26=0,"",Planilha1!G26))</f>
        <v>120</v>
      </c>
      <c r="N29" s="5">
        <f t="shared" si="1"/>
        <v>1</v>
      </c>
      <c r="O29" s="5">
        <f t="shared" si="2"/>
        <v>0</v>
      </c>
      <c r="P29" s="5">
        <f t="shared" si="3"/>
        <v>0</v>
      </c>
      <c r="Q29" s="5">
        <f t="shared" si="4"/>
        <v>2</v>
      </c>
      <c r="R29" s="8">
        <f t="shared" si="5"/>
        <v>0</v>
      </c>
      <c r="S29" s="8">
        <f t="shared" si="6"/>
        <v>0</v>
      </c>
      <c r="T29" s="3" t="e">
        <f t="shared" si="7"/>
        <v>#VALUE!</v>
      </c>
      <c r="V29" s="1" t="e">
        <f t="shared" si="8"/>
        <v>#VALUE!</v>
      </c>
    </row>
    <row r="30" spans="1:22" x14ac:dyDescent="0.3">
      <c r="A30" s="8" t="e">
        <f t="shared" si="0"/>
        <v>#DIV/0!</v>
      </c>
      <c r="B30" s="3" t="s">
        <v>39</v>
      </c>
      <c r="C30" s="3">
        <v>57.682760883123315</v>
      </c>
      <c r="D30" s="3">
        <v>49.119977038082361</v>
      </c>
      <c r="E30" s="4">
        <v>59.065059248784912</v>
      </c>
      <c r="F30" s="4">
        <v>51.716656064634066</v>
      </c>
      <c r="H30" s="2" t="str">
        <f>IF(Planilha1!B27="","",Planilha1!B27)</f>
        <v>10:00p</v>
      </c>
      <c r="I30" s="2" t="str">
        <f>IF(Planilha1!C27="","",Planilha1!C27)</f>
        <v>Orlando Magic</v>
      </c>
      <c r="J30" s="2">
        <f>IF(Planilha1!D27="","",Planilha1!D27)</f>
        <v>102</v>
      </c>
      <c r="K30" s="10" t="str">
        <f>IF(Planilha1!E27="","",IF(Planilha1!E27=0,"",Planilha1!E27))</f>
        <v>Portland Trail Blazers</v>
      </c>
      <c r="L30" s="10">
        <f>IF(Planilha1!F27="","",Planilha1!F27)</f>
        <v>97</v>
      </c>
      <c r="M30" s="10">
        <f>IF(Planilha1!G27="","",IF(Planilha1!G27=0,"",Planilha1!G27))</f>
        <v>97</v>
      </c>
      <c r="N30" s="5">
        <f t="shared" si="1"/>
        <v>1</v>
      </c>
      <c r="O30" s="5">
        <f t="shared" si="2"/>
        <v>0</v>
      </c>
      <c r="P30" s="5">
        <f t="shared" si="3"/>
        <v>0</v>
      </c>
      <c r="Q30" s="5">
        <f t="shared" si="4"/>
        <v>2</v>
      </c>
      <c r="R30" s="8">
        <f t="shared" si="5"/>
        <v>0</v>
      </c>
      <c r="S30" s="8">
        <f t="shared" si="6"/>
        <v>0</v>
      </c>
      <c r="T30" s="3" t="e">
        <f t="shared" si="7"/>
        <v>#VALUE!</v>
      </c>
      <c r="V30" s="1" t="e">
        <f t="shared" si="8"/>
        <v>#VALUE!</v>
      </c>
    </row>
    <row r="31" spans="1:22" x14ac:dyDescent="0.3">
      <c r="A31" s="8" t="e">
        <f t="shared" si="0"/>
        <v>#DIV/0!</v>
      </c>
      <c r="B31" s="3" t="s">
        <v>37</v>
      </c>
      <c r="C31" s="3">
        <v>62.530018429159128</v>
      </c>
      <c r="D31" s="3">
        <v>52.85574695179546</v>
      </c>
      <c r="E31" s="4">
        <v>66.437452806895521</v>
      </c>
      <c r="F31" s="4">
        <v>57.739843727065818</v>
      </c>
      <c r="H31" s="2" t="str">
        <f>IF(Planilha1!B28="","",Planilha1!B28)</f>
        <v>10:00p</v>
      </c>
      <c r="I31" s="2" t="str">
        <f>IF(Planilha1!C28="","",Planilha1!C28)</f>
        <v>Golden State Warriors</v>
      </c>
      <c r="J31" s="2">
        <f>IF(Planilha1!D28="","",Planilha1!D28)</f>
        <v>122</v>
      </c>
      <c r="K31" s="10" t="str">
        <f>IF(Planilha1!E28="","",IF(Planilha1!E28=0,"",Planilha1!E28))</f>
        <v>Sacramento Kings</v>
      </c>
      <c r="L31" s="10">
        <f>IF(Planilha1!F28="","",Planilha1!F28)</f>
        <v>114</v>
      </c>
      <c r="M31" s="10">
        <f>IF(Planilha1!G28="","",IF(Planilha1!G28=0,"",Planilha1!G28))</f>
        <v>114</v>
      </c>
      <c r="N31" s="5">
        <f t="shared" si="1"/>
        <v>1</v>
      </c>
      <c r="O31" s="5">
        <f t="shared" si="2"/>
        <v>0</v>
      </c>
      <c r="P31" s="5">
        <f t="shared" si="3"/>
        <v>0</v>
      </c>
      <c r="Q31" s="5">
        <f t="shared" si="4"/>
        <v>2</v>
      </c>
      <c r="R31" s="8">
        <f t="shared" si="5"/>
        <v>0</v>
      </c>
      <c r="S31" s="8">
        <f t="shared" si="6"/>
        <v>0</v>
      </c>
      <c r="T31" s="3" t="e">
        <f t="shared" si="7"/>
        <v>#VALUE!</v>
      </c>
      <c r="V31" s="1" t="e">
        <f t="shared" si="8"/>
        <v>#VALUE!</v>
      </c>
    </row>
    <row r="32" spans="1:22" x14ac:dyDescent="0.3">
      <c r="A32" s="8" t="e">
        <f t="shared" si="0"/>
        <v>#DIV/0!</v>
      </c>
      <c r="B32" s="3" t="s">
        <v>20</v>
      </c>
      <c r="C32" s="3">
        <v>63.246187264072425</v>
      </c>
      <c r="D32" s="3">
        <v>52.602741751235385</v>
      </c>
      <c r="E32" s="4">
        <v>60.848825320700982</v>
      </c>
      <c r="F32" s="4">
        <v>50.14402820134849</v>
      </c>
      <c r="H32" s="2" t="str">
        <f>IF(Planilha1!B29="","",Planilha1!B29)</f>
        <v>7:00p</v>
      </c>
      <c r="I32" s="2" t="str">
        <f>IF(Planilha1!C29="","",Planilha1!C29)</f>
        <v>Chicago Bulls</v>
      </c>
      <c r="J32" s="2">
        <f>IF(Planilha1!D29="","",Planilha1!D29)</f>
        <v>102</v>
      </c>
      <c r="K32" s="10" t="str">
        <f>IF(Planilha1!E29="","",IF(Planilha1!E29=0,"",Planilha1!E29))</f>
        <v>Detroit Pistons</v>
      </c>
      <c r="L32" s="10">
        <f>IF(Planilha1!F29="","",Planilha1!F29)</f>
        <v>118</v>
      </c>
      <c r="M32" s="10">
        <f>IF(Planilha1!G29="","",IF(Planilha1!G29=0,"",Planilha1!G29))</f>
        <v>118</v>
      </c>
      <c r="N32" s="5">
        <f t="shared" si="1"/>
        <v>1</v>
      </c>
      <c r="O32" s="5">
        <f t="shared" si="2"/>
        <v>0</v>
      </c>
      <c r="P32" s="5">
        <f t="shared" si="3"/>
        <v>0</v>
      </c>
      <c r="Q32" s="5">
        <f t="shared" si="4"/>
        <v>2</v>
      </c>
      <c r="R32" s="8">
        <f t="shared" si="5"/>
        <v>0</v>
      </c>
      <c r="S32" s="8">
        <f t="shared" si="6"/>
        <v>0</v>
      </c>
      <c r="T32" s="3" t="e">
        <f t="shared" si="7"/>
        <v>#VALUE!</v>
      </c>
      <c r="V32" s="1" t="e">
        <f t="shared" si="8"/>
        <v>#VALUE!</v>
      </c>
    </row>
    <row r="33" spans="1:22" x14ac:dyDescent="0.3">
      <c r="A33" s="8" t="e">
        <f t="shared" si="0"/>
        <v>#DIV/0!</v>
      </c>
      <c r="B33" s="3" t="s">
        <v>17</v>
      </c>
      <c r="C33" s="3">
        <v>65.574463415733135</v>
      </c>
      <c r="D33" s="3">
        <v>56.428868997078801</v>
      </c>
      <c r="E33" s="4">
        <v>67.89254296764075</v>
      </c>
      <c r="F33" s="4">
        <v>56.58096429788111</v>
      </c>
      <c r="H33" s="2" t="str">
        <f>IF(Planilha1!B30="","",Planilha1!B30)</f>
        <v>7:00p</v>
      </c>
      <c r="I33" s="2" t="str">
        <f>IF(Planilha1!C30="","",Planilha1!C30)</f>
        <v>Memphis Grizzlies</v>
      </c>
      <c r="J33" s="2">
        <f>IF(Planilha1!D30="","",Planilha1!D30)</f>
        <v>106</v>
      </c>
      <c r="K33" s="10" t="str">
        <f>IF(Planilha1!E30="","",IF(Planilha1!E30=0,"",Planilha1!E30))</f>
        <v>Washington Wizards</v>
      </c>
      <c r="L33" s="10">
        <f>IF(Planilha1!F30="","",Planilha1!F30)</f>
        <v>113</v>
      </c>
      <c r="M33" s="10">
        <f>IF(Planilha1!G30="","",IF(Planilha1!G30=0,"",Planilha1!G30))</f>
        <v>113</v>
      </c>
      <c r="N33" s="5">
        <f t="shared" si="1"/>
        <v>1</v>
      </c>
      <c r="O33" s="5">
        <f t="shared" si="2"/>
        <v>0</v>
      </c>
      <c r="P33" s="5">
        <f t="shared" si="3"/>
        <v>0</v>
      </c>
      <c r="Q33" s="5">
        <f t="shared" si="4"/>
        <v>2</v>
      </c>
      <c r="R33" s="8">
        <f t="shared" si="5"/>
        <v>0</v>
      </c>
      <c r="S33" s="8">
        <f t="shared" si="6"/>
        <v>0</v>
      </c>
      <c r="T33" s="3" t="e">
        <f t="shared" si="7"/>
        <v>#VALUE!</v>
      </c>
      <c r="V33" s="1" t="e">
        <f t="shared" si="8"/>
        <v>#VALUE!</v>
      </c>
    </row>
    <row r="34" spans="1:22" x14ac:dyDescent="0.3">
      <c r="A34" s="8" t="e">
        <f t="shared" si="0"/>
        <v>#DIV/0!</v>
      </c>
      <c r="B34" s="3" t="s">
        <v>21</v>
      </c>
      <c r="C34" s="3">
        <v>65.377991078954778</v>
      </c>
      <c r="D34" s="3">
        <v>56.150992360033854</v>
      </c>
      <c r="E34" s="4">
        <v>63.100720155654933</v>
      </c>
      <c r="F34" s="4">
        <v>52.257546827871082</v>
      </c>
      <c r="H34" s="2" t="str">
        <f>IF(Planilha1!B31="","",Planilha1!B31)</f>
        <v>7:00p</v>
      </c>
      <c r="I34" s="2" t="str">
        <f>IF(Planilha1!C31="","",Planilha1!C31)</f>
        <v>New York Knicks</v>
      </c>
      <c r="J34" s="2">
        <f>IF(Planilha1!D31="","",Planilha1!D31)</f>
        <v>87</v>
      </c>
      <c r="K34" s="10" t="str">
        <f>IF(Planilha1!E31="","",IF(Planilha1!E31=0,"",Planilha1!E31))</f>
        <v>New Orleans Pelicans</v>
      </c>
      <c r="L34" s="10">
        <f>IF(Planilha1!F31="","",Planilha1!F31)</f>
        <v>96</v>
      </c>
      <c r="M34" s="10">
        <f>IF(Planilha1!G31="","",IF(Planilha1!G31=0,"",Planilha1!G31))</f>
        <v>96</v>
      </c>
      <c r="N34" s="5">
        <f t="shared" si="1"/>
        <v>1</v>
      </c>
      <c r="O34" s="5">
        <f t="shared" si="2"/>
        <v>0</v>
      </c>
      <c r="P34" s="5">
        <f t="shared" si="3"/>
        <v>0</v>
      </c>
      <c r="Q34" s="5">
        <f t="shared" si="4"/>
        <v>2</v>
      </c>
      <c r="R34" s="8">
        <f t="shared" si="5"/>
        <v>0</v>
      </c>
      <c r="S34" s="8">
        <f t="shared" si="6"/>
        <v>0</v>
      </c>
      <c r="T34" s="3" t="e">
        <f t="shared" si="7"/>
        <v>#VALUE!</v>
      </c>
      <c r="V34" s="1" t="e">
        <f t="shared" si="8"/>
        <v>#VALUE!</v>
      </c>
    </row>
    <row r="35" spans="1:22" x14ac:dyDescent="0.3">
      <c r="H35" s="2" t="str">
        <f>IF(Planilha1!B32="","",Planilha1!B32)</f>
        <v>7:30p</v>
      </c>
      <c r="I35" s="2" t="str">
        <f>IF(Planilha1!C32="","",Planilha1!C32)</f>
        <v>Indiana Pacers</v>
      </c>
      <c r="J35" s="2">
        <f>IF(Planilha1!D32="","",Planilha1!D32)</f>
        <v>125</v>
      </c>
      <c r="K35" s="10" t="str">
        <f>IF(Planilha1!E32="","",IF(Planilha1!E32=0,"",Planilha1!E32))</f>
        <v>Cleveland Cavaliers</v>
      </c>
      <c r="L35" s="10">
        <f>IF(Planilha1!F32="","",Planilha1!F32)</f>
        <v>113</v>
      </c>
      <c r="M35" s="10">
        <f>IF(Planilha1!G32="","",IF(Planilha1!G32=0,"",Planilha1!G32))</f>
        <v>113</v>
      </c>
      <c r="N35" s="5">
        <f t="shared" si="1"/>
        <v>1</v>
      </c>
      <c r="O35" s="5">
        <f t="shared" si="2"/>
        <v>0</v>
      </c>
      <c r="P35" s="5">
        <f t="shared" si="3"/>
        <v>0</v>
      </c>
      <c r="Q35" s="5">
        <f t="shared" si="4"/>
        <v>2</v>
      </c>
      <c r="R35" s="8">
        <f t="shared" si="5"/>
        <v>0</v>
      </c>
      <c r="S35" s="8">
        <f t="shared" si="6"/>
        <v>0</v>
      </c>
      <c r="T35" s="3" t="e">
        <f t="shared" si="7"/>
        <v>#VALUE!</v>
      </c>
      <c r="V35" s="1" t="e">
        <f t="shared" si="8"/>
        <v>#VALUE!</v>
      </c>
    </row>
    <row r="36" spans="1:22" x14ac:dyDescent="0.3">
      <c r="H36" s="2" t="str">
        <f>IF(Planilha1!B33="","",Planilha1!B33)</f>
        <v>7:30p</v>
      </c>
      <c r="I36" s="2" t="str">
        <f>IF(Planilha1!C33="","",Planilha1!C33)</f>
        <v>Philadelphia 76ers</v>
      </c>
      <c r="J36" s="2">
        <f>IF(Planilha1!D33="","",Planilha1!D33)</f>
        <v>114</v>
      </c>
      <c r="K36" s="10" t="str">
        <f>IF(Planilha1!E33="","",IF(Planilha1!E33=0,"",Planilha1!E33))</f>
        <v>Toronto Raptors</v>
      </c>
      <c r="L36" s="10">
        <f>IF(Planilha1!F33="","",Planilha1!F33)</f>
        <v>107</v>
      </c>
      <c r="M36" s="10">
        <f>IF(Planilha1!G33="","",IF(Planilha1!G33=0,"",Planilha1!G33))</f>
        <v>107</v>
      </c>
      <c r="N36" s="5">
        <f t="shared" si="1"/>
        <v>1</v>
      </c>
      <c r="O36" s="5">
        <f t="shared" si="2"/>
        <v>0</v>
      </c>
      <c r="P36" s="5">
        <f t="shared" si="3"/>
        <v>0</v>
      </c>
      <c r="Q36" s="5">
        <f t="shared" si="4"/>
        <v>2</v>
      </c>
      <c r="R36" s="8">
        <f t="shared" si="5"/>
        <v>0</v>
      </c>
      <c r="S36" s="8">
        <f t="shared" si="6"/>
        <v>0</v>
      </c>
      <c r="T36" s="3" t="e">
        <f t="shared" si="7"/>
        <v>#VALUE!</v>
      </c>
      <c r="V36" s="1" t="e">
        <f t="shared" si="8"/>
        <v>#VALUE!</v>
      </c>
    </row>
    <row r="37" spans="1:22" x14ac:dyDescent="0.3">
      <c r="H37" s="2" t="str">
        <f>IF(Planilha1!B34="","",Planilha1!B34)</f>
        <v>8:00p</v>
      </c>
      <c r="I37" s="2" t="str">
        <f>IF(Planilha1!C34="","",Planilha1!C34)</f>
        <v>Miami Heat</v>
      </c>
      <c r="J37" s="2">
        <f>IF(Planilha1!D34="","",Planilha1!D34)</f>
        <v>90</v>
      </c>
      <c r="K37" s="10" t="str">
        <f>IF(Planilha1!E34="","",IF(Planilha1!E34=0,"",Planilha1!E34))</f>
        <v>Minnesota Timberwolves</v>
      </c>
      <c r="L37" s="10">
        <f>IF(Planilha1!F34="","",Planilha1!F34)</f>
        <v>106</v>
      </c>
      <c r="M37" s="10">
        <f>IF(Planilha1!G34="","",IF(Planilha1!G34=0,"",Planilha1!G34))</f>
        <v>106</v>
      </c>
      <c r="N37" s="5">
        <f t="shared" si="1"/>
        <v>1</v>
      </c>
      <c r="O37" s="5">
        <f t="shared" si="2"/>
        <v>0</v>
      </c>
      <c r="P37" s="5">
        <f t="shared" si="3"/>
        <v>0</v>
      </c>
      <c r="Q37" s="5">
        <f t="shared" si="4"/>
        <v>2</v>
      </c>
      <c r="R37" s="8">
        <f t="shared" si="5"/>
        <v>0</v>
      </c>
      <c r="S37" s="8">
        <f t="shared" si="6"/>
        <v>0</v>
      </c>
      <c r="T37" s="3" t="e">
        <f t="shared" si="7"/>
        <v>#VALUE!</v>
      </c>
      <c r="V37" s="1" t="e">
        <f t="shared" si="8"/>
        <v>#VALUE!</v>
      </c>
    </row>
    <row r="38" spans="1:22" x14ac:dyDescent="0.3">
      <c r="H38" s="2" t="str">
        <f>IF(Planilha1!B35="","",Planilha1!B35)</f>
        <v>10:00p</v>
      </c>
      <c r="I38" s="2" t="str">
        <f>IF(Planilha1!C35="","",Planilha1!C35)</f>
        <v>Utah Jazz</v>
      </c>
      <c r="J38" s="2">
        <f>IF(Planilha1!D35="","",Planilha1!D35)</f>
        <v>104</v>
      </c>
      <c r="K38" s="10" t="str">
        <f>IF(Planilha1!E35="","",IF(Planilha1!E35=0,"",Planilha1!E35))</f>
        <v>Phoenix Suns</v>
      </c>
      <c r="L38" s="10">
        <f>IF(Planilha1!F35="","",Planilha1!F35)</f>
        <v>126</v>
      </c>
      <c r="M38" s="10">
        <f>IF(Planilha1!G35="","",IF(Planilha1!G35=0,"",Planilha1!G35))</f>
        <v>126</v>
      </c>
      <c r="N38" s="5">
        <f t="shared" si="1"/>
        <v>1</v>
      </c>
      <c r="O38" s="5">
        <f t="shared" si="2"/>
        <v>0</v>
      </c>
      <c r="P38" s="5">
        <f t="shared" si="3"/>
        <v>0</v>
      </c>
      <c r="Q38" s="5">
        <f t="shared" si="4"/>
        <v>2</v>
      </c>
      <c r="R38" s="8">
        <f t="shared" si="5"/>
        <v>0</v>
      </c>
      <c r="S38" s="8">
        <f t="shared" si="6"/>
        <v>0</v>
      </c>
      <c r="T38" s="3" t="e">
        <f t="shared" si="7"/>
        <v>#VALUE!</v>
      </c>
      <c r="V38" s="1" t="e">
        <f t="shared" si="8"/>
        <v>#VALUE!</v>
      </c>
    </row>
    <row r="39" spans="1:22" x14ac:dyDescent="0.3">
      <c r="H39" s="2" t="str">
        <f>IF(Planilha1!B36="","",Planilha1!B36)</f>
        <v>3:30p</v>
      </c>
      <c r="I39" s="2" t="str">
        <f>IF(Planilha1!C36="","",Planilha1!C36)</f>
        <v>Denver Nuggets</v>
      </c>
      <c r="J39" s="2">
        <f>IF(Planilha1!D36="","",Planilha1!D36)</f>
        <v>128</v>
      </c>
      <c r="K39" s="10" t="str">
        <f>IF(Planilha1!E36="","",IF(Planilha1!E36=0,"",Planilha1!E36))</f>
        <v>Oklahoma City Thunder</v>
      </c>
      <c r="L39" s="10">
        <f>IF(Planilha1!F36="","",Planilha1!F36)</f>
        <v>95</v>
      </c>
      <c r="M39" s="10">
        <f>IF(Planilha1!G36="","",IF(Planilha1!G36=0,"",Planilha1!G36))</f>
        <v>95</v>
      </c>
      <c r="N39" s="5">
        <f t="shared" si="1"/>
        <v>1</v>
      </c>
      <c r="O39" s="5">
        <f t="shared" si="2"/>
        <v>0</v>
      </c>
      <c r="P39" s="5">
        <f t="shared" si="3"/>
        <v>0</v>
      </c>
      <c r="Q39" s="5">
        <f t="shared" si="4"/>
        <v>2</v>
      </c>
      <c r="R39" s="8">
        <f t="shared" si="5"/>
        <v>0</v>
      </c>
      <c r="S39" s="8">
        <f t="shared" si="6"/>
        <v>0</v>
      </c>
      <c r="T39" s="3" t="e">
        <f t="shared" si="7"/>
        <v>#VALUE!</v>
      </c>
      <c r="V39" s="1" t="e">
        <f t="shared" si="8"/>
        <v>#VALUE!</v>
      </c>
    </row>
    <row r="40" spans="1:22" x14ac:dyDescent="0.3">
      <c r="H40" s="2" t="str">
        <f>IF(Planilha1!B37="","",Planilha1!B37)</f>
        <v>7:00p</v>
      </c>
      <c r="I40" s="2" t="str">
        <f>IF(Planilha1!C37="","",Planilha1!C37)</f>
        <v>Golden State Warriors</v>
      </c>
      <c r="J40" s="2">
        <f>IF(Planilha1!D37="","",Planilha1!D37)</f>
        <v>106</v>
      </c>
      <c r="K40" s="10" t="str">
        <f>IF(Planilha1!E37="","",IF(Planilha1!E37=0,"",Planilha1!E37))</f>
        <v>Houston Rockets</v>
      </c>
      <c r="L40" s="10">
        <f>IF(Planilha1!F37="","",Planilha1!F37)</f>
        <v>95</v>
      </c>
      <c r="M40" s="10">
        <f>IF(Planilha1!G37="","",IF(Planilha1!G37=0,"",Planilha1!G37))</f>
        <v>95</v>
      </c>
      <c r="N40" s="5">
        <f t="shared" si="1"/>
        <v>1</v>
      </c>
      <c r="O40" s="5">
        <f t="shared" si="2"/>
        <v>0</v>
      </c>
      <c r="P40" s="5">
        <f t="shared" si="3"/>
        <v>0</v>
      </c>
      <c r="Q40" s="5">
        <f t="shared" si="4"/>
        <v>2</v>
      </c>
      <c r="R40" s="8">
        <f t="shared" si="5"/>
        <v>0</v>
      </c>
      <c r="S40" s="8">
        <f t="shared" si="6"/>
        <v>0</v>
      </c>
      <c r="T40" s="3" t="e">
        <f t="shared" si="7"/>
        <v>#VALUE!</v>
      </c>
      <c r="V40" s="1" t="e">
        <f t="shared" si="8"/>
        <v>#VALUE!</v>
      </c>
    </row>
    <row r="41" spans="1:22" x14ac:dyDescent="0.3">
      <c r="H41" s="2" t="str">
        <f>IF(Planilha1!B38="","",Planilha1!B38)</f>
        <v>7:00p</v>
      </c>
      <c r="I41" s="2" t="str">
        <f>IF(Planilha1!C38="","",Planilha1!C38)</f>
        <v>Atlanta Hawks</v>
      </c>
      <c r="J41" s="2">
        <f>IF(Planilha1!D38="","",Planilha1!D38)</f>
        <v>127</v>
      </c>
      <c r="K41" s="10" t="str">
        <f>IF(Planilha1!E38="","",IF(Planilha1!E38=0,"",Planilha1!E38))</f>
        <v>Milwaukee Bucks</v>
      </c>
      <c r="L41" s="10">
        <f>IF(Planilha1!F38="","",Planilha1!F38)</f>
        <v>110</v>
      </c>
      <c r="M41" s="10">
        <f>IF(Planilha1!G38="","",IF(Planilha1!G38=0,"",Planilha1!G38))</f>
        <v>110</v>
      </c>
      <c r="N41" s="5">
        <f t="shared" si="1"/>
        <v>1</v>
      </c>
      <c r="O41" s="5">
        <f t="shared" si="2"/>
        <v>0</v>
      </c>
      <c r="P41" s="5">
        <f t="shared" si="3"/>
        <v>0</v>
      </c>
      <c r="Q41" s="5">
        <f t="shared" si="4"/>
        <v>2</v>
      </c>
      <c r="R41" s="8">
        <f t="shared" si="5"/>
        <v>0</v>
      </c>
      <c r="S41" s="8">
        <f t="shared" si="6"/>
        <v>0</v>
      </c>
      <c r="T41" s="3" t="e">
        <f t="shared" si="7"/>
        <v>#VALUE!</v>
      </c>
      <c r="V41" s="1" t="e">
        <f t="shared" si="8"/>
        <v>#VALUE!</v>
      </c>
    </row>
    <row r="42" spans="1:22" x14ac:dyDescent="0.3">
      <c r="H42" s="2" t="str">
        <f>IF(Planilha1!B39="","",Planilha1!B39)</f>
        <v>7:30p</v>
      </c>
      <c r="I42" s="2" t="str">
        <f>IF(Planilha1!C39="","",Planilha1!C39)</f>
        <v>Portland Trail Blazers</v>
      </c>
      <c r="J42" s="2">
        <f>IF(Planilha1!D39="","",Planilha1!D39)</f>
        <v>98</v>
      </c>
      <c r="K42" s="10" t="str">
        <f>IF(Planilha1!E39="","",IF(Planilha1!E39=0,"",Planilha1!E39))</f>
        <v>Philadelphia 76ers</v>
      </c>
      <c r="L42" s="10">
        <f>IF(Planilha1!F39="","",Planilha1!F39)</f>
        <v>126</v>
      </c>
      <c r="M42" s="10">
        <f>IF(Planilha1!G39="","",IF(Planilha1!G39=0,"",Planilha1!G39))</f>
        <v>126</v>
      </c>
      <c r="N42" s="5">
        <f t="shared" si="1"/>
        <v>1</v>
      </c>
      <c r="O42" s="5">
        <f t="shared" si="2"/>
        <v>0</v>
      </c>
      <c r="P42" s="5">
        <f t="shared" si="3"/>
        <v>0</v>
      </c>
      <c r="Q42" s="5">
        <f t="shared" si="4"/>
        <v>2</v>
      </c>
      <c r="R42" s="8">
        <f t="shared" si="5"/>
        <v>0</v>
      </c>
      <c r="S42" s="8">
        <f t="shared" si="6"/>
        <v>0</v>
      </c>
      <c r="T42" s="3" t="e">
        <f t="shared" si="7"/>
        <v>#VALUE!</v>
      </c>
      <c r="V42" s="1" t="e">
        <f t="shared" si="8"/>
        <v>#VALUE!</v>
      </c>
    </row>
    <row r="43" spans="1:22" x14ac:dyDescent="0.3">
      <c r="H43" s="2" t="str">
        <f>IF(Planilha1!B40="","",Planilha1!B40)</f>
        <v>9:00p</v>
      </c>
      <c r="I43" s="2" t="str">
        <f>IF(Planilha1!C40="","",Planilha1!C40)</f>
        <v>San Antonio Spurs</v>
      </c>
      <c r="J43" s="2">
        <f>IF(Planilha1!D40="","",Planilha1!D40)</f>
        <v>83</v>
      </c>
      <c r="K43" s="10" t="str">
        <f>IF(Planilha1!E40="","",IF(Planilha1!E40=0,"",Planilha1!E40))</f>
        <v>Los Angeles Clippers</v>
      </c>
      <c r="L43" s="10">
        <f>IF(Planilha1!F40="","",Planilha1!F40)</f>
        <v>123</v>
      </c>
      <c r="M43" s="10">
        <f>IF(Planilha1!G40="","",IF(Planilha1!G40=0,"",Planilha1!G40))</f>
        <v>123</v>
      </c>
      <c r="N43" s="5">
        <f t="shared" si="1"/>
        <v>1</v>
      </c>
      <c r="O43" s="5">
        <f t="shared" si="2"/>
        <v>0</v>
      </c>
      <c r="P43" s="5">
        <f t="shared" si="3"/>
        <v>0</v>
      </c>
      <c r="Q43" s="5">
        <f t="shared" si="4"/>
        <v>2</v>
      </c>
      <c r="R43" s="8">
        <f t="shared" si="5"/>
        <v>0</v>
      </c>
      <c r="S43" s="8">
        <f t="shared" si="6"/>
        <v>0</v>
      </c>
      <c r="T43" s="3" t="e">
        <f t="shared" si="7"/>
        <v>#VALUE!</v>
      </c>
      <c r="V43" s="1" t="e">
        <f t="shared" si="8"/>
        <v>#VALUE!</v>
      </c>
    </row>
    <row r="44" spans="1:22" x14ac:dyDescent="0.3">
      <c r="H44" s="2" t="str">
        <f>IF(Planilha1!B41="","",Planilha1!B41)</f>
        <v>9:00p</v>
      </c>
      <c r="I44" s="2" t="str">
        <f>IF(Planilha1!C41="","",Planilha1!C41)</f>
        <v>Los Angeles Lakers</v>
      </c>
      <c r="J44" s="2">
        <f>IF(Planilha1!D41="","",Planilha1!D41)</f>
        <v>127</v>
      </c>
      <c r="K44" s="10" t="str">
        <f>IF(Planilha1!E41="","",IF(Planilha1!E41=0,"",Planilha1!E41))</f>
        <v>Sacramento Kings</v>
      </c>
      <c r="L44" s="10">
        <f>IF(Planilha1!F41="","",Planilha1!F41)</f>
        <v>132</v>
      </c>
      <c r="M44" s="10">
        <f>IF(Planilha1!G41="","",IF(Planilha1!G41=0,"",Planilha1!G41))</f>
        <v>132</v>
      </c>
      <c r="N44" s="5">
        <f t="shared" si="1"/>
        <v>1</v>
      </c>
      <c r="O44" s="5">
        <f t="shared" si="2"/>
        <v>0</v>
      </c>
      <c r="P44" s="5">
        <f t="shared" si="3"/>
        <v>0</v>
      </c>
      <c r="Q44" s="5">
        <f t="shared" si="4"/>
        <v>2</v>
      </c>
      <c r="R44" s="8">
        <f t="shared" si="5"/>
        <v>0</v>
      </c>
      <c r="S44" s="8">
        <f t="shared" si="6"/>
        <v>0</v>
      </c>
      <c r="T44" s="3" t="e">
        <f t="shared" si="7"/>
        <v>#VALUE!</v>
      </c>
      <c r="V44" s="1" t="e">
        <f t="shared" si="8"/>
        <v>#VALUE!</v>
      </c>
    </row>
    <row r="45" spans="1:22" x14ac:dyDescent="0.3">
      <c r="H45" s="2" t="str">
        <f>IF(Planilha1!B42="","",Planilha1!B42)</f>
        <v>7:00p</v>
      </c>
      <c r="I45" s="2" t="str">
        <f>IF(Planilha1!C42="","",Planilha1!C42)</f>
        <v>Chicago Bulls</v>
      </c>
      <c r="J45" s="2">
        <f>IF(Planilha1!D42="","",Planilha1!D42)</f>
        <v>112</v>
      </c>
      <c r="K45" s="10" t="str">
        <f>IF(Planilha1!E42="","",IF(Planilha1!E42=0,"",Planilha1!E42))</f>
        <v>Indiana Pacers</v>
      </c>
      <c r="L45" s="10">
        <f>IF(Planilha1!F42="","",Planilha1!F42)</f>
        <v>105</v>
      </c>
      <c r="M45" s="10">
        <f>IF(Planilha1!G42="","",IF(Planilha1!G42=0,"",Planilha1!G42))</f>
        <v>105</v>
      </c>
      <c r="N45" s="5">
        <f t="shared" si="1"/>
        <v>1</v>
      </c>
      <c r="O45" s="5">
        <f t="shared" si="2"/>
        <v>0</v>
      </c>
      <c r="P45" s="5">
        <f t="shared" si="3"/>
        <v>0</v>
      </c>
      <c r="Q45" s="5">
        <f t="shared" si="4"/>
        <v>2</v>
      </c>
      <c r="R45" s="8">
        <f t="shared" si="5"/>
        <v>0</v>
      </c>
      <c r="S45" s="8">
        <f t="shared" si="6"/>
        <v>0</v>
      </c>
      <c r="T45" s="3" t="e">
        <f t="shared" si="7"/>
        <v>#VALUE!</v>
      </c>
      <c r="V45" s="1" t="e">
        <f t="shared" si="8"/>
        <v>#VALUE!</v>
      </c>
    </row>
    <row r="46" spans="1:22" x14ac:dyDescent="0.3">
      <c r="H46" s="2" t="str">
        <f>IF(Planilha1!B43="","",Planilha1!B43)</f>
        <v>7:00p</v>
      </c>
      <c r="I46" s="2" t="str">
        <f>IF(Planilha1!C43="","",Planilha1!C43)</f>
        <v>Boston Celtics</v>
      </c>
      <c r="J46" s="2">
        <f>IF(Planilha1!D43="","",Planilha1!D43)</f>
        <v>126</v>
      </c>
      <c r="K46" s="10" t="str">
        <f>IF(Planilha1!E43="","",IF(Planilha1!E43=0,"",Planilha1!E43))</f>
        <v>Washington Wizards</v>
      </c>
      <c r="L46" s="10">
        <f>IF(Planilha1!F43="","",Planilha1!F43)</f>
        <v>107</v>
      </c>
      <c r="M46" s="10">
        <f>IF(Planilha1!G43="","",IF(Planilha1!G43=0,"",Planilha1!G43))</f>
        <v>107</v>
      </c>
      <c r="N46" s="5">
        <f t="shared" si="1"/>
        <v>1</v>
      </c>
      <c r="O46" s="5">
        <f t="shared" si="2"/>
        <v>0</v>
      </c>
      <c r="P46" s="5">
        <f t="shared" si="3"/>
        <v>0</v>
      </c>
      <c r="Q46" s="5">
        <f t="shared" si="4"/>
        <v>2</v>
      </c>
      <c r="R46" s="8">
        <f t="shared" si="5"/>
        <v>0</v>
      </c>
      <c r="S46" s="8">
        <f t="shared" si="6"/>
        <v>0</v>
      </c>
      <c r="T46" s="3" t="e">
        <f t="shared" si="7"/>
        <v>#VALUE!</v>
      </c>
      <c r="V46" s="1" t="e">
        <f t="shared" si="8"/>
        <v>#VALUE!</v>
      </c>
    </row>
    <row r="47" spans="1:22" x14ac:dyDescent="0.3">
      <c r="H47" s="2" t="str">
        <f>IF(Planilha1!B44="","",Planilha1!B44)</f>
        <v>7:00p</v>
      </c>
      <c r="I47" s="2" t="str">
        <f>IF(Planilha1!C44="","",Planilha1!C44)</f>
        <v>Brooklyn Nets</v>
      </c>
      <c r="J47" s="2">
        <f>IF(Planilha1!D44="","",Planilha1!D44)</f>
        <v>133</v>
      </c>
      <c r="K47" s="10" t="str">
        <f>IF(Planilha1!E44="","",IF(Planilha1!E44=0,"",Planilha1!E44))</f>
        <v>Charlotte Hornets</v>
      </c>
      <c r="L47" s="10">
        <f>IF(Planilha1!F44="","",Planilha1!F44)</f>
        <v>121</v>
      </c>
      <c r="M47" s="10">
        <f>IF(Planilha1!G44="","",IF(Planilha1!G44=0,"",Planilha1!G44))</f>
        <v>121</v>
      </c>
      <c r="N47" s="5">
        <f t="shared" si="1"/>
        <v>1</v>
      </c>
      <c r="O47" s="5">
        <f t="shared" si="2"/>
        <v>0</v>
      </c>
      <c r="P47" s="5">
        <f t="shared" si="3"/>
        <v>0</v>
      </c>
      <c r="Q47" s="5">
        <f t="shared" si="4"/>
        <v>2</v>
      </c>
      <c r="R47" s="8">
        <f t="shared" si="5"/>
        <v>0</v>
      </c>
      <c r="S47" s="8">
        <f t="shared" si="6"/>
        <v>0</v>
      </c>
      <c r="T47" s="3" t="e">
        <f t="shared" si="7"/>
        <v>#VALUE!</v>
      </c>
      <c r="V47" s="1" t="e">
        <f t="shared" si="8"/>
        <v>#VALUE!</v>
      </c>
    </row>
    <row r="48" spans="1:22" x14ac:dyDescent="0.3">
      <c r="H48" s="2" t="str">
        <f>IF(Planilha1!B45="","",Planilha1!B45)</f>
        <v>7:30p</v>
      </c>
      <c r="I48" s="2" t="str">
        <f>IF(Planilha1!C45="","",Planilha1!C45)</f>
        <v>Portland Trail Blazers</v>
      </c>
      <c r="J48" s="2">
        <f>IF(Planilha1!D45="","",Planilha1!D45)</f>
        <v>99</v>
      </c>
      <c r="K48" s="10" t="str">
        <f>IF(Planilha1!E45="","",IF(Planilha1!E45=0,"",Planilha1!E45))</f>
        <v>Toronto Raptors</v>
      </c>
      <c r="L48" s="10">
        <f>IF(Planilha1!F45="","",Planilha1!F45)</f>
        <v>91</v>
      </c>
      <c r="M48" s="10">
        <f>IF(Planilha1!G45="","",IF(Planilha1!G45=0,"",Planilha1!G45))</f>
        <v>91</v>
      </c>
      <c r="N48" s="5">
        <f t="shared" si="1"/>
        <v>1</v>
      </c>
      <c r="O48" s="5">
        <f t="shared" si="2"/>
        <v>0</v>
      </c>
      <c r="P48" s="5">
        <f t="shared" si="3"/>
        <v>0</v>
      </c>
      <c r="Q48" s="5">
        <f t="shared" si="4"/>
        <v>2</v>
      </c>
      <c r="R48" s="8">
        <f t="shared" si="5"/>
        <v>0</v>
      </c>
      <c r="S48" s="8">
        <f t="shared" si="6"/>
        <v>0</v>
      </c>
      <c r="T48" s="3" t="e">
        <f t="shared" si="7"/>
        <v>#VALUE!</v>
      </c>
      <c r="V48" s="1" t="e">
        <f t="shared" si="8"/>
        <v>#VALUE!</v>
      </c>
    </row>
    <row r="49" spans="8:22" x14ac:dyDescent="0.3">
      <c r="H49" s="2" t="str">
        <f>IF(Planilha1!B46="","",Planilha1!B46)</f>
        <v>7:30p</v>
      </c>
      <c r="I49" s="2" t="str">
        <f>IF(Planilha1!C46="","",Planilha1!C46)</f>
        <v>Minnesota Timberwolves</v>
      </c>
      <c r="J49" s="2">
        <f>IF(Planilha1!D46="","",Planilha1!D46)</f>
        <v>113</v>
      </c>
      <c r="K49" s="10" t="str">
        <f>IF(Planilha1!E46="","",IF(Planilha1!E46=0,"",Planilha1!E46))</f>
        <v>Atlanta Hawks</v>
      </c>
      <c r="L49" s="10">
        <f>IF(Planilha1!F46="","",Planilha1!F46)</f>
        <v>127</v>
      </c>
      <c r="M49" s="10">
        <f>IF(Planilha1!G46="","",IF(Planilha1!G46=0,"",Planilha1!G46))</f>
        <v>127</v>
      </c>
      <c r="N49" s="5">
        <f t="shared" si="1"/>
        <v>1</v>
      </c>
      <c r="O49" s="5">
        <f t="shared" si="2"/>
        <v>0</v>
      </c>
      <c r="P49" s="5">
        <f t="shared" si="3"/>
        <v>0</v>
      </c>
      <c r="Q49" s="5">
        <f t="shared" si="4"/>
        <v>2</v>
      </c>
      <c r="R49" s="8">
        <f t="shared" si="5"/>
        <v>0</v>
      </c>
      <c r="S49" s="8">
        <f t="shared" si="6"/>
        <v>0</v>
      </c>
      <c r="T49" s="3" t="e">
        <f t="shared" si="7"/>
        <v>#VALUE!</v>
      </c>
      <c r="V49" s="1" t="e">
        <f t="shared" si="8"/>
        <v>#VALUE!</v>
      </c>
    </row>
    <row r="50" spans="8:22" x14ac:dyDescent="0.3">
      <c r="H50" s="2" t="str">
        <f>IF(Planilha1!B47="","",Planilha1!B47)</f>
        <v>8:00p</v>
      </c>
      <c r="I50" s="2" t="str">
        <f>IF(Planilha1!C47="","",Planilha1!C47)</f>
        <v>Dallas Mavericks</v>
      </c>
      <c r="J50" s="2">
        <f>IF(Planilha1!D47="","",Planilha1!D47)</f>
        <v>125</v>
      </c>
      <c r="K50" s="10" t="str">
        <f>IF(Planilha1!E47="","",IF(Planilha1!E47=0,"",Planilha1!E47))</f>
        <v>Memphis Grizzlies</v>
      </c>
      <c r="L50" s="10">
        <f>IF(Planilha1!F47="","",Planilha1!F47)</f>
        <v>110</v>
      </c>
      <c r="M50" s="10">
        <f>IF(Planilha1!G47="","",IF(Planilha1!G47=0,"",Planilha1!G47))</f>
        <v>110</v>
      </c>
      <c r="N50" s="5">
        <f t="shared" si="1"/>
        <v>1</v>
      </c>
      <c r="O50" s="5">
        <f t="shared" si="2"/>
        <v>0</v>
      </c>
      <c r="P50" s="5">
        <f t="shared" si="3"/>
        <v>0</v>
      </c>
      <c r="Q50" s="5">
        <f t="shared" si="4"/>
        <v>2</v>
      </c>
      <c r="R50" s="8">
        <f t="shared" si="5"/>
        <v>0</v>
      </c>
      <c r="S50" s="8">
        <f t="shared" si="6"/>
        <v>0</v>
      </c>
      <c r="T50" s="3" t="e">
        <f t="shared" si="7"/>
        <v>#VALUE!</v>
      </c>
      <c r="V50" s="1" t="e">
        <f t="shared" si="8"/>
        <v>#VALUE!</v>
      </c>
    </row>
    <row r="51" spans="8:22" x14ac:dyDescent="0.3">
      <c r="H51" s="2" t="str">
        <f>IF(Planilha1!B48="","",Planilha1!B48)</f>
        <v>8:00p</v>
      </c>
      <c r="I51" s="2" t="str">
        <f>IF(Planilha1!C48="","",Planilha1!C48)</f>
        <v>Miami Heat</v>
      </c>
      <c r="J51" s="2">
        <f>IF(Planilha1!D48="","",Planilha1!D48)</f>
        <v>114</v>
      </c>
      <c r="K51" s="10" t="str">
        <f>IF(Planilha1!E48="","",IF(Planilha1!E48=0,"",Planilha1!E48))</f>
        <v>Milwaukee Bucks</v>
      </c>
      <c r="L51" s="10">
        <f>IF(Planilha1!F48="","",Planilha1!F48)</f>
        <v>122</v>
      </c>
      <c r="M51" s="10">
        <f>IF(Planilha1!G48="","",IF(Planilha1!G48=0,"",Planilha1!G48))</f>
        <v>122</v>
      </c>
      <c r="N51" s="5">
        <f t="shared" si="1"/>
        <v>1</v>
      </c>
      <c r="O51" s="5">
        <f t="shared" si="2"/>
        <v>0</v>
      </c>
      <c r="P51" s="5">
        <f t="shared" si="3"/>
        <v>0</v>
      </c>
      <c r="Q51" s="5">
        <f t="shared" si="4"/>
        <v>2</v>
      </c>
      <c r="R51" s="8">
        <f t="shared" si="5"/>
        <v>0</v>
      </c>
      <c r="S51" s="8">
        <f t="shared" si="6"/>
        <v>0</v>
      </c>
      <c r="T51" s="3" t="e">
        <f t="shared" si="7"/>
        <v>#VALUE!</v>
      </c>
      <c r="V51" s="1" t="e">
        <f t="shared" si="8"/>
        <v>#VALUE!</v>
      </c>
    </row>
    <row r="52" spans="8:22" x14ac:dyDescent="0.3">
      <c r="H52" s="2" t="str">
        <f>IF(Planilha1!B49="","",Planilha1!B49)</f>
        <v>8:00p</v>
      </c>
      <c r="I52" s="2" t="str">
        <f>IF(Planilha1!C49="","",Planilha1!C49)</f>
        <v>Golden State Warriors</v>
      </c>
      <c r="J52" s="2">
        <f>IF(Planilha1!D49="","",Planilha1!D49)</f>
        <v>130</v>
      </c>
      <c r="K52" s="10" t="str">
        <f>IF(Planilha1!E49="","",IF(Planilha1!E49=0,"",Planilha1!E49))</f>
        <v>New Orleans Pelicans</v>
      </c>
      <c r="L52" s="10">
        <f>IF(Planilha1!F49="","",Planilha1!F49)</f>
        <v>102</v>
      </c>
      <c r="M52" s="10">
        <f>IF(Planilha1!G49="","",IF(Planilha1!G49=0,"",Planilha1!G49))</f>
        <v>102</v>
      </c>
      <c r="N52" s="5">
        <f t="shared" si="1"/>
        <v>1</v>
      </c>
      <c r="O52" s="5">
        <f t="shared" si="2"/>
        <v>0</v>
      </c>
      <c r="P52" s="5">
        <f t="shared" si="3"/>
        <v>0</v>
      </c>
      <c r="Q52" s="5">
        <f t="shared" si="4"/>
        <v>2</v>
      </c>
      <c r="R52" s="8">
        <f t="shared" si="5"/>
        <v>0</v>
      </c>
      <c r="S52" s="8">
        <f t="shared" si="6"/>
        <v>0</v>
      </c>
      <c r="T52" s="3" t="e">
        <f t="shared" si="7"/>
        <v>#VALUE!</v>
      </c>
      <c r="V52" s="1" t="e">
        <f t="shared" si="8"/>
        <v>#VALUE!</v>
      </c>
    </row>
    <row r="53" spans="8:22" x14ac:dyDescent="0.3">
      <c r="H53" s="2" t="str">
        <f>IF(Planilha1!B50="","",Planilha1!B50)</f>
        <v>8:00p</v>
      </c>
      <c r="I53" s="2" t="str">
        <f>IF(Planilha1!C50="","",Planilha1!C50)</f>
        <v>Detroit Pistons</v>
      </c>
      <c r="J53" s="2">
        <f>IF(Planilha1!D50="","",Planilha1!D50)</f>
        <v>112</v>
      </c>
      <c r="K53" s="10" t="str">
        <f>IF(Planilha1!E50="","",IF(Planilha1!E50=0,"",Planilha1!E50))</f>
        <v>Oklahoma City Thunder</v>
      </c>
      <c r="L53" s="10">
        <f>IF(Planilha1!F50="","",Planilha1!F50)</f>
        <v>124</v>
      </c>
      <c r="M53" s="10">
        <f>IF(Planilha1!G50="","",IF(Planilha1!G50=0,"",Planilha1!G50))</f>
        <v>124</v>
      </c>
      <c r="N53" s="5">
        <f t="shared" si="1"/>
        <v>1</v>
      </c>
      <c r="O53" s="5">
        <f t="shared" si="2"/>
        <v>0</v>
      </c>
      <c r="P53" s="5">
        <f t="shared" si="3"/>
        <v>0</v>
      </c>
      <c r="Q53" s="5">
        <f t="shared" si="4"/>
        <v>2</v>
      </c>
      <c r="R53" s="8">
        <f t="shared" si="5"/>
        <v>0</v>
      </c>
      <c r="S53" s="8">
        <f t="shared" si="6"/>
        <v>0</v>
      </c>
      <c r="T53" s="3" t="e">
        <f t="shared" si="7"/>
        <v>#VALUE!</v>
      </c>
      <c r="V53" s="1" t="e">
        <f t="shared" si="8"/>
        <v>#VALUE!</v>
      </c>
    </row>
    <row r="54" spans="8:22" x14ac:dyDescent="0.3">
      <c r="H54" s="2" t="str">
        <f>IF(Planilha1!B51="","",Planilha1!B51)</f>
        <v>9:00p</v>
      </c>
      <c r="I54" s="2" t="str">
        <f>IF(Planilha1!C51="","",Planilha1!C51)</f>
        <v>Utah Jazz</v>
      </c>
      <c r="J54" s="2">
        <f>IF(Planilha1!D51="","",Planilha1!D51)</f>
        <v>102</v>
      </c>
      <c r="K54" s="10" t="str">
        <f>IF(Planilha1!E51="","",IF(Planilha1!E51=0,"",Planilha1!E51))</f>
        <v>Denver Nuggets</v>
      </c>
      <c r="L54" s="10">
        <f>IF(Planilha1!F51="","",Planilha1!F51)</f>
        <v>110</v>
      </c>
      <c r="M54" s="10">
        <f>IF(Planilha1!G51="","",IF(Planilha1!G51=0,"",Planilha1!G51))</f>
        <v>110</v>
      </c>
      <c r="N54" s="5">
        <f t="shared" si="1"/>
        <v>1</v>
      </c>
      <c r="O54" s="5">
        <f t="shared" si="2"/>
        <v>0</v>
      </c>
      <c r="P54" s="5">
        <f t="shared" si="3"/>
        <v>0</v>
      </c>
      <c r="Q54" s="5">
        <f t="shared" si="4"/>
        <v>2</v>
      </c>
      <c r="R54" s="8">
        <f t="shared" si="5"/>
        <v>0</v>
      </c>
      <c r="S54" s="8">
        <f t="shared" si="6"/>
        <v>0</v>
      </c>
      <c r="T54" s="3" t="e">
        <f t="shared" si="7"/>
        <v>#VALUE!</v>
      </c>
      <c r="V54" s="1" t="e">
        <f t="shared" si="8"/>
        <v>#VALUE!</v>
      </c>
    </row>
    <row r="55" spans="8:22" x14ac:dyDescent="0.3">
      <c r="H55" s="2" t="str">
        <f>IF(Planilha1!B52="","",Planilha1!B52)</f>
        <v>10:30p</v>
      </c>
      <c r="I55" s="2" t="str">
        <f>IF(Planilha1!C52="","",Planilha1!C52)</f>
        <v>Orlando Magic</v>
      </c>
      <c r="J55" s="2">
        <f>IF(Planilha1!D52="","",Planilha1!D52)</f>
        <v>103</v>
      </c>
      <c r="K55" s="10" t="str">
        <f>IF(Planilha1!E52="","",IF(Planilha1!E52=0,"",Planilha1!E52))</f>
        <v>Los Angeles Lakers</v>
      </c>
      <c r="L55" s="10">
        <f>IF(Planilha1!F52="","",Planilha1!F52)</f>
        <v>106</v>
      </c>
      <c r="M55" s="10">
        <f>IF(Planilha1!G52="","",IF(Planilha1!G52=0,"",Planilha1!G52))</f>
        <v>106</v>
      </c>
      <c r="N55" s="5">
        <f t="shared" si="1"/>
        <v>1</v>
      </c>
      <c r="O55" s="5">
        <f t="shared" si="2"/>
        <v>0</v>
      </c>
      <c r="P55" s="5">
        <f t="shared" si="3"/>
        <v>0</v>
      </c>
      <c r="Q55" s="5">
        <f t="shared" si="4"/>
        <v>2</v>
      </c>
      <c r="R55" s="8">
        <f t="shared" si="5"/>
        <v>0</v>
      </c>
      <c r="S55" s="8">
        <f t="shared" si="6"/>
        <v>0</v>
      </c>
      <c r="T55" s="3" t="e">
        <f t="shared" si="7"/>
        <v>#VALUE!</v>
      </c>
      <c r="V55" s="1" t="e">
        <f t="shared" si="8"/>
        <v>#VALUE!</v>
      </c>
    </row>
    <row r="56" spans="8:22" x14ac:dyDescent="0.3">
      <c r="H56" s="2" t="str">
        <f>IF(Planilha1!B53="","",Planilha1!B53)</f>
        <v>7:30p</v>
      </c>
      <c r="I56" s="2" t="str">
        <f>IF(Planilha1!C53="","",Planilha1!C53)</f>
        <v>New York Knicks</v>
      </c>
      <c r="J56" s="2">
        <f>IF(Planilha1!D53="","",Planilha1!D53)</f>
        <v>109</v>
      </c>
      <c r="K56" s="10" t="str">
        <f>IF(Planilha1!E53="","",IF(Planilha1!E53=0,"",Planilha1!E53))</f>
        <v>Cleveland Cavaliers</v>
      </c>
      <c r="L56" s="10">
        <f>IF(Planilha1!F53="","",Planilha1!F53)</f>
        <v>91</v>
      </c>
      <c r="M56" s="10">
        <f>IF(Planilha1!G53="","",IF(Planilha1!G53=0,"",Planilha1!G53))</f>
        <v>91</v>
      </c>
      <c r="N56" s="5">
        <f t="shared" si="1"/>
        <v>1</v>
      </c>
      <c r="O56" s="5">
        <f t="shared" si="2"/>
        <v>0</v>
      </c>
      <c r="P56" s="5">
        <f t="shared" si="3"/>
        <v>0</v>
      </c>
      <c r="Q56" s="5">
        <f t="shared" si="4"/>
        <v>2</v>
      </c>
      <c r="R56" s="8">
        <f t="shared" si="5"/>
        <v>0</v>
      </c>
      <c r="S56" s="8">
        <f t="shared" si="6"/>
        <v>0</v>
      </c>
      <c r="T56" s="3" t="e">
        <f t="shared" si="7"/>
        <v>#VALUE!</v>
      </c>
      <c r="V56" s="1" t="e">
        <f t="shared" si="8"/>
        <v>#VALUE!</v>
      </c>
    </row>
    <row r="57" spans="8:22" x14ac:dyDescent="0.3">
      <c r="H57" s="2" t="str">
        <f>IF(Planilha1!B54="","",Planilha1!B54)</f>
        <v>10:00p</v>
      </c>
      <c r="I57" s="2" t="str">
        <f>IF(Planilha1!C54="","",Planilha1!C54)</f>
        <v>San Antonio Spurs</v>
      </c>
      <c r="J57" s="2">
        <f>IF(Planilha1!D54="","",Planilha1!D54)</f>
        <v>115</v>
      </c>
      <c r="K57" s="10" t="str">
        <f>IF(Planilha1!E54="","",IF(Planilha1!E54=0,"",Planilha1!E54))</f>
        <v>Phoenix Suns</v>
      </c>
      <c r="L57" s="10">
        <f>IF(Planilha1!F54="","",Planilha1!F54)</f>
        <v>114</v>
      </c>
      <c r="M57" s="10">
        <f>IF(Planilha1!G54="","",IF(Planilha1!G54=0,"",Planilha1!G54))</f>
        <v>114</v>
      </c>
      <c r="N57" s="5">
        <f t="shared" si="1"/>
        <v>1</v>
      </c>
      <c r="O57" s="5">
        <f t="shared" si="2"/>
        <v>0</v>
      </c>
      <c r="P57" s="5">
        <f t="shared" si="3"/>
        <v>0</v>
      </c>
      <c r="Q57" s="5">
        <f t="shared" si="4"/>
        <v>2</v>
      </c>
      <c r="R57" s="8">
        <f t="shared" si="5"/>
        <v>0</v>
      </c>
      <c r="S57" s="8">
        <f t="shared" si="6"/>
        <v>0</v>
      </c>
      <c r="T57" s="3" t="e">
        <f t="shared" si="7"/>
        <v>#VALUE!</v>
      </c>
      <c r="V57" s="1" t="e">
        <f t="shared" si="8"/>
        <v>#VALUE!</v>
      </c>
    </row>
    <row r="58" spans="8:22" x14ac:dyDescent="0.3">
      <c r="H58" s="2" t="str">
        <f>IF(Planilha1!B55="","",Planilha1!B55)</f>
        <v>10:30p</v>
      </c>
      <c r="I58" s="2" t="str">
        <f>IF(Planilha1!C55="","",Planilha1!C55)</f>
        <v>Orlando Magic</v>
      </c>
      <c r="J58" s="2">
        <f>IF(Planilha1!D55="","",Planilha1!D55)</f>
        <v>102</v>
      </c>
      <c r="K58" s="10" t="str">
        <f>IF(Planilha1!E55="","",IF(Planilha1!E55=0,"",Planilha1!E55))</f>
        <v>Los Angeles Clippers</v>
      </c>
      <c r="L58" s="10">
        <f>IF(Planilha1!F55="","",Planilha1!F55)</f>
        <v>118</v>
      </c>
      <c r="M58" s="10">
        <f>IF(Planilha1!G55="","",IF(Planilha1!G55=0,"",Planilha1!G55))</f>
        <v>118</v>
      </c>
      <c r="N58" s="5">
        <f t="shared" si="1"/>
        <v>1</v>
      </c>
      <c r="O58" s="5">
        <f t="shared" si="2"/>
        <v>0</v>
      </c>
      <c r="P58" s="5">
        <f t="shared" si="3"/>
        <v>0</v>
      </c>
      <c r="Q58" s="5">
        <f t="shared" si="4"/>
        <v>2</v>
      </c>
      <c r="R58" s="8">
        <f t="shared" si="5"/>
        <v>0</v>
      </c>
      <c r="S58" s="8">
        <f t="shared" si="6"/>
        <v>0</v>
      </c>
      <c r="T58" s="3" t="e">
        <f t="shared" si="7"/>
        <v>#VALUE!</v>
      </c>
      <c r="V58" s="1" t="e">
        <f t="shared" si="8"/>
        <v>#VALUE!</v>
      </c>
    </row>
    <row r="59" spans="8:22" x14ac:dyDescent="0.3">
      <c r="H59" s="2" t="str">
        <f>IF(Planilha1!B56="","",Planilha1!B56)</f>
        <v>7:00p</v>
      </c>
      <c r="I59" s="2" t="str">
        <f>IF(Planilha1!C56="","",Planilha1!C56)</f>
        <v>Portland Trail Blazers</v>
      </c>
      <c r="J59" s="2">
        <f>IF(Planilha1!D56="","",Planilha1!D56)</f>
        <v>110</v>
      </c>
      <c r="K59" s="10" t="str">
        <f>IF(Planilha1!E56="","",IF(Planilha1!E56=0,"",Planilha1!E56))</f>
        <v>Detroit Pistons</v>
      </c>
      <c r="L59" s="10">
        <f>IF(Planilha1!F56="","",Planilha1!F56)</f>
        <v>101</v>
      </c>
      <c r="M59" s="10">
        <f>IF(Planilha1!G56="","",IF(Planilha1!G56=0,"",Planilha1!G56))</f>
        <v>101</v>
      </c>
      <c r="N59" s="5">
        <f t="shared" si="1"/>
        <v>1</v>
      </c>
      <c r="O59" s="5">
        <f t="shared" si="2"/>
        <v>0</v>
      </c>
      <c r="P59" s="5">
        <f t="shared" si="3"/>
        <v>0</v>
      </c>
      <c r="Q59" s="5">
        <f t="shared" si="4"/>
        <v>2</v>
      </c>
      <c r="R59" s="8">
        <f t="shared" si="5"/>
        <v>0</v>
      </c>
      <c r="S59" s="8">
        <f t="shared" si="6"/>
        <v>0</v>
      </c>
      <c r="T59" s="3" t="e">
        <f t="shared" si="7"/>
        <v>#VALUE!</v>
      </c>
      <c r="V59" s="1" t="e">
        <f t="shared" si="8"/>
        <v>#VALUE!</v>
      </c>
    </row>
    <row r="60" spans="8:22" x14ac:dyDescent="0.3">
      <c r="H60" s="2" t="str">
        <f>IF(Planilha1!B57="","",Planilha1!B57)</f>
        <v>7:00p</v>
      </c>
      <c r="I60" s="2" t="str">
        <f>IF(Planilha1!C57="","",Planilha1!C57)</f>
        <v>Milwaukee Bucks</v>
      </c>
      <c r="J60" s="2">
        <f>IF(Planilha1!D57="","",Planilha1!D57)</f>
        <v>111</v>
      </c>
      <c r="K60" s="10" t="str">
        <f>IF(Planilha1!E57="","",IF(Planilha1!E57=0,"",Planilha1!E57))</f>
        <v>Toronto Raptors</v>
      </c>
      <c r="L60" s="10">
        <f>IF(Planilha1!F57="","",Planilha1!F57)</f>
        <v>130</v>
      </c>
      <c r="M60" s="10">
        <f>IF(Planilha1!G57="","",IF(Planilha1!G57=0,"",Planilha1!G57))</f>
        <v>130</v>
      </c>
      <c r="N60" s="5">
        <f t="shared" si="1"/>
        <v>1</v>
      </c>
      <c r="O60" s="5">
        <f t="shared" si="2"/>
        <v>0</v>
      </c>
      <c r="P60" s="5">
        <f t="shared" si="3"/>
        <v>0</v>
      </c>
      <c r="Q60" s="5">
        <f t="shared" si="4"/>
        <v>2</v>
      </c>
      <c r="R60" s="8">
        <f t="shared" si="5"/>
        <v>0</v>
      </c>
      <c r="S60" s="8">
        <f t="shared" si="6"/>
        <v>0</v>
      </c>
      <c r="T60" s="3" t="e">
        <f t="shared" si="7"/>
        <v>#VALUE!</v>
      </c>
      <c r="V60" s="1" t="e">
        <f t="shared" si="8"/>
        <v>#VALUE!</v>
      </c>
    </row>
    <row r="61" spans="8:22" x14ac:dyDescent="0.3">
      <c r="H61" s="2" t="str">
        <f>IF(Planilha1!B58="","",Planilha1!B58)</f>
        <v>7:30p</v>
      </c>
      <c r="I61" s="2" t="str">
        <f>IF(Planilha1!C58="","",Planilha1!C58)</f>
        <v>Washington Wizards</v>
      </c>
      <c r="J61" s="2">
        <f>IF(Planilha1!D58="","",Planilha1!D58)</f>
        <v>121</v>
      </c>
      <c r="K61" s="10" t="str">
        <f>IF(Planilha1!E58="","",IF(Planilha1!E58=0,"",Planilha1!E58))</f>
        <v>Atlanta Hawks</v>
      </c>
      <c r="L61" s="10">
        <f>IF(Planilha1!F58="","",Planilha1!F58)</f>
        <v>130</v>
      </c>
      <c r="M61" s="10">
        <f>IF(Planilha1!G58="","",IF(Planilha1!G58=0,"",Planilha1!G58))</f>
        <v>130</v>
      </c>
      <c r="N61" s="5">
        <f t="shared" si="1"/>
        <v>1</v>
      </c>
      <c r="O61" s="5">
        <f t="shared" si="2"/>
        <v>0</v>
      </c>
      <c r="P61" s="5">
        <f t="shared" si="3"/>
        <v>0</v>
      </c>
      <c r="Q61" s="5">
        <f t="shared" si="4"/>
        <v>2</v>
      </c>
      <c r="R61" s="8">
        <f t="shared" si="5"/>
        <v>0</v>
      </c>
      <c r="S61" s="8">
        <f t="shared" si="6"/>
        <v>0</v>
      </c>
      <c r="T61" s="3" t="e">
        <f t="shared" si="7"/>
        <v>#VALUE!</v>
      </c>
      <c r="V61" s="1" t="e">
        <f t="shared" si="8"/>
        <v>#VALUE!</v>
      </c>
    </row>
    <row r="62" spans="8:22" x14ac:dyDescent="0.3">
      <c r="H62" s="2" t="str">
        <f>IF(Planilha1!B59="","",Planilha1!B59)</f>
        <v>7:30p</v>
      </c>
      <c r="I62" s="2" t="str">
        <f>IF(Planilha1!C59="","",Planilha1!C59)</f>
        <v>Indiana Pacers</v>
      </c>
      <c r="J62" s="2">
        <f>IF(Planilha1!D59="","",Planilha1!D59)</f>
        <v>104</v>
      </c>
      <c r="K62" s="10" t="str">
        <f>IF(Planilha1!E59="","",IF(Planilha1!E59=0,"",Planilha1!E59))</f>
        <v>Boston Celtics</v>
      </c>
      <c r="L62" s="10">
        <f>IF(Planilha1!F59="","",Planilha1!F59)</f>
        <v>155</v>
      </c>
      <c r="M62" s="10">
        <f>IF(Planilha1!G59="","",IF(Planilha1!G59=0,"",Planilha1!G59))</f>
        <v>155</v>
      </c>
      <c r="N62" s="5">
        <f t="shared" si="1"/>
        <v>1</v>
      </c>
      <c r="O62" s="5">
        <f t="shared" si="2"/>
        <v>0</v>
      </c>
      <c r="P62" s="5">
        <f t="shared" si="3"/>
        <v>0</v>
      </c>
      <c r="Q62" s="5">
        <f t="shared" si="4"/>
        <v>2</v>
      </c>
      <c r="R62" s="8">
        <f t="shared" si="5"/>
        <v>0</v>
      </c>
      <c r="S62" s="8">
        <f t="shared" si="6"/>
        <v>0</v>
      </c>
      <c r="T62" s="3" t="e">
        <f t="shared" si="7"/>
        <v>#VALUE!</v>
      </c>
      <c r="V62" s="1" t="e">
        <f t="shared" si="8"/>
        <v>#VALUE!</v>
      </c>
    </row>
    <row r="63" spans="8:22" x14ac:dyDescent="0.3">
      <c r="H63" s="2" t="str">
        <f>IF(Planilha1!B60="","",Planilha1!B60)</f>
        <v>7:30p</v>
      </c>
      <c r="I63" s="2" t="str">
        <f>IF(Planilha1!C60="","",Planilha1!C60)</f>
        <v>Brooklyn Nets</v>
      </c>
      <c r="J63" s="2">
        <f>IF(Planilha1!D60="","",Planilha1!D60)</f>
        <v>109</v>
      </c>
      <c r="K63" s="10" t="str">
        <f>IF(Planilha1!E60="","",IF(Planilha1!E60=0,"",Planilha1!E60))</f>
        <v>Miami Heat</v>
      </c>
      <c r="L63" s="10">
        <f>IF(Planilha1!F60="","",Planilha1!F60)</f>
        <v>105</v>
      </c>
      <c r="M63" s="10">
        <f>IF(Planilha1!G60="","",IF(Planilha1!G60=0,"",Planilha1!G60))</f>
        <v>105</v>
      </c>
      <c r="N63" s="5">
        <f t="shared" si="1"/>
        <v>1</v>
      </c>
      <c r="O63" s="5">
        <f t="shared" si="2"/>
        <v>0</v>
      </c>
      <c r="P63" s="5">
        <f t="shared" si="3"/>
        <v>0</v>
      </c>
      <c r="Q63" s="5">
        <f t="shared" si="4"/>
        <v>2</v>
      </c>
      <c r="R63" s="8">
        <f t="shared" si="5"/>
        <v>0</v>
      </c>
      <c r="S63" s="8">
        <f t="shared" si="6"/>
        <v>0</v>
      </c>
      <c r="T63" s="3" t="e">
        <f t="shared" si="7"/>
        <v>#VALUE!</v>
      </c>
      <c r="V63" s="1" t="e">
        <f t="shared" si="8"/>
        <v>#VALUE!</v>
      </c>
    </row>
    <row r="64" spans="8:22" x14ac:dyDescent="0.3">
      <c r="H64" s="2" t="str">
        <f>IF(Planilha1!B61="","",Planilha1!B61)</f>
        <v>7:30p</v>
      </c>
      <c r="I64" s="2" t="str">
        <f>IF(Planilha1!C61="","",Planilha1!C61)</f>
        <v>Cleveland Cavaliers</v>
      </c>
      <c r="J64" s="2">
        <f>IF(Planilha1!D61="","",Planilha1!D61)</f>
        <v>95</v>
      </c>
      <c r="K64" s="10" t="str">
        <f>IF(Planilha1!E61="","",IF(Planilha1!E61=0,"",Planilha1!E61))</f>
        <v>New York Knicks</v>
      </c>
      <c r="L64" s="10">
        <f>IF(Planilha1!F61="","",Planilha1!F61)</f>
        <v>89</v>
      </c>
      <c r="M64" s="10">
        <f>IF(Planilha1!G61="","",IF(Planilha1!G61=0,"",Planilha1!G61))</f>
        <v>89</v>
      </c>
      <c r="N64" s="5">
        <f t="shared" si="1"/>
        <v>1</v>
      </c>
      <c r="O64" s="5">
        <f t="shared" si="2"/>
        <v>0</v>
      </c>
      <c r="P64" s="5">
        <f t="shared" si="3"/>
        <v>0</v>
      </c>
      <c r="Q64" s="5">
        <f t="shared" si="4"/>
        <v>2</v>
      </c>
      <c r="R64" s="8">
        <f t="shared" si="5"/>
        <v>0</v>
      </c>
      <c r="S64" s="8">
        <f t="shared" si="6"/>
        <v>0</v>
      </c>
      <c r="T64" s="3" t="e">
        <f t="shared" si="7"/>
        <v>#VALUE!</v>
      </c>
      <c r="V64" s="1" t="e">
        <f t="shared" si="8"/>
        <v>#VALUE!</v>
      </c>
    </row>
    <row r="65" spans="8:22" x14ac:dyDescent="0.3">
      <c r="H65" s="2" t="str">
        <f>IF(Planilha1!B62="","",Planilha1!B62)</f>
        <v>7:30p</v>
      </c>
      <c r="I65" s="2" t="str">
        <f>IF(Planilha1!C62="","",Planilha1!C62)</f>
        <v>New Orleans Pelicans</v>
      </c>
      <c r="J65" s="2">
        <f>IF(Planilha1!D62="","",Planilha1!D62)</f>
        <v>110</v>
      </c>
      <c r="K65" s="10" t="str">
        <f>IF(Planilha1!E62="","",IF(Planilha1!E62=0,"",Planilha1!E62))</f>
        <v>Oklahoma City Thunder</v>
      </c>
      <c r="L65" s="10">
        <f>IF(Planilha1!F62="","",Planilha1!F62)</f>
        <v>106</v>
      </c>
      <c r="M65" s="10">
        <f>IF(Planilha1!G62="","",IF(Planilha1!G62=0,"",Planilha1!G62))</f>
        <v>106</v>
      </c>
      <c r="N65" s="5">
        <f t="shared" si="1"/>
        <v>1</v>
      </c>
      <c r="O65" s="5">
        <f t="shared" si="2"/>
        <v>0</v>
      </c>
      <c r="P65" s="5">
        <f t="shared" si="3"/>
        <v>0</v>
      </c>
      <c r="Q65" s="5">
        <f t="shared" si="4"/>
        <v>2</v>
      </c>
      <c r="R65" s="8">
        <f t="shared" si="5"/>
        <v>0</v>
      </c>
      <c r="S65" s="8">
        <f t="shared" si="6"/>
        <v>0</v>
      </c>
      <c r="T65" s="3" t="e">
        <f t="shared" si="7"/>
        <v>#VALUE!</v>
      </c>
      <c r="V65" s="1" t="e">
        <f t="shared" si="8"/>
        <v>#VALUE!</v>
      </c>
    </row>
    <row r="66" spans="8:22" x14ac:dyDescent="0.3">
      <c r="H66" s="2" t="str">
        <f>IF(Planilha1!B63="","",Planilha1!B63)</f>
        <v>8:00p</v>
      </c>
      <c r="I66" s="2" t="str">
        <f>IF(Planilha1!C63="","",Planilha1!C63)</f>
        <v>Charlotte Hornets</v>
      </c>
      <c r="J66" s="2">
        <f>IF(Planilha1!D63="","",Planilha1!D63)</f>
        <v>119</v>
      </c>
      <c r="K66" s="10" t="str">
        <f>IF(Planilha1!E63="","",IF(Planilha1!E63=0,"",Planilha1!E63))</f>
        <v>Houston Rockets</v>
      </c>
      <c r="L66" s="10">
        <f>IF(Planilha1!F63="","",Planilha1!F63)</f>
        <v>128</v>
      </c>
      <c r="M66" s="10">
        <f>IF(Planilha1!G63="","",IF(Planilha1!G63=0,"",Planilha1!G63))</f>
        <v>128</v>
      </c>
      <c r="N66" s="5">
        <f t="shared" si="1"/>
        <v>1</v>
      </c>
      <c r="O66" s="5">
        <f t="shared" si="2"/>
        <v>0</v>
      </c>
      <c r="P66" s="5">
        <f t="shared" si="3"/>
        <v>0</v>
      </c>
      <c r="Q66" s="5">
        <f t="shared" si="4"/>
        <v>2</v>
      </c>
      <c r="R66" s="8">
        <f t="shared" si="5"/>
        <v>0</v>
      </c>
      <c r="S66" s="8">
        <f t="shared" si="6"/>
        <v>0</v>
      </c>
      <c r="T66" s="3" t="e">
        <f t="shared" si="7"/>
        <v>#VALUE!</v>
      </c>
      <c r="V66" s="1" t="e">
        <f t="shared" si="8"/>
        <v>#VALUE!</v>
      </c>
    </row>
    <row r="67" spans="8:22" x14ac:dyDescent="0.3">
      <c r="H67" s="2" t="str">
        <f>IF(Planilha1!B64="","",Planilha1!B64)</f>
        <v>8:00p</v>
      </c>
      <c r="I67" s="2" t="str">
        <f>IF(Planilha1!C64="","",Planilha1!C64)</f>
        <v>Denver Nuggets</v>
      </c>
      <c r="J67" s="2">
        <f>IF(Planilha1!D64="","",Planilha1!D64)</f>
        <v>89</v>
      </c>
      <c r="K67" s="10" t="str">
        <f>IF(Planilha1!E64="","",IF(Planilha1!E64=0,"",Planilha1!E64))</f>
        <v>Minnesota Timberwolves</v>
      </c>
      <c r="L67" s="10">
        <f>IF(Planilha1!F64="","",Planilha1!F64)</f>
        <v>110</v>
      </c>
      <c r="M67" s="10">
        <f>IF(Planilha1!G64="","",IF(Planilha1!G64=0,"",Planilha1!G64))</f>
        <v>110</v>
      </c>
      <c r="N67" s="5">
        <f t="shared" si="1"/>
        <v>1</v>
      </c>
      <c r="O67" s="5">
        <f t="shared" si="2"/>
        <v>0</v>
      </c>
      <c r="P67" s="5">
        <f t="shared" si="3"/>
        <v>0</v>
      </c>
      <c r="Q67" s="5">
        <f t="shared" si="4"/>
        <v>2</v>
      </c>
      <c r="R67" s="8">
        <f t="shared" si="5"/>
        <v>0</v>
      </c>
      <c r="S67" s="8">
        <f t="shared" si="6"/>
        <v>0</v>
      </c>
      <c r="T67" s="3" t="e">
        <f t="shared" si="7"/>
        <v>#VALUE!</v>
      </c>
      <c r="V67" s="1" t="e">
        <f t="shared" si="8"/>
        <v>#VALUE!</v>
      </c>
    </row>
    <row r="68" spans="8:22" x14ac:dyDescent="0.3">
      <c r="H68" s="2" t="str">
        <f>IF(Planilha1!B65="","",Planilha1!B65)</f>
        <v>8:30p</v>
      </c>
      <c r="I68" s="2" t="str">
        <f>IF(Planilha1!C65="","",Planilha1!C65)</f>
        <v>Chicago Bulls</v>
      </c>
      <c r="J68" s="2">
        <f>IF(Planilha1!D65="","",Planilha1!D65)</f>
        <v>105</v>
      </c>
      <c r="K68" s="10" t="str">
        <f>IF(Planilha1!E65="","",IF(Planilha1!E65=0,"",Planilha1!E65))</f>
        <v>Dallas Mavericks</v>
      </c>
      <c r="L68" s="10">
        <f>IF(Planilha1!F65="","",Planilha1!F65)</f>
        <v>114</v>
      </c>
      <c r="M68" s="10">
        <f>IF(Planilha1!G65="","",IF(Planilha1!G65=0,"",Planilha1!G65))</f>
        <v>114</v>
      </c>
      <c r="N68" s="5">
        <f t="shared" si="1"/>
        <v>1</v>
      </c>
      <c r="O68" s="5">
        <f t="shared" si="2"/>
        <v>0</v>
      </c>
      <c r="P68" s="5">
        <f t="shared" si="3"/>
        <v>0</v>
      </c>
      <c r="Q68" s="5">
        <f t="shared" si="4"/>
        <v>2</v>
      </c>
      <c r="R68" s="8">
        <f t="shared" si="5"/>
        <v>0</v>
      </c>
      <c r="S68" s="8">
        <f t="shared" si="6"/>
        <v>0</v>
      </c>
      <c r="T68" s="3" t="e">
        <f t="shared" si="7"/>
        <v>#VALUE!</v>
      </c>
      <c r="V68" s="1" t="e">
        <f t="shared" si="8"/>
        <v>#VALUE!</v>
      </c>
    </row>
    <row r="69" spans="8:22" x14ac:dyDescent="0.3">
      <c r="H69" s="2" t="str">
        <f>IF(Planilha1!B66="","",Planilha1!B66)</f>
        <v>9:00p</v>
      </c>
      <c r="I69" s="2" t="str">
        <f>IF(Planilha1!C66="","",Planilha1!C66)</f>
        <v>Memphis Grizzlies</v>
      </c>
      <c r="J69" s="2">
        <f>IF(Planilha1!D66="","",Planilha1!D66)</f>
        <v>109</v>
      </c>
      <c r="K69" s="10" t="str">
        <f>IF(Planilha1!E66="","",IF(Planilha1!E66=0,"",Planilha1!E66))</f>
        <v>Utah Jazz</v>
      </c>
      <c r="L69" s="10">
        <f>IF(Planilha1!F66="","",Planilha1!F66)</f>
        <v>133</v>
      </c>
      <c r="M69" s="10">
        <f>IF(Planilha1!G66="","",IF(Planilha1!G66=0,"",Planilha1!G66))</f>
        <v>133</v>
      </c>
      <c r="N69" s="5">
        <f t="shared" si="1"/>
        <v>1</v>
      </c>
      <c r="O69" s="5">
        <f t="shared" si="2"/>
        <v>0</v>
      </c>
      <c r="P69" s="5">
        <f t="shared" si="3"/>
        <v>0</v>
      </c>
      <c r="Q69" s="5">
        <f t="shared" si="4"/>
        <v>2</v>
      </c>
      <c r="R69" s="8">
        <f t="shared" si="5"/>
        <v>0</v>
      </c>
      <c r="S69" s="8">
        <f t="shared" si="6"/>
        <v>0</v>
      </c>
      <c r="T69" s="3" t="e">
        <f t="shared" si="7"/>
        <v>#VALUE!</v>
      </c>
      <c r="V69" s="1" t="e">
        <f t="shared" si="8"/>
        <v>#VALUE!</v>
      </c>
    </row>
    <row r="70" spans="8:22" x14ac:dyDescent="0.3">
      <c r="H70" s="2" t="str">
        <f>IF(Planilha1!B67="","",Planilha1!B67)</f>
        <v>10:00p</v>
      </c>
      <c r="I70" s="2" t="str">
        <f>IF(Planilha1!C67="","",Planilha1!C67)</f>
        <v>Sacramento Kings</v>
      </c>
      <c r="J70" s="2">
        <f>IF(Planilha1!D67="","",Planilha1!D67)</f>
        <v>101</v>
      </c>
      <c r="K70" s="10" t="str">
        <f>IF(Planilha1!E67="","",IF(Planilha1!E67=0,"",Planilha1!E67))</f>
        <v>Golden State Warriors</v>
      </c>
      <c r="L70" s="10">
        <f>IF(Planilha1!F67="","",Planilha1!F67)</f>
        <v>102</v>
      </c>
      <c r="M70" s="10">
        <f>IF(Planilha1!G67="","",IF(Planilha1!G67=0,"",Planilha1!G67))</f>
        <v>102</v>
      </c>
      <c r="N70" s="5">
        <f t="shared" ref="N70:N133" si="9">IF(K70="","",IF(K70&gt;M70,100%,0%))</f>
        <v>1</v>
      </c>
      <c r="O70" s="5">
        <f t="shared" ref="O70:O133" si="10">IF(K70="","",IF(K70&lt;M70,100%,0%))</f>
        <v>0</v>
      </c>
      <c r="P70" s="5">
        <f t="shared" ref="P70:P133" si="11">IF(M70="",IF(R70&gt;S70,2,0),IF(K70&lt;M70,2,0))</f>
        <v>0</v>
      </c>
      <c r="Q70" s="5">
        <f t="shared" ref="Q70:Q133" si="12">IF(M70="",IF(R70&gt;S70,0,2),IF(K70&gt;M70,2,0))</f>
        <v>2</v>
      </c>
      <c r="R70" s="8">
        <f t="shared" ref="R70:R133" si="13">SUMIF($B:$B,J70,$C:$C)+(SUMIF($B:$B,L70,$F:$F))</f>
        <v>0</v>
      </c>
      <c r="S70" s="8">
        <f t="shared" ref="S70:S133" si="14">SUMIF($B:$B,L70,$E:$E)+(SUMIF($B:$B,J70,$D:$D))</f>
        <v>0</v>
      </c>
      <c r="T70" s="3" t="e">
        <f t="shared" ref="T70:T133" si="15">IF(M70="","",(K70-S70)^2+(M70-R70)^2)</f>
        <v>#VALUE!</v>
      </c>
      <c r="V70" s="1" t="e">
        <f t="shared" ref="V70:V133" si="16">IF(O70="","",1/((M70-K70)/(R70-S70)))</f>
        <v>#VALUE!</v>
      </c>
    </row>
    <row r="71" spans="8:22" x14ac:dyDescent="0.3">
      <c r="H71" s="2" t="str">
        <f>IF(Planilha1!B68="","",Planilha1!B68)</f>
        <v>10:00p</v>
      </c>
      <c r="I71" s="2" t="str">
        <f>IF(Planilha1!C68="","",Planilha1!C68)</f>
        <v>Los Angeles Clippers</v>
      </c>
      <c r="J71" s="2">
        <f>IF(Planilha1!D68="","",Planilha1!D68)</f>
        <v>125</v>
      </c>
      <c r="K71" s="10" t="str">
        <f>IF(Planilha1!E68="","",IF(Planilha1!E68=0,"",Planilha1!E68))</f>
        <v>Los Angeles Lakers</v>
      </c>
      <c r="L71" s="10">
        <f>IF(Planilha1!F68="","",Planilha1!F68)</f>
        <v>130</v>
      </c>
      <c r="M71" s="10">
        <f>IF(Planilha1!G68="","",IF(Planilha1!G68=0,"",Planilha1!G68))</f>
        <v>130</v>
      </c>
      <c r="N71" s="5">
        <f t="shared" si="9"/>
        <v>1</v>
      </c>
      <c r="O71" s="5">
        <f t="shared" si="10"/>
        <v>0</v>
      </c>
      <c r="P71" s="5">
        <f t="shared" si="11"/>
        <v>0</v>
      </c>
      <c r="Q71" s="5">
        <f t="shared" si="12"/>
        <v>2</v>
      </c>
      <c r="R71" s="8">
        <f t="shared" si="13"/>
        <v>0</v>
      </c>
      <c r="S71" s="8">
        <f t="shared" si="14"/>
        <v>0</v>
      </c>
      <c r="T71" s="3" t="e">
        <f t="shared" si="15"/>
        <v>#VALUE!</v>
      </c>
      <c r="V71" s="1" t="e">
        <f t="shared" si="16"/>
        <v>#VALUE!</v>
      </c>
    </row>
    <row r="72" spans="8:22" x14ac:dyDescent="0.3">
      <c r="H72" s="2" t="str">
        <f>IF(Planilha1!B69="","",Planilha1!B69)</f>
        <v>7:00p</v>
      </c>
      <c r="I72" s="2" t="str">
        <f>IF(Planilha1!C69="","",Planilha1!C69)</f>
        <v>Toronto Raptors</v>
      </c>
      <c r="J72" s="2">
        <f>IF(Planilha1!D69="","",Planilha1!D69)</f>
        <v>99</v>
      </c>
      <c r="K72" s="10" t="str">
        <f>IF(Planilha1!E69="","",IF(Planilha1!E69=0,"",Planilha1!E69))</f>
        <v>Philadelphia 76ers</v>
      </c>
      <c r="L72" s="10">
        <f>IF(Planilha1!F69="","",Planilha1!F69)</f>
        <v>114</v>
      </c>
      <c r="M72" s="10">
        <f>IF(Planilha1!G69="","",IF(Planilha1!G69=0,"",Planilha1!G69))</f>
        <v>114</v>
      </c>
      <c r="N72" s="5">
        <f t="shared" si="9"/>
        <v>1</v>
      </c>
      <c r="O72" s="5">
        <f t="shared" si="10"/>
        <v>0</v>
      </c>
      <c r="P72" s="5">
        <f t="shared" si="11"/>
        <v>0</v>
      </c>
      <c r="Q72" s="5">
        <f t="shared" si="12"/>
        <v>2</v>
      </c>
      <c r="R72" s="8">
        <f t="shared" si="13"/>
        <v>0</v>
      </c>
      <c r="S72" s="8">
        <f t="shared" si="14"/>
        <v>0</v>
      </c>
      <c r="T72" s="3" t="e">
        <f t="shared" si="15"/>
        <v>#VALUE!</v>
      </c>
      <c r="V72" s="1" t="e">
        <f t="shared" si="16"/>
        <v>#VALUE!</v>
      </c>
    </row>
    <row r="73" spans="8:22" x14ac:dyDescent="0.3">
      <c r="H73" s="2" t="str">
        <f>IF(Planilha1!B70="","",Planilha1!B70)</f>
        <v>8:00p</v>
      </c>
      <c r="I73" s="2" t="str">
        <f>IF(Planilha1!C70="","",Planilha1!C70)</f>
        <v>Detroit Pistons</v>
      </c>
      <c r="J73" s="2">
        <f>IF(Planilha1!D70="","",Planilha1!D70)</f>
        <v>116</v>
      </c>
      <c r="K73" s="10" t="str">
        <f>IF(Planilha1!E70="","",IF(Planilha1!E70=0,"",Planilha1!E70))</f>
        <v>New Orleans Pelicans</v>
      </c>
      <c r="L73" s="10">
        <f>IF(Planilha1!F70="","",Planilha1!F70)</f>
        <v>125</v>
      </c>
      <c r="M73" s="10">
        <f>IF(Planilha1!G70="","",IF(Planilha1!G70=0,"",Planilha1!G70))</f>
        <v>125</v>
      </c>
      <c r="N73" s="5">
        <f t="shared" si="9"/>
        <v>1</v>
      </c>
      <c r="O73" s="5">
        <f t="shared" si="10"/>
        <v>0</v>
      </c>
      <c r="P73" s="5">
        <f t="shared" si="11"/>
        <v>0</v>
      </c>
      <c r="Q73" s="5">
        <f t="shared" si="12"/>
        <v>2</v>
      </c>
      <c r="R73" s="8">
        <f t="shared" si="13"/>
        <v>0</v>
      </c>
      <c r="S73" s="8">
        <f t="shared" si="14"/>
        <v>0</v>
      </c>
      <c r="T73" s="3" t="e">
        <f t="shared" si="15"/>
        <v>#VALUE!</v>
      </c>
      <c r="V73" s="1" t="e">
        <f t="shared" si="16"/>
        <v>#VALUE!</v>
      </c>
    </row>
    <row r="74" spans="8:22" x14ac:dyDescent="0.3">
      <c r="H74" s="2" t="str">
        <f>IF(Planilha1!B71="","",Planilha1!B71)</f>
        <v>9:00p</v>
      </c>
      <c r="I74" s="2" t="str">
        <f>IF(Planilha1!C71="","",Planilha1!C71)</f>
        <v>Orlando Magic</v>
      </c>
      <c r="J74" s="2">
        <f>IF(Planilha1!D71="","",Planilha1!D71)</f>
        <v>115</v>
      </c>
      <c r="K74" s="10" t="str">
        <f>IF(Planilha1!E71="","",IF(Planilha1!E71=0,"",Planilha1!E71))</f>
        <v>Utah Jazz</v>
      </c>
      <c r="L74" s="10">
        <f>IF(Planilha1!F71="","",Planilha1!F71)</f>
        <v>113</v>
      </c>
      <c r="M74" s="10">
        <f>IF(Planilha1!G71="","",IF(Planilha1!G71=0,"",Planilha1!G71))</f>
        <v>113</v>
      </c>
      <c r="N74" s="5">
        <f t="shared" si="9"/>
        <v>1</v>
      </c>
      <c r="O74" s="5">
        <f t="shared" si="10"/>
        <v>0</v>
      </c>
      <c r="P74" s="5">
        <f t="shared" si="11"/>
        <v>0</v>
      </c>
      <c r="Q74" s="5">
        <f t="shared" si="12"/>
        <v>2</v>
      </c>
      <c r="R74" s="8">
        <f t="shared" si="13"/>
        <v>0</v>
      </c>
      <c r="S74" s="8">
        <f t="shared" si="14"/>
        <v>0</v>
      </c>
      <c r="T74" s="3" t="e">
        <f t="shared" si="15"/>
        <v>#VALUE!</v>
      </c>
      <c r="V74" s="1" t="e">
        <f t="shared" si="16"/>
        <v>#VALUE!</v>
      </c>
    </row>
    <row r="75" spans="8:22" x14ac:dyDescent="0.3">
      <c r="H75" s="2" t="str">
        <f>IF(Planilha1!B72="","",Planilha1!B72)</f>
        <v>10:00p</v>
      </c>
      <c r="I75" s="2" t="str">
        <f>IF(Planilha1!C72="","",Planilha1!C72)</f>
        <v>San Antonio Spurs</v>
      </c>
      <c r="J75" s="2">
        <f>IF(Planilha1!D72="","",Planilha1!D72)</f>
        <v>132</v>
      </c>
      <c r="K75" s="10" t="str">
        <f>IF(Planilha1!E72="","",IF(Planilha1!E72=0,"",Planilha1!E72))</f>
        <v>Phoenix Suns</v>
      </c>
      <c r="L75" s="10">
        <f>IF(Planilha1!F72="","",Planilha1!F72)</f>
        <v>121</v>
      </c>
      <c r="M75" s="10">
        <f>IF(Planilha1!G72="","",IF(Planilha1!G72=0,"",Planilha1!G72))</f>
        <v>121</v>
      </c>
      <c r="N75" s="5">
        <f t="shared" si="9"/>
        <v>1</v>
      </c>
      <c r="O75" s="5">
        <f t="shared" si="10"/>
        <v>0</v>
      </c>
      <c r="P75" s="5">
        <f t="shared" si="11"/>
        <v>0</v>
      </c>
      <c r="Q75" s="5">
        <f t="shared" si="12"/>
        <v>2</v>
      </c>
      <c r="R75" s="8">
        <f t="shared" si="13"/>
        <v>0</v>
      </c>
      <c r="S75" s="8">
        <f t="shared" si="14"/>
        <v>0</v>
      </c>
      <c r="T75" s="3" t="e">
        <f t="shared" si="15"/>
        <v>#VALUE!</v>
      </c>
      <c r="V75" s="1" t="e">
        <f t="shared" si="16"/>
        <v>#VALUE!</v>
      </c>
    </row>
    <row r="76" spans="8:22" x14ac:dyDescent="0.3">
      <c r="H76" s="2" t="str">
        <f>IF(Planilha1!B73="","",Planilha1!B73)</f>
        <v>7:00p</v>
      </c>
      <c r="I76" s="2" t="str">
        <f>IF(Planilha1!C73="","",Planilha1!C73)</f>
        <v>Cleveland Cavaliers</v>
      </c>
      <c r="J76" s="2">
        <f>IF(Planilha1!D73="","",Planilha1!D73)</f>
        <v>116</v>
      </c>
      <c r="K76" s="10" t="str">
        <f>IF(Planilha1!E73="","",IF(Planilha1!E73=0,"",Planilha1!E73))</f>
        <v>Indiana Pacers</v>
      </c>
      <c r="L76" s="10">
        <f>IF(Planilha1!F73="","",Planilha1!F73)</f>
        <v>121</v>
      </c>
      <c r="M76" s="10">
        <f>IF(Planilha1!G73="","",IF(Planilha1!G73=0,"",Planilha1!G73))</f>
        <v>121</v>
      </c>
      <c r="N76" s="5">
        <f t="shared" si="9"/>
        <v>1</v>
      </c>
      <c r="O76" s="5">
        <f t="shared" si="10"/>
        <v>0</v>
      </c>
      <c r="P76" s="5">
        <f t="shared" si="11"/>
        <v>0</v>
      </c>
      <c r="Q76" s="5">
        <f t="shared" si="12"/>
        <v>2</v>
      </c>
      <c r="R76" s="8">
        <f t="shared" si="13"/>
        <v>0</v>
      </c>
      <c r="S76" s="8">
        <f t="shared" si="14"/>
        <v>0</v>
      </c>
      <c r="T76" s="3" t="e">
        <f t="shared" si="15"/>
        <v>#VALUE!</v>
      </c>
      <c r="V76" s="1" t="e">
        <f t="shared" si="16"/>
        <v>#VALUE!</v>
      </c>
    </row>
    <row r="77" spans="8:22" x14ac:dyDescent="0.3">
      <c r="H77" s="2" t="str">
        <f>IF(Planilha1!B74="","",Planilha1!B74)</f>
        <v>7:30p</v>
      </c>
      <c r="I77" s="2" t="str">
        <f>IF(Planilha1!C74="","",Planilha1!C74)</f>
        <v>New York Knicks</v>
      </c>
      <c r="J77" s="2">
        <f>IF(Planilha1!D74="","",Planilha1!D74)</f>
        <v>105</v>
      </c>
      <c r="K77" s="10" t="str">
        <f>IF(Planilha1!E74="","",IF(Planilha1!E74=0,"",Planilha1!E74))</f>
        <v>Milwaukee Bucks</v>
      </c>
      <c r="L77" s="10">
        <f>IF(Planilha1!F74="","",Planilha1!F74)</f>
        <v>110</v>
      </c>
      <c r="M77" s="10">
        <f>IF(Planilha1!G74="","",IF(Planilha1!G74=0,"",Planilha1!G74))</f>
        <v>110</v>
      </c>
      <c r="N77" s="5">
        <f t="shared" si="9"/>
        <v>1</v>
      </c>
      <c r="O77" s="5">
        <f t="shared" si="10"/>
        <v>0</v>
      </c>
      <c r="P77" s="5">
        <f t="shared" si="11"/>
        <v>0</v>
      </c>
      <c r="Q77" s="5">
        <f t="shared" si="12"/>
        <v>2</v>
      </c>
      <c r="R77" s="8">
        <f t="shared" si="13"/>
        <v>0</v>
      </c>
      <c r="S77" s="8">
        <f t="shared" si="14"/>
        <v>0</v>
      </c>
      <c r="T77" s="3" t="e">
        <f t="shared" si="15"/>
        <v>#VALUE!</v>
      </c>
      <c r="V77" s="1" t="e">
        <f t="shared" si="16"/>
        <v>#VALUE!</v>
      </c>
    </row>
    <row r="78" spans="8:22" x14ac:dyDescent="0.3">
      <c r="H78" s="2" t="str">
        <f>IF(Planilha1!B75="","",Planilha1!B75)</f>
        <v>8:00p</v>
      </c>
      <c r="I78" s="2" t="str">
        <f>IF(Planilha1!C75="","",Planilha1!C75)</f>
        <v>Brooklyn Nets</v>
      </c>
      <c r="J78" s="2">
        <f>IF(Planilha1!D75="","",Planilha1!D75)</f>
        <v>109</v>
      </c>
      <c r="K78" s="10" t="str">
        <f>IF(Planilha1!E75="","",IF(Planilha1!E75=0,"",Planilha1!E75))</f>
        <v>Chicago Bulls</v>
      </c>
      <c r="L78" s="10">
        <f>IF(Planilha1!F75="","",Planilha1!F75)</f>
        <v>107</v>
      </c>
      <c r="M78" s="10">
        <f>IF(Planilha1!G75="","",IF(Planilha1!G75=0,"",Planilha1!G75))</f>
        <v>107</v>
      </c>
      <c r="N78" s="5">
        <f t="shared" si="9"/>
        <v>1</v>
      </c>
      <c r="O78" s="5">
        <f t="shared" si="10"/>
        <v>0</v>
      </c>
      <c r="P78" s="5">
        <f t="shared" si="11"/>
        <v>0</v>
      </c>
      <c r="Q78" s="5">
        <f t="shared" si="12"/>
        <v>2</v>
      </c>
      <c r="R78" s="8">
        <f t="shared" si="13"/>
        <v>0</v>
      </c>
      <c r="S78" s="8">
        <f t="shared" si="14"/>
        <v>0</v>
      </c>
      <c r="T78" s="3" t="e">
        <f t="shared" si="15"/>
        <v>#VALUE!</v>
      </c>
      <c r="V78" s="1" t="e">
        <f t="shared" si="16"/>
        <v>#VALUE!</v>
      </c>
    </row>
    <row r="79" spans="8:22" x14ac:dyDescent="0.3">
      <c r="H79" s="2" t="str">
        <f>IF(Planilha1!B76="","",Planilha1!B76)</f>
        <v>8:00p</v>
      </c>
      <c r="I79" s="2" t="str">
        <f>IF(Planilha1!C76="","",Planilha1!C76)</f>
        <v>Washington Wizards</v>
      </c>
      <c r="J79" s="2">
        <f>IF(Planilha1!D76="","",Planilha1!D76)</f>
        <v>114</v>
      </c>
      <c r="K79" s="10" t="str">
        <f>IF(Planilha1!E76="","",IF(Planilha1!E76=0,"",Planilha1!E76))</f>
        <v>Miami Heat</v>
      </c>
      <c r="L79" s="10">
        <f>IF(Planilha1!F76="","",Planilha1!F76)</f>
        <v>121</v>
      </c>
      <c r="M79" s="10">
        <f>IF(Planilha1!G76="","",IF(Planilha1!G76=0,"",Planilha1!G76))</f>
        <v>121</v>
      </c>
      <c r="N79" s="5">
        <f t="shared" si="9"/>
        <v>1</v>
      </c>
      <c r="O79" s="5">
        <f t="shared" si="10"/>
        <v>0</v>
      </c>
      <c r="P79" s="5">
        <f t="shared" si="11"/>
        <v>0</v>
      </c>
      <c r="Q79" s="5">
        <f t="shared" si="12"/>
        <v>2</v>
      </c>
      <c r="R79" s="8">
        <f t="shared" si="13"/>
        <v>0</v>
      </c>
      <c r="S79" s="8">
        <f t="shared" si="14"/>
        <v>0</v>
      </c>
      <c r="T79" s="3" t="e">
        <f t="shared" si="15"/>
        <v>#VALUE!</v>
      </c>
      <c r="V79" s="1" t="e">
        <f t="shared" si="16"/>
        <v>#VALUE!</v>
      </c>
    </row>
    <row r="80" spans="8:22" x14ac:dyDescent="0.3">
      <c r="H80" s="2" t="str">
        <f>IF(Planilha1!B77="","",Planilha1!B77)</f>
        <v>8:00p</v>
      </c>
      <c r="I80" s="2" t="str">
        <f>IF(Planilha1!C77="","",Planilha1!C77)</f>
        <v>Golden State Warriors</v>
      </c>
      <c r="J80" s="2">
        <f>IF(Planilha1!D77="","",Planilha1!D77)</f>
        <v>141</v>
      </c>
      <c r="K80" s="10" t="str">
        <f>IF(Planilha1!E77="","",IF(Planilha1!E77=0,"",Planilha1!E77))</f>
        <v>Oklahoma City Thunder</v>
      </c>
      <c r="L80" s="10">
        <f>IF(Planilha1!F77="","",Planilha1!F77)</f>
        <v>139</v>
      </c>
      <c r="M80" s="10">
        <f>IF(Planilha1!G77="","",IF(Planilha1!G77=0,"",Planilha1!G77))</f>
        <v>139</v>
      </c>
      <c r="N80" s="5">
        <f t="shared" si="9"/>
        <v>1</v>
      </c>
      <c r="O80" s="5">
        <f t="shared" si="10"/>
        <v>0</v>
      </c>
      <c r="P80" s="5">
        <f t="shared" si="11"/>
        <v>0</v>
      </c>
      <c r="Q80" s="5">
        <f t="shared" si="12"/>
        <v>2</v>
      </c>
      <c r="R80" s="8">
        <f t="shared" si="13"/>
        <v>0</v>
      </c>
      <c r="S80" s="8">
        <f t="shared" si="14"/>
        <v>0</v>
      </c>
      <c r="T80" s="3" t="e">
        <f t="shared" si="15"/>
        <v>#VALUE!</v>
      </c>
      <c r="V80" s="1" t="e">
        <f t="shared" si="16"/>
        <v>#VALUE!</v>
      </c>
    </row>
    <row r="81" spans="8:22" x14ac:dyDescent="0.3">
      <c r="H81" s="2" t="str">
        <f>IF(Planilha1!B78="","",Planilha1!B78)</f>
        <v>10:00p</v>
      </c>
      <c r="I81" s="2" t="str">
        <f>IF(Planilha1!C78="","",Planilha1!C78)</f>
        <v>Dallas Mavericks</v>
      </c>
      <c r="J81" s="2">
        <f>IF(Planilha1!D78="","",Planilha1!D78)</f>
        <v>114</v>
      </c>
      <c r="K81" s="10" t="str">
        <f>IF(Planilha1!E78="","",IF(Planilha1!E78=0,"",Planilha1!E78))</f>
        <v>Denver Nuggets</v>
      </c>
      <c r="L81" s="10">
        <f>IF(Planilha1!F78="","",Planilha1!F78)</f>
        <v>125</v>
      </c>
      <c r="M81" s="10">
        <f>IF(Planilha1!G78="","",IF(Planilha1!G78=0,"",Planilha1!G78))</f>
        <v>125</v>
      </c>
      <c r="N81" s="5">
        <f t="shared" si="9"/>
        <v>1</v>
      </c>
      <c r="O81" s="5">
        <f t="shared" si="10"/>
        <v>0</v>
      </c>
      <c r="P81" s="5">
        <f t="shared" si="11"/>
        <v>0</v>
      </c>
      <c r="Q81" s="5">
        <f t="shared" si="12"/>
        <v>2</v>
      </c>
      <c r="R81" s="8">
        <f t="shared" si="13"/>
        <v>0</v>
      </c>
      <c r="S81" s="8">
        <f t="shared" si="14"/>
        <v>0</v>
      </c>
      <c r="T81" s="3" t="e">
        <f t="shared" si="15"/>
        <v>#VALUE!</v>
      </c>
      <c r="V81" s="1" t="e">
        <f t="shared" si="16"/>
        <v>#VALUE!</v>
      </c>
    </row>
    <row r="82" spans="8:22" x14ac:dyDescent="0.3">
      <c r="H82" s="2" t="str">
        <f>IF(Planilha1!B79="","",Planilha1!B79)</f>
        <v>10:00p</v>
      </c>
      <c r="I82" s="2" t="str">
        <f>IF(Planilha1!C79="","",Planilha1!C79)</f>
        <v>Memphis Grizzlies</v>
      </c>
      <c r="J82" s="2">
        <f>IF(Planilha1!D79="","",Planilha1!D79)</f>
        <v>113</v>
      </c>
      <c r="K82" s="10" t="str">
        <f>IF(Planilha1!E79="","",IF(Planilha1!E79=0,"",Planilha1!E79))</f>
        <v>Portland Trail Blazers</v>
      </c>
      <c r="L82" s="10">
        <f>IF(Planilha1!F79="","",Planilha1!F79)</f>
        <v>115</v>
      </c>
      <c r="M82" s="10">
        <f>IF(Planilha1!G79="","",IF(Planilha1!G79=0,"",Planilha1!G79))</f>
        <v>115</v>
      </c>
      <c r="N82" s="5">
        <f t="shared" si="9"/>
        <v>1</v>
      </c>
      <c r="O82" s="5">
        <f t="shared" si="10"/>
        <v>0</v>
      </c>
      <c r="P82" s="5">
        <f t="shared" si="11"/>
        <v>0</v>
      </c>
      <c r="Q82" s="5">
        <f t="shared" si="12"/>
        <v>2</v>
      </c>
      <c r="R82" s="8">
        <f t="shared" si="13"/>
        <v>0</v>
      </c>
      <c r="S82" s="8">
        <f t="shared" si="14"/>
        <v>0</v>
      </c>
      <c r="T82" s="3" t="e">
        <f t="shared" si="15"/>
        <v>#VALUE!</v>
      </c>
      <c r="V82" s="1" t="e">
        <f t="shared" si="16"/>
        <v>#VALUE!</v>
      </c>
    </row>
    <row r="83" spans="8:22" x14ac:dyDescent="0.3">
      <c r="H83" s="2" t="str">
        <f>IF(Planilha1!B80="","",Planilha1!B80)</f>
        <v>1:00p</v>
      </c>
      <c r="I83" s="2" t="str">
        <f>IF(Planilha1!C80="","",Planilha1!C80)</f>
        <v>Phoenix Suns</v>
      </c>
      <c r="J83" s="2">
        <f>IF(Planilha1!D80="","",Planilha1!D80)</f>
        <v>100</v>
      </c>
      <c r="K83" s="10" t="str">
        <f>IF(Planilha1!E80="","",IF(Planilha1!E80=0,"",Planilha1!E80))</f>
        <v>Philadelphia 76ers</v>
      </c>
      <c r="L83" s="10">
        <f>IF(Planilha1!F80="","",Planilha1!F80)</f>
        <v>112</v>
      </c>
      <c r="M83" s="10">
        <f>IF(Planilha1!G80="","",IF(Planilha1!G80=0,"",Planilha1!G80))</f>
        <v>112</v>
      </c>
      <c r="N83" s="5">
        <f t="shared" si="9"/>
        <v>1</v>
      </c>
      <c r="O83" s="5">
        <f t="shared" si="10"/>
        <v>0</v>
      </c>
      <c r="P83" s="5">
        <f t="shared" si="11"/>
        <v>0</v>
      </c>
      <c r="Q83" s="5">
        <f t="shared" si="12"/>
        <v>2</v>
      </c>
      <c r="R83" s="8">
        <f t="shared" si="13"/>
        <v>0</v>
      </c>
      <c r="S83" s="8">
        <f t="shared" si="14"/>
        <v>0</v>
      </c>
      <c r="T83" s="3" t="e">
        <f t="shared" si="15"/>
        <v>#VALUE!</v>
      </c>
      <c r="V83" s="1" t="e">
        <f t="shared" si="16"/>
        <v>#VALUE!</v>
      </c>
    </row>
    <row r="84" spans="8:22" x14ac:dyDescent="0.3">
      <c r="H84" s="2" t="str">
        <f>IF(Planilha1!B81="","",Planilha1!B81)</f>
        <v>7:00p</v>
      </c>
      <c r="I84" s="2" t="str">
        <f>IF(Planilha1!C81="","",Planilha1!C81)</f>
        <v>Charlotte Hornets</v>
      </c>
      <c r="J84" s="2">
        <f>IF(Planilha1!D81="","",Planilha1!D81)</f>
        <v>125</v>
      </c>
      <c r="K84" s="10" t="str">
        <f>IF(Planilha1!E81="","",IF(Planilha1!E81=0,"",Planilha1!E81))</f>
        <v>Indiana Pacers</v>
      </c>
      <c r="L84" s="10">
        <f>IF(Planilha1!F81="","",Planilha1!F81)</f>
        <v>124</v>
      </c>
      <c r="M84" s="10">
        <f>IF(Planilha1!G81="","",IF(Planilha1!G81=0,"",Planilha1!G81))</f>
        <v>124</v>
      </c>
      <c r="N84" s="5">
        <f t="shared" si="9"/>
        <v>1</v>
      </c>
      <c r="O84" s="5">
        <f t="shared" si="10"/>
        <v>0</v>
      </c>
      <c r="P84" s="5">
        <f t="shared" si="11"/>
        <v>0</v>
      </c>
      <c r="Q84" s="5">
        <f t="shared" si="12"/>
        <v>2</v>
      </c>
      <c r="R84" s="8">
        <f t="shared" si="13"/>
        <v>0</v>
      </c>
      <c r="S84" s="8">
        <f t="shared" si="14"/>
        <v>0</v>
      </c>
      <c r="T84" s="3" t="e">
        <f t="shared" si="15"/>
        <v>#VALUE!</v>
      </c>
      <c r="V84" s="1" t="e">
        <f t="shared" si="16"/>
        <v>#VALUE!</v>
      </c>
    </row>
    <row r="85" spans="8:22" x14ac:dyDescent="0.3">
      <c r="H85" s="2" t="str">
        <f>IF(Planilha1!B82="","",Planilha1!B82)</f>
        <v>7:00p</v>
      </c>
      <c r="I85" s="2" t="str">
        <f>IF(Planilha1!C82="","",Planilha1!C82)</f>
        <v>Atlanta Hawks</v>
      </c>
      <c r="J85" s="2">
        <f>IF(Planilha1!D82="","",Planilha1!D82)</f>
        <v>123</v>
      </c>
      <c r="K85" s="10" t="str">
        <f>IF(Planilha1!E82="","",IF(Planilha1!E82=0,"",Planilha1!E82))</f>
        <v>New Orleans Pelicans</v>
      </c>
      <c r="L85" s="10">
        <f>IF(Planilha1!F82="","",Planilha1!F82)</f>
        <v>105</v>
      </c>
      <c r="M85" s="10">
        <f>IF(Planilha1!G82="","",IF(Planilha1!G82=0,"",Planilha1!G82))</f>
        <v>105</v>
      </c>
      <c r="N85" s="5">
        <f t="shared" si="9"/>
        <v>1</v>
      </c>
      <c r="O85" s="5">
        <f t="shared" si="10"/>
        <v>0</v>
      </c>
      <c r="P85" s="5">
        <f t="shared" si="11"/>
        <v>0</v>
      </c>
      <c r="Q85" s="5">
        <f t="shared" si="12"/>
        <v>2</v>
      </c>
      <c r="R85" s="8">
        <f t="shared" si="13"/>
        <v>0</v>
      </c>
      <c r="S85" s="8">
        <f t="shared" si="14"/>
        <v>0</v>
      </c>
      <c r="T85" s="3" t="e">
        <f t="shared" si="15"/>
        <v>#VALUE!</v>
      </c>
      <c r="V85" s="1" t="e">
        <f t="shared" si="16"/>
        <v>#VALUE!</v>
      </c>
    </row>
    <row r="86" spans="8:22" x14ac:dyDescent="0.3">
      <c r="H86" s="2" t="str">
        <f>IF(Planilha1!B83="","",Planilha1!B83)</f>
        <v>7:00p</v>
      </c>
      <c r="I86" s="2" t="str">
        <f>IF(Planilha1!C83="","",Planilha1!C83)</f>
        <v>Los Angeles Lakers</v>
      </c>
      <c r="J86" s="2">
        <f>IF(Planilha1!D83="","",Planilha1!D83)</f>
        <v>101</v>
      </c>
      <c r="K86" s="10" t="str">
        <f>IF(Planilha1!E83="","",IF(Planilha1!E83=0,"",Planilha1!E83))</f>
        <v>Orlando Magic</v>
      </c>
      <c r="L86" s="10">
        <f>IF(Planilha1!F83="","",Planilha1!F83)</f>
        <v>120</v>
      </c>
      <c r="M86" s="10">
        <f>IF(Planilha1!G83="","",IF(Planilha1!G83=0,"",Planilha1!G83))</f>
        <v>120</v>
      </c>
      <c r="N86" s="5">
        <f t="shared" si="9"/>
        <v>1</v>
      </c>
      <c r="O86" s="5">
        <f t="shared" si="10"/>
        <v>0</v>
      </c>
      <c r="P86" s="5">
        <f t="shared" si="11"/>
        <v>0</v>
      </c>
      <c r="Q86" s="5">
        <f t="shared" si="12"/>
        <v>2</v>
      </c>
      <c r="R86" s="8">
        <f t="shared" si="13"/>
        <v>0</v>
      </c>
      <c r="S86" s="8">
        <f t="shared" si="14"/>
        <v>0</v>
      </c>
      <c r="T86" s="3" t="e">
        <f t="shared" si="15"/>
        <v>#VALUE!</v>
      </c>
      <c r="V86" s="1" t="e">
        <f t="shared" si="16"/>
        <v>#VALUE!</v>
      </c>
    </row>
    <row r="87" spans="8:22" x14ac:dyDescent="0.3">
      <c r="H87" s="2" t="str">
        <f>IF(Planilha1!B84="","",Planilha1!B84)</f>
        <v>8:00p</v>
      </c>
      <c r="I87" s="2" t="str">
        <f>IF(Planilha1!C84="","",Planilha1!C84)</f>
        <v>Boston Celtics</v>
      </c>
      <c r="J87" s="2">
        <f>IF(Planilha1!D84="","",Planilha1!D84)</f>
        <v>124</v>
      </c>
      <c r="K87" s="10" t="str">
        <f>IF(Planilha1!E84="","",IF(Planilha1!E84=0,"",Planilha1!E84))</f>
        <v>Brooklyn Nets</v>
      </c>
      <c r="L87" s="10">
        <f>IF(Planilha1!F84="","",Planilha1!F84)</f>
        <v>114</v>
      </c>
      <c r="M87" s="10">
        <f>IF(Planilha1!G84="","",IF(Planilha1!G84=0,"",Planilha1!G84))</f>
        <v>114</v>
      </c>
      <c r="N87" s="5">
        <f t="shared" si="9"/>
        <v>1</v>
      </c>
      <c r="O87" s="5">
        <f t="shared" si="10"/>
        <v>0</v>
      </c>
      <c r="P87" s="5">
        <f t="shared" si="11"/>
        <v>0</v>
      </c>
      <c r="Q87" s="5">
        <f t="shared" si="12"/>
        <v>2</v>
      </c>
      <c r="R87" s="8">
        <f t="shared" si="13"/>
        <v>0</v>
      </c>
      <c r="S87" s="8">
        <f t="shared" si="14"/>
        <v>0</v>
      </c>
      <c r="T87" s="3" t="e">
        <f t="shared" si="15"/>
        <v>#VALUE!</v>
      </c>
      <c r="V87" s="1" t="e">
        <f t="shared" si="16"/>
        <v>#VALUE!</v>
      </c>
    </row>
    <row r="88" spans="8:22" x14ac:dyDescent="0.3">
      <c r="H88" s="2" t="str">
        <f>IF(Planilha1!B85="","",Planilha1!B85)</f>
        <v>8:00p</v>
      </c>
      <c r="I88" s="2" t="str">
        <f>IF(Planilha1!C85="","",Planilha1!C85)</f>
        <v>Sacramento Kings</v>
      </c>
      <c r="J88" s="2">
        <f>IF(Planilha1!D85="","",Planilha1!D85)</f>
        <v>89</v>
      </c>
      <c r="K88" s="10" t="str">
        <f>IF(Planilha1!E85="","",IF(Planilha1!E85=0,"",Planilha1!E85))</f>
        <v>Houston Rockets</v>
      </c>
      <c r="L88" s="10">
        <f>IF(Planilha1!F85="","",Planilha1!F85)</f>
        <v>107</v>
      </c>
      <c r="M88" s="10">
        <f>IF(Planilha1!G85="","",IF(Planilha1!G85=0,"",Planilha1!G85))</f>
        <v>107</v>
      </c>
      <c r="N88" s="5">
        <f t="shared" si="9"/>
        <v>1</v>
      </c>
      <c r="O88" s="5">
        <f t="shared" si="10"/>
        <v>0</v>
      </c>
      <c r="P88" s="5">
        <f t="shared" si="11"/>
        <v>0</v>
      </c>
      <c r="Q88" s="5">
        <f t="shared" si="12"/>
        <v>2</v>
      </c>
      <c r="R88" s="8">
        <f t="shared" si="13"/>
        <v>0</v>
      </c>
      <c r="S88" s="8">
        <f t="shared" si="14"/>
        <v>0</v>
      </c>
      <c r="T88" s="3" t="e">
        <f t="shared" si="15"/>
        <v>#VALUE!</v>
      </c>
      <c r="V88" s="1" t="e">
        <f t="shared" si="16"/>
        <v>#VALUE!</v>
      </c>
    </row>
    <row r="89" spans="8:22" x14ac:dyDescent="0.3">
      <c r="H89" s="2" t="str">
        <f>IF(Planilha1!B86="","",Planilha1!B86)</f>
        <v>8:00p</v>
      </c>
      <c r="I89" s="2" t="str">
        <f>IF(Planilha1!C86="","",Planilha1!C86)</f>
        <v>Utah Jazz</v>
      </c>
      <c r="J89" s="2">
        <f>IF(Planilha1!D86="","",Planilha1!D86)</f>
        <v>95</v>
      </c>
      <c r="K89" s="10" t="str">
        <f>IF(Planilha1!E86="","",IF(Planilha1!E86=0,"",Planilha1!E86))</f>
        <v>Minnesota Timberwolves</v>
      </c>
      <c r="L89" s="10">
        <f>IF(Planilha1!F86="","",Planilha1!F86)</f>
        <v>123</v>
      </c>
      <c r="M89" s="10">
        <f>IF(Planilha1!G86="","",IF(Planilha1!G86=0,"",Planilha1!G86))</f>
        <v>123</v>
      </c>
      <c r="N89" s="5">
        <f t="shared" si="9"/>
        <v>1</v>
      </c>
      <c r="O89" s="5">
        <f t="shared" si="10"/>
        <v>0</v>
      </c>
      <c r="P89" s="5">
        <f t="shared" si="11"/>
        <v>0</v>
      </c>
      <c r="Q89" s="5">
        <f t="shared" si="12"/>
        <v>2</v>
      </c>
      <c r="R89" s="8">
        <f t="shared" si="13"/>
        <v>0</v>
      </c>
      <c r="S89" s="8">
        <f t="shared" si="14"/>
        <v>0</v>
      </c>
      <c r="T89" s="3" t="e">
        <f t="shared" si="15"/>
        <v>#VALUE!</v>
      </c>
      <c r="V89" s="1" t="e">
        <f t="shared" si="16"/>
        <v>#VALUE!</v>
      </c>
    </row>
    <row r="90" spans="8:22" x14ac:dyDescent="0.3">
      <c r="H90" s="2" t="str">
        <f>IF(Planilha1!B87="","",Planilha1!B87)</f>
        <v>9:00p</v>
      </c>
      <c r="I90" s="2" t="str">
        <f>IF(Planilha1!C87="","",Planilha1!C87)</f>
        <v>Chicago Bulls</v>
      </c>
      <c r="J90" s="2">
        <f>IF(Planilha1!D87="","",Planilha1!D87)</f>
        <v>101</v>
      </c>
      <c r="K90" s="10" t="str">
        <f>IF(Planilha1!E87="","",IF(Planilha1!E87=0,"",Planilha1!E87))</f>
        <v>Denver Nuggets</v>
      </c>
      <c r="L90" s="10">
        <f>IF(Planilha1!F87="","",Planilha1!F87)</f>
        <v>123</v>
      </c>
      <c r="M90" s="10">
        <f>IF(Planilha1!G87="","",IF(Planilha1!G87=0,"",Planilha1!G87))</f>
        <v>123</v>
      </c>
      <c r="N90" s="5">
        <f t="shared" si="9"/>
        <v>1</v>
      </c>
      <c r="O90" s="5">
        <f t="shared" si="10"/>
        <v>0</v>
      </c>
      <c r="P90" s="5">
        <f t="shared" si="11"/>
        <v>0</v>
      </c>
      <c r="Q90" s="5">
        <f t="shared" si="12"/>
        <v>2</v>
      </c>
      <c r="R90" s="8">
        <f t="shared" si="13"/>
        <v>0</v>
      </c>
      <c r="S90" s="8">
        <f t="shared" si="14"/>
        <v>0</v>
      </c>
      <c r="T90" s="3" t="e">
        <f t="shared" si="15"/>
        <v>#VALUE!</v>
      </c>
      <c r="V90" s="1" t="e">
        <f t="shared" si="16"/>
        <v>#VALUE!</v>
      </c>
    </row>
    <row r="91" spans="8:22" x14ac:dyDescent="0.3">
      <c r="H91" s="2" t="str">
        <f>IF(Planilha1!B88="","",Planilha1!B88)</f>
        <v>3:00p</v>
      </c>
      <c r="I91" s="2" t="str">
        <f>IF(Planilha1!C88="","",Planilha1!C88)</f>
        <v>Phoenix Suns</v>
      </c>
      <c r="J91" s="2">
        <f>IF(Planilha1!D88="","",Planilha1!D88)</f>
        <v>120</v>
      </c>
      <c r="K91" s="10" t="str">
        <f>IF(Planilha1!E88="","",IF(Planilha1!E88=0,"",Planilha1!E88))</f>
        <v>Detroit Pistons</v>
      </c>
      <c r="L91" s="10">
        <f>IF(Planilha1!F88="","",Planilha1!F88)</f>
        <v>106</v>
      </c>
      <c r="M91" s="10">
        <f>IF(Planilha1!G88="","",IF(Planilha1!G88=0,"",Planilha1!G88))</f>
        <v>106</v>
      </c>
      <c r="N91" s="5">
        <f t="shared" si="9"/>
        <v>1</v>
      </c>
      <c r="O91" s="5">
        <f t="shared" si="10"/>
        <v>0</v>
      </c>
      <c r="P91" s="5">
        <f t="shared" si="11"/>
        <v>0</v>
      </c>
      <c r="Q91" s="5">
        <f t="shared" si="12"/>
        <v>2</v>
      </c>
      <c r="R91" s="8">
        <f t="shared" si="13"/>
        <v>0</v>
      </c>
      <c r="S91" s="8">
        <f t="shared" si="14"/>
        <v>0</v>
      </c>
      <c r="T91" s="3" t="e">
        <f t="shared" si="15"/>
        <v>#VALUE!</v>
      </c>
      <c r="V91" s="1" t="e">
        <f t="shared" si="16"/>
        <v>#VALUE!</v>
      </c>
    </row>
    <row r="92" spans="8:22" x14ac:dyDescent="0.3">
      <c r="H92" s="2" t="str">
        <f>IF(Planilha1!B89="","",Planilha1!B89)</f>
        <v>3:30p</v>
      </c>
      <c r="I92" s="2" t="str">
        <f>IF(Planilha1!C89="","",Planilha1!C89)</f>
        <v>Toronto Raptors</v>
      </c>
      <c r="J92" s="2">
        <f>IF(Planilha1!D89="","",Planilha1!D89)</f>
        <v>123</v>
      </c>
      <c r="K92" s="10" t="str">
        <f>IF(Planilha1!E89="","",IF(Planilha1!E89=0,"",Planilha1!E89))</f>
        <v>San Antonio Spurs</v>
      </c>
      <c r="L92" s="10">
        <f>IF(Planilha1!F89="","",Planilha1!F89)</f>
        <v>116</v>
      </c>
      <c r="M92" s="10">
        <f>IF(Planilha1!G89="","",IF(Planilha1!G89=0,"",Planilha1!G89))</f>
        <v>116</v>
      </c>
      <c r="N92" s="5">
        <f t="shared" si="9"/>
        <v>1</v>
      </c>
      <c r="O92" s="5">
        <f t="shared" si="10"/>
        <v>0</v>
      </c>
      <c r="P92" s="5">
        <f t="shared" si="11"/>
        <v>0</v>
      </c>
      <c r="Q92" s="5">
        <f t="shared" si="12"/>
        <v>2</v>
      </c>
      <c r="R92" s="8">
        <f t="shared" si="13"/>
        <v>0</v>
      </c>
      <c r="S92" s="8">
        <f t="shared" si="14"/>
        <v>0</v>
      </c>
      <c r="T92" s="3" t="e">
        <f t="shared" si="15"/>
        <v>#VALUE!</v>
      </c>
      <c r="V92" s="1" t="e">
        <f t="shared" si="16"/>
        <v>#VALUE!</v>
      </c>
    </row>
    <row r="93" spans="8:22" x14ac:dyDescent="0.3">
      <c r="H93" s="2" t="str">
        <f>IF(Planilha1!B90="","",Planilha1!B90)</f>
        <v>6:00p</v>
      </c>
      <c r="I93" s="2" t="str">
        <f>IF(Planilha1!C90="","",Planilha1!C90)</f>
        <v>Golden State Warriors</v>
      </c>
      <c r="J93" s="2">
        <f>IF(Planilha1!D90="","",Planilha1!D90)</f>
        <v>104</v>
      </c>
      <c r="K93" s="10" t="str">
        <f>IF(Planilha1!E90="","",IF(Planilha1!E90=0,"",Planilha1!E90))</f>
        <v>Cleveland Cavaliers</v>
      </c>
      <c r="L93" s="10">
        <f>IF(Planilha1!F90="","",Planilha1!F90)</f>
        <v>115</v>
      </c>
      <c r="M93" s="10">
        <f>IF(Planilha1!G90="","",IF(Planilha1!G90=0,"",Planilha1!G90))</f>
        <v>115</v>
      </c>
      <c r="N93" s="5">
        <f t="shared" si="9"/>
        <v>1</v>
      </c>
      <c r="O93" s="5">
        <f t="shared" si="10"/>
        <v>0</v>
      </c>
      <c r="P93" s="5">
        <f t="shared" si="11"/>
        <v>0</v>
      </c>
      <c r="Q93" s="5">
        <f t="shared" si="12"/>
        <v>2</v>
      </c>
      <c r="R93" s="8">
        <f t="shared" si="13"/>
        <v>0</v>
      </c>
      <c r="S93" s="8">
        <f t="shared" si="14"/>
        <v>0</v>
      </c>
      <c r="T93" s="3" t="e">
        <f t="shared" si="15"/>
        <v>#VALUE!</v>
      </c>
      <c r="V93" s="1" t="e">
        <f t="shared" si="16"/>
        <v>#VALUE!</v>
      </c>
    </row>
    <row r="94" spans="8:22" x14ac:dyDescent="0.3">
      <c r="H94" s="2" t="str">
        <f>IF(Planilha1!B91="","",Planilha1!B91)</f>
        <v>7:30p</v>
      </c>
      <c r="I94" s="2" t="str">
        <f>IF(Planilha1!C91="","",Planilha1!C91)</f>
        <v>Charlotte Hornets</v>
      </c>
      <c r="J94" s="2">
        <f>IF(Planilha1!D91="","",Planilha1!D91)</f>
        <v>118</v>
      </c>
      <c r="K94" s="10" t="str">
        <f>IF(Planilha1!E91="","",IF(Planilha1!E91=0,"",Planilha1!E91))</f>
        <v>Dallas Mavericks</v>
      </c>
      <c r="L94" s="10">
        <f>IF(Planilha1!F91="","",Planilha1!F91)</f>
        <v>124</v>
      </c>
      <c r="M94" s="10">
        <f>IF(Planilha1!G91="","",IF(Planilha1!G91=0,"",Planilha1!G91))</f>
        <v>124</v>
      </c>
      <c r="N94" s="5">
        <f t="shared" si="9"/>
        <v>1</v>
      </c>
      <c r="O94" s="5">
        <f t="shared" si="10"/>
        <v>0</v>
      </c>
      <c r="P94" s="5">
        <f t="shared" si="11"/>
        <v>0</v>
      </c>
      <c r="Q94" s="5">
        <f t="shared" si="12"/>
        <v>2</v>
      </c>
      <c r="R94" s="8">
        <f t="shared" si="13"/>
        <v>0</v>
      </c>
      <c r="S94" s="8">
        <f t="shared" si="14"/>
        <v>0</v>
      </c>
      <c r="T94" s="3" t="e">
        <f t="shared" si="15"/>
        <v>#VALUE!</v>
      </c>
      <c r="V94" s="1" t="e">
        <f t="shared" si="16"/>
        <v>#VALUE!</v>
      </c>
    </row>
    <row r="95" spans="8:22" x14ac:dyDescent="0.3">
      <c r="H95" s="2" t="str">
        <f>IF(Planilha1!B92="","",Planilha1!B92)</f>
        <v>9:00p</v>
      </c>
      <c r="I95" s="2" t="str">
        <f>IF(Planilha1!C92="","",Planilha1!C92)</f>
        <v>Memphis Grizzlies</v>
      </c>
      <c r="J95" s="2">
        <f>IF(Planilha1!D92="","",Planilha1!D92)</f>
        <v>112</v>
      </c>
      <c r="K95" s="10" t="str">
        <f>IF(Planilha1!E92="","",IF(Planilha1!E92=0,"",Planilha1!E92))</f>
        <v>Portland Trail Blazers</v>
      </c>
      <c r="L95" s="10">
        <f>IF(Planilha1!F92="","",Planilha1!F92)</f>
        <v>100</v>
      </c>
      <c r="M95" s="10">
        <f>IF(Planilha1!G92="","",IF(Planilha1!G92=0,"",Planilha1!G92))</f>
        <v>100</v>
      </c>
      <c r="N95" s="5">
        <f t="shared" si="9"/>
        <v>1</v>
      </c>
      <c r="O95" s="5">
        <f t="shared" si="10"/>
        <v>0</v>
      </c>
      <c r="P95" s="5">
        <f t="shared" si="11"/>
        <v>0</v>
      </c>
      <c r="Q95" s="5">
        <f t="shared" si="12"/>
        <v>2</v>
      </c>
      <c r="R95" s="8">
        <f t="shared" si="13"/>
        <v>0</v>
      </c>
      <c r="S95" s="8">
        <f t="shared" si="14"/>
        <v>0</v>
      </c>
      <c r="T95" s="3" t="e">
        <f t="shared" si="15"/>
        <v>#VALUE!</v>
      </c>
      <c r="V95" s="1" t="e">
        <f t="shared" si="16"/>
        <v>#VALUE!</v>
      </c>
    </row>
    <row r="96" spans="8:22" x14ac:dyDescent="0.3">
      <c r="H96" s="2" t="str">
        <f>IF(Planilha1!B93="","",Planilha1!B93)</f>
        <v>7:00p</v>
      </c>
      <c r="I96" s="2" t="str">
        <f>IF(Planilha1!C93="","",Planilha1!C93)</f>
        <v>Golden State Warriors</v>
      </c>
      <c r="J96" s="2">
        <f>IF(Planilha1!D93="","",Planilha1!D93)</f>
        <v>120</v>
      </c>
      <c r="K96" s="10" t="str">
        <f>IF(Planilha1!E93="","",IF(Planilha1!E93=0,"",Planilha1!E93))</f>
        <v>Detroit Pistons</v>
      </c>
      <c r="L96" s="10">
        <f>IF(Planilha1!F93="","",Planilha1!F93)</f>
        <v>109</v>
      </c>
      <c r="M96" s="10">
        <f>IF(Planilha1!G93="","",IF(Planilha1!G93=0,"",Planilha1!G93))</f>
        <v>109</v>
      </c>
      <c r="N96" s="5">
        <f t="shared" si="9"/>
        <v>1</v>
      </c>
      <c r="O96" s="5">
        <f t="shared" si="10"/>
        <v>0</v>
      </c>
      <c r="P96" s="5">
        <f t="shared" si="11"/>
        <v>0</v>
      </c>
      <c r="Q96" s="5">
        <f t="shared" si="12"/>
        <v>2</v>
      </c>
      <c r="R96" s="8">
        <f t="shared" si="13"/>
        <v>0</v>
      </c>
      <c r="S96" s="8">
        <f t="shared" si="14"/>
        <v>0</v>
      </c>
      <c r="T96" s="3" t="e">
        <f t="shared" si="15"/>
        <v>#VALUE!</v>
      </c>
      <c r="V96" s="1" t="e">
        <f t="shared" si="16"/>
        <v>#VALUE!</v>
      </c>
    </row>
    <row r="97" spans="8:22" x14ac:dyDescent="0.3">
      <c r="H97" s="2" t="str">
        <f>IF(Planilha1!B94="","",Planilha1!B94)</f>
        <v>7:00p</v>
      </c>
      <c r="I97" s="2" t="str">
        <f>IF(Planilha1!C94="","",Planilha1!C94)</f>
        <v>San Antonio Spurs</v>
      </c>
      <c r="J97" s="2">
        <f>IF(Planilha1!D94="","",Planilha1!D94)</f>
        <v>111</v>
      </c>
      <c r="K97" s="10" t="str">
        <f>IF(Planilha1!E94="","",IF(Planilha1!E94=0,"",Planilha1!E94))</f>
        <v>Indiana Pacers</v>
      </c>
      <c r="L97" s="10">
        <f>IF(Planilha1!F94="","",Planilha1!F94)</f>
        <v>152</v>
      </c>
      <c r="M97" s="10">
        <f>IF(Planilha1!G94="","",IF(Planilha1!G94=0,"",Planilha1!G94))</f>
        <v>152</v>
      </c>
      <c r="N97" s="5">
        <f t="shared" si="9"/>
        <v>1</v>
      </c>
      <c r="O97" s="5">
        <f t="shared" si="10"/>
        <v>0</v>
      </c>
      <c r="P97" s="5">
        <f t="shared" si="11"/>
        <v>0</v>
      </c>
      <c r="Q97" s="5">
        <f t="shared" si="12"/>
        <v>2</v>
      </c>
      <c r="R97" s="8">
        <f t="shared" si="13"/>
        <v>0</v>
      </c>
      <c r="S97" s="8">
        <f t="shared" si="14"/>
        <v>0</v>
      </c>
      <c r="T97" s="3" t="e">
        <f t="shared" si="15"/>
        <v>#VALUE!</v>
      </c>
      <c r="V97" s="1" t="e">
        <f t="shared" si="16"/>
        <v>#VALUE!</v>
      </c>
    </row>
    <row r="98" spans="8:22" x14ac:dyDescent="0.3">
      <c r="H98" s="2" t="str">
        <f>IF(Planilha1!B95="","",Planilha1!B95)</f>
        <v>7:00p</v>
      </c>
      <c r="I98" s="2" t="str">
        <f>IF(Planilha1!C95="","",Planilha1!C95)</f>
        <v>Dallas Mavericks</v>
      </c>
      <c r="J98" s="2">
        <f>IF(Planilha1!D95="","",Planilha1!D95)</f>
        <v>117</v>
      </c>
      <c r="K98" s="10" t="str">
        <f>IF(Planilha1!E95="","",IF(Planilha1!E95=0,"",Planilha1!E95))</f>
        <v>Orlando Magic</v>
      </c>
      <c r="L98" s="10">
        <f>IF(Planilha1!F95="","",Planilha1!F95)</f>
        <v>102</v>
      </c>
      <c r="M98" s="10">
        <f>IF(Planilha1!G95="","",IF(Planilha1!G95=0,"",Planilha1!G95))</f>
        <v>102</v>
      </c>
      <c r="N98" s="5">
        <f t="shared" si="9"/>
        <v>1</v>
      </c>
      <c r="O98" s="5">
        <f t="shared" si="10"/>
        <v>0</v>
      </c>
      <c r="P98" s="5">
        <f t="shared" si="11"/>
        <v>0</v>
      </c>
      <c r="Q98" s="5">
        <f t="shared" si="12"/>
        <v>2</v>
      </c>
      <c r="R98" s="8">
        <f t="shared" si="13"/>
        <v>0</v>
      </c>
      <c r="S98" s="8">
        <f t="shared" si="14"/>
        <v>0</v>
      </c>
      <c r="T98" s="3" t="e">
        <f t="shared" si="15"/>
        <v>#VALUE!</v>
      </c>
      <c r="V98" s="1" t="e">
        <f t="shared" si="16"/>
        <v>#VALUE!</v>
      </c>
    </row>
    <row r="99" spans="8:22" x14ac:dyDescent="0.3">
      <c r="H99" s="2" t="str">
        <f>IF(Planilha1!B96="","",Planilha1!B96)</f>
        <v>7:00p</v>
      </c>
      <c r="I99" s="2" t="str">
        <f>IF(Planilha1!C96="","",Planilha1!C96)</f>
        <v>Washington Wizards</v>
      </c>
      <c r="J99" s="2">
        <f>IF(Planilha1!D96="","",Planilha1!D96)</f>
        <v>128</v>
      </c>
      <c r="K99" s="10" t="str">
        <f>IF(Planilha1!E96="","",IF(Planilha1!E96=0,"",Planilha1!E96))</f>
        <v>Philadelphia 76ers</v>
      </c>
      <c r="L99" s="10">
        <f>IF(Planilha1!F96="","",Planilha1!F96)</f>
        <v>146</v>
      </c>
      <c r="M99" s="10">
        <f>IF(Planilha1!G96="","",IF(Planilha1!G96=0,"",Planilha1!G96))</f>
        <v>146</v>
      </c>
      <c r="N99" s="5">
        <f t="shared" si="9"/>
        <v>1</v>
      </c>
      <c r="O99" s="5">
        <f t="shared" si="10"/>
        <v>0</v>
      </c>
      <c r="P99" s="5">
        <f t="shared" si="11"/>
        <v>0</v>
      </c>
      <c r="Q99" s="5">
        <f t="shared" si="12"/>
        <v>2</v>
      </c>
      <c r="R99" s="8">
        <f t="shared" si="13"/>
        <v>0</v>
      </c>
      <c r="S99" s="8">
        <f t="shared" si="14"/>
        <v>0</v>
      </c>
      <c r="T99" s="3" t="e">
        <f t="shared" si="15"/>
        <v>#VALUE!</v>
      </c>
      <c r="V99" s="1" t="e">
        <f t="shared" si="16"/>
        <v>#VALUE!</v>
      </c>
    </row>
    <row r="100" spans="8:22" x14ac:dyDescent="0.3">
      <c r="H100" s="2" t="str">
        <f>IF(Planilha1!B97="","",Planilha1!B97)</f>
        <v>7:30p</v>
      </c>
      <c r="I100" s="2" t="str">
        <f>IF(Planilha1!C97="","",Planilha1!C97)</f>
        <v>Milwaukee Bucks</v>
      </c>
      <c r="J100" s="2">
        <f>IF(Planilha1!D97="","",Planilha1!D97)</f>
        <v>129</v>
      </c>
      <c r="K100" s="10" t="str">
        <f>IF(Planilha1!E97="","",IF(Planilha1!E97=0,"",Planilha1!E97))</f>
        <v>Brooklyn Nets</v>
      </c>
      <c r="L100" s="10">
        <f>IF(Planilha1!F97="","",Planilha1!F97)</f>
        <v>125</v>
      </c>
      <c r="M100" s="10">
        <f>IF(Planilha1!G97="","",IF(Planilha1!G97=0,"",Planilha1!G97))</f>
        <v>125</v>
      </c>
      <c r="N100" s="5">
        <f t="shared" si="9"/>
        <v>1</v>
      </c>
      <c r="O100" s="5">
        <f t="shared" si="10"/>
        <v>0</v>
      </c>
      <c r="P100" s="5">
        <f t="shared" si="11"/>
        <v>0</v>
      </c>
      <c r="Q100" s="5">
        <f t="shared" si="12"/>
        <v>2</v>
      </c>
      <c r="R100" s="8">
        <f t="shared" si="13"/>
        <v>0</v>
      </c>
      <c r="S100" s="8">
        <f t="shared" si="14"/>
        <v>0</v>
      </c>
      <c r="T100" s="3" t="e">
        <f t="shared" si="15"/>
        <v>#VALUE!</v>
      </c>
      <c r="V100" s="1" t="e">
        <f t="shared" si="16"/>
        <v>#VALUE!</v>
      </c>
    </row>
    <row r="101" spans="8:22" x14ac:dyDescent="0.3">
      <c r="H101" s="2" t="str">
        <f>IF(Planilha1!B98="","",Planilha1!B98)</f>
        <v>7:30p</v>
      </c>
      <c r="I101" s="2" t="str">
        <f>IF(Planilha1!C98="","",Planilha1!C98)</f>
        <v>Los Angeles Lakers</v>
      </c>
      <c r="J101" s="2">
        <f>IF(Planilha1!D98="","",Planilha1!D98)</f>
        <v>107</v>
      </c>
      <c r="K101" s="10" t="str">
        <f>IF(Planilha1!E98="","",IF(Planilha1!E98=0,"",Planilha1!E98))</f>
        <v>Miami Heat</v>
      </c>
      <c r="L101" s="10">
        <f>IF(Planilha1!F98="","",Planilha1!F98)</f>
        <v>108</v>
      </c>
      <c r="M101" s="10">
        <f>IF(Planilha1!G98="","",IF(Planilha1!G98=0,"",Planilha1!G98))</f>
        <v>108</v>
      </c>
      <c r="N101" s="5">
        <f t="shared" si="9"/>
        <v>1</v>
      </c>
      <c r="O101" s="5">
        <f t="shared" si="10"/>
        <v>0</v>
      </c>
      <c r="P101" s="5">
        <f t="shared" si="11"/>
        <v>0</v>
      </c>
      <c r="Q101" s="5">
        <f t="shared" si="12"/>
        <v>2</v>
      </c>
      <c r="R101" s="8">
        <f t="shared" si="13"/>
        <v>0</v>
      </c>
      <c r="S101" s="8">
        <f t="shared" si="14"/>
        <v>0</v>
      </c>
      <c r="T101" s="3" t="e">
        <f t="shared" si="15"/>
        <v>#VALUE!</v>
      </c>
      <c r="V101" s="1" t="e">
        <f t="shared" si="16"/>
        <v>#VALUE!</v>
      </c>
    </row>
    <row r="102" spans="8:22" x14ac:dyDescent="0.3">
      <c r="H102" s="2" t="str">
        <f>IF(Planilha1!B99="","",Planilha1!B99)</f>
        <v>7:30p</v>
      </c>
      <c r="I102" s="2" t="str">
        <f>IF(Planilha1!C99="","",Planilha1!C99)</f>
        <v>Los Angeles Clippers</v>
      </c>
      <c r="J102" s="2">
        <f>IF(Planilha1!D99="","",Planilha1!D99)</f>
        <v>97</v>
      </c>
      <c r="K102" s="10" t="str">
        <f>IF(Planilha1!E99="","",IF(Planilha1!E99=0,"",Planilha1!E99))</f>
        <v>New York Knicks</v>
      </c>
      <c r="L102" s="10">
        <f>IF(Planilha1!F99="","",Planilha1!F99)</f>
        <v>111</v>
      </c>
      <c r="M102" s="10">
        <f>IF(Planilha1!G99="","",IF(Planilha1!G99=0,"",Planilha1!G99))</f>
        <v>111</v>
      </c>
      <c r="N102" s="5">
        <f t="shared" si="9"/>
        <v>1</v>
      </c>
      <c r="O102" s="5">
        <f t="shared" si="10"/>
        <v>0</v>
      </c>
      <c r="P102" s="5">
        <f t="shared" si="11"/>
        <v>0</v>
      </c>
      <c r="Q102" s="5">
        <f t="shared" si="12"/>
        <v>2</v>
      </c>
      <c r="R102" s="8">
        <f t="shared" si="13"/>
        <v>0</v>
      </c>
      <c r="S102" s="8">
        <f t="shared" si="14"/>
        <v>0</v>
      </c>
      <c r="T102" s="3" t="e">
        <f t="shared" si="15"/>
        <v>#VALUE!</v>
      </c>
      <c r="V102" s="1" t="e">
        <f t="shared" si="16"/>
        <v>#VALUE!</v>
      </c>
    </row>
    <row r="103" spans="8:22" x14ac:dyDescent="0.3">
      <c r="H103" s="2" t="str">
        <f>IF(Planilha1!B100="","",Planilha1!B100)</f>
        <v>8:00p</v>
      </c>
      <c r="I103" s="2" t="str">
        <f>IF(Planilha1!C100="","",Planilha1!C100)</f>
        <v>Utah Jazz</v>
      </c>
      <c r="J103" s="2">
        <f>IF(Planilha1!D100="","",Planilha1!D100)</f>
        <v>113</v>
      </c>
      <c r="K103" s="10" t="str">
        <f>IF(Planilha1!E100="","",IF(Planilha1!E100=0,"",Planilha1!E100))</f>
        <v>Chicago Bulls</v>
      </c>
      <c r="L103" s="10">
        <f>IF(Planilha1!F100="","",Planilha1!F100)</f>
        <v>130</v>
      </c>
      <c r="M103" s="10">
        <f>IF(Planilha1!G100="","",IF(Planilha1!G100=0,"",Planilha1!G100))</f>
        <v>130</v>
      </c>
      <c r="N103" s="5">
        <f t="shared" si="9"/>
        <v>1</v>
      </c>
      <c r="O103" s="5">
        <f t="shared" si="10"/>
        <v>0</v>
      </c>
      <c r="P103" s="5">
        <f t="shared" si="11"/>
        <v>0</v>
      </c>
      <c r="Q103" s="5">
        <f t="shared" si="12"/>
        <v>2</v>
      </c>
      <c r="R103" s="8">
        <f t="shared" si="13"/>
        <v>0</v>
      </c>
      <c r="S103" s="8">
        <f t="shared" si="14"/>
        <v>0</v>
      </c>
      <c r="T103" s="3" t="e">
        <f t="shared" si="15"/>
        <v>#VALUE!</v>
      </c>
      <c r="V103" s="1" t="e">
        <f t="shared" si="16"/>
        <v>#VALUE!</v>
      </c>
    </row>
    <row r="104" spans="8:22" x14ac:dyDescent="0.3">
      <c r="H104" s="2" t="str">
        <f>IF(Planilha1!B101="","",Planilha1!B101)</f>
        <v>8:00p</v>
      </c>
      <c r="I104" s="2" t="str">
        <f>IF(Planilha1!C101="","",Planilha1!C101)</f>
        <v>Sacramento Kings</v>
      </c>
      <c r="J104" s="2">
        <f>IF(Planilha1!D101="","",Planilha1!D101)</f>
        <v>97</v>
      </c>
      <c r="K104" s="10" t="str">
        <f>IF(Planilha1!E101="","",IF(Planilha1!E101=0,"",Planilha1!E101))</f>
        <v>Houston Rockets</v>
      </c>
      <c r="L104" s="10">
        <f>IF(Planilha1!F101="","",Planilha1!F101)</f>
        <v>122</v>
      </c>
      <c r="M104" s="10">
        <f>IF(Planilha1!G101="","",IF(Planilha1!G101=0,"",Planilha1!G101))</f>
        <v>122</v>
      </c>
      <c r="N104" s="5">
        <f t="shared" si="9"/>
        <v>1</v>
      </c>
      <c r="O104" s="5">
        <f t="shared" si="10"/>
        <v>0</v>
      </c>
      <c r="P104" s="5">
        <f t="shared" si="11"/>
        <v>0</v>
      </c>
      <c r="Q104" s="5">
        <f t="shared" si="12"/>
        <v>2</v>
      </c>
      <c r="R104" s="8">
        <f t="shared" si="13"/>
        <v>0</v>
      </c>
      <c r="S104" s="8">
        <f t="shared" si="14"/>
        <v>0</v>
      </c>
      <c r="T104" s="3" t="e">
        <f t="shared" si="15"/>
        <v>#VALUE!</v>
      </c>
      <c r="V104" s="1" t="e">
        <f t="shared" si="16"/>
        <v>#VALUE!</v>
      </c>
    </row>
    <row r="105" spans="8:22" x14ac:dyDescent="0.3">
      <c r="H105" s="2" t="str">
        <f>IF(Planilha1!B102="","",Planilha1!B102)</f>
        <v>8:00p</v>
      </c>
      <c r="I105" s="2" t="str">
        <f>IF(Planilha1!C102="","",Planilha1!C102)</f>
        <v>Boston Celtics</v>
      </c>
      <c r="J105" s="2">
        <f>IF(Planilha1!D102="","",Planilha1!D102)</f>
        <v>109</v>
      </c>
      <c r="K105" s="10" t="str">
        <f>IF(Planilha1!E102="","",IF(Planilha1!E102=0,"",Planilha1!E102))</f>
        <v>Minnesota Timberwolves</v>
      </c>
      <c r="L105" s="10">
        <f>IF(Planilha1!F102="","",Planilha1!F102)</f>
        <v>114</v>
      </c>
      <c r="M105" s="10">
        <f>IF(Planilha1!G102="","",IF(Planilha1!G102=0,"",Planilha1!G102))</f>
        <v>114</v>
      </c>
      <c r="N105" s="5">
        <f t="shared" si="9"/>
        <v>1</v>
      </c>
      <c r="O105" s="5">
        <f t="shared" si="10"/>
        <v>0</v>
      </c>
      <c r="P105" s="5">
        <f t="shared" si="11"/>
        <v>0</v>
      </c>
      <c r="Q105" s="5">
        <f t="shared" si="12"/>
        <v>2</v>
      </c>
      <c r="R105" s="8">
        <f t="shared" si="13"/>
        <v>0</v>
      </c>
      <c r="S105" s="8">
        <f t="shared" si="14"/>
        <v>0</v>
      </c>
      <c r="T105" s="3" t="e">
        <f t="shared" si="15"/>
        <v>#VALUE!</v>
      </c>
      <c r="V105" s="1" t="e">
        <f t="shared" si="16"/>
        <v>#VALUE!</v>
      </c>
    </row>
    <row r="106" spans="8:22" x14ac:dyDescent="0.3">
      <c r="H106" s="2" t="str">
        <f>IF(Planilha1!B103="","",Planilha1!B103)</f>
        <v>8:00p</v>
      </c>
      <c r="I106" s="2" t="str">
        <f>IF(Planilha1!C103="","",Planilha1!C103)</f>
        <v>Atlanta Hawks</v>
      </c>
      <c r="J106" s="2">
        <f>IF(Planilha1!D103="","",Planilha1!D103)</f>
        <v>117</v>
      </c>
      <c r="K106" s="10" t="str">
        <f>IF(Planilha1!E103="","",IF(Planilha1!E103=0,"",Planilha1!E103))</f>
        <v>Oklahoma City Thunder</v>
      </c>
      <c r="L106" s="10">
        <f>IF(Planilha1!F103="","",Planilha1!F103)</f>
        <v>126</v>
      </c>
      <c r="M106" s="10">
        <f>IF(Planilha1!G103="","",IF(Planilha1!G103=0,"",Planilha1!G103))</f>
        <v>126</v>
      </c>
      <c r="N106" s="5">
        <f t="shared" si="9"/>
        <v>1</v>
      </c>
      <c r="O106" s="5">
        <f t="shared" si="10"/>
        <v>0</v>
      </c>
      <c r="P106" s="5">
        <f t="shared" si="11"/>
        <v>0</v>
      </c>
      <c r="Q106" s="5">
        <f t="shared" si="12"/>
        <v>2</v>
      </c>
      <c r="R106" s="8">
        <f t="shared" si="13"/>
        <v>0</v>
      </c>
      <c r="S106" s="8">
        <f t="shared" si="14"/>
        <v>0</v>
      </c>
      <c r="T106" s="3" t="e">
        <f t="shared" si="15"/>
        <v>#VALUE!</v>
      </c>
      <c r="V106" s="1" t="e">
        <f t="shared" si="16"/>
        <v>#VALUE!</v>
      </c>
    </row>
    <row r="107" spans="8:22" x14ac:dyDescent="0.3">
      <c r="H107" s="2" t="str">
        <f>IF(Planilha1!B104="","",Planilha1!B104)</f>
        <v>9:00p</v>
      </c>
      <c r="I107" s="2" t="str">
        <f>IF(Planilha1!C104="","",Planilha1!C104)</f>
        <v>New Orleans Pelicans</v>
      </c>
      <c r="J107" s="2">
        <f>IF(Planilha1!D104="","",Planilha1!D104)</f>
        <v>116</v>
      </c>
      <c r="K107" s="10" t="str">
        <f>IF(Planilha1!E104="","",IF(Planilha1!E104=0,"",Planilha1!E104))</f>
        <v>Denver Nuggets</v>
      </c>
      <c r="L107" s="10">
        <f>IF(Planilha1!F104="","",Planilha1!F104)</f>
        <v>134</v>
      </c>
      <c r="M107" s="10">
        <f>IF(Planilha1!G104="","",IF(Planilha1!G104=0,"",Planilha1!G104))</f>
        <v>134</v>
      </c>
      <c r="N107" s="5">
        <f t="shared" si="9"/>
        <v>1</v>
      </c>
      <c r="O107" s="5">
        <f t="shared" si="10"/>
        <v>0</v>
      </c>
      <c r="P107" s="5">
        <f t="shared" si="11"/>
        <v>0</v>
      </c>
      <c r="Q107" s="5">
        <f t="shared" si="12"/>
        <v>2</v>
      </c>
      <c r="R107" s="8">
        <f t="shared" si="13"/>
        <v>0</v>
      </c>
      <c r="S107" s="8">
        <f t="shared" si="14"/>
        <v>0</v>
      </c>
      <c r="T107" s="3" t="e">
        <f t="shared" si="15"/>
        <v>#VALUE!</v>
      </c>
      <c r="V107" s="1" t="e">
        <f t="shared" si="16"/>
        <v>#VALUE!</v>
      </c>
    </row>
    <row r="108" spans="8:22" x14ac:dyDescent="0.3">
      <c r="H108" s="2" t="str">
        <f>IF(Planilha1!B105="","",Planilha1!B105)</f>
        <v>7:00p</v>
      </c>
      <c r="I108" s="2" t="str">
        <f>IF(Planilha1!C105="","",Planilha1!C105)</f>
        <v>Washington Wizards</v>
      </c>
      <c r="J108" s="2">
        <f>IF(Planilha1!D105="","",Planilha1!D105)</f>
        <v>132</v>
      </c>
      <c r="K108" s="10" t="str">
        <f>IF(Planilha1!E105="","",IF(Planilha1!E105=0,"",Planilha1!E105))</f>
        <v>Charlotte Hornets</v>
      </c>
      <c r="L108" s="10">
        <f>IF(Planilha1!F105="","",Planilha1!F105)</f>
        <v>116</v>
      </c>
      <c r="M108" s="10">
        <f>IF(Planilha1!G105="","",IF(Planilha1!G105=0,"",Planilha1!G105))</f>
        <v>116</v>
      </c>
      <c r="N108" s="5">
        <f t="shared" si="9"/>
        <v>1</v>
      </c>
      <c r="O108" s="5">
        <f t="shared" si="10"/>
        <v>0</v>
      </c>
      <c r="P108" s="5">
        <f t="shared" si="11"/>
        <v>0</v>
      </c>
      <c r="Q108" s="5">
        <f t="shared" si="12"/>
        <v>2</v>
      </c>
      <c r="R108" s="8">
        <f t="shared" si="13"/>
        <v>0</v>
      </c>
      <c r="S108" s="8">
        <f t="shared" si="14"/>
        <v>0</v>
      </c>
      <c r="T108" s="3" t="e">
        <f t="shared" si="15"/>
        <v>#VALUE!</v>
      </c>
      <c r="V108" s="1" t="e">
        <f t="shared" si="16"/>
        <v>#VALUE!</v>
      </c>
    </row>
    <row r="109" spans="8:22" x14ac:dyDescent="0.3">
      <c r="H109" s="2" t="str">
        <f>IF(Planilha1!B106="","",Planilha1!B106)</f>
        <v>7:00p</v>
      </c>
      <c r="I109" s="2" t="str">
        <f>IF(Planilha1!C106="","",Planilha1!C106)</f>
        <v>Utah Jazz</v>
      </c>
      <c r="J109" s="2">
        <f>IF(Planilha1!D106="","",Planilha1!D106)</f>
        <v>118</v>
      </c>
      <c r="K109" s="10" t="str">
        <f>IF(Planilha1!E106="","",IF(Planilha1!E106=0,"",Planilha1!E106))</f>
        <v>Indiana Pacers</v>
      </c>
      <c r="L109" s="10">
        <f>IF(Planilha1!F106="","",Planilha1!F106)</f>
        <v>134</v>
      </c>
      <c r="M109" s="10">
        <f>IF(Planilha1!G106="","",IF(Planilha1!G106=0,"",Planilha1!G106))</f>
        <v>134</v>
      </c>
      <c r="N109" s="5">
        <f t="shared" si="9"/>
        <v>1</v>
      </c>
      <c r="O109" s="5">
        <f t="shared" si="10"/>
        <v>0</v>
      </c>
      <c r="P109" s="5">
        <f t="shared" si="11"/>
        <v>0</v>
      </c>
      <c r="Q109" s="5">
        <f t="shared" si="12"/>
        <v>2</v>
      </c>
      <c r="R109" s="8">
        <f t="shared" si="13"/>
        <v>0</v>
      </c>
      <c r="S109" s="8">
        <f t="shared" si="14"/>
        <v>0</v>
      </c>
      <c r="T109" s="3" t="e">
        <f t="shared" si="15"/>
        <v>#VALUE!</v>
      </c>
      <c r="V109" s="1" t="e">
        <f t="shared" si="16"/>
        <v>#VALUE!</v>
      </c>
    </row>
    <row r="110" spans="8:22" x14ac:dyDescent="0.3">
      <c r="H110" s="2" t="str">
        <f>IF(Planilha1!B107="","",Planilha1!B107)</f>
        <v>7:00p</v>
      </c>
      <c r="I110" s="2" t="str">
        <f>IF(Planilha1!C107="","",Planilha1!C107)</f>
        <v>Boston Celtics</v>
      </c>
      <c r="J110" s="2">
        <f>IF(Planilha1!D107="","",Planilha1!D107)</f>
        <v>103</v>
      </c>
      <c r="K110" s="10" t="str">
        <f>IF(Planilha1!E107="","",IF(Planilha1!E107=0,"",Planilha1!E107))</f>
        <v>Philadelphia 76ers</v>
      </c>
      <c r="L110" s="10">
        <f>IF(Planilha1!F107="","",Planilha1!F107)</f>
        <v>106</v>
      </c>
      <c r="M110" s="10">
        <f>IF(Planilha1!G107="","",IF(Planilha1!G107=0,"",Planilha1!G107))</f>
        <v>106</v>
      </c>
      <c r="N110" s="5">
        <f t="shared" si="9"/>
        <v>1</v>
      </c>
      <c r="O110" s="5">
        <f t="shared" si="10"/>
        <v>0</v>
      </c>
      <c r="P110" s="5">
        <f t="shared" si="11"/>
        <v>0</v>
      </c>
      <c r="Q110" s="5">
        <f t="shared" si="12"/>
        <v>2</v>
      </c>
      <c r="R110" s="8">
        <f t="shared" si="13"/>
        <v>0</v>
      </c>
      <c r="S110" s="8">
        <f t="shared" si="14"/>
        <v>0</v>
      </c>
      <c r="T110" s="3" t="e">
        <f t="shared" si="15"/>
        <v>#VALUE!</v>
      </c>
      <c r="V110" s="1" t="e">
        <f t="shared" si="16"/>
        <v>#VALUE!</v>
      </c>
    </row>
    <row r="111" spans="8:22" x14ac:dyDescent="0.3">
      <c r="H111" s="2" t="str">
        <f>IF(Planilha1!B108="","",Planilha1!B108)</f>
        <v>7:30p</v>
      </c>
      <c r="I111" s="2" t="str">
        <f>IF(Planilha1!C108="","",Planilha1!C108)</f>
        <v>Los Angeles Clippers</v>
      </c>
      <c r="J111" s="2">
        <f>IF(Planilha1!D108="","",Planilha1!D108)</f>
        <v>93</v>
      </c>
      <c r="K111" s="10" t="str">
        <f>IF(Planilha1!E108="","",IF(Planilha1!E108=0,"",Planilha1!E108))</f>
        <v>Brooklyn Nets</v>
      </c>
      <c r="L111" s="10">
        <f>IF(Planilha1!F108="","",Planilha1!F108)</f>
        <v>100</v>
      </c>
      <c r="M111" s="10">
        <f>IF(Planilha1!G108="","",IF(Planilha1!G108=0,"",Planilha1!G108))</f>
        <v>100</v>
      </c>
      <c r="N111" s="5">
        <f t="shared" si="9"/>
        <v>1</v>
      </c>
      <c r="O111" s="5">
        <f t="shared" si="10"/>
        <v>0</v>
      </c>
      <c r="P111" s="5">
        <f t="shared" si="11"/>
        <v>0</v>
      </c>
      <c r="Q111" s="5">
        <f t="shared" si="12"/>
        <v>2</v>
      </c>
      <c r="R111" s="8">
        <f t="shared" si="13"/>
        <v>0</v>
      </c>
      <c r="S111" s="8">
        <f t="shared" si="14"/>
        <v>0</v>
      </c>
      <c r="T111" s="3" t="e">
        <f t="shared" si="15"/>
        <v>#VALUE!</v>
      </c>
      <c r="V111" s="1" t="e">
        <f t="shared" si="16"/>
        <v>#VALUE!</v>
      </c>
    </row>
    <row r="112" spans="8:22" x14ac:dyDescent="0.3">
      <c r="H112" s="2" t="str">
        <f>IF(Planilha1!B109="","",Planilha1!B109)</f>
        <v>7:30p</v>
      </c>
      <c r="I112" s="2" t="str">
        <f>IF(Planilha1!C109="","",Planilha1!C109)</f>
        <v>San Antonio Spurs</v>
      </c>
      <c r="J112" s="2">
        <f>IF(Planilha1!D109="","",Planilha1!D109)</f>
        <v>105</v>
      </c>
      <c r="K112" s="10" t="str">
        <f>IF(Planilha1!E109="","",IF(Planilha1!E109=0,"",Planilha1!E109))</f>
        <v>New York Knicks</v>
      </c>
      <c r="L112" s="10">
        <f>IF(Planilha1!F109="","",Planilha1!F109)</f>
        <v>126</v>
      </c>
      <c r="M112" s="10">
        <f>IF(Planilha1!G109="","",IF(Planilha1!G109=0,"",Planilha1!G109))</f>
        <v>126</v>
      </c>
      <c r="N112" s="5">
        <f t="shared" si="9"/>
        <v>1</v>
      </c>
      <c r="O112" s="5">
        <f t="shared" si="10"/>
        <v>0</v>
      </c>
      <c r="P112" s="5">
        <f t="shared" si="11"/>
        <v>0</v>
      </c>
      <c r="Q112" s="5">
        <f t="shared" si="12"/>
        <v>2</v>
      </c>
      <c r="R112" s="8">
        <f t="shared" si="13"/>
        <v>0</v>
      </c>
      <c r="S112" s="8">
        <f t="shared" si="14"/>
        <v>0</v>
      </c>
      <c r="T112" s="3" t="e">
        <f t="shared" si="15"/>
        <v>#VALUE!</v>
      </c>
      <c r="V112" s="1" t="e">
        <f t="shared" si="16"/>
        <v>#VALUE!</v>
      </c>
    </row>
    <row r="113" spans="8:22" x14ac:dyDescent="0.3">
      <c r="H113" s="2" t="str">
        <f>IF(Planilha1!B110="","",Planilha1!B110)</f>
        <v>8:00p</v>
      </c>
      <c r="I113" s="2" t="str">
        <f>IF(Planilha1!C110="","",Planilha1!C110)</f>
        <v>Phoenix Suns</v>
      </c>
      <c r="J113" s="2">
        <f>IF(Planilha1!D110="","",Planilha1!D110)</f>
        <v>116</v>
      </c>
      <c r="K113" s="10" t="str">
        <f>IF(Planilha1!E110="","",IF(Planilha1!E110=0,"",Planilha1!E110))</f>
        <v>Chicago Bulls</v>
      </c>
      <c r="L113" s="10">
        <f>IF(Planilha1!F110="","",Planilha1!F110)</f>
        <v>115</v>
      </c>
      <c r="M113" s="10">
        <f>IF(Planilha1!G110="","",IF(Planilha1!G110=0,"",Planilha1!G110))</f>
        <v>115</v>
      </c>
      <c r="N113" s="5">
        <f t="shared" si="9"/>
        <v>1</v>
      </c>
      <c r="O113" s="5">
        <f t="shared" si="10"/>
        <v>0</v>
      </c>
      <c r="P113" s="5">
        <f t="shared" si="11"/>
        <v>0</v>
      </c>
      <c r="Q113" s="5">
        <f t="shared" si="12"/>
        <v>2</v>
      </c>
      <c r="R113" s="8">
        <f t="shared" si="13"/>
        <v>0</v>
      </c>
      <c r="S113" s="8">
        <f t="shared" si="14"/>
        <v>0</v>
      </c>
      <c r="T113" s="3" t="e">
        <f t="shared" si="15"/>
        <v>#VALUE!</v>
      </c>
      <c r="V113" s="1" t="e">
        <f t="shared" si="16"/>
        <v>#VALUE!</v>
      </c>
    </row>
    <row r="114" spans="8:22" x14ac:dyDescent="0.3">
      <c r="H114" s="2" t="str">
        <f>IF(Planilha1!B111="","",Planilha1!B111)</f>
        <v>8:00p</v>
      </c>
      <c r="I114" s="2" t="str">
        <f>IF(Planilha1!C111="","",Planilha1!C111)</f>
        <v>Los Angeles Lakers</v>
      </c>
      <c r="J114" s="2">
        <f>IF(Planilha1!D111="","",Planilha1!D111)</f>
        <v>94</v>
      </c>
      <c r="K114" s="10" t="str">
        <f>IF(Planilha1!E111="","",IF(Planilha1!E111=0,"",Planilha1!E111))</f>
        <v>Houston Rockets</v>
      </c>
      <c r="L114" s="10">
        <f>IF(Planilha1!F111="","",Planilha1!F111)</f>
        <v>128</v>
      </c>
      <c r="M114" s="10">
        <f>IF(Planilha1!G111="","",IF(Planilha1!G111=0,"",Planilha1!G111))</f>
        <v>128</v>
      </c>
      <c r="N114" s="5">
        <f t="shared" si="9"/>
        <v>1</v>
      </c>
      <c r="O114" s="5">
        <f t="shared" si="10"/>
        <v>0</v>
      </c>
      <c r="P114" s="5">
        <f t="shared" si="11"/>
        <v>0</v>
      </c>
      <c r="Q114" s="5">
        <f t="shared" si="12"/>
        <v>2</v>
      </c>
      <c r="R114" s="8">
        <f t="shared" si="13"/>
        <v>0</v>
      </c>
      <c r="S114" s="8">
        <f t="shared" si="14"/>
        <v>0</v>
      </c>
      <c r="T114" s="3" t="e">
        <f t="shared" si="15"/>
        <v>#VALUE!</v>
      </c>
      <c r="V114" s="1" t="e">
        <f t="shared" si="16"/>
        <v>#VALUE!</v>
      </c>
    </row>
    <row r="115" spans="8:22" x14ac:dyDescent="0.3">
      <c r="H115" s="2" t="str">
        <f>IF(Planilha1!B112="","",Planilha1!B112)</f>
        <v>8:00p</v>
      </c>
      <c r="I115" s="2" t="str">
        <f>IF(Planilha1!C112="","",Planilha1!C112)</f>
        <v>Miami Heat</v>
      </c>
      <c r="J115" s="2">
        <f>IF(Planilha1!D112="","",Planilha1!D112)</f>
        <v>108</v>
      </c>
      <c r="K115" s="10" t="str">
        <f>IF(Planilha1!E112="","",IF(Planilha1!E112=0,"",Planilha1!E112))</f>
        <v>Memphis Grizzlies</v>
      </c>
      <c r="L115" s="10">
        <f>IF(Planilha1!F112="","",Planilha1!F112)</f>
        <v>102</v>
      </c>
      <c r="M115" s="10">
        <f>IF(Planilha1!G112="","",IF(Planilha1!G112=0,"",Planilha1!G112))</f>
        <v>102</v>
      </c>
      <c r="N115" s="5">
        <f t="shared" si="9"/>
        <v>1</v>
      </c>
      <c r="O115" s="5">
        <f t="shared" si="10"/>
        <v>0</v>
      </c>
      <c r="P115" s="5">
        <f t="shared" si="11"/>
        <v>0</v>
      </c>
      <c r="Q115" s="5">
        <f t="shared" si="12"/>
        <v>2</v>
      </c>
      <c r="R115" s="8">
        <f t="shared" si="13"/>
        <v>0</v>
      </c>
      <c r="S115" s="8">
        <f t="shared" si="14"/>
        <v>0</v>
      </c>
      <c r="T115" s="3" t="e">
        <f t="shared" si="15"/>
        <v>#VALUE!</v>
      </c>
      <c r="V115" s="1" t="e">
        <f t="shared" si="16"/>
        <v>#VALUE!</v>
      </c>
    </row>
    <row r="116" spans="8:22" x14ac:dyDescent="0.3">
      <c r="H116" s="2" t="str">
        <f>IF(Planilha1!B113="","",Planilha1!B113)</f>
        <v>8:00p</v>
      </c>
      <c r="I116" s="2" t="str">
        <f>IF(Planilha1!C113="","",Planilha1!C113)</f>
        <v>Detroit Pistons</v>
      </c>
      <c r="J116" s="2">
        <f>IF(Planilha1!D113="","",Planilha1!D113)</f>
        <v>118</v>
      </c>
      <c r="K116" s="10" t="str">
        <f>IF(Planilha1!E113="","",IF(Planilha1!E113=0,"",Planilha1!E113))</f>
        <v>Milwaukee Bucks</v>
      </c>
      <c r="L116" s="10">
        <f>IF(Planilha1!F113="","",Planilha1!F113)</f>
        <v>120</v>
      </c>
      <c r="M116" s="10">
        <f>IF(Planilha1!G113="","",IF(Planilha1!G113=0,"",Planilha1!G113))</f>
        <v>120</v>
      </c>
      <c r="N116" s="5">
        <f t="shared" si="9"/>
        <v>1</v>
      </c>
      <c r="O116" s="5">
        <f t="shared" si="10"/>
        <v>0</v>
      </c>
      <c r="P116" s="5">
        <f t="shared" si="11"/>
        <v>0</v>
      </c>
      <c r="Q116" s="5">
        <f t="shared" si="12"/>
        <v>2</v>
      </c>
      <c r="R116" s="8">
        <f t="shared" si="13"/>
        <v>0</v>
      </c>
      <c r="S116" s="8">
        <f t="shared" si="14"/>
        <v>0</v>
      </c>
      <c r="T116" s="3" t="e">
        <f t="shared" si="15"/>
        <v>#VALUE!</v>
      </c>
      <c r="V116" s="1" t="e">
        <f t="shared" si="16"/>
        <v>#VALUE!</v>
      </c>
    </row>
    <row r="117" spans="8:22" x14ac:dyDescent="0.3">
      <c r="H117" s="2" t="str">
        <f>IF(Planilha1!B114="","",Planilha1!B114)</f>
        <v>8:00p</v>
      </c>
      <c r="I117" s="2" t="str">
        <f>IF(Planilha1!C114="","",Planilha1!C114)</f>
        <v>New Orleans Pelicans</v>
      </c>
      <c r="J117" s="2">
        <f>IF(Planilha1!D114="","",Planilha1!D114)</f>
        <v>101</v>
      </c>
      <c r="K117" s="10" t="str">
        <f>IF(Planilha1!E114="","",IF(Planilha1!E114=0,"",Planilha1!E114))</f>
        <v>Minnesota Timberwolves</v>
      </c>
      <c r="L117" s="10">
        <f>IF(Planilha1!F114="","",Planilha1!F114)</f>
        <v>122</v>
      </c>
      <c r="M117" s="10">
        <f>IF(Planilha1!G114="","",IF(Planilha1!G114=0,"",Planilha1!G114))</f>
        <v>122</v>
      </c>
      <c r="N117" s="5">
        <f t="shared" si="9"/>
        <v>1</v>
      </c>
      <c r="O117" s="5">
        <f t="shared" si="10"/>
        <v>0</v>
      </c>
      <c r="P117" s="5">
        <f t="shared" si="11"/>
        <v>0</v>
      </c>
      <c r="Q117" s="5">
        <f t="shared" si="12"/>
        <v>2</v>
      </c>
      <c r="R117" s="8">
        <f t="shared" si="13"/>
        <v>0</v>
      </c>
      <c r="S117" s="8">
        <f t="shared" si="14"/>
        <v>0</v>
      </c>
      <c r="T117" s="3" t="e">
        <f t="shared" si="15"/>
        <v>#VALUE!</v>
      </c>
      <c r="V117" s="1" t="e">
        <f t="shared" si="16"/>
        <v>#VALUE!</v>
      </c>
    </row>
    <row r="118" spans="8:22" x14ac:dyDescent="0.3">
      <c r="H118" s="2" t="str">
        <f>IF(Planilha1!B115="","",Planilha1!B115)</f>
        <v>8:00p</v>
      </c>
      <c r="I118" s="2" t="str">
        <f>IF(Planilha1!C115="","",Planilha1!C115)</f>
        <v>Cleveland Cavaliers</v>
      </c>
      <c r="J118" s="2">
        <f>IF(Planilha1!D115="","",Planilha1!D115)</f>
        <v>120</v>
      </c>
      <c r="K118" s="10" t="str">
        <f>IF(Planilha1!E115="","",IF(Planilha1!E115=0,"",Planilha1!E115))</f>
        <v>Oklahoma City Thunder</v>
      </c>
      <c r="L118" s="10">
        <f>IF(Planilha1!F115="","",Planilha1!F115)</f>
        <v>128</v>
      </c>
      <c r="M118" s="10">
        <f>IF(Planilha1!G115="","",IF(Planilha1!G115=0,"",Planilha1!G115))</f>
        <v>128</v>
      </c>
      <c r="N118" s="5">
        <f t="shared" si="9"/>
        <v>1</v>
      </c>
      <c r="O118" s="5">
        <f t="shared" si="10"/>
        <v>0</v>
      </c>
      <c r="P118" s="5">
        <f t="shared" si="11"/>
        <v>0</v>
      </c>
      <c r="Q118" s="5">
        <f t="shared" si="12"/>
        <v>2</v>
      </c>
      <c r="R118" s="8">
        <f t="shared" si="13"/>
        <v>0</v>
      </c>
      <c r="S118" s="8">
        <f t="shared" si="14"/>
        <v>0</v>
      </c>
      <c r="T118" s="3" t="e">
        <f t="shared" si="15"/>
        <v>#VALUE!</v>
      </c>
      <c r="V118" s="1" t="e">
        <f t="shared" si="16"/>
        <v>#VALUE!</v>
      </c>
    </row>
    <row r="119" spans="8:22" x14ac:dyDescent="0.3">
      <c r="H119" s="2" t="str">
        <f>IF(Planilha1!B116="","",Planilha1!B116)</f>
        <v>8:30p</v>
      </c>
      <c r="I119" s="2" t="str">
        <f>IF(Planilha1!C116="","",Planilha1!C116)</f>
        <v>Toronto Raptors</v>
      </c>
      <c r="J119" s="2">
        <f>IF(Planilha1!D116="","",Planilha1!D116)</f>
        <v>127</v>
      </c>
      <c r="K119" s="10" t="str">
        <f>IF(Planilha1!E116="","",IF(Planilha1!E116=0,"",Planilha1!E116))</f>
        <v>Dallas Mavericks</v>
      </c>
      <c r="L119" s="10">
        <f>IF(Planilha1!F116="","",Planilha1!F116)</f>
        <v>116</v>
      </c>
      <c r="M119" s="10">
        <f>IF(Planilha1!G116="","",IF(Planilha1!G116=0,"",Planilha1!G116))</f>
        <v>116</v>
      </c>
      <c r="N119" s="5">
        <f t="shared" si="9"/>
        <v>1</v>
      </c>
      <c r="O119" s="5">
        <f t="shared" si="10"/>
        <v>0</v>
      </c>
      <c r="P119" s="5">
        <f t="shared" si="11"/>
        <v>0</v>
      </c>
      <c r="Q119" s="5">
        <f t="shared" si="12"/>
        <v>2</v>
      </c>
      <c r="R119" s="8">
        <f t="shared" si="13"/>
        <v>0</v>
      </c>
      <c r="S119" s="8">
        <f t="shared" si="14"/>
        <v>0</v>
      </c>
      <c r="T119" s="3" t="e">
        <f t="shared" si="15"/>
        <v>#VALUE!</v>
      </c>
      <c r="V119" s="1" t="e">
        <f t="shared" si="16"/>
        <v>#VALUE!</v>
      </c>
    </row>
    <row r="120" spans="8:22" x14ac:dyDescent="0.3">
      <c r="H120" s="2" t="str">
        <f>IF(Planilha1!B117="","",Planilha1!B117)</f>
        <v>10:00p</v>
      </c>
      <c r="I120" s="2" t="str">
        <f>IF(Planilha1!C117="","",Planilha1!C117)</f>
        <v>Golden State Warriors</v>
      </c>
      <c r="J120" s="2">
        <f>IF(Planilha1!D117="","",Planilha1!D117)</f>
        <v>105</v>
      </c>
      <c r="K120" s="10" t="str">
        <f>IF(Planilha1!E117="","",IF(Planilha1!E117=0,"",Planilha1!E117))</f>
        <v>Denver Nuggets</v>
      </c>
      <c r="L120" s="10">
        <f>IF(Planilha1!F117="","",Planilha1!F117)</f>
        <v>108</v>
      </c>
      <c r="M120" s="10">
        <f>IF(Planilha1!G117="","",IF(Planilha1!G117=0,"",Planilha1!G117))</f>
        <v>108</v>
      </c>
      <c r="N120" s="5">
        <f t="shared" si="9"/>
        <v>1</v>
      </c>
      <c r="O120" s="5">
        <f t="shared" si="10"/>
        <v>0</v>
      </c>
      <c r="P120" s="5">
        <f t="shared" si="11"/>
        <v>0</v>
      </c>
      <c r="Q120" s="5">
        <f t="shared" si="12"/>
        <v>2</v>
      </c>
      <c r="R120" s="8">
        <f t="shared" si="13"/>
        <v>0</v>
      </c>
      <c r="S120" s="8">
        <f t="shared" si="14"/>
        <v>0</v>
      </c>
      <c r="T120" s="3" t="e">
        <f t="shared" si="15"/>
        <v>#VALUE!</v>
      </c>
      <c r="V120" s="1" t="e">
        <f t="shared" si="16"/>
        <v>#VALUE!</v>
      </c>
    </row>
    <row r="121" spans="8:22" x14ac:dyDescent="0.3">
      <c r="H121" s="2" t="str">
        <f>IF(Planilha1!B118="","",Planilha1!B118)</f>
        <v>10:00p</v>
      </c>
      <c r="I121" s="2" t="str">
        <f>IF(Planilha1!C118="","",Planilha1!C118)</f>
        <v>Portland Trail Blazers</v>
      </c>
      <c r="J121" s="2">
        <f>IF(Planilha1!D118="","",Planilha1!D118)</f>
        <v>118</v>
      </c>
      <c r="K121" s="10" t="str">
        <f>IF(Planilha1!E118="","",IF(Planilha1!E118=0,"",Planilha1!E118))</f>
        <v>Sacramento Kings</v>
      </c>
      <c r="L121" s="10">
        <f>IF(Planilha1!F118="","",Planilha1!F118)</f>
        <v>121</v>
      </c>
      <c r="M121" s="10">
        <f>IF(Planilha1!G118="","",IF(Planilha1!G118=0,"",Planilha1!G118))</f>
        <v>121</v>
      </c>
      <c r="N121" s="5">
        <f t="shared" si="9"/>
        <v>1</v>
      </c>
      <c r="O121" s="5">
        <f t="shared" si="10"/>
        <v>0</v>
      </c>
      <c r="P121" s="5">
        <f t="shared" si="11"/>
        <v>0</v>
      </c>
      <c r="Q121" s="5">
        <f t="shared" si="12"/>
        <v>2</v>
      </c>
      <c r="R121" s="8">
        <f t="shared" si="13"/>
        <v>0</v>
      </c>
      <c r="S121" s="8">
        <f t="shared" si="14"/>
        <v>0</v>
      </c>
      <c r="T121" s="3" t="e">
        <f t="shared" si="15"/>
        <v>#VALUE!</v>
      </c>
      <c r="V121" s="1" t="e">
        <f t="shared" si="16"/>
        <v>#VALUE!</v>
      </c>
    </row>
    <row r="122" spans="8:22" x14ac:dyDescent="0.3">
      <c r="H122" s="2" t="str">
        <f>IF(Planilha1!B119="","",Planilha1!B119)</f>
        <v>7:00p</v>
      </c>
      <c r="I122" s="2" t="str">
        <f>IF(Planilha1!C119="","",Planilha1!C119)</f>
        <v>Milwaukee Bucks</v>
      </c>
      <c r="J122" s="2">
        <f>IF(Planilha1!D119="","",Planilha1!D119)</f>
        <v>124</v>
      </c>
      <c r="K122" s="10" t="str">
        <f>IF(Planilha1!E119="","",IF(Planilha1!E119=0,"",Planilha1!E119))</f>
        <v>Indiana Pacers</v>
      </c>
      <c r="L122" s="10">
        <f>IF(Planilha1!F119="","",Planilha1!F119)</f>
        <v>126</v>
      </c>
      <c r="M122" s="10">
        <f>IF(Planilha1!G119="","",IF(Planilha1!G119=0,"",Planilha1!G119))</f>
        <v>126</v>
      </c>
      <c r="N122" s="5">
        <f t="shared" si="9"/>
        <v>1</v>
      </c>
      <c r="O122" s="5">
        <f t="shared" si="10"/>
        <v>0</v>
      </c>
      <c r="P122" s="5">
        <f t="shared" si="11"/>
        <v>0</v>
      </c>
      <c r="Q122" s="5">
        <f t="shared" si="12"/>
        <v>2</v>
      </c>
      <c r="R122" s="8">
        <f t="shared" si="13"/>
        <v>0</v>
      </c>
      <c r="S122" s="8">
        <f t="shared" si="14"/>
        <v>0</v>
      </c>
      <c r="T122" s="3" t="e">
        <f t="shared" si="15"/>
        <v>#VALUE!</v>
      </c>
      <c r="V122" s="1" t="e">
        <f t="shared" si="16"/>
        <v>#VALUE!</v>
      </c>
    </row>
    <row r="123" spans="8:22" x14ac:dyDescent="0.3">
      <c r="H123" s="2" t="str">
        <f>IF(Planilha1!B120="","",Planilha1!B120)</f>
        <v>9:30p</v>
      </c>
      <c r="I123" s="2" t="str">
        <f>IF(Planilha1!C120="","",Planilha1!C120)</f>
        <v>Atlanta Hawks</v>
      </c>
      <c r="J123" s="2">
        <f>IF(Planilha1!D120="","",Planilha1!D120)</f>
        <v>120</v>
      </c>
      <c r="K123" s="10" t="str">
        <f>IF(Planilha1!E120="","",IF(Planilha1!E120=0,"",Planilha1!E120))</f>
        <v>Orlando Magic</v>
      </c>
      <c r="L123" s="10">
        <f>IF(Planilha1!F120="","",Planilha1!F120)</f>
        <v>119</v>
      </c>
      <c r="M123" s="10">
        <f>IF(Planilha1!G120="","",IF(Planilha1!G120=0,"",Planilha1!G120))</f>
        <v>119</v>
      </c>
      <c r="N123" s="5">
        <f t="shared" si="9"/>
        <v>1</v>
      </c>
      <c r="O123" s="5">
        <f t="shared" si="10"/>
        <v>0</v>
      </c>
      <c r="P123" s="5">
        <f t="shared" si="11"/>
        <v>0</v>
      </c>
      <c r="Q123" s="5">
        <f t="shared" si="12"/>
        <v>2</v>
      </c>
      <c r="R123" s="8">
        <f t="shared" si="13"/>
        <v>0</v>
      </c>
      <c r="S123" s="8">
        <f t="shared" si="14"/>
        <v>0</v>
      </c>
      <c r="T123" s="3" t="e">
        <f t="shared" si="15"/>
        <v>#VALUE!</v>
      </c>
      <c r="V123" s="1" t="e">
        <f t="shared" si="16"/>
        <v>#VALUE!</v>
      </c>
    </row>
    <row r="124" spans="8:22" x14ac:dyDescent="0.3">
      <c r="H124" s="2" t="str">
        <f>IF(Planilha1!B121="","",Planilha1!B121)</f>
        <v>7:00p</v>
      </c>
      <c r="I124" s="2" t="str">
        <f>IF(Planilha1!C121="","",Planilha1!C121)</f>
        <v>Philadelphia 76ers</v>
      </c>
      <c r="J124" s="2">
        <f>IF(Planilha1!D121="","",Planilha1!D121)</f>
        <v>114</v>
      </c>
      <c r="K124" s="10" t="str">
        <f>IF(Planilha1!E121="","",IF(Planilha1!E121=0,"",Planilha1!E121))</f>
        <v>Detroit Pistons</v>
      </c>
      <c r="L124" s="10">
        <f>IF(Planilha1!F121="","",Planilha1!F121)</f>
        <v>106</v>
      </c>
      <c r="M124" s="10">
        <f>IF(Planilha1!G121="","",IF(Planilha1!G121=0,"",Planilha1!G121))</f>
        <v>106</v>
      </c>
      <c r="N124" s="5">
        <f t="shared" si="9"/>
        <v>1</v>
      </c>
      <c r="O124" s="5">
        <f t="shared" si="10"/>
        <v>0</v>
      </c>
      <c r="P124" s="5">
        <f t="shared" si="11"/>
        <v>0</v>
      </c>
      <c r="Q124" s="5">
        <f t="shared" si="12"/>
        <v>2</v>
      </c>
      <c r="R124" s="8">
        <f t="shared" si="13"/>
        <v>0</v>
      </c>
      <c r="S124" s="8">
        <f t="shared" si="14"/>
        <v>0</v>
      </c>
      <c r="T124" s="3" t="e">
        <f t="shared" si="15"/>
        <v>#VALUE!</v>
      </c>
      <c r="V124" s="1" t="e">
        <f t="shared" si="16"/>
        <v>#VALUE!</v>
      </c>
    </row>
    <row r="125" spans="8:22" x14ac:dyDescent="0.3">
      <c r="H125" s="2" t="str">
        <f>IF(Planilha1!B122="","",Planilha1!B122)</f>
        <v>7:00p</v>
      </c>
      <c r="I125" s="2" t="str">
        <f>IF(Planilha1!C122="","",Planilha1!C122)</f>
        <v>Charlotte Hornets</v>
      </c>
      <c r="J125" s="2">
        <f>IF(Planilha1!D122="","",Planilha1!D122)</f>
        <v>124</v>
      </c>
      <c r="K125" s="10" t="str">
        <f>IF(Planilha1!E122="","",IF(Planilha1!E122=0,"",Planilha1!E122))</f>
        <v>Washington Wizards</v>
      </c>
      <c r="L125" s="10">
        <f>IF(Planilha1!F122="","",Planilha1!F122)</f>
        <v>117</v>
      </c>
      <c r="M125" s="10">
        <f>IF(Planilha1!G122="","",IF(Planilha1!G122=0,"",Planilha1!G122))</f>
        <v>117</v>
      </c>
      <c r="N125" s="5">
        <f t="shared" si="9"/>
        <v>1</v>
      </c>
      <c r="O125" s="5">
        <f t="shared" si="10"/>
        <v>0</v>
      </c>
      <c r="P125" s="5">
        <f t="shared" si="11"/>
        <v>0</v>
      </c>
      <c r="Q125" s="5">
        <f t="shared" si="12"/>
        <v>2</v>
      </c>
      <c r="R125" s="8">
        <f t="shared" si="13"/>
        <v>0</v>
      </c>
      <c r="S125" s="8">
        <f t="shared" si="14"/>
        <v>0</v>
      </c>
      <c r="T125" s="3" t="e">
        <f t="shared" si="15"/>
        <v>#VALUE!</v>
      </c>
      <c r="V125" s="1" t="e">
        <f t="shared" si="16"/>
        <v>#VALUE!</v>
      </c>
    </row>
    <row r="126" spans="8:22" x14ac:dyDescent="0.3">
      <c r="H126" s="2" t="str">
        <f>IF(Planilha1!B123="","",Planilha1!B123)</f>
        <v>7:30p</v>
      </c>
      <c r="I126" s="2" t="str">
        <f>IF(Planilha1!C123="","",Planilha1!C123)</f>
        <v>Brooklyn Nets</v>
      </c>
      <c r="J126" s="2">
        <f>IF(Planilha1!D123="","",Planilha1!D123)</f>
        <v>107</v>
      </c>
      <c r="K126" s="10" t="str">
        <f>IF(Planilha1!E123="","",IF(Planilha1!E123=0,"",Planilha1!E123))</f>
        <v>Boston Celtics</v>
      </c>
      <c r="L126" s="10">
        <f>IF(Planilha1!F123="","",Planilha1!F123)</f>
        <v>121</v>
      </c>
      <c r="M126" s="10">
        <f>IF(Planilha1!G123="","",IF(Planilha1!G123=0,"",Planilha1!G123))</f>
        <v>121</v>
      </c>
      <c r="N126" s="5">
        <f t="shared" si="9"/>
        <v>1</v>
      </c>
      <c r="O126" s="5">
        <f t="shared" si="10"/>
        <v>0</v>
      </c>
      <c r="P126" s="5">
        <f t="shared" si="11"/>
        <v>0</v>
      </c>
      <c r="Q126" s="5">
        <f t="shared" si="12"/>
        <v>2</v>
      </c>
      <c r="R126" s="8">
        <f t="shared" si="13"/>
        <v>0</v>
      </c>
      <c r="S126" s="8">
        <f t="shared" si="14"/>
        <v>0</v>
      </c>
      <c r="T126" s="3" t="e">
        <f t="shared" si="15"/>
        <v>#VALUE!</v>
      </c>
      <c r="V126" s="1" t="e">
        <f t="shared" si="16"/>
        <v>#VALUE!</v>
      </c>
    </row>
    <row r="127" spans="8:22" x14ac:dyDescent="0.3">
      <c r="H127" s="2" t="str">
        <f>IF(Planilha1!B124="","",Planilha1!B124)</f>
        <v>8:00p</v>
      </c>
      <c r="I127" s="2" t="str">
        <f>IF(Planilha1!C124="","",Planilha1!C124)</f>
        <v>New Orleans Pelicans</v>
      </c>
      <c r="J127" s="2">
        <f>IF(Planilha1!D124="","",Planilha1!D124)</f>
        <v>101</v>
      </c>
      <c r="K127" s="10" t="str">
        <f>IF(Planilha1!E124="","",IF(Planilha1!E124=0,"",Planilha1!E124))</f>
        <v>Houston Rockets</v>
      </c>
      <c r="L127" s="10">
        <f>IF(Planilha1!F124="","",Planilha1!F124)</f>
        <v>104</v>
      </c>
      <c r="M127" s="10">
        <f>IF(Planilha1!G124="","",IF(Planilha1!G124=0,"",Planilha1!G124))</f>
        <v>104</v>
      </c>
      <c r="N127" s="5">
        <f t="shared" si="9"/>
        <v>1</v>
      </c>
      <c r="O127" s="5">
        <f t="shared" si="10"/>
        <v>0</v>
      </c>
      <c r="P127" s="5">
        <f t="shared" si="11"/>
        <v>0</v>
      </c>
      <c r="Q127" s="5">
        <f t="shared" si="12"/>
        <v>2</v>
      </c>
      <c r="R127" s="8">
        <f t="shared" si="13"/>
        <v>0</v>
      </c>
      <c r="S127" s="8">
        <f t="shared" si="14"/>
        <v>0</v>
      </c>
      <c r="T127" s="3" t="e">
        <f t="shared" si="15"/>
        <v>#VALUE!</v>
      </c>
      <c r="V127" s="1" t="e">
        <f t="shared" si="16"/>
        <v>#VALUE!</v>
      </c>
    </row>
    <row r="128" spans="8:22" x14ac:dyDescent="0.3">
      <c r="H128" s="2" t="str">
        <f>IF(Planilha1!B125="","",Planilha1!B125)</f>
        <v>8:00p</v>
      </c>
      <c r="I128" s="2" t="str">
        <f>IF(Planilha1!C125="","",Planilha1!C125)</f>
        <v>Utah Jazz</v>
      </c>
      <c r="J128" s="2">
        <f>IF(Planilha1!D125="","",Planilha1!D125)</f>
        <v>127</v>
      </c>
      <c r="K128" s="10" t="str">
        <f>IF(Planilha1!E125="","",IF(Planilha1!E125=0,"",Planilha1!E125))</f>
        <v>Memphis Grizzlies</v>
      </c>
      <c r="L128" s="10">
        <f>IF(Planilha1!F125="","",Planilha1!F125)</f>
        <v>121</v>
      </c>
      <c r="M128" s="10">
        <f>IF(Planilha1!G125="","",IF(Planilha1!G125=0,"",Planilha1!G125))</f>
        <v>121</v>
      </c>
      <c r="N128" s="5">
        <f t="shared" si="9"/>
        <v>1</v>
      </c>
      <c r="O128" s="5">
        <f t="shared" si="10"/>
        <v>0</v>
      </c>
      <c r="P128" s="5">
        <f t="shared" si="11"/>
        <v>0</v>
      </c>
      <c r="Q128" s="5">
        <f t="shared" si="12"/>
        <v>2</v>
      </c>
      <c r="R128" s="8">
        <f t="shared" si="13"/>
        <v>0</v>
      </c>
      <c r="S128" s="8">
        <f t="shared" si="14"/>
        <v>0</v>
      </c>
      <c r="T128" s="3" t="e">
        <f t="shared" si="15"/>
        <v>#VALUE!</v>
      </c>
      <c r="V128" s="1" t="e">
        <f t="shared" si="16"/>
        <v>#VALUE!</v>
      </c>
    </row>
    <row r="129" spans="8:22" x14ac:dyDescent="0.3">
      <c r="H129" s="2" t="str">
        <f>IF(Planilha1!B126="","",Planilha1!B126)</f>
        <v>8:00p</v>
      </c>
      <c r="I129" s="2" t="str">
        <f>IF(Planilha1!C126="","",Planilha1!C126)</f>
        <v>Minnesota Timberwolves</v>
      </c>
      <c r="J129" s="2">
        <f>IF(Planilha1!D126="","",Planilha1!D126)</f>
        <v>117</v>
      </c>
      <c r="K129" s="10" t="str">
        <f>IF(Planilha1!E126="","",IF(Planilha1!E126=0,"",Planilha1!E126))</f>
        <v>San Antonio Spurs</v>
      </c>
      <c r="L129" s="10">
        <f>IF(Planilha1!F126="","",Planilha1!F126)</f>
        <v>110</v>
      </c>
      <c r="M129" s="10">
        <f>IF(Planilha1!G126="","",IF(Planilha1!G126=0,"",Planilha1!G126))</f>
        <v>110</v>
      </c>
      <c r="N129" s="5">
        <f t="shared" si="9"/>
        <v>1</v>
      </c>
      <c r="O129" s="5">
        <f t="shared" si="10"/>
        <v>0</v>
      </c>
      <c r="P129" s="5">
        <f t="shared" si="11"/>
        <v>0</v>
      </c>
      <c r="Q129" s="5">
        <f t="shared" si="12"/>
        <v>2</v>
      </c>
      <c r="R129" s="8">
        <f t="shared" si="13"/>
        <v>0</v>
      </c>
      <c r="S129" s="8">
        <f t="shared" si="14"/>
        <v>0</v>
      </c>
      <c r="T129" s="3" t="e">
        <f t="shared" si="15"/>
        <v>#VALUE!</v>
      </c>
      <c r="V129" s="1" t="e">
        <f t="shared" si="16"/>
        <v>#VALUE!</v>
      </c>
    </row>
    <row r="130" spans="8:22" x14ac:dyDescent="0.3">
      <c r="H130" s="2" t="str">
        <f>IF(Planilha1!B127="","",Planilha1!B127)</f>
        <v>8:30p</v>
      </c>
      <c r="I130" s="2" t="str">
        <f>IF(Planilha1!C127="","",Planilha1!C127)</f>
        <v>Los Angeles Clippers</v>
      </c>
      <c r="J130" s="2">
        <f>IF(Planilha1!D127="","",Planilha1!D127)</f>
        <v>126</v>
      </c>
      <c r="K130" s="10" t="str">
        <f>IF(Planilha1!E127="","",IF(Planilha1!E127=0,"",Planilha1!E127))</f>
        <v>Dallas Mavericks</v>
      </c>
      <c r="L130" s="10">
        <f>IF(Planilha1!F127="","",Planilha1!F127)</f>
        <v>144</v>
      </c>
      <c r="M130" s="10">
        <f>IF(Planilha1!G127="","",IF(Planilha1!G127=0,"",Planilha1!G127))</f>
        <v>144</v>
      </c>
      <c r="N130" s="5">
        <f t="shared" si="9"/>
        <v>1</v>
      </c>
      <c r="O130" s="5">
        <f t="shared" si="10"/>
        <v>0</v>
      </c>
      <c r="P130" s="5">
        <f t="shared" si="11"/>
        <v>0</v>
      </c>
      <c r="Q130" s="5">
        <f t="shared" si="12"/>
        <v>2</v>
      </c>
      <c r="R130" s="8">
        <f t="shared" si="13"/>
        <v>0</v>
      </c>
      <c r="S130" s="8">
        <f t="shared" si="14"/>
        <v>0</v>
      </c>
      <c r="T130" s="3" t="e">
        <f t="shared" si="15"/>
        <v>#VALUE!</v>
      </c>
      <c r="V130" s="1" t="e">
        <f t="shared" si="16"/>
        <v>#VALUE!</v>
      </c>
    </row>
    <row r="131" spans="8:22" x14ac:dyDescent="0.3">
      <c r="H131" s="2" t="str">
        <f>IF(Planilha1!B128="","",Planilha1!B128)</f>
        <v>10:00p</v>
      </c>
      <c r="I131" s="2" t="str">
        <f>IF(Planilha1!C128="","",Planilha1!C128)</f>
        <v>Los Angeles Lakers</v>
      </c>
      <c r="J131" s="2">
        <f>IF(Planilha1!D128="","",Planilha1!D128)</f>
        <v>122</v>
      </c>
      <c r="K131" s="10" t="str">
        <f>IF(Planilha1!E128="","",IF(Planilha1!E128=0,"",Planilha1!E128))</f>
        <v>Phoenix Suns</v>
      </c>
      <c r="L131" s="10">
        <f>IF(Planilha1!F128="","",Planilha1!F128)</f>
        <v>119</v>
      </c>
      <c r="M131" s="10">
        <f>IF(Planilha1!G128="","",IF(Planilha1!G128=0,"",Planilha1!G128))</f>
        <v>119</v>
      </c>
      <c r="N131" s="5">
        <f t="shared" si="9"/>
        <v>1</v>
      </c>
      <c r="O131" s="5">
        <f t="shared" si="10"/>
        <v>0</v>
      </c>
      <c r="P131" s="5">
        <f t="shared" si="11"/>
        <v>0</v>
      </c>
      <c r="Q131" s="5">
        <f t="shared" si="12"/>
        <v>2</v>
      </c>
      <c r="R131" s="8">
        <f t="shared" si="13"/>
        <v>0</v>
      </c>
      <c r="S131" s="8">
        <f t="shared" si="14"/>
        <v>0</v>
      </c>
      <c r="T131" s="3" t="e">
        <f t="shared" si="15"/>
        <v>#VALUE!</v>
      </c>
      <c r="V131" s="1" t="e">
        <f t="shared" si="16"/>
        <v>#VALUE!</v>
      </c>
    </row>
    <row r="132" spans="8:22" x14ac:dyDescent="0.3">
      <c r="H132" s="2" t="str">
        <f>IF(Planilha1!B129="","",Planilha1!B129)</f>
        <v>10:00p</v>
      </c>
      <c r="I132" s="2" t="str">
        <f>IF(Planilha1!C129="","",Planilha1!C129)</f>
        <v>Oklahoma City Thunder</v>
      </c>
      <c r="J132" s="2">
        <f>IF(Planilha1!D129="","",Planilha1!D129)</f>
        <v>98</v>
      </c>
      <c r="K132" s="10" t="str">
        <f>IF(Planilha1!E129="","",IF(Planilha1!E129=0,"",Planilha1!E129))</f>
        <v>Sacramento Kings</v>
      </c>
      <c r="L132" s="10">
        <f>IF(Planilha1!F129="","",Planilha1!F129)</f>
        <v>105</v>
      </c>
      <c r="M132" s="10">
        <f>IF(Planilha1!G129="","",IF(Planilha1!G129=0,"",Planilha1!G129))</f>
        <v>105</v>
      </c>
      <c r="N132" s="5">
        <f t="shared" si="9"/>
        <v>1</v>
      </c>
      <c r="O132" s="5">
        <f t="shared" si="10"/>
        <v>0</v>
      </c>
      <c r="P132" s="5">
        <f t="shared" si="11"/>
        <v>0</v>
      </c>
      <c r="Q132" s="5">
        <f t="shared" si="12"/>
        <v>2</v>
      </c>
      <c r="R132" s="8">
        <f t="shared" si="13"/>
        <v>0</v>
      </c>
      <c r="S132" s="8">
        <f t="shared" si="14"/>
        <v>0</v>
      </c>
      <c r="T132" s="3" t="e">
        <f t="shared" si="15"/>
        <v>#VALUE!</v>
      </c>
      <c r="V132" s="1" t="e">
        <f t="shared" si="16"/>
        <v>#VALUE!</v>
      </c>
    </row>
    <row r="133" spans="8:22" x14ac:dyDescent="0.3">
      <c r="H133" s="2" t="str">
        <f>IF(Planilha1!B130="","",Planilha1!B130)</f>
        <v>6:00p</v>
      </c>
      <c r="I133" s="2" t="str">
        <f>IF(Planilha1!C130="","",Planilha1!C130)</f>
        <v>Milwaukee Bucks</v>
      </c>
      <c r="J133" s="2">
        <f>IF(Planilha1!D130="","",Planilha1!D130)</f>
        <v>97</v>
      </c>
      <c r="K133" s="10" t="str">
        <f>IF(Planilha1!E130="","",IF(Planilha1!E130=0,"",Planilha1!E130))</f>
        <v>Orlando Magic</v>
      </c>
      <c r="L133" s="10">
        <f>IF(Planilha1!F130="","",Planilha1!F130)</f>
        <v>112</v>
      </c>
      <c r="M133" s="10">
        <f>IF(Planilha1!G130="","",IF(Planilha1!G130=0,"",Planilha1!G130))</f>
        <v>112</v>
      </c>
      <c r="N133" s="5">
        <f t="shared" si="9"/>
        <v>1</v>
      </c>
      <c r="O133" s="5">
        <f t="shared" si="10"/>
        <v>0</v>
      </c>
      <c r="P133" s="5">
        <f t="shared" si="11"/>
        <v>0</v>
      </c>
      <c r="Q133" s="5">
        <f t="shared" si="12"/>
        <v>2</v>
      </c>
      <c r="R133" s="8">
        <f t="shared" si="13"/>
        <v>0</v>
      </c>
      <c r="S133" s="8">
        <f t="shared" si="14"/>
        <v>0</v>
      </c>
      <c r="T133" s="3" t="e">
        <f t="shared" si="15"/>
        <v>#VALUE!</v>
      </c>
      <c r="V133" s="1" t="e">
        <f t="shared" si="16"/>
        <v>#VALUE!</v>
      </c>
    </row>
    <row r="134" spans="8:22" x14ac:dyDescent="0.3">
      <c r="H134" s="2" t="str">
        <f>IF(Planilha1!B131="","",Planilha1!B131)</f>
        <v>7:00p</v>
      </c>
      <c r="I134" s="2" t="str">
        <f>IF(Planilha1!C131="","",Planilha1!C131)</f>
        <v>Toronto Raptors</v>
      </c>
      <c r="J134" s="2">
        <f>IF(Planilha1!D131="","",Planilha1!D131)</f>
        <v>94</v>
      </c>
      <c r="K134" s="10" t="str">
        <f>IF(Planilha1!E131="","",IF(Planilha1!E131=0,"",Planilha1!E131))</f>
        <v>Boston Celtics</v>
      </c>
      <c r="L134" s="10">
        <f>IF(Planilha1!F131="","",Planilha1!F131)</f>
        <v>117</v>
      </c>
      <c r="M134" s="10">
        <f>IF(Planilha1!G131="","",IF(Planilha1!G131=0,"",Planilha1!G131))</f>
        <v>117</v>
      </c>
      <c r="N134" s="5">
        <f t="shared" ref="N134:N197" si="17">IF(K134="","",IF(K134&gt;M134,100%,0%))</f>
        <v>1</v>
      </c>
      <c r="O134" s="5">
        <f t="shared" ref="O134:O197" si="18">IF(K134="","",IF(K134&lt;M134,100%,0%))</f>
        <v>0</v>
      </c>
      <c r="P134" s="5">
        <f t="shared" ref="P134:P197" si="19">IF(M134="",IF(R134&gt;S134,2,0),IF(K134&lt;M134,2,0))</f>
        <v>0</v>
      </c>
      <c r="Q134" s="5">
        <f t="shared" ref="Q134:Q197" si="20">IF(M134="",IF(R134&gt;S134,0,2),IF(K134&gt;M134,2,0))</f>
        <v>2</v>
      </c>
      <c r="R134" s="8">
        <f t="shared" ref="R134:R197" si="21">SUMIF($B:$B,J134,$C:$C)+(SUMIF($B:$B,L134,$F:$F))</f>
        <v>0</v>
      </c>
      <c r="S134" s="8">
        <f t="shared" ref="S134:S197" si="22">SUMIF($B:$B,L134,$E:$E)+(SUMIF($B:$B,J134,$D:$D))</f>
        <v>0</v>
      </c>
      <c r="T134" s="3" t="e">
        <f t="shared" ref="T134:T197" si="23">IF(M134="","",(K134-S134)^2+(M134-R134)^2)</f>
        <v>#VALUE!</v>
      </c>
      <c r="V134" s="1" t="e">
        <f t="shared" ref="V134:V197" si="24">IF(O134="","",1/((M134-K134)/(R134-S134)))</f>
        <v>#VALUE!</v>
      </c>
    </row>
    <row r="135" spans="8:22" x14ac:dyDescent="0.3">
      <c r="H135" s="2" t="str">
        <f>IF(Planilha1!B132="","",Planilha1!B132)</f>
        <v>7:30p</v>
      </c>
      <c r="I135" s="2" t="str">
        <f>IF(Planilha1!C132="","",Planilha1!C132)</f>
        <v>Miami Heat</v>
      </c>
      <c r="J135" s="2">
        <f>IF(Planilha1!D132="","",Planilha1!D132)</f>
        <v>117</v>
      </c>
      <c r="K135" s="10" t="str">
        <f>IF(Planilha1!E132="","",IF(Planilha1!E132=0,"",Planilha1!E132))</f>
        <v>Atlanta Hawks</v>
      </c>
      <c r="L135" s="10">
        <f>IF(Planilha1!F132="","",Planilha1!F132)</f>
        <v>109</v>
      </c>
      <c r="M135" s="10">
        <f>IF(Planilha1!G132="","",IF(Planilha1!G132=0,"",Planilha1!G132))</f>
        <v>109</v>
      </c>
      <c r="N135" s="5">
        <f t="shared" si="17"/>
        <v>1</v>
      </c>
      <c r="O135" s="5">
        <f t="shared" si="18"/>
        <v>0</v>
      </c>
      <c r="P135" s="5">
        <f t="shared" si="19"/>
        <v>0</v>
      </c>
      <c r="Q135" s="5">
        <f t="shared" si="20"/>
        <v>2</v>
      </c>
      <c r="R135" s="8">
        <f t="shared" si="21"/>
        <v>0</v>
      </c>
      <c r="S135" s="8">
        <f t="shared" si="22"/>
        <v>0</v>
      </c>
      <c r="T135" s="3" t="e">
        <f t="shared" si="23"/>
        <v>#VALUE!</v>
      </c>
      <c r="V135" s="1" t="e">
        <f t="shared" si="24"/>
        <v>#VALUE!</v>
      </c>
    </row>
    <row r="136" spans="8:22" x14ac:dyDescent="0.3">
      <c r="H136" s="2" t="str">
        <f>IF(Planilha1!B133="","",Planilha1!B133)</f>
        <v>8:30p</v>
      </c>
      <c r="I136" s="2" t="str">
        <f>IF(Planilha1!C133="","",Planilha1!C133)</f>
        <v>Cleveland Cavaliers</v>
      </c>
      <c r="J136" s="2">
        <f>IF(Planilha1!D133="","",Planilha1!D133)</f>
        <v>118</v>
      </c>
      <c r="K136" s="10" t="str">
        <f>IF(Planilha1!E133="","",IF(Planilha1!E133=0,"",Planilha1!E133))</f>
        <v>Golden State Warriors</v>
      </c>
      <c r="L136" s="10">
        <f>IF(Planilha1!F133="","",Planilha1!F133)</f>
        <v>110</v>
      </c>
      <c r="M136" s="10">
        <f>IF(Planilha1!G133="","",IF(Planilha1!G133=0,"",Planilha1!G133))</f>
        <v>110</v>
      </c>
      <c r="N136" s="5">
        <f t="shared" si="17"/>
        <v>1</v>
      </c>
      <c r="O136" s="5">
        <f t="shared" si="18"/>
        <v>0</v>
      </c>
      <c r="P136" s="5">
        <f t="shared" si="19"/>
        <v>0</v>
      </c>
      <c r="Q136" s="5">
        <f t="shared" si="20"/>
        <v>2</v>
      </c>
      <c r="R136" s="8">
        <f t="shared" si="21"/>
        <v>0</v>
      </c>
      <c r="S136" s="8">
        <f t="shared" si="22"/>
        <v>0</v>
      </c>
      <c r="T136" s="3" t="e">
        <f t="shared" si="23"/>
        <v>#VALUE!</v>
      </c>
      <c r="V136" s="1" t="e">
        <f t="shared" si="24"/>
        <v>#VALUE!</v>
      </c>
    </row>
    <row r="137" spans="8:22" x14ac:dyDescent="0.3">
      <c r="H137" s="2" t="str">
        <f>IF(Planilha1!B134="","",Planilha1!B134)</f>
        <v>12:00p</v>
      </c>
      <c r="I137" s="2" t="str">
        <f>IF(Planilha1!C134="","",Planilha1!C134)</f>
        <v>Charlotte Hornets</v>
      </c>
      <c r="J137" s="2">
        <f>IF(Planilha1!D134="","",Planilha1!D134)</f>
        <v>107</v>
      </c>
      <c r="K137" s="10" t="str">
        <f>IF(Planilha1!E134="","",IF(Planilha1!E134=0,"",Planilha1!E134))</f>
        <v>New York Knicks</v>
      </c>
      <c r="L137" s="10">
        <f>IF(Planilha1!F134="","",Planilha1!F134)</f>
        <v>129</v>
      </c>
      <c r="M137" s="10">
        <f>IF(Planilha1!G134="","",IF(Planilha1!G134=0,"",Planilha1!G134))</f>
        <v>129</v>
      </c>
      <c r="N137" s="5">
        <f t="shared" si="17"/>
        <v>1</v>
      </c>
      <c r="O137" s="5">
        <f t="shared" si="18"/>
        <v>0</v>
      </c>
      <c r="P137" s="5">
        <f t="shared" si="19"/>
        <v>0</v>
      </c>
      <c r="Q137" s="5">
        <f t="shared" si="20"/>
        <v>2</v>
      </c>
      <c r="R137" s="8">
        <f t="shared" si="21"/>
        <v>0</v>
      </c>
      <c r="S137" s="8">
        <f t="shared" si="22"/>
        <v>0</v>
      </c>
      <c r="T137" s="3" t="e">
        <f t="shared" si="23"/>
        <v>#VALUE!</v>
      </c>
      <c r="V137" s="1" t="e">
        <f t="shared" si="24"/>
        <v>#VALUE!</v>
      </c>
    </row>
    <row r="138" spans="8:22" x14ac:dyDescent="0.3">
      <c r="H138" s="2" t="str">
        <f>IF(Planilha1!B135="","",Planilha1!B135)</f>
        <v>3:00p</v>
      </c>
      <c r="I138" s="2" t="str">
        <f>IF(Planilha1!C135="","",Planilha1!C135)</f>
        <v>Washington Wizards</v>
      </c>
      <c r="J138" s="2">
        <f>IF(Planilha1!D135="","",Planilha1!D135)</f>
        <v>94</v>
      </c>
      <c r="K138" s="10" t="str">
        <f>IF(Planilha1!E135="","",IF(Planilha1!E135=0,"",Planilha1!E135))</f>
        <v>Brooklyn Nets</v>
      </c>
      <c r="L138" s="10">
        <f>IF(Planilha1!F135="","",Planilha1!F135)</f>
        <v>102</v>
      </c>
      <c r="M138" s="10">
        <f>IF(Planilha1!G135="","",IF(Planilha1!G135=0,"",Planilha1!G135))</f>
        <v>102</v>
      </c>
      <c r="N138" s="5">
        <f t="shared" si="17"/>
        <v>1</v>
      </c>
      <c r="O138" s="5">
        <f t="shared" si="18"/>
        <v>0</v>
      </c>
      <c r="P138" s="5">
        <f t="shared" si="19"/>
        <v>0</v>
      </c>
      <c r="Q138" s="5">
        <f t="shared" si="20"/>
        <v>2</v>
      </c>
      <c r="R138" s="8">
        <f t="shared" si="21"/>
        <v>0</v>
      </c>
      <c r="S138" s="8">
        <f t="shared" si="22"/>
        <v>0</v>
      </c>
      <c r="T138" s="3" t="e">
        <f t="shared" si="23"/>
        <v>#VALUE!</v>
      </c>
      <c r="V138" s="1" t="e">
        <f t="shared" si="24"/>
        <v>#VALUE!</v>
      </c>
    </row>
    <row r="139" spans="8:22" x14ac:dyDescent="0.3">
      <c r="H139" s="2" t="str">
        <f>IF(Planilha1!B136="","",Planilha1!B136)</f>
        <v>3:30p</v>
      </c>
      <c r="I139" s="2" t="str">
        <f>IF(Planilha1!C136="","",Planilha1!C136)</f>
        <v>Memphis Grizzlies</v>
      </c>
      <c r="J139" s="2">
        <f>IF(Planilha1!D136="","",Planilha1!D136)</f>
        <v>105</v>
      </c>
      <c r="K139" s="10" t="str">
        <f>IF(Planilha1!E136="","",IF(Planilha1!E136=0,"",Planilha1!E136))</f>
        <v>Los Angeles Clippers</v>
      </c>
      <c r="L139" s="10">
        <f>IF(Planilha1!F136="","",Planilha1!F136)</f>
        <v>101</v>
      </c>
      <c r="M139" s="10">
        <f>IF(Planilha1!G136="","",IF(Planilha1!G136=0,"",Planilha1!G136))</f>
        <v>101</v>
      </c>
      <c r="N139" s="5">
        <f t="shared" si="17"/>
        <v>1</v>
      </c>
      <c r="O139" s="5">
        <f t="shared" si="18"/>
        <v>0</v>
      </c>
      <c r="P139" s="5">
        <f t="shared" si="19"/>
        <v>0</v>
      </c>
      <c r="Q139" s="5">
        <f t="shared" si="20"/>
        <v>2</v>
      </c>
      <c r="R139" s="8">
        <f t="shared" si="21"/>
        <v>0</v>
      </c>
      <c r="S139" s="8">
        <f t="shared" si="22"/>
        <v>0</v>
      </c>
      <c r="T139" s="3" t="e">
        <f t="shared" si="23"/>
        <v>#VALUE!</v>
      </c>
      <c r="V139" s="1" t="e">
        <f t="shared" si="24"/>
        <v>#VALUE!</v>
      </c>
    </row>
    <row r="140" spans="8:22" x14ac:dyDescent="0.3">
      <c r="H140" s="2" t="str">
        <f>IF(Planilha1!B137="","",Planilha1!B137)</f>
        <v>6:00p</v>
      </c>
      <c r="I140" s="2" t="str">
        <f>IF(Planilha1!C137="","",Planilha1!C137)</f>
        <v>Indiana Pacers</v>
      </c>
      <c r="J140" s="2">
        <f>IF(Planilha1!D137="","",Planilha1!D137)</f>
        <v>126</v>
      </c>
      <c r="K140" s="10" t="str">
        <f>IF(Planilha1!E137="","",IF(Planilha1!E137=0,"",Planilha1!E137))</f>
        <v>Philadelphia 76ers</v>
      </c>
      <c r="L140" s="10">
        <f>IF(Planilha1!F137="","",Planilha1!F137)</f>
        <v>137</v>
      </c>
      <c r="M140" s="10">
        <f>IF(Planilha1!G137="","",IF(Planilha1!G137=0,"",Planilha1!G137))</f>
        <v>137</v>
      </c>
      <c r="N140" s="5">
        <f t="shared" si="17"/>
        <v>1</v>
      </c>
      <c r="O140" s="5">
        <f t="shared" si="18"/>
        <v>0</v>
      </c>
      <c r="P140" s="5">
        <f t="shared" si="19"/>
        <v>0</v>
      </c>
      <c r="Q140" s="5">
        <f t="shared" si="20"/>
        <v>2</v>
      </c>
      <c r="R140" s="8">
        <f t="shared" si="21"/>
        <v>0</v>
      </c>
      <c r="S140" s="8">
        <f t="shared" si="22"/>
        <v>0</v>
      </c>
      <c r="T140" s="3" t="e">
        <f t="shared" si="23"/>
        <v>#VALUE!</v>
      </c>
      <c r="V140" s="1" t="e">
        <f t="shared" si="24"/>
        <v>#VALUE!</v>
      </c>
    </row>
    <row r="141" spans="8:22" x14ac:dyDescent="0.3">
      <c r="H141" s="2" t="str">
        <f>IF(Planilha1!B138="","",Planilha1!B138)</f>
        <v>7:00p</v>
      </c>
      <c r="I141" s="2" t="str">
        <f>IF(Planilha1!C138="","",Planilha1!C138)</f>
        <v>Detroit Pistons</v>
      </c>
      <c r="J141" s="2">
        <f>IF(Planilha1!D138="","",Planilha1!D138)</f>
        <v>108</v>
      </c>
      <c r="K141" s="10" t="str">
        <f>IF(Planilha1!E138="","",IF(Planilha1!E138=0,"",Planilha1!E138))</f>
        <v>Chicago Bulls</v>
      </c>
      <c r="L141" s="10">
        <f>IF(Planilha1!F138="","",Planilha1!F138)</f>
        <v>119</v>
      </c>
      <c r="M141" s="10">
        <f>IF(Planilha1!G138="","",IF(Planilha1!G138=0,"",Planilha1!G138))</f>
        <v>119</v>
      </c>
      <c r="N141" s="5">
        <f t="shared" si="17"/>
        <v>1</v>
      </c>
      <c r="O141" s="5">
        <f t="shared" si="18"/>
        <v>0</v>
      </c>
      <c r="P141" s="5">
        <f t="shared" si="19"/>
        <v>0</v>
      </c>
      <c r="Q141" s="5">
        <f t="shared" si="20"/>
        <v>2</v>
      </c>
      <c r="R141" s="8">
        <f t="shared" si="21"/>
        <v>0</v>
      </c>
      <c r="S141" s="8">
        <f t="shared" si="22"/>
        <v>0</v>
      </c>
      <c r="T141" s="3" t="e">
        <f t="shared" si="23"/>
        <v>#VALUE!</v>
      </c>
      <c r="V141" s="1" t="e">
        <f t="shared" si="24"/>
        <v>#VALUE!</v>
      </c>
    </row>
    <row r="142" spans="8:22" x14ac:dyDescent="0.3">
      <c r="H142" s="2" t="str">
        <f>IF(Planilha1!B139="","",Planilha1!B139)</f>
        <v>7:00p</v>
      </c>
      <c r="I142" s="2" t="str">
        <f>IF(Planilha1!C139="","",Planilha1!C139)</f>
        <v>Denver Nuggets</v>
      </c>
      <c r="J142" s="2">
        <f>IF(Planilha1!D139="","",Planilha1!D139)</f>
        <v>104</v>
      </c>
      <c r="K142" s="10" t="str">
        <f>IF(Planilha1!E139="","",IF(Planilha1!E139=0,"",Planilha1!E139))</f>
        <v>Houston Rockets</v>
      </c>
      <c r="L142" s="10">
        <f>IF(Planilha1!F139="","",Planilha1!F139)</f>
        <v>107</v>
      </c>
      <c r="M142" s="10">
        <f>IF(Planilha1!G139="","",IF(Planilha1!G139=0,"",Planilha1!G139))</f>
        <v>107</v>
      </c>
      <c r="N142" s="5">
        <f t="shared" si="17"/>
        <v>1</v>
      </c>
      <c r="O142" s="5">
        <f t="shared" si="18"/>
        <v>0</v>
      </c>
      <c r="P142" s="5">
        <f t="shared" si="19"/>
        <v>0</v>
      </c>
      <c r="Q142" s="5">
        <f t="shared" si="20"/>
        <v>2</v>
      </c>
      <c r="R142" s="8">
        <f t="shared" si="21"/>
        <v>0</v>
      </c>
      <c r="S142" s="8">
        <f t="shared" si="22"/>
        <v>0</v>
      </c>
      <c r="T142" s="3" t="e">
        <f t="shared" si="23"/>
        <v>#VALUE!</v>
      </c>
      <c r="V142" s="1" t="e">
        <f t="shared" si="24"/>
        <v>#VALUE!</v>
      </c>
    </row>
    <row r="143" spans="8:22" x14ac:dyDescent="0.3">
      <c r="H143" s="2" t="str">
        <f>IF(Planilha1!B140="","",Planilha1!B140)</f>
        <v>7:00p</v>
      </c>
      <c r="I143" s="2" t="str">
        <f>IF(Planilha1!C140="","",Planilha1!C140)</f>
        <v>Dallas Mavericks</v>
      </c>
      <c r="J143" s="2">
        <f>IF(Planilha1!D140="","",Planilha1!D140)</f>
        <v>136</v>
      </c>
      <c r="K143" s="10" t="str">
        <f>IF(Planilha1!E140="","",IF(Planilha1!E140=0,"",Planilha1!E140))</f>
        <v>New Orleans Pelicans</v>
      </c>
      <c r="L143" s="10">
        <f>IF(Planilha1!F140="","",Planilha1!F140)</f>
        <v>124</v>
      </c>
      <c r="M143" s="10">
        <f>IF(Planilha1!G140="","",IF(Planilha1!G140=0,"",Planilha1!G140))</f>
        <v>124</v>
      </c>
      <c r="N143" s="5">
        <f t="shared" si="17"/>
        <v>1</v>
      </c>
      <c r="O143" s="5">
        <f t="shared" si="18"/>
        <v>0</v>
      </c>
      <c r="P143" s="5">
        <f t="shared" si="19"/>
        <v>0</v>
      </c>
      <c r="Q143" s="5">
        <f t="shared" si="20"/>
        <v>2</v>
      </c>
      <c r="R143" s="8">
        <f t="shared" si="21"/>
        <v>0</v>
      </c>
      <c r="S143" s="8">
        <f t="shared" si="22"/>
        <v>0</v>
      </c>
      <c r="T143" s="3" t="e">
        <f t="shared" si="23"/>
        <v>#VALUE!</v>
      </c>
      <c r="V143" s="1" t="e">
        <f t="shared" si="24"/>
        <v>#VALUE!</v>
      </c>
    </row>
    <row r="144" spans="8:22" x14ac:dyDescent="0.3">
      <c r="H144" s="2" t="str">
        <f>IF(Planilha1!B141="","",Planilha1!B141)</f>
        <v>7:00p</v>
      </c>
      <c r="I144" s="2" t="str">
        <f>IF(Planilha1!C141="","",Planilha1!C141)</f>
        <v>Miami Heat</v>
      </c>
      <c r="J144" s="2">
        <f>IF(Planilha1!D141="","",Planilha1!D141)</f>
        <v>118</v>
      </c>
      <c r="K144" s="10" t="str">
        <f>IF(Planilha1!E141="","",IF(Planilha1!E141=0,"",Planilha1!E141))</f>
        <v>San Antonio Spurs</v>
      </c>
      <c r="L144" s="10">
        <f>IF(Planilha1!F141="","",Planilha1!F141)</f>
        <v>113</v>
      </c>
      <c r="M144" s="10">
        <f>IF(Planilha1!G141="","",IF(Planilha1!G141=0,"",Planilha1!G141))</f>
        <v>113</v>
      </c>
      <c r="N144" s="5">
        <f t="shared" si="17"/>
        <v>1</v>
      </c>
      <c r="O144" s="5">
        <f t="shared" si="18"/>
        <v>0</v>
      </c>
      <c r="P144" s="5">
        <f t="shared" si="19"/>
        <v>0</v>
      </c>
      <c r="Q144" s="5">
        <f t="shared" si="20"/>
        <v>2</v>
      </c>
      <c r="R144" s="8">
        <f t="shared" si="21"/>
        <v>0</v>
      </c>
      <c r="S144" s="8">
        <f t="shared" si="22"/>
        <v>0</v>
      </c>
      <c r="T144" s="3" t="e">
        <f t="shared" si="23"/>
        <v>#VALUE!</v>
      </c>
      <c r="V144" s="1" t="e">
        <f t="shared" si="24"/>
        <v>#VALUE!</v>
      </c>
    </row>
    <row r="145" spans="8:22" x14ac:dyDescent="0.3">
      <c r="H145" s="2" t="str">
        <f>IF(Planilha1!B142="","",Planilha1!B142)</f>
        <v>8:00p</v>
      </c>
      <c r="I145" s="2" t="str">
        <f>IF(Planilha1!C142="","",Planilha1!C142)</f>
        <v>Oklahoma City Thunder</v>
      </c>
      <c r="J145" s="2">
        <f>IF(Planilha1!D142="","",Planilha1!D142)</f>
        <v>111</v>
      </c>
      <c r="K145" s="10" t="str">
        <f>IF(Planilha1!E142="","",IF(Planilha1!E142=0,"",Planilha1!E142))</f>
        <v>Phoenix Suns</v>
      </c>
      <c r="L145" s="10">
        <f>IF(Planilha1!F142="","",Planilha1!F142)</f>
        <v>99</v>
      </c>
      <c r="M145" s="10">
        <f>IF(Planilha1!G142="","",IF(Planilha1!G142=0,"",Planilha1!G142))</f>
        <v>99</v>
      </c>
      <c r="N145" s="5">
        <f t="shared" si="17"/>
        <v>1</v>
      </c>
      <c r="O145" s="5">
        <f t="shared" si="18"/>
        <v>0</v>
      </c>
      <c r="P145" s="5">
        <f t="shared" si="19"/>
        <v>0</v>
      </c>
      <c r="Q145" s="5">
        <f t="shared" si="20"/>
        <v>2</v>
      </c>
      <c r="R145" s="8">
        <f t="shared" si="21"/>
        <v>0</v>
      </c>
      <c r="S145" s="8">
        <f t="shared" si="22"/>
        <v>0</v>
      </c>
      <c r="T145" s="3" t="e">
        <f t="shared" si="23"/>
        <v>#VALUE!</v>
      </c>
      <c r="V145" s="1" t="e">
        <f t="shared" si="24"/>
        <v>#VALUE!</v>
      </c>
    </row>
    <row r="146" spans="8:22" x14ac:dyDescent="0.3">
      <c r="H146" s="2" t="str">
        <f>IF(Planilha1!B143="","",Planilha1!B143)</f>
        <v>8:30p</v>
      </c>
      <c r="I146" s="2" t="str">
        <f>IF(Planilha1!C143="","",Planilha1!C143)</f>
        <v>Minnesota Timberwolves</v>
      </c>
      <c r="J146" s="2">
        <f>IF(Planilha1!D143="","",Planilha1!D143)</f>
        <v>116</v>
      </c>
      <c r="K146" s="10" t="str">
        <f>IF(Planilha1!E143="","",IF(Planilha1!E143=0,"",Planilha1!E143))</f>
        <v>Golden State Warriors</v>
      </c>
      <c r="L146" s="10">
        <f>IF(Planilha1!F143="","",Planilha1!F143)</f>
        <v>110</v>
      </c>
      <c r="M146" s="10">
        <f>IF(Planilha1!G143="","",IF(Planilha1!G143=0,"",Planilha1!G143))</f>
        <v>110</v>
      </c>
      <c r="N146" s="5">
        <f t="shared" si="17"/>
        <v>1</v>
      </c>
      <c r="O146" s="5">
        <f t="shared" si="18"/>
        <v>0</v>
      </c>
      <c r="P146" s="5">
        <f t="shared" si="19"/>
        <v>0</v>
      </c>
      <c r="Q146" s="5">
        <f t="shared" si="20"/>
        <v>2</v>
      </c>
      <c r="R146" s="8">
        <f t="shared" si="21"/>
        <v>0</v>
      </c>
      <c r="S146" s="8">
        <f t="shared" si="22"/>
        <v>0</v>
      </c>
      <c r="T146" s="3" t="e">
        <f t="shared" si="23"/>
        <v>#VALUE!</v>
      </c>
      <c r="V146" s="1" t="e">
        <f t="shared" si="24"/>
        <v>#VALUE!</v>
      </c>
    </row>
    <row r="147" spans="8:22" x14ac:dyDescent="0.3">
      <c r="H147" s="2" t="str">
        <f>IF(Planilha1!B144="","",Planilha1!B144)</f>
        <v>10:00p</v>
      </c>
      <c r="I147" s="2" t="str">
        <f>IF(Planilha1!C144="","",Planilha1!C144)</f>
        <v>Portland Trail Blazers</v>
      </c>
      <c r="J147" s="2">
        <f>IF(Planilha1!D144="","",Planilha1!D144)</f>
        <v>110</v>
      </c>
      <c r="K147" s="10" t="str">
        <f>IF(Planilha1!E144="","",IF(Planilha1!E144=0,"",Planilha1!E144))</f>
        <v>Los Angeles Lakers</v>
      </c>
      <c r="L147" s="10">
        <f>IF(Planilha1!F144="","",Planilha1!F144)</f>
        <v>116</v>
      </c>
      <c r="M147" s="10">
        <f>IF(Planilha1!G144="","",IF(Planilha1!G144=0,"",Planilha1!G144))</f>
        <v>116</v>
      </c>
      <c r="N147" s="5">
        <f t="shared" si="17"/>
        <v>1</v>
      </c>
      <c r="O147" s="5">
        <f t="shared" si="18"/>
        <v>0</v>
      </c>
      <c r="P147" s="5">
        <f t="shared" si="19"/>
        <v>0</v>
      </c>
      <c r="Q147" s="5">
        <f t="shared" si="20"/>
        <v>2</v>
      </c>
      <c r="R147" s="8">
        <f t="shared" si="21"/>
        <v>0</v>
      </c>
      <c r="S147" s="8">
        <f t="shared" si="22"/>
        <v>0</v>
      </c>
      <c r="T147" s="3" t="e">
        <f t="shared" si="23"/>
        <v>#VALUE!</v>
      </c>
      <c r="V147" s="1" t="e">
        <f t="shared" si="24"/>
        <v>#VALUE!</v>
      </c>
    </row>
    <row r="148" spans="8:22" x14ac:dyDescent="0.3">
      <c r="H148" s="2" t="str">
        <f>IF(Planilha1!B145="","",Planilha1!B145)</f>
        <v>7:30p</v>
      </c>
      <c r="I148" s="2" t="str">
        <f>IF(Planilha1!C145="","",Planilha1!C145)</f>
        <v>New York Knicks</v>
      </c>
      <c r="J148" s="2">
        <f>IF(Planilha1!D145="","",Planilha1!D145)</f>
        <v>98</v>
      </c>
      <c r="K148" s="10" t="str">
        <f>IF(Planilha1!E145="","",IF(Planilha1!E145=0,"",Planilha1!E145))</f>
        <v>Boston Celtics</v>
      </c>
      <c r="L148" s="10">
        <f>IF(Planilha1!F145="","",Planilha1!F145)</f>
        <v>114</v>
      </c>
      <c r="M148" s="10">
        <f>IF(Planilha1!G145="","",IF(Planilha1!G145=0,"",Planilha1!G145))</f>
        <v>114</v>
      </c>
      <c r="N148" s="5">
        <f t="shared" si="17"/>
        <v>1</v>
      </c>
      <c r="O148" s="5">
        <f t="shared" si="18"/>
        <v>0</v>
      </c>
      <c r="P148" s="5">
        <f t="shared" si="19"/>
        <v>0</v>
      </c>
      <c r="Q148" s="5">
        <f t="shared" si="20"/>
        <v>2</v>
      </c>
      <c r="R148" s="8">
        <f t="shared" si="21"/>
        <v>0</v>
      </c>
      <c r="S148" s="8">
        <f t="shared" si="22"/>
        <v>0</v>
      </c>
      <c r="T148" s="3" t="e">
        <f t="shared" si="23"/>
        <v>#VALUE!</v>
      </c>
      <c r="V148" s="1" t="e">
        <f t="shared" si="24"/>
        <v>#VALUE!</v>
      </c>
    </row>
    <row r="149" spans="8:22" x14ac:dyDescent="0.3">
      <c r="H149" s="2" t="str">
        <f>IF(Planilha1!B146="","",Planilha1!B146)</f>
        <v>7:30p</v>
      </c>
      <c r="I149" s="2" t="str">
        <f>IF(Planilha1!C146="","",Planilha1!C146)</f>
        <v>Washington Wizards</v>
      </c>
      <c r="J149" s="2">
        <f>IF(Planilha1!D146="","",Planilha1!D146)</f>
        <v>107</v>
      </c>
      <c r="K149" s="10" t="str">
        <f>IF(Planilha1!E146="","",IF(Planilha1!E146=0,"",Planilha1!E146))</f>
        <v>Toronto Raptors</v>
      </c>
      <c r="L149" s="10">
        <f>IF(Planilha1!F146="","",Planilha1!F146)</f>
        <v>111</v>
      </c>
      <c r="M149" s="10">
        <f>IF(Planilha1!G146="","",IF(Planilha1!G146=0,"",Planilha1!G146))</f>
        <v>111</v>
      </c>
      <c r="N149" s="5">
        <f t="shared" si="17"/>
        <v>1</v>
      </c>
      <c r="O149" s="5">
        <f t="shared" si="18"/>
        <v>0</v>
      </c>
      <c r="P149" s="5">
        <f t="shared" si="19"/>
        <v>0</v>
      </c>
      <c r="Q149" s="5">
        <f t="shared" si="20"/>
        <v>2</v>
      </c>
      <c r="R149" s="8">
        <f t="shared" si="21"/>
        <v>0</v>
      </c>
      <c r="S149" s="8">
        <f t="shared" si="22"/>
        <v>0</v>
      </c>
      <c r="T149" s="3" t="e">
        <f t="shared" si="23"/>
        <v>#VALUE!</v>
      </c>
      <c r="V149" s="1" t="e">
        <f t="shared" si="24"/>
        <v>#VALUE!</v>
      </c>
    </row>
    <row r="150" spans="8:22" x14ac:dyDescent="0.3">
      <c r="H150" s="2" t="str">
        <f>IF(Planilha1!B147="","",Planilha1!B147)</f>
        <v>8:00p</v>
      </c>
      <c r="I150" s="2" t="str">
        <f>IF(Planilha1!C147="","",Planilha1!C147)</f>
        <v>Chicago Bulls</v>
      </c>
      <c r="J150" s="2">
        <f>IF(Planilha1!D147="","",Planilha1!D147)</f>
        <v>109</v>
      </c>
      <c r="K150" s="10" t="str">
        <f>IF(Planilha1!E147="","",IF(Planilha1!E147=0,"",Planilha1!E147))</f>
        <v>Milwaukee Bucks</v>
      </c>
      <c r="L150" s="10">
        <f>IF(Planilha1!F147="","",Planilha1!F147)</f>
        <v>118</v>
      </c>
      <c r="M150" s="10">
        <f>IF(Planilha1!G147="","",IF(Planilha1!G147=0,"",Planilha1!G147))</f>
        <v>118</v>
      </c>
      <c r="N150" s="5">
        <f t="shared" si="17"/>
        <v>1</v>
      </c>
      <c r="O150" s="5">
        <f t="shared" si="18"/>
        <v>0</v>
      </c>
      <c r="P150" s="5">
        <f t="shared" si="19"/>
        <v>0</v>
      </c>
      <c r="Q150" s="5">
        <f t="shared" si="20"/>
        <v>2</v>
      </c>
      <c r="R150" s="8">
        <f t="shared" si="21"/>
        <v>0</v>
      </c>
      <c r="S150" s="8">
        <f t="shared" si="22"/>
        <v>0</v>
      </c>
      <c r="T150" s="3" t="e">
        <f t="shared" si="23"/>
        <v>#VALUE!</v>
      </c>
      <c r="V150" s="1" t="e">
        <f t="shared" si="24"/>
        <v>#VALUE!</v>
      </c>
    </row>
    <row r="151" spans="8:22" x14ac:dyDescent="0.3">
      <c r="H151" s="2" t="str">
        <f>IF(Planilha1!B148="","",Planilha1!B148)</f>
        <v>10:00p</v>
      </c>
      <c r="I151" s="2" t="str">
        <f>IF(Planilha1!C148="","",Planilha1!C148)</f>
        <v>Cleveland Cavaliers</v>
      </c>
      <c r="J151" s="2">
        <f>IF(Planilha1!D148="","",Planilha1!D148)</f>
        <v>120</v>
      </c>
      <c r="K151" s="10" t="str">
        <f>IF(Planilha1!E148="","",IF(Planilha1!E148=0,"",Planilha1!E148))</f>
        <v>Sacramento Kings</v>
      </c>
      <c r="L151" s="10">
        <f>IF(Planilha1!F148="","",Planilha1!F148)</f>
        <v>132</v>
      </c>
      <c r="M151" s="10">
        <f>IF(Planilha1!G148="","",IF(Planilha1!G148=0,"",Planilha1!G148))</f>
        <v>132</v>
      </c>
      <c r="N151" s="5">
        <f t="shared" si="17"/>
        <v>1</v>
      </c>
      <c r="O151" s="5">
        <f t="shared" si="18"/>
        <v>0</v>
      </c>
      <c r="P151" s="5">
        <f t="shared" si="19"/>
        <v>0</v>
      </c>
      <c r="Q151" s="5">
        <f t="shared" si="20"/>
        <v>2</v>
      </c>
      <c r="R151" s="8">
        <f t="shared" si="21"/>
        <v>0</v>
      </c>
      <c r="S151" s="8">
        <f t="shared" si="22"/>
        <v>0</v>
      </c>
      <c r="T151" s="3" t="e">
        <f t="shared" si="23"/>
        <v>#VALUE!</v>
      </c>
      <c r="V151" s="1" t="e">
        <f t="shared" si="24"/>
        <v>#VALUE!</v>
      </c>
    </row>
    <row r="152" spans="8:22" x14ac:dyDescent="0.3">
      <c r="H152" s="2" t="str">
        <f>IF(Planilha1!B149="","",Planilha1!B149)</f>
        <v>7:00p</v>
      </c>
      <c r="I152" s="2" t="str">
        <f>IF(Planilha1!C149="","",Planilha1!C149)</f>
        <v>Miami Heat</v>
      </c>
      <c r="J152" s="2">
        <f>IF(Planilha1!D149="","",Planilha1!D149)</f>
        <v>111</v>
      </c>
      <c r="K152" s="10" t="str">
        <f>IF(Planilha1!E149="","",IF(Planilha1!E149=0,"",Planilha1!E149))</f>
        <v>Charlotte Hornets</v>
      </c>
      <c r="L152" s="10">
        <f>IF(Planilha1!F149="","",Planilha1!F149)</f>
        <v>105</v>
      </c>
      <c r="M152" s="10">
        <f>IF(Planilha1!G149="","",IF(Planilha1!G149=0,"",Planilha1!G149))</f>
        <v>105</v>
      </c>
      <c r="N152" s="5">
        <f t="shared" si="17"/>
        <v>1</v>
      </c>
      <c r="O152" s="5">
        <f t="shared" si="18"/>
        <v>0</v>
      </c>
      <c r="P152" s="5">
        <f t="shared" si="19"/>
        <v>0</v>
      </c>
      <c r="Q152" s="5">
        <f t="shared" si="20"/>
        <v>2</v>
      </c>
      <c r="R152" s="8">
        <f t="shared" si="21"/>
        <v>0</v>
      </c>
      <c r="S152" s="8">
        <f t="shared" si="22"/>
        <v>0</v>
      </c>
      <c r="T152" s="3" t="e">
        <f t="shared" si="23"/>
        <v>#VALUE!</v>
      </c>
      <c r="V152" s="1" t="e">
        <f t="shared" si="24"/>
        <v>#VALUE!</v>
      </c>
    </row>
    <row r="153" spans="8:22" x14ac:dyDescent="0.3">
      <c r="H153" s="2" t="str">
        <f>IF(Planilha1!B150="","",Planilha1!B150)</f>
        <v>7:00p</v>
      </c>
      <c r="I153" s="2" t="str">
        <f>IF(Planilha1!C150="","",Planilha1!C150)</f>
        <v>Atlanta Hawks</v>
      </c>
      <c r="J153" s="2">
        <f>IF(Planilha1!D150="","",Planilha1!D150)</f>
        <v>126</v>
      </c>
      <c r="K153" s="10" t="str">
        <f>IF(Planilha1!E150="","",IF(Planilha1!E150=0,"",Planilha1!E150))</f>
        <v>Detroit Pistons</v>
      </c>
      <c r="L153" s="10">
        <f>IF(Planilha1!F150="","",Planilha1!F150)</f>
        <v>120</v>
      </c>
      <c r="M153" s="10">
        <f>IF(Planilha1!G150="","",IF(Planilha1!G150=0,"",Planilha1!G150))</f>
        <v>120</v>
      </c>
      <c r="N153" s="5">
        <f t="shared" si="17"/>
        <v>1</v>
      </c>
      <c r="O153" s="5">
        <f t="shared" si="18"/>
        <v>0</v>
      </c>
      <c r="P153" s="5">
        <f t="shared" si="19"/>
        <v>0</v>
      </c>
      <c r="Q153" s="5">
        <f t="shared" si="20"/>
        <v>2</v>
      </c>
      <c r="R153" s="8">
        <f t="shared" si="21"/>
        <v>0</v>
      </c>
      <c r="S153" s="8">
        <f t="shared" si="22"/>
        <v>0</v>
      </c>
      <c r="T153" s="3" t="e">
        <f t="shared" si="23"/>
        <v>#VALUE!</v>
      </c>
      <c r="V153" s="1" t="e">
        <f t="shared" si="24"/>
        <v>#VALUE!</v>
      </c>
    </row>
    <row r="154" spans="8:22" x14ac:dyDescent="0.3">
      <c r="H154" s="2" t="str">
        <f>IF(Planilha1!B151="","",Planilha1!B151)</f>
        <v>7:00p</v>
      </c>
      <c r="I154" s="2" t="str">
        <f>IF(Planilha1!C151="","",Planilha1!C151)</f>
        <v>Indiana Pacers</v>
      </c>
      <c r="J154" s="2">
        <f>IF(Planilha1!D151="","",Planilha1!D151)</f>
        <v>132</v>
      </c>
      <c r="K154" s="10" t="str">
        <f>IF(Planilha1!E151="","",IF(Planilha1!E151=0,"",Planilha1!E151))</f>
        <v>Philadelphia 76ers</v>
      </c>
      <c r="L154" s="10">
        <f>IF(Planilha1!F151="","",Planilha1!F151)</f>
        <v>126</v>
      </c>
      <c r="M154" s="10">
        <f>IF(Planilha1!G151="","",IF(Planilha1!G151=0,"",Planilha1!G151))</f>
        <v>126</v>
      </c>
      <c r="N154" s="5">
        <f t="shared" si="17"/>
        <v>1</v>
      </c>
      <c r="O154" s="5">
        <f t="shared" si="18"/>
        <v>0</v>
      </c>
      <c r="P154" s="5">
        <f t="shared" si="19"/>
        <v>0</v>
      </c>
      <c r="Q154" s="5">
        <f t="shared" si="20"/>
        <v>2</v>
      </c>
      <c r="R154" s="8">
        <f t="shared" si="21"/>
        <v>0</v>
      </c>
      <c r="S154" s="8">
        <f t="shared" si="22"/>
        <v>0</v>
      </c>
      <c r="T154" s="3" t="e">
        <f t="shared" si="23"/>
        <v>#VALUE!</v>
      </c>
      <c r="V154" s="1" t="e">
        <f t="shared" si="24"/>
        <v>#VALUE!</v>
      </c>
    </row>
    <row r="155" spans="8:22" x14ac:dyDescent="0.3">
      <c r="H155" s="2" t="str">
        <f>IF(Planilha1!B152="","",Planilha1!B152)</f>
        <v>7:30p</v>
      </c>
      <c r="I155" s="2" t="str">
        <f>IF(Planilha1!C152="","",Planilha1!C152)</f>
        <v>Orlando Magic</v>
      </c>
      <c r="J155" s="2">
        <f>IF(Planilha1!D152="","",Planilha1!D152)</f>
        <v>104</v>
      </c>
      <c r="K155" s="10" t="str">
        <f>IF(Planilha1!E152="","",IF(Planilha1!E152=0,"",Planilha1!E152))</f>
        <v>Brooklyn Nets</v>
      </c>
      <c r="L155" s="10">
        <f>IF(Planilha1!F152="","",Planilha1!F152)</f>
        <v>124</v>
      </c>
      <c r="M155" s="10">
        <f>IF(Planilha1!G152="","",IF(Planilha1!G152=0,"",Planilha1!G152))</f>
        <v>124</v>
      </c>
      <c r="N155" s="5">
        <f t="shared" si="17"/>
        <v>1</v>
      </c>
      <c r="O155" s="5">
        <f t="shared" si="18"/>
        <v>0</v>
      </c>
      <c r="P155" s="5">
        <f t="shared" si="19"/>
        <v>0</v>
      </c>
      <c r="Q155" s="5">
        <f t="shared" si="20"/>
        <v>2</v>
      </c>
      <c r="R155" s="8">
        <f t="shared" si="21"/>
        <v>0</v>
      </c>
      <c r="S155" s="8">
        <f t="shared" si="22"/>
        <v>0</v>
      </c>
      <c r="T155" s="3" t="e">
        <f t="shared" si="23"/>
        <v>#VALUE!</v>
      </c>
      <c r="V155" s="1" t="e">
        <f t="shared" si="24"/>
        <v>#VALUE!</v>
      </c>
    </row>
    <row r="156" spans="8:22" x14ac:dyDescent="0.3">
      <c r="H156" s="2" t="str">
        <f>IF(Planilha1!B153="","",Planilha1!B153)</f>
        <v>7:30p</v>
      </c>
      <c r="I156" s="2" t="str">
        <f>IF(Planilha1!C153="","",Planilha1!C153)</f>
        <v>San Antonio Spurs</v>
      </c>
      <c r="J156" s="2">
        <f>IF(Planilha1!D153="","",Planilha1!D153)</f>
        <v>87</v>
      </c>
      <c r="K156" s="10" t="str">
        <f>IF(Planilha1!E153="","",IF(Planilha1!E153=0,"",Planilha1!E153))</f>
        <v>Oklahoma City Thunder</v>
      </c>
      <c r="L156" s="10">
        <f>IF(Planilha1!F153="","",Planilha1!F153)</f>
        <v>123</v>
      </c>
      <c r="M156" s="10">
        <f>IF(Planilha1!G153="","",IF(Planilha1!G153=0,"",Planilha1!G153))</f>
        <v>123</v>
      </c>
      <c r="N156" s="5">
        <f t="shared" si="17"/>
        <v>1</v>
      </c>
      <c r="O156" s="5">
        <f t="shared" si="18"/>
        <v>0</v>
      </c>
      <c r="P156" s="5">
        <f t="shared" si="19"/>
        <v>0</v>
      </c>
      <c r="Q156" s="5">
        <f t="shared" si="20"/>
        <v>2</v>
      </c>
      <c r="R156" s="8">
        <f t="shared" si="21"/>
        <v>0</v>
      </c>
      <c r="S156" s="8">
        <f t="shared" si="22"/>
        <v>0</v>
      </c>
      <c r="T156" s="3" t="e">
        <f t="shared" si="23"/>
        <v>#VALUE!</v>
      </c>
      <c r="V156" s="1" t="e">
        <f t="shared" si="24"/>
        <v>#VALUE!</v>
      </c>
    </row>
    <row r="157" spans="8:22" x14ac:dyDescent="0.3">
      <c r="H157" s="2" t="str">
        <f>IF(Planilha1!B154="","",Planilha1!B154)</f>
        <v>8:00p</v>
      </c>
      <c r="I157" s="2" t="str">
        <f>IF(Planilha1!C154="","",Planilha1!C154)</f>
        <v>Dallas Mavericks</v>
      </c>
      <c r="J157" s="2">
        <f>IF(Planilha1!D154="","",Planilha1!D154)</f>
        <v>110</v>
      </c>
      <c r="K157" s="10" t="str">
        <f>IF(Planilha1!E154="","",IF(Planilha1!E154=0,"",Planilha1!E154))</f>
        <v>New Orleans Pelicans</v>
      </c>
      <c r="L157" s="10">
        <f>IF(Planilha1!F154="","",Planilha1!F154)</f>
        <v>131</v>
      </c>
      <c r="M157" s="10">
        <f>IF(Planilha1!G154="","",IF(Planilha1!G154=0,"",Planilha1!G154))</f>
        <v>131</v>
      </c>
      <c r="N157" s="5">
        <f t="shared" si="17"/>
        <v>1</v>
      </c>
      <c r="O157" s="5">
        <f t="shared" si="18"/>
        <v>0</v>
      </c>
      <c r="P157" s="5">
        <f t="shared" si="19"/>
        <v>0</v>
      </c>
      <c r="Q157" s="5">
        <f t="shared" si="20"/>
        <v>2</v>
      </c>
      <c r="R157" s="8">
        <f t="shared" si="21"/>
        <v>0</v>
      </c>
      <c r="S157" s="8">
        <f t="shared" si="22"/>
        <v>0</v>
      </c>
      <c r="T157" s="3" t="e">
        <f t="shared" si="23"/>
        <v>#VALUE!</v>
      </c>
      <c r="V157" s="1" t="e">
        <f t="shared" si="24"/>
        <v>#VALUE!</v>
      </c>
    </row>
    <row r="158" spans="8:22" x14ac:dyDescent="0.3">
      <c r="H158" s="2" t="str">
        <f>IF(Planilha1!B155="","",Planilha1!B155)</f>
        <v>9:00p</v>
      </c>
      <c r="I158" s="2" t="str">
        <f>IF(Planilha1!C155="","",Planilha1!C155)</f>
        <v>Portland Trail Blazers</v>
      </c>
      <c r="J158" s="2">
        <f>IF(Planilha1!D155="","",Planilha1!D155)</f>
        <v>99</v>
      </c>
      <c r="K158" s="10" t="str">
        <f>IF(Planilha1!E155="","",IF(Planilha1!E155=0,"",Planilha1!E155))</f>
        <v>Utah Jazz</v>
      </c>
      <c r="L158" s="10">
        <f>IF(Planilha1!F155="","",Planilha1!F155)</f>
        <v>115</v>
      </c>
      <c r="M158" s="10">
        <f>IF(Planilha1!G155="","",IF(Planilha1!G155=0,"",Planilha1!G155))</f>
        <v>115</v>
      </c>
      <c r="N158" s="5">
        <f t="shared" si="17"/>
        <v>1</v>
      </c>
      <c r="O158" s="5">
        <f t="shared" si="18"/>
        <v>0</v>
      </c>
      <c r="P158" s="5">
        <f t="shared" si="19"/>
        <v>0</v>
      </c>
      <c r="Q158" s="5">
        <f t="shared" si="20"/>
        <v>2</v>
      </c>
      <c r="R158" s="8">
        <f t="shared" si="21"/>
        <v>0</v>
      </c>
      <c r="S158" s="8">
        <f t="shared" si="22"/>
        <v>0</v>
      </c>
      <c r="T158" s="3" t="e">
        <f t="shared" si="23"/>
        <v>#VALUE!</v>
      </c>
      <c r="V158" s="1" t="e">
        <f t="shared" si="24"/>
        <v>#VALUE!</v>
      </c>
    </row>
    <row r="159" spans="8:22" x14ac:dyDescent="0.3">
      <c r="H159" s="2" t="str">
        <f>IF(Planilha1!B156="","",Planilha1!B156)</f>
        <v>10:00p</v>
      </c>
      <c r="I159" s="2" t="str">
        <f>IF(Planilha1!C156="","",Planilha1!C156)</f>
        <v>Los Angeles Clippers</v>
      </c>
      <c r="J159" s="2">
        <f>IF(Planilha1!D156="","",Planilha1!D156)</f>
        <v>108</v>
      </c>
      <c r="K159" s="10" t="str">
        <f>IF(Planilha1!E156="","",IF(Planilha1!E156=0,"",Planilha1!E156))</f>
        <v>Denver Nuggets</v>
      </c>
      <c r="L159" s="10">
        <f>IF(Planilha1!F156="","",Planilha1!F156)</f>
        <v>111</v>
      </c>
      <c r="M159" s="10">
        <f>IF(Planilha1!G156="","",IF(Planilha1!G156=0,"",Planilha1!G156))</f>
        <v>111</v>
      </c>
      <c r="N159" s="5">
        <f t="shared" si="17"/>
        <v>1</v>
      </c>
      <c r="O159" s="5">
        <f t="shared" si="18"/>
        <v>0</v>
      </c>
      <c r="P159" s="5">
        <f t="shared" si="19"/>
        <v>0</v>
      </c>
      <c r="Q159" s="5">
        <f t="shared" si="20"/>
        <v>2</v>
      </c>
      <c r="R159" s="8">
        <f t="shared" si="21"/>
        <v>0</v>
      </c>
      <c r="S159" s="8">
        <f t="shared" si="22"/>
        <v>0</v>
      </c>
      <c r="T159" s="3" t="e">
        <f t="shared" si="23"/>
        <v>#VALUE!</v>
      </c>
      <c r="V159" s="1" t="e">
        <f t="shared" si="24"/>
        <v>#VALUE!</v>
      </c>
    </row>
    <row r="160" spans="8:22" x14ac:dyDescent="0.3">
      <c r="H160" s="2" t="str">
        <f>IF(Planilha1!B157="","",Planilha1!B157)</f>
        <v>10:00p</v>
      </c>
      <c r="I160" s="2" t="str">
        <f>IF(Planilha1!C157="","",Planilha1!C157)</f>
        <v>Minnesota Timberwolves</v>
      </c>
      <c r="J160" s="2">
        <f>IF(Planilha1!D157="","",Planilha1!D157)</f>
        <v>104</v>
      </c>
      <c r="K160" s="10" t="str">
        <f>IF(Planilha1!E157="","",IF(Planilha1!E157=0,"",Planilha1!E157))</f>
        <v>Golden State Warriors</v>
      </c>
      <c r="L160" s="10">
        <f>IF(Planilha1!F157="","",Planilha1!F157)</f>
        <v>101</v>
      </c>
      <c r="M160" s="10">
        <f>IF(Planilha1!G157="","",IF(Planilha1!G157=0,"",Planilha1!G157))</f>
        <v>101</v>
      </c>
      <c r="N160" s="5">
        <f t="shared" si="17"/>
        <v>1</v>
      </c>
      <c r="O160" s="5">
        <f t="shared" si="18"/>
        <v>0</v>
      </c>
      <c r="P160" s="5">
        <f t="shared" si="19"/>
        <v>0</v>
      </c>
      <c r="Q160" s="5">
        <f t="shared" si="20"/>
        <v>2</v>
      </c>
      <c r="R160" s="8">
        <f t="shared" si="21"/>
        <v>0</v>
      </c>
      <c r="S160" s="8">
        <f t="shared" si="22"/>
        <v>0</v>
      </c>
      <c r="T160" s="3" t="e">
        <f t="shared" si="23"/>
        <v>#VALUE!</v>
      </c>
      <c r="V160" s="1" t="e">
        <f t="shared" si="24"/>
        <v>#VALUE!</v>
      </c>
    </row>
    <row r="161" spans="8:22" x14ac:dyDescent="0.3">
      <c r="H161" s="2" t="str">
        <f>IF(Planilha1!B158="","",Planilha1!B158)</f>
        <v>10:30p</v>
      </c>
      <c r="I161" s="2" t="str">
        <f>IF(Planilha1!C158="","",Planilha1!C158)</f>
        <v>Memphis Grizzlies</v>
      </c>
      <c r="J161" s="2">
        <f>IF(Planilha1!D158="","",Planilha1!D158)</f>
        <v>107</v>
      </c>
      <c r="K161" s="10" t="str">
        <f>IF(Planilha1!E158="","",IF(Planilha1!E158=0,"",Planilha1!E158))</f>
        <v>Los Angeles Lakers</v>
      </c>
      <c r="L161" s="10">
        <f>IF(Planilha1!F158="","",Planilha1!F158)</f>
        <v>134</v>
      </c>
      <c r="M161" s="10">
        <f>IF(Planilha1!G158="","",IF(Planilha1!G158=0,"",Planilha1!G158))</f>
        <v>134</v>
      </c>
      <c r="N161" s="5">
        <f t="shared" si="17"/>
        <v>1</v>
      </c>
      <c r="O161" s="5">
        <f t="shared" si="18"/>
        <v>0</v>
      </c>
      <c r="P161" s="5">
        <f t="shared" si="19"/>
        <v>0</v>
      </c>
      <c r="Q161" s="5">
        <f t="shared" si="20"/>
        <v>2</v>
      </c>
      <c r="R161" s="8">
        <f t="shared" si="21"/>
        <v>0</v>
      </c>
      <c r="S161" s="8">
        <f t="shared" si="22"/>
        <v>0</v>
      </c>
      <c r="T161" s="3" t="e">
        <f t="shared" si="23"/>
        <v>#VALUE!</v>
      </c>
      <c r="V161" s="1" t="e">
        <f t="shared" si="24"/>
        <v>#VALUE!</v>
      </c>
    </row>
    <row r="162" spans="8:22" x14ac:dyDescent="0.3">
      <c r="H162" s="2" t="str">
        <f>IF(Planilha1!B159="","",Planilha1!B159)</f>
        <v>7:00p</v>
      </c>
      <c r="I162" s="2" t="str">
        <f>IF(Planilha1!C159="","",Planilha1!C159)</f>
        <v>Dallas Mavericks</v>
      </c>
      <c r="J162" s="2">
        <f>IF(Planilha1!D159="","",Planilha1!D159)</f>
        <v>130</v>
      </c>
      <c r="K162" s="10" t="str">
        <f>IF(Planilha1!E159="","",IF(Planilha1!E159=0,"",Planilha1!E159))</f>
        <v>Washington Wizards</v>
      </c>
      <c r="L162" s="10">
        <f>IF(Planilha1!F159="","",Planilha1!F159)</f>
        <v>117</v>
      </c>
      <c r="M162" s="10">
        <f>IF(Planilha1!G159="","",IF(Planilha1!G159=0,"",Planilha1!G159))</f>
        <v>117</v>
      </c>
      <c r="N162" s="5">
        <f t="shared" si="17"/>
        <v>1</v>
      </c>
      <c r="O162" s="5">
        <f t="shared" si="18"/>
        <v>0</v>
      </c>
      <c r="P162" s="5">
        <f t="shared" si="19"/>
        <v>0</v>
      </c>
      <c r="Q162" s="5">
        <f t="shared" si="20"/>
        <v>2</v>
      </c>
      <c r="R162" s="8">
        <f t="shared" si="21"/>
        <v>0</v>
      </c>
      <c r="S162" s="8">
        <f t="shared" si="22"/>
        <v>0</v>
      </c>
      <c r="T162" s="3" t="e">
        <f t="shared" si="23"/>
        <v>#VALUE!</v>
      </c>
      <c r="V162" s="1" t="e">
        <f t="shared" si="24"/>
        <v>#VALUE!</v>
      </c>
    </row>
    <row r="163" spans="8:22" x14ac:dyDescent="0.3">
      <c r="H163" s="2" t="str">
        <f>IF(Planilha1!B160="","",Planilha1!B160)</f>
        <v>7:30p</v>
      </c>
      <c r="I163" s="2" t="str">
        <f>IF(Planilha1!C160="","",Planilha1!C160)</f>
        <v>New York Knicks</v>
      </c>
      <c r="J163" s="2">
        <f>IF(Planilha1!D160="","",Planilha1!D160)</f>
        <v>116</v>
      </c>
      <c r="K163" s="10" t="str">
        <f>IF(Planilha1!E160="","",IF(Planilha1!E160=0,"",Planilha1!E160))</f>
        <v>Atlanta Hawks</v>
      </c>
      <c r="L163" s="10">
        <f>IF(Planilha1!F160="","",Planilha1!F160)</f>
        <v>114</v>
      </c>
      <c r="M163" s="10">
        <f>IF(Planilha1!G160="","",IF(Planilha1!G160=0,"",Planilha1!G160))</f>
        <v>114</v>
      </c>
      <c r="N163" s="5">
        <f t="shared" si="17"/>
        <v>1</v>
      </c>
      <c r="O163" s="5">
        <f t="shared" si="18"/>
        <v>0</v>
      </c>
      <c r="P163" s="5">
        <f t="shared" si="19"/>
        <v>0</v>
      </c>
      <c r="Q163" s="5">
        <f t="shared" si="20"/>
        <v>2</v>
      </c>
      <c r="R163" s="8">
        <f t="shared" si="21"/>
        <v>0</v>
      </c>
      <c r="S163" s="8">
        <f t="shared" si="22"/>
        <v>0</v>
      </c>
      <c r="T163" s="3" t="e">
        <f t="shared" si="23"/>
        <v>#VALUE!</v>
      </c>
      <c r="V163" s="1" t="e">
        <f t="shared" si="24"/>
        <v>#VALUE!</v>
      </c>
    </row>
    <row r="164" spans="8:22" x14ac:dyDescent="0.3">
      <c r="H164" s="2" t="str">
        <f>IF(Planilha1!B161="","",Planilha1!B161)</f>
        <v>7:30p</v>
      </c>
      <c r="I164" s="2" t="str">
        <f>IF(Planilha1!C161="","",Planilha1!C161)</f>
        <v>Boston Celtics</v>
      </c>
      <c r="J164" s="2">
        <f>IF(Planilha1!D161="","",Planilha1!D161)</f>
        <v>117</v>
      </c>
      <c r="K164" s="10" t="str">
        <f>IF(Planilha1!E161="","",IF(Planilha1!E161=0,"",Planilha1!E161))</f>
        <v>Philadelphia 76ers</v>
      </c>
      <c r="L164" s="10">
        <f>IF(Planilha1!F161="","",Planilha1!F161)</f>
        <v>107</v>
      </c>
      <c r="M164" s="10">
        <f>IF(Planilha1!G161="","",IF(Planilha1!G161=0,"",Planilha1!G161))</f>
        <v>107</v>
      </c>
      <c r="N164" s="5">
        <f t="shared" si="17"/>
        <v>1</v>
      </c>
      <c r="O164" s="5">
        <f t="shared" si="18"/>
        <v>0</v>
      </c>
      <c r="P164" s="5">
        <f t="shared" si="19"/>
        <v>0</v>
      </c>
      <c r="Q164" s="5">
        <f t="shared" si="20"/>
        <v>2</v>
      </c>
      <c r="R164" s="8">
        <f t="shared" si="21"/>
        <v>0</v>
      </c>
      <c r="S164" s="8">
        <f t="shared" si="22"/>
        <v>0</v>
      </c>
      <c r="T164" s="3" t="e">
        <f t="shared" si="23"/>
        <v>#VALUE!</v>
      </c>
      <c r="V164" s="1" t="e">
        <f t="shared" si="24"/>
        <v>#VALUE!</v>
      </c>
    </row>
    <row r="165" spans="8:22" x14ac:dyDescent="0.3">
      <c r="H165" s="2" t="str">
        <f>IF(Planilha1!B162="","",Planilha1!B162)</f>
        <v>7:30p</v>
      </c>
      <c r="I165" s="2" t="str">
        <f>IF(Planilha1!C162="","",Planilha1!C162)</f>
        <v>Milwaukee Bucks</v>
      </c>
      <c r="J165" s="2">
        <f>IF(Planilha1!D162="","",Planilha1!D162)</f>
        <v>128</v>
      </c>
      <c r="K165" s="10" t="str">
        <f>IF(Planilha1!E162="","",IF(Planilha1!E162=0,"",Planilha1!E162))</f>
        <v>Toronto Raptors</v>
      </c>
      <c r="L165" s="10">
        <f>IF(Planilha1!F162="","",Planilha1!F162)</f>
        <v>112</v>
      </c>
      <c r="M165" s="10">
        <f>IF(Planilha1!G162="","",IF(Planilha1!G162=0,"",Planilha1!G162))</f>
        <v>112</v>
      </c>
      <c r="N165" s="5">
        <f t="shared" si="17"/>
        <v>1</v>
      </c>
      <c r="O165" s="5">
        <f t="shared" si="18"/>
        <v>0</v>
      </c>
      <c r="P165" s="5">
        <f t="shared" si="19"/>
        <v>0</v>
      </c>
      <c r="Q165" s="5">
        <f t="shared" si="20"/>
        <v>2</v>
      </c>
      <c r="R165" s="8">
        <f t="shared" si="21"/>
        <v>0</v>
      </c>
      <c r="S165" s="8">
        <f t="shared" si="22"/>
        <v>0</v>
      </c>
      <c r="T165" s="3" t="e">
        <f t="shared" si="23"/>
        <v>#VALUE!</v>
      </c>
      <c r="V165" s="1" t="e">
        <f t="shared" si="24"/>
        <v>#VALUE!</v>
      </c>
    </row>
    <row r="166" spans="8:22" x14ac:dyDescent="0.3">
      <c r="H166" s="2" t="str">
        <f>IF(Planilha1!B163="","",Planilha1!B163)</f>
        <v>8:00p</v>
      </c>
      <c r="I166" s="2" t="str">
        <f>IF(Planilha1!C163="","",Planilha1!C163)</f>
        <v>Orlando Magic</v>
      </c>
      <c r="J166" s="2">
        <f>IF(Planilha1!D163="","",Planilha1!D163)</f>
        <v>96</v>
      </c>
      <c r="K166" s="10" t="str">
        <f>IF(Planilha1!E163="","",IF(Planilha1!E163=0,"",Planilha1!E163))</f>
        <v>Chicago Bulls</v>
      </c>
      <c r="L166" s="10">
        <f>IF(Planilha1!F163="","",Planilha1!F163)</f>
        <v>94</v>
      </c>
      <c r="M166" s="10">
        <f>IF(Planilha1!G163="","",IF(Planilha1!G163=0,"",Planilha1!G163))</f>
        <v>94</v>
      </c>
      <c r="N166" s="5">
        <f t="shared" si="17"/>
        <v>1</v>
      </c>
      <c r="O166" s="5">
        <f t="shared" si="18"/>
        <v>0</v>
      </c>
      <c r="P166" s="5">
        <f t="shared" si="19"/>
        <v>0</v>
      </c>
      <c r="Q166" s="5">
        <f t="shared" si="20"/>
        <v>2</v>
      </c>
      <c r="R166" s="8">
        <f t="shared" si="21"/>
        <v>0</v>
      </c>
      <c r="S166" s="8">
        <f t="shared" si="22"/>
        <v>0</v>
      </c>
      <c r="T166" s="3" t="e">
        <f t="shared" si="23"/>
        <v>#VALUE!</v>
      </c>
      <c r="V166" s="1" t="e">
        <f t="shared" si="24"/>
        <v>#VALUE!</v>
      </c>
    </row>
    <row r="167" spans="8:22" x14ac:dyDescent="0.3">
      <c r="H167" s="2" t="str">
        <f>IF(Planilha1!B164="","",Planilha1!B164)</f>
        <v>9:00p</v>
      </c>
      <c r="I167" s="2" t="str">
        <f>IF(Planilha1!C164="","",Planilha1!C164)</f>
        <v>Minnesota Timberwolves</v>
      </c>
      <c r="J167" s="2">
        <f>IF(Planilha1!D164="","",Planilha1!D164)</f>
        <v>115</v>
      </c>
      <c r="K167" s="10" t="str">
        <f>IF(Planilha1!E164="","",IF(Planilha1!E164=0,"",Planilha1!E164))</f>
        <v>Phoenix Suns</v>
      </c>
      <c r="L167" s="10">
        <f>IF(Planilha1!F164="","",Planilha1!F164)</f>
        <v>133</v>
      </c>
      <c r="M167" s="10">
        <f>IF(Planilha1!G164="","",IF(Planilha1!G164=0,"",Planilha1!G164))</f>
        <v>133</v>
      </c>
      <c r="N167" s="5">
        <f t="shared" si="17"/>
        <v>1</v>
      </c>
      <c r="O167" s="5">
        <f t="shared" si="18"/>
        <v>0</v>
      </c>
      <c r="P167" s="5">
        <f t="shared" si="19"/>
        <v>0</v>
      </c>
      <c r="Q167" s="5">
        <f t="shared" si="20"/>
        <v>2</v>
      </c>
      <c r="R167" s="8">
        <f t="shared" si="21"/>
        <v>0</v>
      </c>
      <c r="S167" s="8">
        <f t="shared" si="22"/>
        <v>0</v>
      </c>
      <c r="T167" s="3" t="e">
        <f t="shared" si="23"/>
        <v>#VALUE!</v>
      </c>
      <c r="V167" s="1" t="e">
        <f t="shared" si="24"/>
        <v>#VALUE!</v>
      </c>
    </row>
    <row r="168" spans="8:22" x14ac:dyDescent="0.3">
      <c r="H168" s="2" t="str">
        <f>IF(Planilha1!B165="","",Planilha1!B165)</f>
        <v>10:00p</v>
      </c>
      <c r="I168" s="2" t="str">
        <f>IF(Planilha1!C165="","",Planilha1!C165)</f>
        <v>Sacramento Kings</v>
      </c>
      <c r="J168" s="2">
        <f>IF(Planilha1!D165="","",Planilha1!D165)</f>
        <v>125</v>
      </c>
      <c r="K168" s="10" t="str">
        <f>IF(Planilha1!E165="","",IF(Planilha1!E165=0,"",Planilha1!E165))</f>
        <v>Los Angeles Lakers</v>
      </c>
      <c r="L168" s="10">
        <f>IF(Planilha1!F165="","",Planilha1!F165)</f>
        <v>110</v>
      </c>
      <c r="M168" s="10">
        <f>IF(Planilha1!G165="","",IF(Planilha1!G165=0,"",Planilha1!G165))</f>
        <v>110</v>
      </c>
      <c r="N168" s="5">
        <f t="shared" si="17"/>
        <v>1</v>
      </c>
      <c r="O168" s="5">
        <f t="shared" si="18"/>
        <v>0</v>
      </c>
      <c r="P168" s="5">
        <f t="shared" si="19"/>
        <v>0</v>
      </c>
      <c r="Q168" s="5">
        <f t="shared" si="20"/>
        <v>2</v>
      </c>
      <c r="R168" s="8">
        <f t="shared" si="21"/>
        <v>0</v>
      </c>
      <c r="S168" s="8">
        <f t="shared" si="22"/>
        <v>0</v>
      </c>
      <c r="T168" s="3" t="e">
        <f t="shared" si="23"/>
        <v>#VALUE!</v>
      </c>
      <c r="V168" s="1" t="e">
        <f t="shared" si="24"/>
        <v>#VALUE!</v>
      </c>
    </row>
    <row r="169" spans="8:22" x14ac:dyDescent="0.3">
      <c r="H169" s="2" t="str">
        <f>IF(Planilha1!B166="","",Planilha1!B166)</f>
        <v>10:00p</v>
      </c>
      <c r="I169" s="2" t="str">
        <f>IF(Planilha1!C166="","",Planilha1!C166)</f>
        <v>Cleveland Cavaliers</v>
      </c>
      <c r="J169" s="2">
        <f>IF(Planilha1!D166="","",Planilha1!D166)</f>
        <v>109</v>
      </c>
      <c r="K169" s="10" t="str">
        <f>IF(Planilha1!E166="","",IF(Planilha1!E166=0,"",Planilha1!E166))</f>
        <v>Portland Trail Blazers</v>
      </c>
      <c r="L169" s="10">
        <f>IF(Planilha1!F166="","",Planilha1!F166)</f>
        <v>95</v>
      </c>
      <c r="M169" s="10">
        <f>IF(Planilha1!G166="","",IF(Planilha1!G166=0,"",Planilha1!G166))</f>
        <v>95</v>
      </c>
      <c r="N169" s="5">
        <f t="shared" si="17"/>
        <v>1</v>
      </c>
      <c r="O169" s="5">
        <f t="shared" si="18"/>
        <v>0</v>
      </c>
      <c r="P169" s="5">
        <f t="shared" si="19"/>
        <v>0</v>
      </c>
      <c r="Q169" s="5">
        <f t="shared" si="20"/>
        <v>2</v>
      </c>
      <c r="R169" s="8">
        <f t="shared" si="21"/>
        <v>0</v>
      </c>
      <c r="S169" s="8">
        <f t="shared" si="22"/>
        <v>0</v>
      </c>
      <c r="T169" s="3" t="e">
        <f t="shared" si="23"/>
        <v>#VALUE!</v>
      </c>
      <c r="V169" s="1" t="e">
        <f t="shared" si="24"/>
        <v>#VALUE!</v>
      </c>
    </row>
    <row r="170" spans="8:22" x14ac:dyDescent="0.3">
      <c r="H170" s="2" t="str">
        <f>IF(Planilha1!B167="","",Planilha1!B167)</f>
        <v>7:30p</v>
      </c>
      <c r="I170" s="2" t="str">
        <f>IF(Planilha1!C167="","",Planilha1!C167)</f>
        <v>Brooklyn Nets</v>
      </c>
      <c r="J170" s="2">
        <f>IF(Planilha1!D167="","",Planilha1!D167)</f>
        <v>115</v>
      </c>
      <c r="K170" s="10" t="str">
        <f>IF(Planilha1!E167="","",IF(Planilha1!E167=0,"",Planilha1!E167))</f>
        <v>Miami Heat</v>
      </c>
      <c r="L170" s="10">
        <f>IF(Planilha1!F167="","",Planilha1!F167)</f>
        <v>122</v>
      </c>
      <c r="M170" s="10">
        <f>IF(Planilha1!G167="","",IF(Planilha1!G167=0,"",Planilha1!G167))</f>
        <v>122</v>
      </c>
      <c r="N170" s="5">
        <f t="shared" si="17"/>
        <v>1</v>
      </c>
      <c r="O170" s="5">
        <f t="shared" si="18"/>
        <v>0</v>
      </c>
      <c r="P170" s="5">
        <f t="shared" si="19"/>
        <v>0</v>
      </c>
      <c r="Q170" s="5">
        <f t="shared" si="20"/>
        <v>2</v>
      </c>
      <c r="R170" s="8">
        <f t="shared" si="21"/>
        <v>0</v>
      </c>
      <c r="S170" s="8">
        <f t="shared" si="22"/>
        <v>0</v>
      </c>
      <c r="T170" s="3" t="e">
        <f t="shared" si="23"/>
        <v>#VALUE!</v>
      </c>
      <c r="V170" s="1" t="e">
        <f t="shared" si="24"/>
        <v>#VALUE!</v>
      </c>
    </row>
    <row r="171" spans="8:22" x14ac:dyDescent="0.3">
      <c r="H171" s="2" t="str">
        <f>IF(Planilha1!B168="","",Planilha1!B168)</f>
        <v>10:00p</v>
      </c>
      <c r="I171" s="2" t="str">
        <f>IF(Planilha1!C168="","",Planilha1!C168)</f>
        <v>Oklahoma City Thunder</v>
      </c>
      <c r="J171" s="2">
        <f>IF(Planilha1!D168="","",Planilha1!D168)</f>
        <v>128</v>
      </c>
      <c r="K171" s="10" t="str">
        <f>IF(Planilha1!E168="","",IF(Planilha1!E168=0,"",Planilha1!E168))</f>
        <v>Golden State Warriors</v>
      </c>
      <c r="L171" s="10">
        <f>IF(Planilha1!F168="","",Planilha1!F168)</f>
        <v>109</v>
      </c>
      <c r="M171" s="10">
        <f>IF(Planilha1!G168="","",IF(Planilha1!G168=0,"",Planilha1!G168))</f>
        <v>109</v>
      </c>
      <c r="N171" s="5">
        <f t="shared" si="17"/>
        <v>1</v>
      </c>
      <c r="O171" s="5">
        <f t="shared" si="18"/>
        <v>0</v>
      </c>
      <c r="P171" s="5">
        <f t="shared" si="19"/>
        <v>0</v>
      </c>
      <c r="Q171" s="5">
        <f t="shared" si="20"/>
        <v>2</v>
      </c>
      <c r="R171" s="8">
        <f t="shared" si="21"/>
        <v>0</v>
      </c>
      <c r="S171" s="8">
        <f t="shared" si="22"/>
        <v>0</v>
      </c>
      <c r="T171" s="3" t="e">
        <f t="shared" si="23"/>
        <v>#VALUE!</v>
      </c>
      <c r="V171" s="1" t="e">
        <f t="shared" si="24"/>
        <v>#VALUE!</v>
      </c>
    </row>
    <row r="172" spans="8:22" x14ac:dyDescent="0.3">
      <c r="H172" s="2" t="str">
        <f>IF(Planilha1!B169="","",Planilha1!B169)</f>
        <v>7:00p</v>
      </c>
      <c r="I172" s="2" t="str">
        <f>IF(Planilha1!C169="","",Planilha1!C169)</f>
        <v>Milwaukee Bucks</v>
      </c>
      <c r="J172" s="2">
        <f>IF(Planilha1!D169="","",Planilha1!D169)</f>
        <v>130</v>
      </c>
      <c r="K172" s="10" t="str">
        <f>IF(Planilha1!E169="","",IF(Planilha1!E169=0,"",Planilha1!E169))</f>
        <v>Charlotte Hornets</v>
      </c>
      <c r="L172" s="10">
        <f>IF(Planilha1!F169="","",Planilha1!F169)</f>
        <v>99</v>
      </c>
      <c r="M172" s="10">
        <f>IF(Planilha1!G169="","",IF(Planilha1!G169=0,"",Planilha1!G169))</f>
        <v>99</v>
      </c>
      <c r="N172" s="5">
        <f t="shared" si="17"/>
        <v>1</v>
      </c>
      <c r="O172" s="5">
        <f t="shared" si="18"/>
        <v>0</v>
      </c>
      <c r="P172" s="5">
        <f t="shared" si="19"/>
        <v>0</v>
      </c>
      <c r="Q172" s="5">
        <f t="shared" si="20"/>
        <v>2</v>
      </c>
      <c r="R172" s="8">
        <f t="shared" si="21"/>
        <v>0</v>
      </c>
      <c r="S172" s="8">
        <f t="shared" si="22"/>
        <v>0</v>
      </c>
      <c r="T172" s="3" t="e">
        <f t="shared" si="23"/>
        <v>#VALUE!</v>
      </c>
      <c r="V172" s="1" t="e">
        <f t="shared" si="24"/>
        <v>#VALUE!</v>
      </c>
    </row>
    <row r="173" spans="8:22" x14ac:dyDescent="0.3">
      <c r="H173" s="2" t="str">
        <f>IF(Planilha1!B170="","",Planilha1!B170)</f>
        <v>7:00p</v>
      </c>
      <c r="I173" s="2" t="str">
        <f>IF(Planilha1!C170="","",Planilha1!C170)</f>
        <v>New York Knicks</v>
      </c>
      <c r="J173" s="2">
        <f>IF(Planilha1!D170="","",Planilha1!D170)</f>
        <v>120</v>
      </c>
      <c r="K173" s="10" t="str">
        <f>IF(Planilha1!E170="","",IF(Planilha1!E170=0,"",Planilha1!E170))</f>
        <v>Washington Wizards</v>
      </c>
      <c r="L173" s="10">
        <f>IF(Planilha1!F170="","",Planilha1!F170)</f>
        <v>99</v>
      </c>
      <c r="M173" s="10">
        <f>IF(Planilha1!G170="","",IF(Planilha1!G170=0,"",Planilha1!G170))</f>
        <v>99</v>
      </c>
      <c r="N173" s="5">
        <f t="shared" si="17"/>
        <v>1</v>
      </c>
      <c r="O173" s="5">
        <f t="shared" si="18"/>
        <v>0</v>
      </c>
      <c r="P173" s="5">
        <f t="shared" si="19"/>
        <v>0</v>
      </c>
      <c r="Q173" s="5">
        <f t="shared" si="20"/>
        <v>2</v>
      </c>
      <c r="R173" s="8">
        <f t="shared" si="21"/>
        <v>0</v>
      </c>
      <c r="S173" s="8">
        <f t="shared" si="22"/>
        <v>0</v>
      </c>
      <c r="T173" s="3" t="e">
        <f t="shared" si="23"/>
        <v>#VALUE!</v>
      </c>
      <c r="V173" s="1" t="e">
        <f t="shared" si="24"/>
        <v>#VALUE!</v>
      </c>
    </row>
    <row r="174" spans="8:22" x14ac:dyDescent="0.3">
      <c r="H174" s="2" t="str">
        <f>IF(Planilha1!B171="","",Planilha1!B171)</f>
        <v>7:30p</v>
      </c>
      <c r="I174" s="2" t="str">
        <f>IF(Planilha1!C171="","",Planilha1!C171)</f>
        <v>Philadelphia 76ers</v>
      </c>
      <c r="J174" s="2">
        <f>IF(Planilha1!D171="","",Planilha1!D171)</f>
        <v>126</v>
      </c>
      <c r="K174" s="10" t="str">
        <f>IF(Planilha1!E171="","",IF(Planilha1!E171=0,"",Planilha1!E171))</f>
        <v>Atlanta Hawks</v>
      </c>
      <c r="L174" s="10">
        <f>IF(Planilha1!F171="","",Planilha1!F171)</f>
        <v>116</v>
      </c>
      <c r="M174" s="10">
        <f>IF(Planilha1!G171="","",IF(Planilha1!G171=0,"",Planilha1!G171))</f>
        <v>116</v>
      </c>
      <c r="N174" s="5">
        <f t="shared" si="17"/>
        <v>1</v>
      </c>
      <c r="O174" s="5">
        <f t="shared" si="18"/>
        <v>0</v>
      </c>
      <c r="P174" s="5">
        <f t="shared" si="19"/>
        <v>0</v>
      </c>
      <c r="Q174" s="5">
        <f t="shared" si="20"/>
        <v>2</v>
      </c>
      <c r="R174" s="8">
        <f t="shared" si="21"/>
        <v>0</v>
      </c>
      <c r="S174" s="8">
        <f t="shared" si="22"/>
        <v>0</v>
      </c>
      <c r="T174" s="3" t="e">
        <f t="shared" si="23"/>
        <v>#VALUE!</v>
      </c>
      <c r="V174" s="1" t="e">
        <f t="shared" si="24"/>
        <v>#VALUE!</v>
      </c>
    </row>
    <row r="175" spans="8:22" x14ac:dyDescent="0.3">
      <c r="H175" s="2" t="str">
        <f>IF(Planilha1!B172="","",Planilha1!B172)</f>
        <v>7:30p</v>
      </c>
      <c r="I175" s="2" t="str">
        <f>IF(Planilha1!C172="","",Planilha1!C172)</f>
        <v>Detroit Pistons</v>
      </c>
      <c r="J175" s="2">
        <f>IF(Planilha1!D172="","",Planilha1!D172)</f>
        <v>100</v>
      </c>
      <c r="K175" s="10" t="str">
        <f>IF(Planilha1!E172="","",IF(Planilha1!E172=0,"",Planilha1!E172))</f>
        <v>Cleveland Cavaliers</v>
      </c>
      <c r="L175" s="10">
        <f>IF(Planilha1!F172="","",Planilha1!F172)</f>
        <v>108</v>
      </c>
      <c r="M175" s="10">
        <f>IF(Planilha1!G172="","",IF(Planilha1!G172=0,"",Planilha1!G172))</f>
        <v>108</v>
      </c>
      <c r="N175" s="5">
        <f t="shared" si="17"/>
        <v>1</v>
      </c>
      <c r="O175" s="5">
        <f t="shared" si="18"/>
        <v>0</v>
      </c>
      <c r="P175" s="5">
        <f t="shared" si="19"/>
        <v>0</v>
      </c>
      <c r="Q175" s="5">
        <f t="shared" si="20"/>
        <v>2</v>
      </c>
      <c r="R175" s="8">
        <f t="shared" si="21"/>
        <v>0</v>
      </c>
      <c r="S175" s="8">
        <f t="shared" si="22"/>
        <v>0</v>
      </c>
      <c r="T175" s="3" t="e">
        <f t="shared" si="23"/>
        <v>#VALUE!</v>
      </c>
      <c r="V175" s="1" t="e">
        <f t="shared" si="24"/>
        <v>#VALUE!</v>
      </c>
    </row>
    <row r="176" spans="8:22" x14ac:dyDescent="0.3">
      <c r="H176" s="2" t="str">
        <f>IF(Planilha1!B173="","",Planilha1!B173)</f>
        <v>7:30p</v>
      </c>
      <c r="I176" s="2" t="str">
        <f>IF(Planilha1!C173="","",Planilha1!C173)</f>
        <v>Sacramento Kings</v>
      </c>
      <c r="J176" s="2">
        <f>IF(Planilha1!D173="","",Planilha1!D173)</f>
        <v>129</v>
      </c>
      <c r="K176" s="10" t="str">
        <f>IF(Planilha1!E173="","",IF(Planilha1!E173=0,"",Planilha1!E173))</f>
        <v>San Antonio Spurs</v>
      </c>
      <c r="L176" s="10">
        <f>IF(Planilha1!F173="","",Planilha1!F173)</f>
        <v>120</v>
      </c>
      <c r="M176" s="10">
        <f>IF(Planilha1!G173="","",IF(Planilha1!G173=0,"",Planilha1!G173))</f>
        <v>120</v>
      </c>
      <c r="N176" s="5">
        <f t="shared" si="17"/>
        <v>1</v>
      </c>
      <c r="O176" s="5">
        <f t="shared" si="18"/>
        <v>0</v>
      </c>
      <c r="P176" s="5">
        <f t="shared" si="19"/>
        <v>0</v>
      </c>
      <c r="Q176" s="5">
        <f t="shared" si="20"/>
        <v>2</v>
      </c>
      <c r="R176" s="8">
        <f t="shared" si="21"/>
        <v>0</v>
      </c>
      <c r="S176" s="8">
        <f t="shared" si="22"/>
        <v>0</v>
      </c>
      <c r="T176" s="3" t="e">
        <f t="shared" si="23"/>
        <v>#VALUE!</v>
      </c>
      <c r="V176" s="1" t="e">
        <f t="shared" si="24"/>
        <v>#VALUE!</v>
      </c>
    </row>
    <row r="177" spans="8:22" x14ac:dyDescent="0.3">
      <c r="H177" s="2" t="str">
        <f>IF(Planilha1!B174="","",Planilha1!B174)</f>
        <v>7:30p</v>
      </c>
      <c r="I177" s="2" t="str">
        <f>IF(Planilha1!C174="","",Planilha1!C174)</f>
        <v>Boston Celtics</v>
      </c>
      <c r="J177" s="2">
        <f>IF(Planilha1!D174="","",Planilha1!D174)</f>
        <v>108</v>
      </c>
      <c r="K177" s="10" t="str">
        <f>IF(Planilha1!E174="","",IF(Planilha1!E174=0,"",Planilha1!E174))</f>
        <v>Toronto Raptors</v>
      </c>
      <c r="L177" s="10">
        <f>IF(Planilha1!F174="","",Planilha1!F174)</f>
        <v>105</v>
      </c>
      <c r="M177" s="10">
        <f>IF(Planilha1!G174="","",IF(Planilha1!G174=0,"",Planilha1!G174))</f>
        <v>105</v>
      </c>
      <c r="N177" s="5">
        <f t="shared" si="17"/>
        <v>1</v>
      </c>
      <c r="O177" s="5">
        <f t="shared" si="18"/>
        <v>0</v>
      </c>
      <c r="P177" s="5">
        <f t="shared" si="19"/>
        <v>0</v>
      </c>
      <c r="Q177" s="5">
        <f t="shared" si="20"/>
        <v>2</v>
      </c>
      <c r="R177" s="8">
        <f t="shared" si="21"/>
        <v>0</v>
      </c>
      <c r="S177" s="8">
        <f t="shared" si="22"/>
        <v>0</v>
      </c>
      <c r="T177" s="3" t="e">
        <f t="shared" si="23"/>
        <v>#VALUE!</v>
      </c>
      <c r="V177" s="1" t="e">
        <f t="shared" si="24"/>
        <v>#VALUE!</v>
      </c>
    </row>
    <row r="178" spans="8:22" x14ac:dyDescent="0.3">
      <c r="H178" s="2" t="str">
        <f>IF(Planilha1!B175="","",Planilha1!B175)</f>
        <v>8:00p</v>
      </c>
      <c r="I178" s="2" t="str">
        <f>IF(Planilha1!C175="","",Planilha1!C175)</f>
        <v>Orlando Magic</v>
      </c>
      <c r="J178" s="2">
        <f>IF(Planilha1!D175="","",Planilha1!D175)</f>
        <v>103</v>
      </c>
      <c r="K178" s="10" t="str">
        <f>IF(Planilha1!E175="","",IF(Planilha1!E175=0,"",Planilha1!E175))</f>
        <v>Chicago Bulls</v>
      </c>
      <c r="L178" s="10">
        <f>IF(Planilha1!F175="","",Planilha1!F175)</f>
        <v>97</v>
      </c>
      <c r="M178" s="10">
        <f>IF(Planilha1!G175="","",IF(Planilha1!G175=0,"",Planilha1!G175))</f>
        <v>97</v>
      </c>
      <c r="N178" s="5">
        <f t="shared" si="17"/>
        <v>1</v>
      </c>
      <c r="O178" s="5">
        <f t="shared" si="18"/>
        <v>0</v>
      </c>
      <c r="P178" s="5">
        <f t="shared" si="19"/>
        <v>0</v>
      </c>
      <c r="Q178" s="5">
        <f t="shared" si="20"/>
        <v>2</v>
      </c>
      <c r="R178" s="8">
        <f t="shared" si="21"/>
        <v>0</v>
      </c>
      <c r="S178" s="8">
        <f t="shared" si="22"/>
        <v>0</v>
      </c>
      <c r="T178" s="3" t="e">
        <f t="shared" si="23"/>
        <v>#VALUE!</v>
      </c>
      <c r="V178" s="1" t="e">
        <f t="shared" si="24"/>
        <v>#VALUE!</v>
      </c>
    </row>
    <row r="179" spans="8:22" x14ac:dyDescent="0.3">
      <c r="H179" s="2" t="str">
        <f>IF(Planilha1!B176="","",Planilha1!B176)</f>
        <v>8:00p</v>
      </c>
      <c r="I179" s="2" t="str">
        <f>IF(Planilha1!C176="","",Planilha1!C176)</f>
        <v>Denver Nuggets</v>
      </c>
      <c r="J179" s="2">
        <f>IF(Planilha1!D176="","",Planilha1!D176)</f>
        <v>110</v>
      </c>
      <c r="K179" s="10" t="str">
        <f>IF(Planilha1!E176="","",IF(Planilha1!E176=0,"",Planilha1!E176))</f>
        <v>New Orleans Pelicans</v>
      </c>
      <c r="L179" s="10">
        <f>IF(Planilha1!F176="","",Planilha1!F176)</f>
        <v>115</v>
      </c>
      <c r="M179" s="10">
        <f>IF(Planilha1!G176="","",IF(Planilha1!G176=0,"",Planilha1!G176))</f>
        <v>115</v>
      </c>
      <c r="N179" s="5">
        <f t="shared" si="17"/>
        <v>1</v>
      </c>
      <c r="O179" s="5">
        <f t="shared" si="18"/>
        <v>0</v>
      </c>
      <c r="P179" s="5">
        <f t="shared" si="19"/>
        <v>0</v>
      </c>
      <c r="Q179" s="5">
        <f t="shared" si="20"/>
        <v>2</v>
      </c>
      <c r="R179" s="8">
        <f t="shared" si="21"/>
        <v>0</v>
      </c>
      <c r="S179" s="8">
        <f t="shared" si="22"/>
        <v>0</v>
      </c>
      <c r="T179" s="3" t="e">
        <f t="shared" si="23"/>
        <v>#VALUE!</v>
      </c>
      <c r="V179" s="1" t="e">
        <f t="shared" si="24"/>
        <v>#VALUE!</v>
      </c>
    </row>
    <row r="180" spans="8:22" x14ac:dyDescent="0.3">
      <c r="H180" s="2" t="str">
        <f>IF(Planilha1!B177="","",Planilha1!B177)</f>
        <v>10:00p</v>
      </c>
      <c r="I180" s="2" t="str">
        <f>IF(Planilha1!C177="","",Planilha1!C177)</f>
        <v>Los Angeles Lakers</v>
      </c>
      <c r="J180" s="2">
        <f>IF(Planilha1!D177="","",Planilha1!D177)</f>
        <v>107</v>
      </c>
      <c r="K180" s="10" t="str">
        <f>IF(Planilha1!E177="","",IF(Planilha1!E177=0,"",Planilha1!E177))</f>
        <v>Portland Trail Blazers</v>
      </c>
      <c r="L180" s="10">
        <f>IF(Planilha1!F177="","",Planilha1!F177)</f>
        <v>95</v>
      </c>
      <c r="M180" s="10">
        <f>IF(Planilha1!G177="","",IF(Planilha1!G177=0,"",Planilha1!G177))</f>
        <v>95</v>
      </c>
      <c r="N180" s="5">
        <f t="shared" si="17"/>
        <v>1</v>
      </c>
      <c r="O180" s="5">
        <f t="shared" si="18"/>
        <v>0</v>
      </c>
      <c r="P180" s="5">
        <f t="shared" si="19"/>
        <v>0</v>
      </c>
      <c r="Q180" s="5">
        <f t="shared" si="20"/>
        <v>2</v>
      </c>
      <c r="R180" s="8">
        <f t="shared" si="21"/>
        <v>0</v>
      </c>
      <c r="S180" s="8">
        <f t="shared" si="22"/>
        <v>0</v>
      </c>
      <c r="T180" s="3" t="e">
        <f t="shared" si="23"/>
        <v>#VALUE!</v>
      </c>
      <c r="V180" s="1" t="e">
        <f t="shared" si="24"/>
        <v>#VALUE!</v>
      </c>
    </row>
    <row r="181" spans="8:22" x14ac:dyDescent="0.3">
      <c r="H181" s="2" t="str">
        <f>IF(Planilha1!B178="","",Planilha1!B178)</f>
        <v>10:00p</v>
      </c>
      <c r="I181" s="2" t="str">
        <f>IF(Planilha1!C178="","",Planilha1!C178)</f>
        <v>Phoenix Suns</v>
      </c>
      <c r="J181" s="2">
        <f>IF(Planilha1!D178="","",Planilha1!D178)</f>
        <v>131</v>
      </c>
      <c r="K181" s="10" t="str">
        <f>IF(Planilha1!E178="","",IF(Planilha1!E178=0,"",Planilha1!E178))</f>
        <v>Utah Jazz</v>
      </c>
      <c r="L181" s="10">
        <f>IF(Planilha1!F178="","",Planilha1!F178)</f>
        <v>128</v>
      </c>
      <c r="M181" s="10">
        <f>IF(Planilha1!G178="","",IF(Planilha1!G178=0,"",Planilha1!G178))</f>
        <v>128</v>
      </c>
      <c r="N181" s="5">
        <f t="shared" si="17"/>
        <v>1</v>
      </c>
      <c r="O181" s="5">
        <f t="shared" si="18"/>
        <v>0</v>
      </c>
      <c r="P181" s="5">
        <f t="shared" si="19"/>
        <v>0</v>
      </c>
      <c r="Q181" s="5">
        <f t="shared" si="20"/>
        <v>2</v>
      </c>
      <c r="R181" s="8">
        <f t="shared" si="21"/>
        <v>0</v>
      </c>
      <c r="S181" s="8">
        <f t="shared" si="22"/>
        <v>0</v>
      </c>
      <c r="T181" s="3" t="e">
        <f t="shared" si="23"/>
        <v>#VALUE!</v>
      </c>
      <c r="V181" s="1" t="e">
        <f t="shared" si="24"/>
        <v>#VALUE!</v>
      </c>
    </row>
    <row r="182" spans="8:22" x14ac:dyDescent="0.3">
      <c r="H182" s="2" t="str">
        <f>IF(Planilha1!B179="","",Planilha1!B179)</f>
        <v>10:30p</v>
      </c>
      <c r="I182" s="2" t="str">
        <f>IF(Planilha1!C179="","",Planilha1!C179)</f>
        <v>Houston Rockets</v>
      </c>
      <c r="J182" s="2">
        <f>IF(Planilha1!D179="","",Planilha1!D179)</f>
        <v>100</v>
      </c>
      <c r="K182" s="10" t="str">
        <f>IF(Planilha1!E179="","",IF(Planilha1!E179=0,"",Planilha1!E179))</f>
        <v>Los Angeles Clippers</v>
      </c>
      <c r="L182" s="10">
        <f>IF(Planilha1!F179="","",Planilha1!F179)</f>
        <v>106</v>
      </c>
      <c r="M182" s="10">
        <f>IF(Planilha1!G179="","",IF(Planilha1!G179=0,"",Planilha1!G179))</f>
        <v>106</v>
      </c>
      <c r="N182" s="5">
        <f t="shared" si="17"/>
        <v>1</v>
      </c>
      <c r="O182" s="5">
        <f t="shared" si="18"/>
        <v>0</v>
      </c>
      <c r="P182" s="5">
        <f t="shared" si="19"/>
        <v>0</v>
      </c>
      <c r="Q182" s="5">
        <f t="shared" si="20"/>
        <v>2</v>
      </c>
      <c r="R182" s="8">
        <f t="shared" si="21"/>
        <v>0</v>
      </c>
      <c r="S182" s="8">
        <f t="shared" si="22"/>
        <v>0</v>
      </c>
      <c r="T182" s="3" t="e">
        <f t="shared" si="23"/>
        <v>#VALUE!</v>
      </c>
      <c r="V182" s="1" t="e">
        <f t="shared" si="24"/>
        <v>#VALUE!</v>
      </c>
    </row>
    <row r="183" spans="8:22" x14ac:dyDescent="0.3">
      <c r="H183" s="2" t="str">
        <f>IF(Planilha1!B180="","",Planilha1!B180)</f>
        <v>6:00p</v>
      </c>
      <c r="I183" s="2" t="str">
        <f>IF(Planilha1!C180="","",Planilha1!C180)</f>
        <v>New York Knicks</v>
      </c>
      <c r="J183" s="2">
        <f>IF(Planilha1!D180="","",Planilha1!D180)</f>
        <v>122</v>
      </c>
      <c r="K183" s="10" t="str">
        <f>IF(Planilha1!E180="","",IF(Planilha1!E180=0,"",Planilha1!E180))</f>
        <v>Charlotte Hornets</v>
      </c>
      <c r="L183" s="10">
        <f>IF(Planilha1!F180="","",Planilha1!F180)</f>
        <v>108</v>
      </c>
      <c r="M183" s="10">
        <f>IF(Planilha1!G180="","",IF(Planilha1!G180=0,"",Planilha1!G180))</f>
        <v>108</v>
      </c>
      <c r="N183" s="5">
        <f t="shared" si="17"/>
        <v>1</v>
      </c>
      <c r="O183" s="5">
        <f t="shared" si="18"/>
        <v>0</v>
      </c>
      <c r="P183" s="5">
        <f t="shared" si="19"/>
        <v>0</v>
      </c>
      <c r="Q183" s="5">
        <f t="shared" si="20"/>
        <v>2</v>
      </c>
      <c r="R183" s="8">
        <f t="shared" si="21"/>
        <v>0</v>
      </c>
      <c r="S183" s="8">
        <f t="shared" si="22"/>
        <v>0</v>
      </c>
      <c r="T183" s="3" t="e">
        <f t="shared" si="23"/>
        <v>#VALUE!</v>
      </c>
      <c r="V183" s="1" t="e">
        <f t="shared" si="24"/>
        <v>#VALUE!</v>
      </c>
    </row>
    <row r="184" spans="8:22" x14ac:dyDescent="0.3">
      <c r="H184" s="2" t="str">
        <f>IF(Planilha1!B181="","",Planilha1!B181)</f>
        <v>7:00p</v>
      </c>
      <c r="I184" s="2" t="str">
        <f>IF(Planilha1!C181="","",Planilha1!C181)</f>
        <v>Minnesota Timberwolves</v>
      </c>
      <c r="J184" s="2">
        <f>IF(Planilha1!D181="","",Planilha1!D181)</f>
        <v>121</v>
      </c>
      <c r="K184" s="10" t="str">
        <f>IF(Planilha1!E181="","",IF(Planilha1!E181=0,"",Planilha1!E181))</f>
        <v>New Orleans Pelicans</v>
      </c>
      <c r="L184" s="10">
        <f>IF(Planilha1!F181="","",Planilha1!F181)</f>
        <v>120</v>
      </c>
      <c r="M184" s="10">
        <f>IF(Planilha1!G181="","",IF(Planilha1!G181=0,"",Planilha1!G181))</f>
        <v>120</v>
      </c>
      <c r="N184" s="5">
        <f t="shared" si="17"/>
        <v>1</v>
      </c>
      <c r="O184" s="5">
        <f t="shared" si="18"/>
        <v>0</v>
      </c>
      <c r="P184" s="5">
        <f t="shared" si="19"/>
        <v>0</v>
      </c>
      <c r="Q184" s="5">
        <f t="shared" si="20"/>
        <v>2</v>
      </c>
      <c r="R184" s="8">
        <f t="shared" si="21"/>
        <v>0</v>
      </c>
      <c r="S184" s="8">
        <f t="shared" si="22"/>
        <v>0</v>
      </c>
      <c r="T184" s="3" t="e">
        <f t="shared" si="23"/>
        <v>#VALUE!</v>
      </c>
      <c r="V184" s="1" t="e">
        <f t="shared" si="24"/>
        <v>#VALUE!</v>
      </c>
    </row>
    <row r="185" spans="8:22" x14ac:dyDescent="0.3">
      <c r="H185" s="2" t="str">
        <f>IF(Planilha1!B182="","",Planilha1!B182)</f>
        <v>8:00p</v>
      </c>
      <c r="I185" s="2" t="str">
        <f>IF(Planilha1!C182="","",Planilha1!C182)</f>
        <v>Miami Heat</v>
      </c>
      <c r="J185" s="2">
        <f>IF(Planilha1!D182="","",Planilha1!D182)</f>
        <v>97</v>
      </c>
      <c r="K185" s="10" t="str">
        <f>IF(Planilha1!E182="","",IF(Planilha1!E182=0,"",Planilha1!E182))</f>
        <v>Chicago Bulls</v>
      </c>
      <c r="L185" s="10">
        <f>IF(Planilha1!F182="","",Planilha1!F182)</f>
        <v>102</v>
      </c>
      <c r="M185" s="10">
        <f>IF(Planilha1!G182="","",IF(Planilha1!G182=0,"",Planilha1!G182))</f>
        <v>102</v>
      </c>
      <c r="N185" s="5">
        <f t="shared" si="17"/>
        <v>1</v>
      </c>
      <c r="O185" s="5">
        <f t="shared" si="18"/>
        <v>0</v>
      </c>
      <c r="P185" s="5">
        <f t="shared" si="19"/>
        <v>0</v>
      </c>
      <c r="Q185" s="5">
        <f t="shared" si="20"/>
        <v>2</v>
      </c>
      <c r="R185" s="8">
        <f t="shared" si="21"/>
        <v>0</v>
      </c>
      <c r="S185" s="8">
        <f t="shared" si="22"/>
        <v>0</v>
      </c>
      <c r="T185" s="3" t="e">
        <f t="shared" si="23"/>
        <v>#VALUE!</v>
      </c>
      <c r="V185" s="1" t="e">
        <f t="shared" si="24"/>
        <v>#VALUE!</v>
      </c>
    </row>
    <row r="186" spans="8:22" x14ac:dyDescent="0.3">
      <c r="H186" s="2" t="str">
        <f>IF(Planilha1!B183="","",Planilha1!B183)</f>
        <v>8:00p</v>
      </c>
      <c r="I186" s="2" t="str">
        <f>IF(Planilha1!C183="","",Planilha1!C183)</f>
        <v>Dallas Mavericks</v>
      </c>
      <c r="J186" s="2">
        <f>IF(Planilha1!D183="","",Planilha1!D183)</f>
        <v>125</v>
      </c>
      <c r="K186" s="10" t="str">
        <f>IF(Planilha1!E183="","",IF(Planilha1!E183=0,"",Planilha1!E183))</f>
        <v>Milwaukee Bucks</v>
      </c>
      <c r="L186" s="10">
        <f>IF(Planilha1!F183="","",Planilha1!F183)</f>
        <v>132</v>
      </c>
      <c r="M186" s="10">
        <f>IF(Planilha1!G183="","",IF(Planilha1!G183=0,"",Planilha1!G183))</f>
        <v>132</v>
      </c>
      <c r="N186" s="5">
        <f t="shared" si="17"/>
        <v>1</v>
      </c>
      <c r="O186" s="5">
        <f t="shared" si="18"/>
        <v>0</v>
      </c>
      <c r="P186" s="5">
        <f t="shared" si="19"/>
        <v>0</v>
      </c>
      <c r="Q186" s="5">
        <f t="shared" si="20"/>
        <v>2</v>
      </c>
      <c r="R186" s="8">
        <f t="shared" si="21"/>
        <v>0</v>
      </c>
      <c r="S186" s="8">
        <f t="shared" si="22"/>
        <v>0</v>
      </c>
      <c r="T186" s="3" t="e">
        <f t="shared" si="23"/>
        <v>#VALUE!</v>
      </c>
      <c r="V186" s="1" t="e">
        <f t="shared" si="24"/>
        <v>#VALUE!</v>
      </c>
    </row>
    <row r="187" spans="8:22" x14ac:dyDescent="0.3">
      <c r="H187" s="2" t="str">
        <f>IF(Planilha1!B184="","",Planilha1!B184)</f>
        <v>8:00p</v>
      </c>
      <c r="I187" s="2" t="str">
        <f>IF(Planilha1!C184="","",Planilha1!C184)</f>
        <v>Memphis Grizzlies</v>
      </c>
      <c r="J187" s="2">
        <f>IF(Planilha1!D184="","",Planilha1!D184)</f>
        <v>120</v>
      </c>
      <c r="K187" s="10" t="str">
        <f>IF(Planilha1!E184="","",IF(Planilha1!E184=0,"",Planilha1!E184))</f>
        <v>San Antonio Spurs</v>
      </c>
      <c r="L187" s="10">
        <f>IF(Planilha1!F184="","",Planilha1!F184)</f>
        <v>108</v>
      </c>
      <c r="M187" s="10">
        <f>IF(Planilha1!G184="","",IF(Planilha1!G184=0,"",Planilha1!G184))</f>
        <v>108</v>
      </c>
      <c r="N187" s="5">
        <f t="shared" si="17"/>
        <v>1</v>
      </c>
      <c r="O187" s="5">
        <f t="shared" si="18"/>
        <v>0</v>
      </c>
      <c r="P187" s="5">
        <f t="shared" si="19"/>
        <v>0</v>
      </c>
      <c r="Q187" s="5">
        <f t="shared" si="20"/>
        <v>2</v>
      </c>
      <c r="R187" s="8">
        <f t="shared" si="21"/>
        <v>0</v>
      </c>
      <c r="S187" s="8">
        <f t="shared" si="22"/>
        <v>0</v>
      </c>
      <c r="T187" s="3" t="e">
        <f t="shared" si="23"/>
        <v>#VALUE!</v>
      </c>
      <c r="V187" s="1" t="e">
        <f t="shared" si="24"/>
        <v>#VALUE!</v>
      </c>
    </row>
    <row r="188" spans="8:22" x14ac:dyDescent="0.3">
      <c r="H188" s="2" t="str">
        <f>IF(Planilha1!B185="","",Planilha1!B185)</f>
        <v>8:30p</v>
      </c>
      <c r="I188" s="2" t="str">
        <f>IF(Planilha1!C185="","",Planilha1!C185)</f>
        <v>Oklahoma City Thunder</v>
      </c>
      <c r="J188" s="2">
        <f>IF(Planilha1!D185="","",Planilha1!D185)</f>
        <v>130</v>
      </c>
      <c r="K188" s="10" t="str">
        <f>IF(Planilha1!E185="","",IF(Planilha1!E185=0,"",Planilha1!E185))</f>
        <v>Golden State Warriors</v>
      </c>
      <c r="L188" s="10">
        <f>IF(Planilha1!F185="","",Planilha1!F185)</f>
        <v>123</v>
      </c>
      <c r="M188" s="10">
        <f>IF(Planilha1!G185="","",IF(Planilha1!G185=0,"",Planilha1!G185))</f>
        <v>123</v>
      </c>
      <c r="N188" s="5">
        <f t="shared" si="17"/>
        <v>1</v>
      </c>
      <c r="O188" s="5">
        <f t="shared" si="18"/>
        <v>0</v>
      </c>
      <c r="P188" s="5">
        <f t="shared" si="19"/>
        <v>0</v>
      </c>
      <c r="Q188" s="5">
        <f t="shared" si="20"/>
        <v>2</v>
      </c>
      <c r="R188" s="8">
        <f t="shared" si="21"/>
        <v>0</v>
      </c>
      <c r="S188" s="8">
        <f t="shared" si="22"/>
        <v>0</v>
      </c>
      <c r="T188" s="3" t="e">
        <f t="shared" si="23"/>
        <v>#VALUE!</v>
      </c>
      <c r="V188" s="1" t="e">
        <f t="shared" si="24"/>
        <v>#VALUE!</v>
      </c>
    </row>
    <row r="189" spans="8:22" x14ac:dyDescent="0.3">
      <c r="H189" s="2" t="str">
        <f>IF(Planilha1!B186="","",Planilha1!B186)</f>
        <v>3:00p</v>
      </c>
      <c r="I189" s="2" t="str">
        <f>IF(Planilha1!C186="","",Planilha1!C186)</f>
        <v>Philadelphia 76ers</v>
      </c>
      <c r="J189" s="2">
        <f>IF(Planilha1!D186="","",Planilha1!D186)</f>
        <v>121</v>
      </c>
      <c r="K189" s="10" t="str">
        <f>IF(Planilha1!E186="","",IF(Planilha1!E186=0,"",Planilha1!E186))</f>
        <v>Brooklyn Nets</v>
      </c>
      <c r="L189" s="10">
        <f>IF(Planilha1!F186="","",Planilha1!F186)</f>
        <v>99</v>
      </c>
      <c r="M189" s="10">
        <f>IF(Planilha1!G186="","",IF(Planilha1!G186=0,"",Planilha1!G186))</f>
        <v>99</v>
      </c>
      <c r="N189" s="5">
        <f t="shared" si="17"/>
        <v>1</v>
      </c>
      <c r="O189" s="5">
        <f t="shared" si="18"/>
        <v>0</v>
      </c>
      <c r="P189" s="5">
        <f t="shared" si="19"/>
        <v>0</v>
      </c>
      <c r="Q189" s="5">
        <f t="shared" si="20"/>
        <v>2</v>
      </c>
      <c r="R189" s="8">
        <f t="shared" si="21"/>
        <v>0</v>
      </c>
      <c r="S189" s="8">
        <f t="shared" si="22"/>
        <v>0</v>
      </c>
      <c r="T189" s="3" t="e">
        <f t="shared" si="23"/>
        <v>#VALUE!</v>
      </c>
      <c r="V189" s="1" t="e">
        <f t="shared" si="24"/>
        <v>#VALUE!</v>
      </c>
    </row>
    <row r="190" spans="8:22" x14ac:dyDescent="0.3">
      <c r="H190" s="2" t="str">
        <f>IF(Planilha1!B187="","",Planilha1!B187)</f>
        <v>4:00p</v>
      </c>
      <c r="I190" s="2" t="str">
        <f>IF(Planilha1!C187="","",Planilha1!C187)</f>
        <v>Detroit Pistons</v>
      </c>
      <c r="J190" s="2">
        <f>IF(Planilha1!D187="","",Planilha1!D187)</f>
        <v>113</v>
      </c>
      <c r="K190" s="10" t="str">
        <f>IF(Planilha1!E187="","",IF(Planilha1!E187=0,"",Planilha1!E187))</f>
        <v>Toronto Raptors</v>
      </c>
      <c r="L190" s="10">
        <f>IF(Planilha1!F187="","",Planilha1!F187)</f>
        <v>142</v>
      </c>
      <c r="M190" s="10">
        <f>IF(Planilha1!G187="","",IF(Planilha1!G187=0,"",Planilha1!G187))</f>
        <v>142</v>
      </c>
      <c r="N190" s="5">
        <f t="shared" si="17"/>
        <v>1</v>
      </c>
      <c r="O190" s="5">
        <f t="shared" si="18"/>
        <v>0</v>
      </c>
      <c r="P190" s="5">
        <f t="shared" si="19"/>
        <v>0</v>
      </c>
      <c r="Q190" s="5">
        <f t="shared" si="20"/>
        <v>2</v>
      </c>
      <c r="R190" s="8">
        <f t="shared" si="21"/>
        <v>0</v>
      </c>
      <c r="S190" s="8">
        <f t="shared" si="22"/>
        <v>0</v>
      </c>
      <c r="T190" s="3" t="e">
        <f t="shared" si="23"/>
        <v>#VALUE!</v>
      </c>
      <c r="V190" s="1" t="e">
        <f t="shared" si="24"/>
        <v>#VALUE!</v>
      </c>
    </row>
    <row r="191" spans="8:22" x14ac:dyDescent="0.3">
      <c r="H191" s="2" t="str">
        <f>IF(Planilha1!B188="","",Planilha1!B188)</f>
        <v>5:00p</v>
      </c>
      <c r="I191" s="2" t="str">
        <f>IF(Planilha1!C188="","",Planilha1!C188)</f>
        <v>Orlando Magic</v>
      </c>
      <c r="J191" s="2">
        <f>IF(Planilha1!D188="","",Planilha1!D188)</f>
        <v>128</v>
      </c>
      <c r="K191" s="10" t="str">
        <f>IF(Planilha1!E188="","",IF(Planilha1!E188=0,"",Planilha1!E188))</f>
        <v>Indiana Pacers</v>
      </c>
      <c r="L191" s="10">
        <f>IF(Planilha1!F188="","",Planilha1!F188)</f>
        <v>116</v>
      </c>
      <c r="M191" s="10">
        <f>IF(Planilha1!G188="","",IF(Planilha1!G188=0,"",Planilha1!G188))</f>
        <v>116</v>
      </c>
      <c r="N191" s="5">
        <f t="shared" si="17"/>
        <v>1</v>
      </c>
      <c r="O191" s="5">
        <f t="shared" si="18"/>
        <v>0</v>
      </c>
      <c r="P191" s="5">
        <f t="shared" si="19"/>
        <v>0</v>
      </c>
      <c r="Q191" s="5">
        <f t="shared" si="20"/>
        <v>2</v>
      </c>
      <c r="R191" s="8">
        <f t="shared" si="21"/>
        <v>0</v>
      </c>
      <c r="S191" s="8">
        <f t="shared" si="22"/>
        <v>0</v>
      </c>
      <c r="T191" s="3" t="e">
        <f t="shared" si="23"/>
        <v>#VALUE!</v>
      </c>
      <c r="V191" s="1" t="e">
        <f t="shared" si="24"/>
        <v>#VALUE!</v>
      </c>
    </row>
    <row r="192" spans="8:22" x14ac:dyDescent="0.3">
      <c r="H192" s="2" t="str">
        <f>IF(Planilha1!B189="","",Planilha1!B189)</f>
        <v>6:00p</v>
      </c>
      <c r="I192" s="2" t="str">
        <f>IF(Planilha1!C189="","",Planilha1!C189)</f>
        <v>Denver Nuggets</v>
      </c>
      <c r="J192" s="2">
        <f>IF(Planilha1!D189="","",Planilha1!D189)</f>
        <v>109</v>
      </c>
      <c r="K192" s="10" t="str">
        <f>IF(Planilha1!E189="","",IF(Planilha1!E189=0,"",Planilha1!E189))</f>
        <v>Cleveland Cavaliers</v>
      </c>
      <c r="L192" s="10">
        <f>IF(Planilha1!F189="","",Planilha1!F189)</f>
        <v>121</v>
      </c>
      <c r="M192" s="10">
        <f>IF(Planilha1!G189="","",IF(Planilha1!G189=0,"",Planilha1!G189))</f>
        <v>121</v>
      </c>
      <c r="N192" s="5">
        <f t="shared" si="17"/>
        <v>1</v>
      </c>
      <c r="O192" s="5">
        <f t="shared" si="18"/>
        <v>0</v>
      </c>
      <c r="P192" s="5">
        <f t="shared" si="19"/>
        <v>0</v>
      </c>
      <c r="Q192" s="5">
        <f t="shared" si="20"/>
        <v>2</v>
      </c>
      <c r="R192" s="8">
        <f t="shared" si="21"/>
        <v>0</v>
      </c>
      <c r="S192" s="8">
        <f t="shared" si="22"/>
        <v>0</v>
      </c>
      <c r="T192" s="3" t="e">
        <f t="shared" si="23"/>
        <v>#VALUE!</v>
      </c>
      <c r="V192" s="1" t="e">
        <f t="shared" si="24"/>
        <v>#VALUE!</v>
      </c>
    </row>
    <row r="193" spans="8:22" x14ac:dyDescent="0.3">
      <c r="H193" s="2" t="str">
        <f>IF(Planilha1!B190="","",Planilha1!B190)</f>
        <v>7:30p</v>
      </c>
      <c r="I193" s="2" t="str">
        <f>IF(Planilha1!C190="","",Planilha1!C190)</f>
        <v>Sacramento Kings</v>
      </c>
      <c r="J193" s="2">
        <f>IF(Planilha1!D190="","",Planilha1!D190)</f>
        <v>129</v>
      </c>
      <c r="K193" s="10" t="str">
        <f>IF(Planilha1!E190="","",IF(Planilha1!E190=0,"",Planilha1!E190))</f>
        <v>Dallas Mavericks</v>
      </c>
      <c r="L193" s="10">
        <f>IF(Planilha1!F190="","",Planilha1!F190)</f>
        <v>113</v>
      </c>
      <c r="M193" s="10">
        <f>IF(Planilha1!G190="","",IF(Planilha1!G190=0,"",Planilha1!G190))</f>
        <v>113</v>
      </c>
      <c r="N193" s="5">
        <f t="shared" si="17"/>
        <v>1</v>
      </c>
      <c r="O193" s="5">
        <f t="shared" si="18"/>
        <v>0</v>
      </c>
      <c r="P193" s="5">
        <f t="shared" si="19"/>
        <v>0</v>
      </c>
      <c r="Q193" s="5">
        <f t="shared" si="20"/>
        <v>2</v>
      </c>
      <c r="R193" s="8">
        <f t="shared" si="21"/>
        <v>0</v>
      </c>
      <c r="S193" s="8">
        <f t="shared" si="22"/>
        <v>0</v>
      </c>
      <c r="T193" s="3" t="e">
        <f t="shared" si="23"/>
        <v>#VALUE!</v>
      </c>
      <c r="V193" s="1" t="e">
        <f t="shared" si="24"/>
        <v>#VALUE!</v>
      </c>
    </row>
    <row r="194" spans="8:22" x14ac:dyDescent="0.3">
      <c r="H194" s="2" t="str">
        <f>IF(Planilha1!B191="","",Planilha1!B191)</f>
        <v>8:00p</v>
      </c>
      <c r="I194" s="2" t="str">
        <f>IF(Planilha1!C191="","",Planilha1!C191)</f>
        <v>Boston Celtics</v>
      </c>
      <c r="J194" s="2">
        <f>IF(Planilha1!D191="","",Planilha1!D191)</f>
        <v>102</v>
      </c>
      <c r="K194" s="10" t="str">
        <f>IF(Planilha1!E191="","",IF(Planilha1!E191=0,"",Planilha1!E191))</f>
        <v>Memphis Grizzlies</v>
      </c>
      <c r="L194" s="10">
        <f>IF(Planilha1!F191="","",Planilha1!F191)</f>
        <v>100</v>
      </c>
      <c r="M194" s="10">
        <f>IF(Planilha1!G191="","",IF(Planilha1!G191=0,"",Planilha1!G191))</f>
        <v>100</v>
      </c>
      <c r="N194" s="5">
        <f t="shared" si="17"/>
        <v>1</v>
      </c>
      <c r="O194" s="5">
        <f t="shared" si="18"/>
        <v>0</v>
      </c>
      <c r="P194" s="5">
        <f t="shared" si="19"/>
        <v>0</v>
      </c>
      <c r="Q194" s="5">
        <f t="shared" si="20"/>
        <v>2</v>
      </c>
      <c r="R194" s="8">
        <f t="shared" si="21"/>
        <v>0</v>
      </c>
      <c r="S194" s="8">
        <f t="shared" si="22"/>
        <v>0</v>
      </c>
      <c r="T194" s="3" t="e">
        <f t="shared" si="23"/>
        <v>#VALUE!</v>
      </c>
      <c r="V194" s="1" t="e">
        <f t="shared" si="24"/>
        <v>#VALUE!</v>
      </c>
    </row>
    <row r="195" spans="8:22" x14ac:dyDescent="0.3">
      <c r="H195" s="2" t="str">
        <f>IF(Planilha1!B192="","",Planilha1!B192)</f>
        <v>8:00p</v>
      </c>
      <c r="I195" s="2" t="str">
        <f>IF(Planilha1!C192="","",Planilha1!C192)</f>
        <v>Phoenix Suns</v>
      </c>
      <c r="J195" s="2">
        <f>IF(Planilha1!D192="","",Planilha1!D192)</f>
        <v>140</v>
      </c>
      <c r="K195" s="10" t="str">
        <f>IF(Planilha1!E192="","",IF(Planilha1!E192=0,"",Planilha1!E192))</f>
        <v>Utah Jazz</v>
      </c>
      <c r="L195" s="10">
        <f>IF(Planilha1!F192="","",Planilha1!F192)</f>
        <v>137</v>
      </c>
      <c r="M195" s="10">
        <f>IF(Planilha1!G192="","",IF(Planilha1!G192=0,"",Planilha1!G192))</f>
        <v>137</v>
      </c>
      <c r="N195" s="5">
        <f t="shared" si="17"/>
        <v>1</v>
      </c>
      <c r="O195" s="5">
        <f t="shared" si="18"/>
        <v>0</v>
      </c>
      <c r="P195" s="5">
        <f t="shared" si="19"/>
        <v>0</v>
      </c>
      <c r="Q195" s="5">
        <f t="shared" si="20"/>
        <v>2</v>
      </c>
      <c r="R195" s="8">
        <f t="shared" si="21"/>
        <v>0</v>
      </c>
      <c r="S195" s="8">
        <f t="shared" si="22"/>
        <v>0</v>
      </c>
      <c r="T195" s="3" t="e">
        <f t="shared" si="23"/>
        <v>#VALUE!</v>
      </c>
      <c r="V195" s="1" t="e">
        <f t="shared" si="24"/>
        <v>#VALUE!</v>
      </c>
    </row>
    <row r="196" spans="8:22" x14ac:dyDescent="0.3">
      <c r="H196" s="2" t="str">
        <f>IF(Planilha1!B193="","",Planilha1!B193)</f>
        <v>9:00p</v>
      </c>
      <c r="I196" s="2" t="str">
        <f>IF(Planilha1!C193="","",Planilha1!C193)</f>
        <v>Oklahoma City Thunder</v>
      </c>
      <c r="J196" s="2">
        <f>IF(Planilha1!D193="","",Planilha1!D193)</f>
        <v>134</v>
      </c>
      <c r="K196" s="10" t="str">
        <f>IF(Planilha1!E193="","",IF(Planilha1!E193=0,"",Planilha1!E193))</f>
        <v>Portland Trail Blazers</v>
      </c>
      <c r="L196" s="10">
        <f>IF(Planilha1!F193="","",Planilha1!F193)</f>
        <v>91</v>
      </c>
      <c r="M196" s="10">
        <f>IF(Planilha1!G193="","",IF(Planilha1!G193=0,"",Planilha1!G193))</f>
        <v>91</v>
      </c>
      <c r="N196" s="5">
        <f t="shared" si="17"/>
        <v>1</v>
      </c>
      <c r="O196" s="5">
        <f t="shared" si="18"/>
        <v>0</v>
      </c>
      <c r="P196" s="5">
        <f t="shared" si="19"/>
        <v>0</v>
      </c>
      <c r="Q196" s="5">
        <f t="shared" si="20"/>
        <v>2</v>
      </c>
      <c r="R196" s="8">
        <f t="shared" si="21"/>
        <v>0</v>
      </c>
      <c r="S196" s="8">
        <f t="shared" si="22"/>
        <v>0</v>
      </c>
      <c r="T196" s="3" t="e">
        <f t="shared" si="23"/>
        <v>#VALUE!</v>
      </c>
      <c r="V196" s="1" t="e">
        <f t="shared" si="24"/>
        <v>#VALUE!</v>
      </c>
    </row>
    <row r="197" spans="8:22" x14ac:dyDescent="0.3">
      <c r="H197" s="2" t="str">
        <f>IF(Planilha1!B194="","",Planilha1!B194)</f>
        <v>9:30p</v>
      </c>
      <c r="I197" s="2" t="str">
        <f>IF(Planilha1!C194="","",Planilha1!C194)</f>
        <v>Houston Rockets</v>
      </c>
      <c r="J197" s="2">
        <f>IF(Planilha1!D194="","",Planilha1!D194)</f>
        <v>104</v>
      </c>
      <c r="K197" s="10" t="str">
        <f>IF(Planilha1!E194="","",IF(Planilha1!E194=0,"",Planilha1!E194))</f>
        <v>Los Angeles Lakers</v>
      </c>
      <c r="L197" s="10">
        <f>IF(Planilha1!F194="","",Planilha1!F194)</f>
        <v>105</v>
      </c>
      <c r="M197" s="10">
        <f>IF(Planilha1!G194="","",IF(Planilha1!G194=0,"",Planilha1!G194))</f>
        <v>105</v>
      </c>
      <c r="N197" s="5">
        <f t="shared" si="17"/>
        <v>1</v>
      </c>
      <c r="O197" s="5">
        <f t="shared" si="18"/>
        <v>0</v>
      </c>
      <c r="P197" s="5">
        <f t="shared" si="19"/>
        <v>0</v>
      </c>
      <c r="Q197" s="5">
        <f t="shared" si="20"/>
        <v>2</v>
      </c>
      <c r="R197" s="8">
        <f t="shared" si="21"/>
        <v>0</v>
      </c>
      <c r="S197" s="8">
        <f t="shared" si="22"/>
        <v>0</v>
      </c>
      <c r="T197" s="3" t="e">
        <f t="shared" si="23"/>
        <v>#VALUE!</v>
      </c>
      <c r="V197" s="1" t="e">
        <f t="shared" si="24"/>
        <v>#VALUE!</v>
      </c>
    </row>
    <row r="198" spans="8:22" x14ac:dyDescent="0.3">
      <c r="H198" s="2" t="str">
        <f>IF(Planilha1!B195="","",Planilha1!B195)</f>
        <v>7:00p</v>
      </c>
      <c r="I198" s="2" t="str">
        <f>IF(Planilha1!C195="","",Planilha1!C195)</f>
        <v>Boston Celtics</v>
      </c>
      <c r="J198" s="2">
        <f>IF(Planilha1!D195="","",Planilha1!D195)</f>
        <v>118</v>
      </c>
      <c r="K198" s="10" t="str">
        <f>IF(Planilha1!E195="","",IF(Planilha1!E195=0,"",Planilha1!E195))</f>
        <v>Charlotte Hornets</v>
      </c>
      <c r="L198" s="10">
        <f>IF(Planilha1!F195="","",Planilha1!F195)</f>
        <v>121</v>
      </c>
      <c r="M198" s="10">
        <f>IF(Planilha1!G195="","",IF(Planilha1!G195=0,"",Planilha1!G195))</f>
        <v>121</v>
      </c>
      <c r="N198" s="5">
        <f t="shared" ref="N198:N261" si="25">IF(K198="","",IF(K198&gt;M198,100%,0%))</f>
        <v>1</v>
      </c>
      <c r="O198" s="5">
        <f t="shared" ref="O198:O261" si="26">IF(K198="","",IF(K198&lt;M198,100%,0%))</f>
        <v>0</v>
      </c>
      <c r="P198" s="5">
        <f t="shared" ref="P198:P261" si="27">IF(M198="",IF(R198&gt;S198,2,0),IF(K198&lt;M198,2,0))</f>
        <v>0</v>
      </c>
      <c r="Q198" s="5">
        <f t="shared" ref="Q198:Q261" si="28">IF(M198="",IF(R198&gt;S198,0,2),IF(K198&gt;M198,2,0))</f>
        <v>2</v>
      </c>
      <c r="R198" s="8">
        <f t="shared" ref="R198:R261" si="29">SUMIF($B:$B,J198,$C:$C)+(SUMIF($B:$B,L198,$F:$F))</f>
        <v>0</v>
      </c>
      <c r="S198" s="8">
        <f t="shared" ref="S198:S261" si="30">SUMIF($B:$B,L198,$E:$E)+(SUMIF($B:$B,J198,$D:$D))</f>
        <v>0</v>
      </c>
      <c r="T198" s="3" t="e">
        <f t="shared" ref="T198:T261" si="31">IF(M198="","",(K198-S198)^2+(M198-R198)^2)</f>
        <v>#VALUE!</v>
      </c>
      <c r="V198" s="1" t="e">
        <f t="shared" ref="V198:V261" si="32">IF(O198="","",1/((M198-K198)/(R198-S198)))</f>
        <v>#VALUE!</v>
      </c>
    </row>
    <row r="199" spans="8:22" x14ac:dyDescent="0.3">
      <c r="H199" s="2" t="str">
        <f>IF(Planilha1!B196="","",Planilha1!B196)</f>
        <v>7:00p</v>
      </c>
      <c r="I199" s="2" t="str">
        <f>IF(Planilha1!C196="","",Planilha1!C196)</f>
        <v>Denver Nuggets</v>
      </c>
      <c r="J199" s="2">
        <f>IF(Planilha1!D196="","",Planilha1!D196)</f>
        <v>107</v>
      </c>
      <c r="K199" s="10" t="str">
        <f>IF(Planilha1!E196="","",IF(Planilha1!E196=0,"",Planilha1!E196))</f>
        <v>Detroit Pistons</v>
      </c>
      <c r="L199" s="10">
        <f>IF(Planilha1!F196="","",Planilha1!F196)</f>
        <v>103</v>
      </c>
      <c r="M199" s="10">
        <f>IF(Planilha1!G196="","",IF(Planilha1!G196=0,"",Planilha1!G196))</f>
        <v>103</v>
      </c>
      <c r="N199" s="5">
        <f t="shared" si="25"/>
        <v>1</v>
      </c>
      <c r="O199" s="5">
        <f t="shared" si="26"/>
        <v>0</v>
      </c>
      <c r="P199" s="5">
        <f t="shared" si="27"/>
        <v>0</v>
      </c>
      <c r="Q199" s="5">
        <f t="shared" si="28"/>
        <v>2</v>
      </c>
      <c r="R199" s="8">
        <f t="shared" si="29"/>
        <v>0</v>
      </c>
      <c r="S199" s="8">
        <f t="shared" si="30"/>
        <v>0</v>
      </c>
      <c r="T199" s="3" t="e">
        <f t="shared" si="31"/>
        <v>#VALUE!</v>
      </c>
      <c r="V199" s="1" t="e">
        <f t="shared" si="32"/>
        <v>#VALUE!</v>
      </c>
    </row>
    <row r="200" spans="8:22" x14ac:dyDescent="0.3">
      <c r="H200" s="2" t="str">
        <f>IF(Planilha1!B197="","",Planilha1!B197)</f>
        <v>7:00p</v>
      </c>
      <c r="I200" s="2" t="str">
        <f>IF(Planilha1!C197="","",Planilha1!C197)</f>
        <v>Milwaukee Bucks</v>
      </c>
      <c r="J200" s="2">
        <f>IF(Planilha1!D197="","",Planilha1!D197)</f>
        <v>142</v>
      </c>
      <c r="K200" s="10" t="str">
        <f>IF(Planilha1!E197="","",IF(Planilha1!E197=0,"",Planilha1!E197))</f>
        <v>Washington Wizards</v>
      </c>
      <c r="L200" s="10">
        <f>IF(Planilha1!F197="","",Planilha1!F197)</f>
        <v>129</v>
      </c>
      <c r="M200" s="10">
        <f>IF(Planilha1!G197="","",IF(Planilha1!G197=0,"",Planilha1!G197))</f>
        <v>129</v>
      </c>
      <c r="N200" s="5">
        <f t="shared" si="25"/>
        <v>1</v>
      </c>
      <c r="O200" s="5">
        <f t="shared" si="26"/>
        <v>0</v>
      </c>
      <c r="P200" s="5">
        <f t="shared" si="27"/>
        <v>0</v>
      </c>
      <c r="Q200" s="5">
        <f t="shared" si="28"/>
        <v>2</v>
      </c>
      <c r="R200" s="8">
        <f t="shared" si="29"/>
        <v>0</v>
      </c>
      <c r="S200" s="8">
        <f t="shared" si="30"/>
        <v>0</v>
      </c>
      <c r="T200" s="3" t="e">
        <f t="shared" si="31"/>
        <v>#VALUE!</v>
      </c>
      <c r="V200" s="1" t="e">
        <f t="shared" si="32"/>
        <v>#VALUE!</v>
      </c>
    </row>
    <row r="201" spans="8:22" x14ac:dyDescent="0.3">
      <c r="H201" s="2" t="str">
        <f>IF(Planilha1!B198="","",Planilha1!B198)</f>
        <v>8:00p</v>
      </c>
      <c r="I201" s="2" t="str">
        <f>IF(Planilha1!C198="","",Planilha1!C198)</f>
        <v>Miami Heat</v>
      </c>
      <c r="J201" s="2">
        <f>IF(Planilha1!D198="","",Planilha1!D198)</f>
        <v>118</v>
      </c>
      <c r="K201" s="10" t="str">
        <f>IF(Planilha1!E198="","",IF(Planilha1!E198=0,"",Planilha1!E198))</f>
        <v>Chicago Bulls</v>
      </c>
      <c r="L201" s="10">
        <f>IF(Planilha1!F198="","",Planilha1!F198)</f>
        <v>100</v>
      </c>
      <c r="M201" s="10">
        <f>IF(Planilha1!G198="","",IF(Planilha1!G198=0,"",Planilha1!G198))</f>
        <v>100</v>
      </c>
      <c r="N201" s="5">
        <f t="shared" si="25"/>
        <v>1</v>
      </c>
      <c r="O201" s="5">
        <f t="shared" si="26"/>
        <v>0</v>
      </c>
      <c r="P201" s="5">
        <f t="shared" si="27"/>
        <v>0</v>
      </c>
      <c r="Q201" s="5">
        <f t="shared" si="28"/>
        <v>2</v>
      </c>
      <c r="R201" s="8">
        <f t="shared" si="29"/>
        <v>0</v>
      </c>
      <c r="S201" s="8">
        <f t="shared" si="30"/>
        <v>0</v>
      </c>
      <c r="T201" s="3" t="e">
        <f t="shared" si="31"/>
        <v>#VALUE!</v>
      </c>
      <c r="V201" s="1" t="e">
        <f t="shared" si="32"/>
        <v>#VALUE!</v>
      </c>
    </row>
    <row r="202" spans="8:22" x14ac:dyDescent="0.3">
      <c r="H202" s="2" t="str">
        <f>IF(Planilha1!B199="","",Planilha1!B199)</f>
        <v>8:00p</v>
      </c>
      <c r="I202" s="2" t="str">
        <f>IF(Planilha1!C199="","",Planilha1!C199)</f>
        <v>New York Knicks</v>
      </c>
      <c r="J202" s="2">
        <f>IF(Planilha1!D199="","",Planilha1!D199)</f>
        <v>100</v>
      </c>
      <c r="K202" s="10" t="str">
        <f>IF(Planilha1!E199="","",IF(Planilha1!E199=0,"",Planilha1!E199))</f>
        <v>Minnesota Timberwolves</v>
      </c>
      <c r="L202" s="10">
        <f>IF(Planilha1!F199="","",Planilha1!F199)</f>
        <v>117</v>
      </c>
      <c r="M202" s="10">
        <f>IF(Planilha1!G199="","",IF(Planilha1!G199=0,"",Planilha1!G199))</f>
        <v>117</v>
      </c>
      <c r="N202" s="5">
        <f t="shared" si="25"/>
        <v>1</v>
      </c>
      <c r="O202" s="5">
        <f t="shared" si="26"/>
        <v>0</v>
      </c>
      <c r="P202" s="5">
        <f t="shared" si="27"/>
        <v>0</v>
      </c>
      <c r="Q202" s="5">
        <f t="shared" si="28"/>
        <v>2</v>
      </c>
      <c r="R202" s="8">
        <f t="shared" si="29"/>
        <v>0</v>
      </c>
      <c r="S202" s="8">
        <f t="shared" si="30"/>
        <v>0</v>
      </c>
      <c r="T202" s="3" t="e">
        <f t="shared" si="31"/>
        <v>#VALUE!</v>
      </c>
      <c r="V202" s="1" t="e">
        <f t="shared" si="32"/>
        <v>#VALUE!</v>
      </c>
    </row>
    <row r="203" spans="8:22" x14ac:dyDescent="0.3">
      <c r="H203" s="2" t="str">
        <f>IF(Planilha1!B200="","",Planilha1!B200)</f>
        <v>8:00p</v>
      </c>
      <c r="I203" s="2" t="str">
        <f>IF(Planilha1!C200="","",Planilha1!C200)</f>
        <v>Sacramento Kings</v>
      </c>
      <c r="J203" s="2">
        <f>IF(Planilha1!D200="","",Planilha1!D200)</f>
        <v>93</v>
      </c>
      <c r="K203" s="10" t="str">
        <f>IF(Planilha1!E200="","",IF(Planilha1!E200=0,"",Planilha1!E200))</f>
        <v>New Orleans Pelicans</v>
      </c>
      <c r="L203" s="10">
        <f>IF(Planilha1!F200="","",Planilha1!F200)</f>
        <v>129</v>
      </c>
      <c r="M203" s="10">
        <f>IF(Planilha1!G200="","",IF(Planilha1!G200=0,"",Planilha1!G200))</f>
        <v>129</v>
      </c>
      <c r="N203" s="5">
        <f t="shared" si="25"/>
        <v>1</v>
      </c>
      <c r="O203" s="5">
        <f t="shared" si="26"/>
        <v>0</v>
      </c>
      <c r="P203" s="5">
        <f t="shared" si="27"/>
        <v>0</v>
      </c>
      <c r="Q203" s="5">
        <f t="shared" si="28"/>
        <v>2</v>
      </c>
      <c r="R203" s="8">
        <f t="shared" si="29"/>
        <v>0</v>
      </c>
      <c r="S203" s="8">
        <f t="shared" si="30"/>
        <v>0</v>
      </c>
      <c r="T203" s="3" t="e">
        <f t="shared" si="31"/>
        <v>#VALUE!</v>
      </c>
      <c r="V203" s="1" t="e">
        <f t="shared" si="32"/>
        <v>#VALUE!</v>
      </c>
    </row>
    <row r="204" spans="8:22" x14ac:dyDescent="0.3">
      <c r="H204" s="2" t="str">
        <f>IF(Planilha1!B201="","",Planilha1!B201)</f>
        <v>8:00p</v>
      </c>
      <c r="I204" s="2" t="str">
        <f>IF(Planilha1!C201="","",Planilha1!C201)</f>
        <v>Los Angeles Clippers</v>
      </c>
      <c r="J204" s="2">
        <f>IF(Planilha1!D201="","",Planilha1!D201)</f>
        <v>124</v>
      </c>
      <c r="K204" s="10" t="str">
        <f>IF(Planilha1!E201="","",IF(Planilha1!E201=0,"",Planilha1!E201))</f>
        <v>San Antonio Spurs</v>
      </c>
      <c r="L204" s="10">
        <f>IF(Planilha1!F201="","",Planilha1!F201)</f>
        <v>99</v>
      </c>
      <c r="M204" s="10">
        <f>IF(Planilha1!G201="","",IF(Planilha1!G201=0,"",Planilha1!G201))</f>
        <v>99</v>
      </c>
      <c r="N204" s="5">
        <f t="shared" si="25"/>
        <v>1</v>
      </c>
      <c r="O204" s="5">
        <f t="shared" si="26"/>
        <v>0</v>
      </c>
      <c r="P204" s="5">
        <f t="shared" si="27"/>
        <v>0</v>
      </c>
      <c r="Q204" s="5">
        <f t="shared" si="28"/>
        <v>2</v>
      </c>
      <c r="R204" s="8">
        <f t="shared" si="29"/>
        <v>0</v>
      </c>
      <c r="S204" s="8">
        <f t="shared" si="30"/>
        <v>0</v>
      </c>
      <c r="T204" s="3" t="e">
        <f t="shared" si="31"/>
        <v>#VALUE!</v>
      </c>
      <c r="V204" s="1" t="e">
        <f t="shared" si="32"/>
        <v>#VALUE!</v>
      </c>
    </row>
    <row r="205" spans="8:22" x14ac:dyDescent="0.3">
      <c r="H205" s="2" t="str">
        <f>IF(Planilha1!B202="","",Planilha1!B202)</f>
        <v>10:00p</v>
      </c>
      <c r="I205" s="2" t="str">
        <f>IF(Planilha1!C202="","",Planilha1!C202)</f>
        <v>Houston Rockets</v>
      </c>
      <c r="J205" s="2">
        <f>IF(Planilha1!D202="","",Planilha1!D202)</f>
        <v>116</v>
      </c>
      <c r="K205" s="10" t="str">
        <f>IF(Planilha1!E202="","",IF(Planilha1!E202=0,"",Planilha1!E202))</f>
        <v>Golden State Warriors</v>
      </c>
      <c r="L205" s="10">
        <f>IF(Planilha1!F202="","",Planilha1!F202)</f>
        <v>121</v>
      </c>
      <c r="M205" s="10">
        <f>IF(Planilha1!G202="","",IF(Planilha1!G202=0,"",Planilha1!G202))</f>
        <v>121</v>
      </c>
      <c r="N205" s="5">
        <f t="shared" si="25"/>
        <v>1</v>
      </c>
      <c r="O205" s="5">
        <f t="shared" si="26"/>
        <v>0</v>
      </c>
      <c r="P205" s="5">
        <f t="shared" si="27"/>
        <v>0</v>
      </c>
      <c r="Q205" s="5">
        <f t="shared" si="28"/>
        <v>2</v>
      </c>
      <c r="R205" s="8">
        <f t="shared" si="29"/>
        <v>0</v>
      </c>
      <c r="S205" s="8">
        <f t="shared" si="30"/>
        <v>0</v>
      </c>
      <c r="T205" s="3" t="e">
        <f t="shared" si="31"/>
        <v>#VALUE!</v>
      </c>
      <c r="V205" s="1" t="e">
        <f t="shared" si="32"/>
        <v>#VALUE!</v>
      </c>
    </row>
    <row r="206" spans="8:22" x14ac:dyDescent="0.3">
      <c r="H206" s="2" t="str">
        <f>IF(Planilha1!B203="","",Planilha1!B203)</f>
        <v>7:00p</v>
      </c>
      <c r="I206" s="2" t="str">
        <f>IF(Planilha1!C203="","",Planilha1!C203)</f>
        <v>Toronto Raptors</v>
      </c>
      <c r="J206" s="2">
        <f>IF(Planilha1!D203="","",Planilha1!D203)</f>
        <v>107</v>
      </c>
      <c r="K206" s="10" t="str">
        <f>IF(Planilha1!E203="","",IF(Planilha1!E203=0,"",Planilha1!E203))</f>
        <v>Orlando Magic</v>
      </c>
      <c r="L206" s="10">
        <f>IF(Planilha1!F203="","",Planilha1!F203)</f>
        <v>126</v>
      </c>
      <c r="M206" s="10">
        <f>IF(Planilha1!G203="","",IF(Planilha1!G203=0,"",Planilha1!G203))</f>
        <v>126</v>
      </c>
      <c r="N206" s="5">
        <f t="shared" si="25"/>
        <v>1</v>
      </c>
      <c r="O206" s="5">
        <f t="shared" si="26"/>
        <v>0</v>
      </c>
      <c r="P206" s="5">
        <f t="shared" si="27"/>
        <v>0</v>
      </c>
      <c r="Q206" s="5">
        <f t="shared" si="28"/>
        <v>2</v>
      </c>
      <c r="R206" s="8">
        <f t="shared" si="29"/>
        <v>0</v>
      </c>
      <c r="S206" s="8">
        <f t="shared" si="30"/>
        <v>0</v>
      </c>
      <c r="T206" s="3" t="e">
        <f t="shared" si="31"/>
        <v>#VALUE!</v>
      </c>
      <c r="V206" s="1" t="e">
        <f t="shared" si="32"/>
        <v>#VALUE!</v>
      </c>
    </row>
    <row r="207" spans="8:22" x14ac:dyDescent="0.3">
      <c r="H207" s="2" t="str">
        <f>IF(Planilha1!B204="","",Planilha1!B204)</f>
        <v>7:30p</v>
      </c>
      <c r="I207" s="2" t="str">
        <f>IF(Planilha1!C204="","",Planilha1!C204)</f>
        <v>Indiana Pacers</v>
      </c>
      <c r="J207" s="2">
        <f>IF(Planilha1!D204="","",Planilha1!D204)</f>
        <v>157</v>
      </c>
      <c r="K207" s="10" t="str">
        <f>IF(Planilha1!E204="","",IF(Planilha1!E204=0,"",Planilha1!E204))</f>
        <v>Atlanta Hawks</v>
      </c>
      <c r="L207" s="10">
        <f>IF(Planilha1!F204="","",Planilha1!F204)</f>
        <v>152</v>
      </c>
      <c r="M207" s="10">
        <f>IF(Planilha1!G204="","",IF(Planilha1!G204=0,"",Planilha1!G204))</f>
        <v>152</v>
      </c>
      <c r="N207" s="5">
        <f t="shared" si="25"/>
        <v>1</v>
      </c>
      <c r="O207" s="5">
        <f t="shared" si="26"/>
        <v>0</v>
      </c>
      <c r="P207" s="5">
        <f t="shared" si="27"/>
        <v>0</v>
      </c>
      <c r="Q207" s="5">
        <f t="shared" si="28"/>
        <v>2</v>
      </c>
      <c r="R207" s="8">
        <f t="shared" si="29"/>
        <v>0</v>
      </c>
      <c r="S207" s="8">
        <f t="shared" si="30"/>
        <v>0</v>
      </c>
      <c r="T207" s="3" t="e">
        <f t="shared" si="31"/>
        <v>#VALUE!</v>
      </c>
      <c r="V207" s="1" t="e">
        <f t="shared" si="32"/>
        <v>#VALUE!</v>
      </c>
    </row>
    <row r="208" spans="8:22" x14ac:dyDescent="0.3">
      <c r="H208" s="2" t="str">
        <f>IF(Planilha1!B205="","",Planilha1!B205)</f>
        <v>7:30p</v>
      </c>
      <c r="I208" s="2" t="str">
        <f>IF(Planilha1!C205="","",Planilha1!C205)</f>
        <v>Cleveland Cavaliers</v>
      </c>
      <c r="J208" s="2">
        <f>IF(Planilha1!D205="","",Planilha1!D205)</f>
        <v>122</v>
      </c>
      <c r="K208" s="10" t="str">
        <f>IF(Planilha1!E205="","",IF(Planilha1!E205=0,"",Planilha1!E205))</f>
        <v>Philadelphia 76ers</v>
      </c>
      <c r="L208" s="10">
        <f>IF(Planilha1!F205="","",Planilha1!F205)</f>
        <v>119</v>
      </c>
      <c r="M208" s="10">
        <f>IF(Planilha1!G205="","",IF(Planilha1!G205=0,"",Planilha1!G205))</f>
        <v>119</v>
      </c>
      <c r="N208" s="5">
        <f t="shared" si="25"/>
        <v>1</v>
      </c>
      <c r="O208" s="5">
        <f t="shared" si="26"/>
        <v>0</v>
      </c>
      <c r="P208" s="5">
        <f t="shared" si="27"/>
        <v>0</v>
      </c>
      <c r="Q208" s="5">
        <f t="shared" si="28"/>
        <v>2</v>
      </c>
      <c r="R208" s="8">
        <f t="shared" si="29"/>
        <v>0</v>
      </c>
      <c r="S208" s="8">
        <f t="shared" si="30"/>
        <v>0</v>
      </c>
      <c r="T208" s="3" t="e">
        <f t="shared" si="31"/>
        <v>#VALUE!</v>
      </c>
      <c r="V208" s="1" t="e">
        <f t="shared" si="32"/>
        <v>#VALUE!</v>
      </c>
    </row>
    <row r="209" spans="8:22" x14ac:dyDescent="0.3">
      <c r="H209" s="2" t="str">
        <f>IF(Planilha1!B206="","",Planilha1!B206)</f>
        <v>9:00p</v>
      </c>
      <c r="I209" s="2" t="str">
        <f>IF(Planilha1!C206="","",Planilha1!C206)</f>
        <v>Portland Trail Blazers</v>
      </c>
      <c r="J209" s="2">
        <f>IF(Planilha1!D206="","",Planilha1!D206)</f>
        <v>107</v>
      </c>
      <c r="K209" s="10" t="str">
        <f>IF(Planilha1!E206="","",IF(Planilha1!E206=0,"",Planilha1!E206))</f>
        <v>Phoenix Suns</v>
      </c>
      <c r="L209" s="10">
        <f>IF(Planilha1!F206="","",Planilha1!F206)</f>
        <v>120</v>
      </c>
      <c r="M209" s="10">
        <f>IF(Planilha1!G206="","",IF(Planilha1!G206=0,"",Planilha1!G206))</f>
        <v>120</v>
      </c>
      <c r="N209" s="5">
        <f t="shared" si="25"/>
        <v>1</v>
      </c>
      <c r="O209" s="5">
        <f t="shared" si="26"/>
        <v>0</v>
      </c>
      <c r="P209" s="5">
        <f t="shared" si="27"/>
        <v>0</v>
      </c>
      <c r="Q209" s="5">
        <f t="shared" si="28"/>
        <v>2</v>
      </c>
      <c r="R209" s="8">
        <f t="shared" si="29"/>
        <v>0</v>
      </c>
      <c r="S209" s="8">
        <f t="shared" si="30"/>
        <v>0</v>
      </c>
      <c r="T209" s="3" t="e">
        <f t="shared" si="31"/>
        <v>#VALUE!</v>
      </c>
      <c r="V209" s="1" t="e">
        <f t="shared" si="32"/>
        <v>#VALUE!</v>
      </c>
    </row>
    <row r="210" spans="8:22" x14ac:dyDescent="0.3">
      <c r="H210" s="2" t="str">
        <f>IF(Planilha1!B207="","",Planilha1!B207)</f>
        <v>10:00p</v>
      </c>
      <c r="I210" s="2" t="str">
        <f>IF(Planilha1!C207="","",Planilha1!C207)</f>
        <v>Utah Jazz</v>
      </c>
      <c r="J210" s="2">
        <f>IF(Planilha1!D207="","",Planilha1!D207)</f>
        <v>99</v>
      </c>
      <c r="K210" s="10" t="str">
        <f>IF(Planilha1!E207="","",IF(Planilha1!E207=0,"",Planilha1!E207))</f>
        <v>Los Angeles Lakers</v>
      </c>
      <c r="L210" s="10">
        <f>IF(Planilha1!F207="","",Planilha1!F207)</f>
        <v>131</v>
      </c>
      <c r="M210" s="10">
        <f>IF(Planilha1!G207="","",IF(Planilha1!G207=0,"",Planilha1!G207))</f>
        <v>131</v>
      </c>
      <c r="N210" s="5">
        <f t="shared" si="25"/>
        <v>1</v>
      </c>
      <c r="O210" s="5">
        <f t="shared" si="26"/>
        <v>0</v>
      </c>
      <c r="P210" s="5">
        <f t="shared" si="27"/>
        <v>0</v>
      </c>
      <c r="Q210" s="5">
        <f t="shared" si="28"/>
        <v>2</v>
      </c>
      <c r="R210" s="8">
        <f t="shared" si="29"/>
        <v>0</v>
      </c>
      <c r="S210" s="8">
        <f t="shared" si="30"/>
        <v>0</v>
      </c>
      <c r="T210" s="3" t="e">
        <f t="shared" si="31"/>
        <v>#VALUE!</v>
      </c>
      <c r="V210" s="1" t="e">
        <f t="shared" si="32"/>
        <v>#VALUE!</v>
      </c>
    </row>
    <row r="211" spans="8:22" x14ac:dyDescent="0.3">
      <c r="H211" s="2" t="str">
        <f>IF(Planilha1!B208="","",Planilha1!B208)</f>
        <v>7:00p</v>
      </c>
      <c r="I211" s="2" t="str">
        <f>IF(Planilha1!C208="","",Planilha1!C208)</f>
        <v>Washington Wizards</v>
      </c>
      <c r="J211" s="2">
        <f>IF(Planilha1!D208="","",Planilha1!D208)</f>
        <v>114</v>
      </c>
      <c r="K211" s="10" t="str">
        <f>IF(Planilha1!E208="","",IF(Planilha1!E208=0,"",Planilha1!E208))</f>
        <v>Charlotte Hornets</v>
      </c>
      <c r="L211" s="10">
        <f>IF(Planilha1!F208="","",Planilha1!F208)</f>
        <v>117</v>
      </c>
      <c r="M211" s="10">
        <f>IF(Planilha1!G208="","",IF(Planilha1!G208=0,"",Planilha1!G208))</f>
        <v>117</v>
      </c>
      <c r="N211" s="5">
        <f t="shared" si="25"/>
        <v>1</v>
      </c>
      <c r="O211" s="5">
        <f t="shared" si="26"/>
        <v>0</v>
      </c>
      <c r="P211" s="5">
        <f t="shared" si="27"/>
        <v>0</v>
      </c>
      <c r="Q211" s="5">
        <f t="shared" si="28"/>
        <v>2</v>
      </c>
      <c r="R211" s="8">
        <f t="shared" si="29"/>
        <v>0</v>
      </c>
      <c r="S211" s="8">
        <f t="shared" si="30"/>
        <v>0</v>
      </c>
      <c r="T211" s="3" t="e">
        <f t="shared" si="31"/>
        <v>#VALUE!</v>
      </c>
      <c r="V211" s="1" t="e">
        <f t="shared" si="32"/>
        <v>#VALUE!</v>
      </c>
    </row>
    <row r="212" spans="8:22" x14ac:dyDescent="0.3">
      <c r="H212" s="2" t="str">
        <f>IF(Planilha1!B209="","",Planilha1!B209)</f>
        <v>7:00p</v>
      </c>
      <c r="I212" s="2" t="str">
        <f>IF(Planilha1!C209="","",Planilha1!C209)</f>
        <v>Denver Nuggets</v>
      </c>
      <c r="J212" s="2">
        <f>IF(Planilha1!D209="","",Planilha1!D209)</f>
        <v>119</v>
      </c>
      <c r="K212" s="10" t="str">
        <f>IF(Planilha1!E209="","",IF(Planilha1!E209=0,"",Planilha1!E209))</f>
        <v>Orlando Magic</v>
      </c>
      <c r="L212" s="10">
        <f>IF(Planilha1!F209="","",Planilha1!F209)</f>
        <v>124</v>
      </c>
      <c r="M212" s="10">
        <f>IF(Planilha1!G209="","",IF(Planilha1!G209=0,"",Planilha1!G209))</f>
        <v>124</v>
      </c>
      <c r="N212" s="5">
        <f t="shared" si="25"/>
        <v>1</v>
      </c>
      <c r="O212" s="5">
        <f t="shared" si="26"/>
        <v>0</v>
      </c>
      <c r="P212" s="5">
        <f t="shared" si="27"/>
        <v>0</v>
      </c>
      <c r="Q212" s="5">
        <f t="shared" si="28"/>
        <v>2</v>
      </c>
      <c r="R212" s="8">
        <f t="shared" si="29"/>
        <v>0</v>
      </c>
      <c r="S212" s="8">
        <f t="shared" si="30"/>
        <v>0</v>
      </c>
      <c r="T212" s="3" t="e">
        <f t="shared" si="31"/>
        <v>#VALUE!</v>
      </c>
      <c r="V212" s="1" t="e">
        <f t="shared" si="32"/>
        <v>#VALUE!</v>
      </c>
    </row>
    <row r="213" spans="8:22" x14ac:dyDescent="0.3">
      <c r="H213" s="2" t="str">
        <f>IF(Planilha1!B210="","",Planilha1!B210)</f>
        <v>7:30p</v>
      </c>
      <c r="I213" s="2" t="str">
        <f>IF(Planilha1!C210="","",Planilha1!C210)</f>
        <v>Brooklyn Nets</v>
      </c>
      <c r="J213" s="2">
        <f>IF(Planilha1!D210="","",Planilha1!D210)</f>
        <v>145</v>
      </c>
      <c r="K213" s="10" t="str">
        <f>IF(Planilha1!E210="","",IF(Planilha1!E210=0,"",Planilha1!E210))</f>
        <v>Atlanta Hawks</v>
      </c>
      <c r="L213" s="10">
        <f>IF(Planilha1!F210="","",Planilha1!F210)</f>
        <v>147</v>
      </c>
      <c r="M213" s="10">
        <f>IF(Planilha1!G210="","",IF(Planilha1!G210=0,"",Planilha1!G210))</f>
        <v>147</v>
      </c>
      <c r="N213" s="5">
        <f t="shared" si="25"/>
        <v>1</v>
      </c>
      <c r="O213" s="5">
        <f t="shared" si="26"/>
        <v>0</v>
      </c>
      <c r="P213" s="5">
        <f t="shared" si="27"/>
        <v>0</v>
      </c>
      <c r="Q213" s="5">
        <f t="shared" si="28"/>
        <v>2</v>
      </c>
      <c r="R213" s="8">
        <f t="shared" si="29"/>
        <v>0</v>
      </c>
      <c r="S213" s="8">
        <f t="shared" si="30"/>
        <v>0</v>
      </c>
      <c r="T213" s="3" t="e">
        <f t="shared" si="31"/>
        <v>#VALUE!</v>
      </c>
      <c r="V213" s="1" t="e">
        <f t="shared" si="32"/>
        <v>#VALUE!</v>
      </c>
    </row>
    <row r="214" spans="8:22" x14ac:dyDescent="0.3">
      <c r="H214" s="2" t="str">
        <f>IF(Planilha1!B211="","",Planilha1!B211)</f>
        <v>7:30p</v>
      </c>
      <c r="I214" s="2" t="str">
        <f>IF(Planilha1!C211="","",Planilha1!C211)</f>
        <v>Milwaukee Bucks</v>
      </c>
      <c r="J214" s="2">
        <f>IF(Planilha1!D211="","",Planilha1!D211)</f>
        <v>116</v>
      </c>
      <c r="K214" s="10" t="str">
        <f>IF(Planilha1!E211="","",IF(Planilha1!E211=0,"",Planilha1!E211))</f>
        <v>Boston Celtics</v>
      </c>
      <c r="L214" s="10">
        <f>IF(Planilha1!F211="","",Planilha1!F211)</f>
        <v>119</v>
      </c>
      <c r="M214" s="10">
        <f>IF(Planilha1!G211="","",IF(Planilha1!G211=0,"",Planilha1!G211))</f>
        <v>119</v>
      </c>
      <c r="N214" s="5">
        <f t="shared" si="25"/>
        <v>1</v>
      </c>
      <c r="O214" s="5">
        <f t="shared" si="26"/>
        <v>0</v>
      </c>
      <c r="P214" s="5">
        <f t="shared" si="27"/>
        <v>0</v>
      </c>
      <c r="Q214" s="5">
        <f t="shared" si="28"/>
        <v>2</v>
      </c>
      <c r="R214" s="8">
        <f t="shared" si="29"/>
        <v>0</v>
      </c>
      <c r="S214" s="8">
        <f t="shared" si="30"/>
        <v>0</v>
      </c>
      <c r="T214" s="3" t="e">
        <f t="shared" si="31"/>
        <v>#VALUE!</v>
      </c>
      <c r="V214" s="1" t="e">
        <f t="shared" si="32"/>
        <v>#VALUE!</v>
      </c>
    </row>
    <row r="215" spans="8:22" x14ac:dyDescent="0.3">
      <c r="H215" s="2" t="str">
        <f>IF(Planilha1!B212="","",Planilha1!B212)</f>
        <v>7:30p</v>
      </c>
      <c r="I215" s="2" t="str">
        <f>IF(Planilha1!C212="","",Planilha1!C212)</f>
        <v>Miami Heat</v>
      </c>
      <c r="J215" s="2">
        <f>IF(Planilha1!D212="","",Planilha1!D212)</f>
        <v>129</v>
      </c>
      <c r="K215" s="10" t="str">
        <f>IF(Planilha1!E212="","",IF(Planilha1!E212=0,"",Planilha1!E212))</f>
        <v>Cleveland Cavaliers</v>
      </c>
      <c r="L215" s="10">
        <f>IF(Planilha1!F212="","",Planilha1!F212)</f>
        <v>96</v>
      </c>
      <c r="M215" s="10">
        <f>IF(Planilha1!G212="","",IF(Planilha1!G212=0,"",Planilha1!G212))</f>
        <v>96</v>
      </c>
      <c r="N215" s="5">
        <f t="shared" si="25"/>
        <v>1</v>
      </c>
      <c r="O215" s="5">
        <f t="shared" si="26"/>
        <v>0</v>
      </c>
      <c r="P215" s="5">
        <f t="shared" si="27"/>
        <v>0</v>
      </c>
      <c r="Q215" s="5">
        <f t="shared" si="28"/>
        <v>2</v>
      </c>
      <c r="R215" s="8">
        <f t="shared" si="29"/>
        <v>0</v>
      </c>
      <c r="S215" s="8">
        <f t="shared" si="30"/>
        <v>0</v>
      </c>
      <c r="T215" s="3" t="e">
        <f t="shared" si="31"/>
        <v>#VALUE!</v>
      </c>
      <c r="V215" s="1" t="e">
        <f t="shared" si="32"/>
        <v>#VALUE!</v>
      </c>
    </row>
    <row r="216" spans="8:22" x14ac:dyDescent="0.3">
      <c r="H216" s="2" t="str">
        <f>IF(Planilha1!B213="","",Planilha1!B213)</f>
        <v>7:30p</v>
      </c>
      <c r="I216" s="2" t="str">
        <f>IF(Planilha1!C213="","",Planilha1!C213)</f>
        <v>Toronto Raptors</v>
      </c>
      <c r="J216" s="2">
        <f>IF(Planilha1!D213="","",Planilha1!D213)</f>
        <v>132</v>
      </c>
      <c r="K216" s="10" t="str">
        <f>IF(Planilha1!E213="","",IF(Planilha1!E213=0,"",Planilha1!E213))</f>
        <v>Indiana Pacers</v>
      </c>
      <c r="L216" s="10">
        <f>IF(Planilha1!F213="","",Planilha1!F213)</f>
        <v>131</v>
      </c>
      <c r="M216" s="10">
        <f>IF(Planilha1!G213="","",IF(Planilha1!G213=0,"",Planilha1!G213))</f>
        <v>131</v>
      </c>
      <c r="N216" s="5">
        <f t="shared" si="25"/>
        <v>1</v>
      </c>
      <c r="O216" s="5">
        <f t="shared" si="26"/>
        <v>0</v>
      </c>
      <c r="P216" s="5">
        <f t="shared" si="27"/>
        <v>0</v>
      </c>
      <c r="Q216" s="5">
        <f t="shared" si="28"/>
        <v>2</v>
      </c>
      <c r="R216" s="8">
        <f t="shared" si="29"/>
        <v>0</v>
      </c>
      <c r="S216" s="8">
        <f t="shared" si="30"/>
        <v>0</v>
      </c>
      <c r="T216" s="3" t="e">
        <f t="shared" si="31"/>
        <v>#VALUE!</v>
      </c>
      <c r="V216" s="1" t="e">
        <f t="shared" si="32"/>
        <v>#VALUE!</v>
      </c>
    </row>
    <row r="217" spans="8:22" x14ac:dyDescent="0.3">
      <c r="H217" s="2" t="str">
        <f>IF(Planilha1!B214="","",Planilha1!B214)</f>
        <v>8:00p</v>
      </c>
      <c r="I217" s="2" t="str">
        <f>IF(Planilha1!C214="","",Planilha1!C214)</f>
        <v>Memphis Grizzlies</v>
      </c>
      <c r="J217" s="2">
        <f>IF(Planilha1!D214="","",Planilha1!D214)</f>
        <v>91</v>
      </c>
      <c r="K217" s="10" t="str">
        <f>IF(Planilha1!E214="","",IF(Planilha1!E214=0,"",Planilha1!E214))</f>
        <v>Houston Rockets</v>
      </c>
      <c r="L217" s="10">
        <f>IF(Planilha1!F214="","",Planilha1!F214)</f>
        <v>111</v>
      </c>
      <c r="M217" s="10">
        <f>IF(Planilha1!G214="","",IF(Planilha1!G214=0,"",Planilha1!G214))</f>
        <v>111</v>
      </c>
      <c r="N217" s="5">
        <f t="shared" si="25"/>
        <v>1</v>
      </c>
      <c r="O217" s="5">
        <f t="shared" si="26"/>
        <v>0</v>
      </c>
      <c r="P217" s="5">
        <f t="shared" si="27"/>
        <v>0</v>
      </c>
      <c r="Q217" s="5">
        <f t="shared" si="28"/>
        <v>2</v>
      </c>
      <c r="R217" s="8">
        <f t="shared" si="29"/>
        <v>0</v>
      </c>
      <c r="S217" s="8">
        <f t="shared" si="30"/>
        <v>0</v>
      </c>
      <c r="T217" s="3" t="e">
        <f t="shared" si="31"/>
        <v>#VALUE!</v>
      </c>
      <c r="V217" s="1" t="e">
        <f t="shared" si="32"/>
        <v>#VALUE!</v>
      </c>
    </row>
    <row r="218" spans="8:22" x14ac:dyDescent="0.3">
      <c r="H218" s="2" t="str">
        <f>IF(Planilha1!B215="","",Planilha1!B215)</f>
        <v>8:00p</v>
      </c>
      <c r="I218" s="2" t="str">
        <f>IF(Planilha1!C215="","",Planilha1!C215)</f>
        <v>Philadelphia 76ers</v>
      </c>
      <c r="J218" s="2">
        <f>IF(Planilha1!D215="","",Planilha1!D215)</f>
        <v>99</v>
      </c>
      <c r="K218" s="10" t="str">
        <f>IF(Planilha1!E215="","",IF(Planilha1!E215=0,"",Planilha1!E215))</f>
        <v>Minnesota Timberwolves</v>
      </c>
      <c r="L218" s="10">
        <f>IF(Planilha1!F215="","",Planilha1!F215)</f>
        <v>112</v>
      </c>
      <c r="M218" s="10">
        <f>IF(Planilha1!G215="","",IF(Planilha1!G215=0,"",Planilha1!G215))</f>
        <v>112</v>
      </c>
      <c r="N218" s="5">
        <f t="shared" si="25"/>
        <v>1</v>
      </c>
      <c r="O218" s="5">
        <f t="shared" si="26"/>
        <v>0</v>
      </c>
      <c r="P218" s="5">
        <f t="shared" si="27"/>
        <v>0</v>
      </c>
      <c r="Q218" s="5">
        <f t="shared" si="28"/>
        <v>2</v>
      </c>
      <c r="R218" s="8">
        <f t="shared" si="29"/>
        <v>0</v>
      </c>
      <c r="S218" s="8">
        <f t="shared" si="30"/>
        <v>0</v>
      </c>
      <c r="T218" s="3" t="e">
        <f t="shared" si="31"/>
        <v>#VALUE!</v>
      </c>
      <c r="V218" s="1" t="e">
        <f t="shared" si="32"/>
        <v>#VALUE!</v>
      </c>
    </row>
    <row r="219" spans="8:22" x14ac:dyDescent="0.3">
      <c r="H219" s="2" t="str">
        <f>IF(Planilha1!B216="","",Planilha1!B216)</f>
        <v>8:00p</v>
      </c>
      <c r="I219" s="2" t="str">
        <f>IF(Planilha1!C216="","",Planilha1!C216)</f>
        <v>Sacramento Kings</v>
      </c>
      <c r="J219" s="2">
        <f>IF(Planilha1!D216="","",Planilha1!D216)</f>
        <v>112</v>
      </c>
      <c r="K219" s="10" t="str">
        <f>IF(Planilha1!E216="","",IF(Planilha1!E216=0,"",Planilha1!E216))</f>
        <v>New Orleans Pelicans</v>
      </c>
      <c r="L219" s="10">
        <f>IF(Planilha1!F216="","",Planilha1!F216)</f>
        <v>117</v>
      </c>
      <c r="M219" s="10">
        <f>IF(Planilha1!G216="","",IF(Planilha1!G216=0,"",Planilha1!G216))</f>
        <v>117</v>
      </c>
      <c r="N219" s="5">
        <f t="shared" si="25"/>
        <v>1</v>
      </c>
      <c r="O219" s="5">
        <f t="shared" si="26"/>
        <v>0</v>
      </c>
      <c r="P219" s="5">
        <f t="shared" si="27"/>
        <v>0</v>
      </c>
      <c r="Q219" s="5">
        <f t="shared" si="28"/>
        <v>2</v>
      </c>
      <c r="R219" s="8">
        <f t="shared" si="29"/>
        <v>0</v>
      </c>
      <c r="S219" s="8">
        <f t="shared" si="30"/>
        <v>0</v>
      </c>
      <c r="T219" s="3" t="e">
        <f t="shared" si="31"/>
        <v>#VALUE!</v>
      </c>
      <c r="V219" s="1" t="e">
        <f t="shared" si="32"/>
        <v>#VALUE!</v>
      </c>
    </row>
    <row r="220" spans="8:22" x14ac:dyDescent="0.3">
      <c r="H220" s="2" t="str">
        <f>IF(Planilha1!B217="","",Planilha1!B217)</f>
        <v>8:00p</v>
      </c>
      <c r="I220" s="2" t="str">
        <f>IF(Planilha1!C217="","",Planilha1!C217)</f>
        <v>Chicago Bulls</v>
      </c>
      <c r="J220" s="2">
        <f>IF(Planilha1!D217="","",Planilha1!D217)</f>
        <v>102</v>
      </c>
      <c r="K220" s="10" t="str">
        <f>IF(Planilha1!E217="","",IF(Planilha1!E217=0,"",Planilha1!E217))</f>
        <v>Oklahoma City Thunder</v>
      </c>
      <c r="L220" s="10">
        <f>IF(Planilha1!F217="","",Planilha1!F217)</f>
        <v>116</v>
      </c>
      <c r="M220" s="10">
        <f>IF(Planilha1!G217="","",IF(Planilha1!G217=0,"",Planilha1!G217))</f>
        <v>116</v>
      </c>
      <c r="N220" s="5">
        <f t="shared" si="25"/>
        <v>1</v>
      </c>
      <c r="O220" s="5">
        <f t="shared" si="26"/>
        <v>0</v>
      </c>
      <c r="P220" s="5">
        <f t="shared" si="27"/>
        <v>0</v>
      </c>
      <c r="Q220" s="5">
        <f t="shared" si="28"/>
        <v>2</v>
      </c>
      <c r="R220" s="8">
        <f t="shared" si="29"/>
        <v>0</v>
      </c>
      <c r="S220" s="8">
        <f t="shared" si="30"/>
        <v>0</v>
      </c>
      <c r="T220" s="3" t="e">
        <f t="shared" si="31"/>
        <v>#VALUE!</v>
      </c>
      <c r="V220" s="1" t="e">
        <f t="shared" si="32"/>
        <v>#VALUE!</v>
      </c>
    </row>
    <row r="221" spans="8:22" x14ac:dyDescent="0.3">
      <c r="H221" s="2" t="str">
        <f>IF(Planilha1!B218="","",Planilha1!B218)</f>
        <v>8:00p</v>
      </c>
      <c r="I221" s="2" t="str">
        <f>IF(Planilha1!C218="","",Planilha1!C218)</f>
        <v>Los Angeles Clippers</v>
      </c>
      <c r="J221" s="2">
        <f>IF(Planilha1!D218="","",Planilha1!D218)</f>
        <v>109</v>
      </c>
      <c r="K221" s="10" t="str">
        <f>IF(Planilha1!E218="","",IF(Planilha1!E218=0,"",Planilha1!E218))</f>
        <v>San Antonio Spurs</v>
      </c>
      <c r="L221" s="10">
        <f>IF(Planilha1!F218="","",Planilha1!F218)</f>
        <v>102</v>
      </c>
      <c r="M221" s="10">
        <f>IF(Planilha1!G218="","",IF(Planilha1!G218=0,"",Planilha1!G218))</f>
        <v>102</v>
      </c>
      <c r="N221" s="5">
        <f t="shared" si="25"/>
        <v>1</v>
      </c>
      <c r="O221" s="5">
        <f t="shared" si="26"/>
        <v>0</v>
      </c>
      <c r="P221" s="5">
        <f t="shared" si="27"/>
        <v>0</v>
      </c>
      <c r="Q221" s="5">
        <f t="shared" si="28"/>
        <v>2</v>
      </c>
      <c r="R221" s="8">
        <f t="shared" si="29"/>
        <v>0</v>
      </c>
      <c r="S221" s="8">
        <f t="shared" si="30"/>
        <v>0</v>
      </c>
      <c r="T221" s="3" t="e">
        <f t="shared" si="31"/>
        <v>#VALUE!</v>
      </c>
      <c r="V221" s="1" t="e">
        <f t="shared" si="32"/>
        <v>#VALUE!</v>
      </c>
    </row>
    <row r="222" spans="8:22" x14ac:dyDescent="0.3">
      <c r="H222" s="2" t="str">
        <f>IF(Planilha1!B219="","",Planilha1!B219)</f>
        <v>10:00p</v>
      </c>
      <c r="I222" s="2" t="str">
        <f>IF(Planilha1!C219="","",Planilha1!C219)</f>
        <v>Golden State Warriors</v>
      </c>
      <c r="J222" s="2">
        <f>IF(Planilha1!D219="","",Planilha1!D219)</f>
        <v>115</v>
      </c>
      <c r="K222" s="10" t="str">
        <f>IF(Planilha1!E219="","",IF(Planilha1!E219=0,"",Planilha1!E219))</f>
        <v>Phoenix Suns</v>
      </c>
      <c r="L222" s="10">
        <f>IF(Planilha1!F219="","",Planilha1!F219)</f>
        <v>123</v>
      </c>
      <c r="M222" s="10">
        <f>IF(Planilha1!G219="","",IF(Planilha1!G219=0,"",Planilha1!G219))</f>
        <v>123</v>
      </c>
      <c r="N222" s="5">
        <f t="shared" si="25"/>
        <v>1</v>
      </c>
      <c r="O222" s="5">
        <f t="shared" si="26"/>
        <v>0</v>
      </c>
      <c r="P222" s="5">
        <f t="shared" si="27"/>
        <v>0</v>
      </c>
      <c r="Q222" s="5">
        <f t="shared" si="28"/>
        <v>2</v>
      </c>
      <c r="R222" s="8">
        <f t="shared" si="29"/>
        <v>0</v>
      </c>
      <c r="S222" s="8">
        <f t="shared" si="30"/>
        <v>0</v>
      </c>
      <c r="T222" s="3" t="e">
        <f t="shared" si="31"/>
        <v>#VALUE!</v>
      </c>
      <c r="V222" s="1" t="e">
        <f t="shared" si="32"/>
        <v>#VALUE!</v>
      </c>
    </row>
    <row r="223" spans="8:22" x14ac:dyDescent="0.3">
      <c r="H223" s="2" t="str">
        <f>IF(Planilha1!B220="","",Planilha1!B220)</f>
        <v>10:00p</v>
      </c>
      <c r="I223" s="2" t="str">
        <f>IF(Planilha1!C220="","",Planilha1!C220)</f>
        <v>Utah Jazz</v>
      </c>
      <c r="J223" s="2">
        <f>IF(Planilha1!D220="","",Planilha1!D220)</f>
        <v>105</v>
      </c>
      <c r="K223" s="10" t="str">
        <f>IF(Planilha1!E220="","",IF(Planilha1!E220=0,"",Planilha1!E220))</f>
        <v>Portland Trail Blazers</v>
      </c>
      <c r="L223" s="10">
        <f>IF(Planilha1!F220="","",Planilha1!F220)</f>
        <v>121</v>
      </c>
      <c r="M223" s="10">
        <f>IF(Planilha1!G220="","",IF(Planilha1!G220=0,"",Planilha1!G220))</f>
        <v>121</v>
      </c>
      <c r="N223" s="5">
        <f t="shared" si="25"/>
        <v>1</v>
      </c>
      <c r="O223" s="5">
        <f t="shared" si="26"/>
        <v>0</v>
      </c>
      <c r="P223" s="5">
        <f t="shared" si="27"/>
        <v>0</v>
      </c>
      <c r="Q223" s="5">
        <f t="shared" si="28"/>
        <v>2</v>
      </c>
      <c r="R223" s="8">
        <f t="shared" si="29"/>
        <v>0</v>
      </c>
      <c r="S223" s="8">
        <f t="shared" si="30"/>
        <v>0</v>
      </c>
      <c r="T223" s="3" t="e">
        <f t="shared" si="31"/>
        <v>#VALUE!</v>
      </c>
      <c r="V223" s="1" t="e">
        <f t="shared" si="32"/>
        <v>#VALUE!</v>
      </c>
    </row>
    <row r="224" spans="8:22" x14ac:dyDescent="0.3">
      <c r="H224" s="2" t="str">
        <f>IF(Planilha1!B221="","",Planilha1!B221)</f>
        <v>10:30p</v>
      </c>
      <c r="I224" s="2" t="str">
        <f>IF(Planilha1!C221="","",Planilha1!C221)</f>
        <v>Dallas Mavericks</v>
      </c>
      <c r="J224" s="2">
        <f>IF(Planilha1!D221="","",Planilha1!D221)</f>
        <v>104</v>
      </c>
      <c r="K224" s="10" t="str">
        <f>IF(Planilha1!E221="","",IF(Planilha1!E221=0,"",Planilha1!E221))</f>
        <v>Los Angeles Lakers</v>
      </c>
      <c r="L224" s="10">
        <f>IF(Planilha1!F221="","",Planilha1!F221)</f>
        <v>101</v>
      </c>
      <c r="M224" s="10">
        <f>IF(Planilha1!G221="","",IF(Planilha1!G221=0,"",Planilha1!G221))</f>
        <v>101</v>
      </c>
      <c r="N224" s="5">
        <f t="shared" si="25"/>
        <v>1</v>
      </c>
      <c r="O224" s="5">
        <f t="shared" si="26"/>
        <v>0</v>
      </c>
      <c r="P224" s="5">
        <f t="shared" si="27"/>
        <v>0</v>
      </c>
      <c r="Q224" s="5">
        <f t="shared" si="28"/>
        <v>2</v>
      </c>
      <c r="R224" s="8">
        <f t="shared" si="29"/>
        <v>0</v>
      </c>
      <c r="S224" s="8">
        <f t="shared" si="30"/>
        <v>0</v>
      </c>
      <c r="T224" s="3" t="e">
        <f t="shared" si="31"/>
        <v>#VALUE!</v>
      </c>
      <c r="V224" s="1" t="e">
        <f t="shared" si="32"/>
        <v>#VALUE!</v>
      </c>
    </row>
    <row r="225" spans="8:22" x14ac:dyDescent="0.3">
      <c r="H225" s="2" t="str">
        <f>IF(Planilha1!B222="","",Planilha1!B222)</f>
        <v>2:30p</v>
      </c>
      <c r="I225" s="2" t="str">
        <f>IF(Planilha1!C222="","",Planilha1!C222)</f>
        <v>Boston Celtics</v>
      </c>
      <c r="J225" s="2">
        <f>IF(Planilha1!D222="","",Planilha1!D222)</f>
        <v>96</v>
      </c>
      <c r="K225" s="10" t="str">
        <f>IF(Planilha1!E222="","",IF(Planilha1!E222=0,"",Planilha1!E222))</f>
        <v>Orlando Magic</v>
      </c>
      <c r="L225" s="10">
        <f>IF(Planilha1!F222="","",Planilha1!F222)</f>
        <v>113</v>
      </c>
      <c r="M225" s="10">
        <f>IF(Planilha1!G222="","",IF(Planilha1!G222=0,"",Planilha1!G222))</f>
        <v>113</v>
      </c>
      <c r="N225" s="5">
        <f t="shared" si="25"/>
        <v>1</v>
      </c>
      <c r="O225" s="5">
        <f t="shared" si="26"/>
        <v>0</v>
      </c>
      <c r="P225" s="5">
        <f t="shared" si="27"/>
        <v>0</v>
      </c>
      <c r="Q225" s="5">
        <f t="shared" si="28"/>
        <v>2</v>
      </c>
      <c r="R225" s="8">
        <f t="shared" si="29"/>
        <v>0</v>
      </c>
      <c r="S225" s="8">
        <f t="shared" si="30"/>
        <v>0</v>
      </c>
      <c r="T225" s="3" t="e">
        <f t="shared" si="31"/>
        <v>#VALUE!</v>
      </c>
      <c r="V225" s="1" t="e">
        <f t="shared" si="32"/>
        <v>#VALUE!</v>
      </c>
    </row>
    <row r="226" spans="8:22" x14ac:dyDescent="0.3">
      <c r="H226" s="2" t="str">
        <f>IF(Planilha1!B223="","",Planilha1!B223)</f>
        <v>5:00p</v>
      </c>
      <c r="I226" s="2" t="str">
        <f>IF(Planilha1!C223="","",Planilha1!C223)</f>
        <v>Phoenix Suns</v>
      </c>
      <c r="J226" s="2">
        <f>IF(Planilha1!D223="","",Planilha1!D223)</f>
        <v>110</v>
      </c>
      <c r="K226" s="10" t="str">
        <f>IF(Planilha1!E223="","",IF(Planilha1!E223=0,"",Planilha1!E223))</f>
        <v>Memphis Grizzlies</v>
      </c>
      <c r="L226" s="10">
        <f>IF(Planilha1!F223="","",Planilha1!F223)</f>
        <v>89</v>
      </c>
      <c r="M226" s="10">
        <f>IF(Planilha1!G223="","",IF(Planilha1!G223=0,"",Planilha1!G223))</f>
        <v>89</v>
      </c>
      <c r="N226" s="5">
        <f t="shared" si="25"/>
        <v>1</v>
      </c>
      <c r="O226" s="5">
        <f t="shared" si="26"/>
        <v>0</v>
      </c>
      <c r="P226" s="5">
        <f t="shared" si="27"/>
        <v>0</v>
      </c>
      <c r="Q226" s="5">
        <f t="shared" si="28"/>
        <v>2</v>
      </c>
      <c r="R226" s="8">
        <f t="shared" si="29"/>
        <v>0</v>
      </c>
      <c r="S226" s="8">
        <f t="shared" si="30"/>
        <v>0</v>
      </c>
      <c r="T226" s="3" t="e">
        <f t="shared" si="31"/>
        <v>#VALUE!</v>
      </c>
      <c r="V226" s="1" t="e">
        <f t="shared" si="32"/>
        <v>#VALUE!</v>
      </c>
    </row>
    <row r="227" spans="8:22" x14ac:dyDescent="0.3">
      <c r="H227" s="2" t="str">
        <f>IF(Planilha1!B224="","",Planilha1!B224)</f>
        <v>7:30p</v>
      </c>
      <c r="I227" s="2" t="str">
        <f>IF(Planilha1!C224="","",Planilha1!C224)</f>
        <v>Miami Heat</v>
      </c>
      <c r="J227" s="2">
        <f>IF(Planilha1!D224="","",Planilha1!D224)</f>
        <v>98</v>
      </c>
      <c r="K227" s="10" t="str">
        <f>IF(Planilha1!E224="","",IF(Planilha1!E224=0,"",Planilha1!E224))</f>
        <v>New York Knicks</v>
      </c>
      <c r="L227" s="10">
        <f>IF(Planilha1!F224="","",Planilha1!F224)</f>
        <v>100</v>
      </c>
      <c r="M227" s="10">
        <f>IF(Planilha1!G224="","",IF(Planilha1!G224=0,"",Planilha1!G224))</f>
        <v>100</v>
      </c>
      <c r="N227" s="5">
        <f t="shared" si="25"/>
        <v>1</v>
      </c>
      <c r="O227" s="5">
        <f t="shared" si="26"/>
        <v>0</v>
      </c>
      <c r="P227" s="5">
        <f t="shared" si="27"/>
        <v>0</v>
      </c>
      <c r="Q227" s="5">
        <f t="shared" si="28"/>
        <v>2</v>
      </c>
      <c r="R227" s="8">
        <f t="shared" si="29"/>
        <v>0</v>
      </c>
      <c r="S227" s="8">
        <f t="shared" si="30"/>
        <v>0</v>
      </c>
      <c r="T227" s="3" t="e">
        <f t="shared" si="31"/>
        <v>#VALUE!</v>
      </c>
      <c r="V227" s="1" t="e">
        <f t="shared" si="32"/>
        <v>#VALUE!</v>
      </c>
    </row>
    <row r="228" spans="8:22" x14ac:dyDescent="0.3">
      <c r="H228" s="2" t="str">
        <f>IF(Planilha1!B225="","",Planilha1!B225)</f>
        <v>7:30p</v>
      </c>
      <c r="I228" s="2" t="str">
        <f>IF(Planilha1!C225="","",Planilha1!C225)</f>
        <v>Chicago Bulls</v>
      </c>
      <c r="J228" s="2">
        <f>IF(Planilha1!D225="","",Planilha1!D225)</f>
        <v>108</v>
      </c>
      <c r="K228" s="10" t="str">
        <f>IF(Planilha1!E225="","",IF(Planilha1!E225=0,"",Planilha1!E225))</f>
        <v>Toronto Raptors</v>
      </c>
      <c r="L228" s="10">
        <f>IF(Planilha1!F225="","",Planilha1!F225)</f>
        <v>121</v>
      </c>
      <c r="M228" s="10">
        <f>IF(Planilha1!G225="","",IF(Planilha1!G225=0,"",Planilha1!G225))</f>
        <v>121</v>
      </c>
      <c r="N228" s="5">
        <f t="shared" si="25"/>
        <v>1</v>
      </c>
      <c r="O228" s="5">
        <f t="shared" si="26"/>
        <v>0</v>
      </c>
      <c r="P228" s="5">
        <f t="shared" si="27"/>
        <v>0</v>
      </c>
      <c r="Q228" s="5">
        <f t="shared" si="28"/>
        <v>2</v>
      </c>
      <c r="R228" s="8">
        <f t="shared" si="29"/>
        <v>0</v>
      </c>
      <c r="S228" s="8">
        <f t="shared" si="30"/>
        <v>0</v>
      </c>
      <c r="T228" s="3" t="e">
        <f t="shared" si="31"/>
        <v>#VALUE!</v>
      </c>
      <c r="V228" s="1" t="e">
        <f t="shared" si="32"/>
        <v>#VALUE!</v>
      </c>
    </row>
    <row r="229" spans="8:22" x14ac:dyDescent="0.3">
      <c r="H229" s="2" t="str">
        <f>IF(Planilha1!B226="","",Planilha1!B226)</f>
        <v>8:00p</v>
      </c>
      <c r="I229" s="2" t="str">
        <f>IF(Planilha1!C226="","",Planilha1!C226)</f>
        <v>Denver Nuggets</v>
      </c>
      <c r="J229" s="2">
        <f>IF(Planilha1!D226="","",Planilha1!D226)</f>
        <v>86</v>
      </c>
      <c r="K229" s="10" t="str">
        <f>IF(Planilha1!E226="","",IF(Planilha1!E226=0,"",Planilha1!E226))</f>
        <v>Houston Rockets</v>
      </c>
      <c r="L229" s="10">
        <f>IF(Planilha1!F226="","",Planilha1!F226)</f>
        <v>105</v>
      </c>
      <c r="M229" s="10">
        <f>IF(Planilha1!G226="","",IF(Planilha1!G226=0,"",Planilha1!G226))</f>
        <v>105</v>
      </c>
      <c r="N229" s="5">
        <f t="shared" si="25"/>
        <v>1</v>
      </c>
      <c r="O229" s="5">
        <f t="shared" si="26"/>
        <v>0</v>
      </c>
      <c r="P229" s="5">
        <f t="shared" si="27"/>
        <v>0</v>
      </c>
      <c r="Q229" s="5">
        <f t="shared" si="28"/>
        <v>2</v>
      </c>
      <c r="R229" s="8">
        <f t="shared" si="29"/>
        <v>0</v>
      </c>
      <c r="S229" s="8">
        <f t="shared" si="30"/>
        <v>0</v>
      </c>
      <c r="T229" s="3" t="e">
        <f t="shared" si="31"/>
        <v>#VALUE!</v>
      </c>
      <c r="V229" s="1" t="e">
        <f t="shared" si="32"/>
        <v>#VALUE!</v>
      </c>
    </row>
    <row r="230" spans="8:22" x14ac:dyDescent="0.3">
      <c r="H230" s="2" t="str">
        <f>IF(Planilha1!B227="","",Planilha1!B227)</f>
        <v>8:00p</v>
      </c>
      <c r="I230" s="2" t="str">
        <f>IF(Planilha1!C227="","",Planilha1!C227)</f>
        <v>Detroit Pistons</v>
      </c>
      <c r="J230" s="2">
        <f>IF(Planilha1!D227="","",Planilha1!D227)</f>
        <v>113</v>
      </c>
      <c r="K230" s="10" t="str">
        <f>IF(Planilha1!E227="","",IF(Planilha1!E227=0,"",Planilha1!E227))</f>
        <v>Indiana Pacers</v>
      </c>
      <c r="L230" s="10">
        <f>IF(Planilha1!F227="","",Planilha1!F227)</f>
        <v>136</v>
      </c>
      <c r="M230" s="10">
        <f>IF(Planilha1!G227="","",IF(Planilha1!G227=0,"",Planilha1!G227))</f>
        <v>136</v>
      </c>
      <c r="N230" s="5">
        <f t="shared" si="25"/>
        <v>1</v>
      </c>
      <c r="O230" s="5">
        <f t="shared" si="26"/>
        <v>0</v>
      </c>
      <c r="P230" s="5">
        <f t="shared" si="27"/>
        <v>0</v>
      </c>
      <c r="Q230" s="5">
        <f t="shared" si="28"/>
        <v>2</v>
      </c>
      <c r="R230" s="8">
        <f t="shared" si="29"/>
        <v>0</v>
      </c>
      <c r="S230" s="8">
        <f t="shared" si="30"/>
        <v>0</v>
      </c>
      <c r="T230" s="3" t="e">
        <f t="shared" si="31"/>
        <v>#VALUE!</v>
      </c>
      <c r="V230" s="1" t="e">
        <f t="shared" si="32"/>
        <v>#VALUE!</v>
      </c>
    </row>
    <row r="231" spans="8:22" x14ac:dyDescent="0.3">
      <c r="H231" s="2" t="str">
        <f>IF(Planilha1!B228="","",Planilha1!B228)</f>
        <v>8:00p</v>
      </c>
      <c r="I231" s="2" t="str">
        <f>IF(Planilha1!C228="","",Planilha1!C228)</f>
        <v>Washington Wizards</v>
      </c>
      <c r="J231" s="2">
        <f>IF(Planilha1!D228="","",Planilha1!D228)</f>
        <v>128</v>
      </c>
      <c r="K231" s="10" t="str">
        <f>IF(Planilha1!E228="","",IF(Planilha1!E228=0,"",Planilha1!E228))</f>
        <v>Milwaukee Bucks</v>
      </c>
      <c r="L231" s="10">
        <f>IF(Planilha1!F228="","",Planilha1!F228)</f>
        <v>131</v>
      </c>
      <c r="M231" s="10">
        <f>IF(Planilha1!G228="","",IF(Planilha1!G228=0,"",Planilha1!G228))</f>
        <v>131</v>
      </c>
      <c r="N231" s="5">
        <f t="shared" si="25"/>
        <v>1</v>
      </c>
      <c r="O231" s="5">
        <f t="shared" si="26"/>
        <v>0</v>
      </c>
      <c r="P231" s="5">
        <f t="shared" si="27"/>
        <v>0</v>
      </c>
      <c r="Q231" s="5">
        <f t="shared" si="28"/>
        <v>2</v>
      </c>
      <c r="R231" s="8">
        <f t="shared" si="29"/>
        <v>0</v>
      </c>
      <c r="S231" s="8">
        <f t="shared" si="30"/>
        <v>0</v>
      </c>
      <c r="T231" s="3" t="e">
        <f t="shared" si="31"/>
        <v>#VALUE!</v>
      </c>
      <c r="V231" s="1" t="e">
        <f t="shared" si="32"/>
        <v>#VALUE!</v>
      </c>
    </row>
    <row r="232" spans="8:22" x14ac:dyDescent="0.3">
      <c r="H232" s="2" t="str">
        <f>IF(Planilha1!B229="","",Planilha1!B229)</f>
        <v>8:00p</v>
      </c>
      <c r="I232" s="2" t="str">
        <f>IF(Planilha1!C229="","",Planilha1!C229)</f>
        <v>Sacramento Kings</v>
      </c>
      <c r="J232" s="2">
        <f>IF(Planilha1!D229="","",Planilha1!D229)</f>
        <v>124</v>
      </c>
      <c r="K232" s="10" t="str">
        <f>IF(Planilha1!E229="","",IF(Planilha1!E229=0,"",Planilha1!E229))</f>
        <v>Minnesota Timberwolves</v>
      </c>
      <c r="L232" s="10">
        <f>IF(Planilha1!F229="","",Planilha1!F229)</f>
        <v>111</v>
      </c>
      <c r="M232" s="10">
        <f>IF(Planilha1!G229="","",IF(Planilha1!G229=0,"",Planilha1!G229))</f>
        <v>111</v>
      </c>
      <c r="N232" s="5">
        <f t="shared" si="25"/>
        <v>1</v>
      </c>
      <c r="O232" s="5">
        <f t="shared" si="26"/>
        <v>0</v>
      </c>
      <c r="P232" s="5">
        <f t="shared" si="27"/>
        <v>0</v>
      </c>
      <c r="Q232" s="5">
        <f t="shared" si="28"/>
        <v>2</v>
      </c>
      <c r="R232" s="8">
        <f t="shared" si="29"/>
        <v>0</v>
      </c>
      <c r="S232" s="8">
        <f t="shared" si="30"/>
        <v>0</v>
      </c>
      <c r="T232" s="3" t="e">
        <f t="shared" si="31"/>
        <v>#VALUE!</v>
      </c>
      <c r="V232" s="1" t="e">
        <f t="shared" si="32"/>
        <v>#VALUE!</v>
      </c>
    </row>
    <row r="233" spans="8:22" x14ac:dyDescent="0.3">
      <c r="H233" s="2" t="str">
        <f>IF(Planilha1!B230="","",Planilha1!B230)</f>
        <v>10:00p</v>
      </c>
      <c r="I233" s="2" t="str">
        <f>IF(Planilha1!C230="","",Planilha1!C230)</f>
        <v>San Antonio Spurs</v>
      </c>
      <c r="J233" s="2">
        <f>IF(Planilha1!D230="","",Planilha1!D230)</f>
        <v>112</v>
      </c>
      <c r="K233" s="10" t="str">
        <f>IF(Planilha1!E230="","",IF(Planilha1!E230=0,"",Planilha1!E230))</f>
        <v>Golden State Warriors</v>
      </c>
      <c r="L233" s="10">
        <f>IF(Planilha1!F230="","",Planilha1!F230)</f>
        <v>118</v>
      </c>
      <c r="M233" s="10">
        <f>IF(Planilha1!G230="","",IF(Planilha1!G230=0,"",Planilha1!G230))</f>
        <v>118</v>
      </c>
      <c r="N233" s="5">
        <f t="shared" si="25"/>
        <v>1</v>
      </c>
      <c r="O233" s="5">
        <f t="shared" si="26"/>
        <v>0</v>
      </c>
      <c r="P233" s="5">
        <f t="shared" si="27"/>
        <v>0</v>
      </c>
      <c r="Q233" s="5">
        <f t="shared" si="28"/>
        <v>2</v>
      </c>
      <c r="R233" s="8">
        <f t="shared" si="29"/>
        <v>0</v>
      </c>
      <c r="S233" s="8">
        <f t="shared" si="30"/>
        <v>0</v>
      </c>
      <c r="T233" s="3" t="e">
        <f t="shared" si="31"/>
        <v>#VALUE!</v>
      </c>
      <c r="V233" s="1" t="e">
        <f t="shared" si="32"/>
        <v>#VALUE!</v>
      </c>
    </row>
    <row r="234" spans="8:22" x14ac:dyDescent="0.3">
      <c r="H234" s="2" t="str">
        <f>IF(Planilha1!B231="","",Planilha1!B231)</f>
        <v>10:30p</v>
      </c>
      <c r="I234" s="2" t="str">
        <f>IF(Planilha1!C231="","",Planilha1!C231)</f>
        <v>New Orleans Pelicans</v>
      </c>
      <c r="J234" s="2">
        <f>IF(Planilha1!D231="","",Planilha1!D231)</f>
        <v>116</v>
      </c>
      <c r="K234" s="10" t="str">
        <f>IF(Planilha1!E231="","",IF(Planilha1!E231=0,"",Planilha1!E231))</f>
        <v>Los Angeles Clippers</v>
      </c>
      <c r="L234" s="10">
        <f>IF(Planilha1!F231="","",Planilha1!F231)</f>
        <v>106</v>
      </c>
      <c r="M234" s="10">
        <f>IF(Planilha1!G231="","",IF(Planilha1!G231=0,"",Planilha1!G231))</f>
        <v>106</v>
      </c>
      <c r="N234" s="5">
        <f t="shared" si="25"/>
        <v>1</v>
      </c>
      <c r="O234" s="5">
        <f t="shared" si="26"/>
        <v>0</v>
      </c>
      <c r="P234" s="5">
        <f t="shared" si="27"/>
        <v>0</v>
      </c>
      <c r="Q234" s="5">
        <f t="shared" si="28"/>
        <v>2</v>
      </c>
      <c r="R234" s="8">
        <f t="shared" si="29"/>
        <v>0</v>
      </c>
      <c r="S234" s="8">
        <f t="shared" si="30"/>
        <v>0</v>
      </c>
      <c r="T234" s="3" t="e">
        <f t="shared" si="31"/>
        <v>#VALUE!</v>
      </c>
      <c r="V234" s="1" t="e">
        <f t="shared" si="32"/>
        <v>#VALUE!</v>
      </c>
    </row>
    <row r="235" spans="8:22" x14ac:dyDescent="0.3">
      <c r="H235" s="2" t="str">
        <f>IF(Planilha1!B232="","",Planilha1!B232)</f>
        <v>5:00p</v>
      </c>
      <c r="I235" s="2" t="str">
        <f>IF(Planilha1!C232="","",Planilha1!C232)</f>
        <v>Philadelphia 76ers</v>
      </c>
      <c r="J235" s="2">
        <f>IF(Planilha1!D232="","",Planilha1!D232)</f>
        <v>127</v>
      </c>
      <c r="K235" s="10" t="str">
        <f>IF(Planilha1!E232="","",IF(Planilha1!E232=0,"",Planilha1!E232))</f>
        <v>Oklahoma City Thunder</v>
      </c>
      <c r="L235" s="10">
        <f>IF(Planilha1!F232="","",Planilha1!F232)</f>
        <v>123</v>
      </c>
      <c r="M235" s="10">
        <f>IF(Planilha1!G232="","",IF(Planilha1!G232=0,"",Planilha1!G232))</f>
        <v>123</v>
      </c>
      <c r="N235" s="5">
        <f t="shared" si="25"/>
        <v>1</v>
      </c>
      <c r="O235" s="5">
        <f t="shared" si="26"/>
        <v>0</v>
      </c>
      <c r="P235" s="5">
        <f t="shared" si="27"/>
        <v>0</v>
      </c>
      <c r="Q235" s="5">
        <f t="shared" si="28"/>
        <v>2</v>
      </c>
      <c r="R235" s="8">
        <f t="shared" si="29"/>
        <v>0</v>
      </c>
      <c r="S235" s="8">
        <f t="shared" si="30"/>
        <v>0</v>
      </c>
      <c r="T235" s="3" t="e">
        <f t="shared" si="31"/>
        <v>#VALUE!</v>
      </c>
      <c r="V235" s="1" t="e">
        <f t="shared" si="32"/>
        <v>#VALUE!</v>
      </c>
    </row>
    <row r="236" spans="8:22" x14ac:dyDescent="0.3">
      <c r="H236" s="2" t="str">
        <f>IF(Planilha1!B233="","",Planilha1!B233)</f>
        <v>6:00p</v>
      </c>
      <c r="I236" s="2" t="str">
        <f>IF(Planilha1!C233="","",Planilha1!C233)</f>
        <v>Miami Heat</v>
      </c>
      <c r="J236" s="2">
        <f>IF(Planilha1!D233="","",Planilha1!D233)</f>
        <v>97</v>
      </c>
      <c r="K236" s="10" t="str">
        <f>IF(Planilha1!E233="","",IF(Planilha1!E233=0,"",Planilha1!E233))</f>
        <v>Brooklyn Nets</v>
      </c>
      <c r="L236" s="10">
        <f>IF(Planilha1!F233="","",Planilha1!F233)</f>
        <v>112</v>
      </c>
      <c r="M236" s="10">
        <f>IF(Planilha1!G233="","",IF(Planilha1!G233=0,"",Planilha1!G233))</f>
        <v>112</v>
      </c>
      <c r="N236" s="5">
        <f t="shared" si="25"/>
        <v>1</v>
      </c>
      <c r="O236" s="5">
        <f t="shared" si="26"/>
        <v>0</v>
      </c>
      <c r="P236" s="5">
        <f t="shared" si="27"/>
        <v>0</v>
      </c>
      <c r="Q236" s="5">
        <f t="shared" si="28"/>
        <v>2</v>
      </c>
      <c r="R236" s="8">
        <f t="shared" si="29"/>
        <v>0</v>
      </c>
      <c r="S236" s="8">
        <f t="shared" si="30"/>
        <v>0</v>
      </c>
      <c r="T236" s="3" t="e">
        <f t="shared" si="31"/>
        <v>#VALUE!</v>
      </c>
      <c r="V236" s="1" t="e">
        <f t="shared" si="32"/>
        <v>#VALUE!</v>
      </c>
    </row>
    <row r="237" spans="8:22" x14ac:dyDescent="0.3">
      <c r="H237" s="2" t="str">
        <f>IF(Planilha1!B234="","",Planilha1!B234)</f>
        <v>7:00p</v>
      </c>
      <c r="I237" s="2" t="str">
        <f>IF(Planilha1!C234="","",Planilha1!C234)</f>
        <v>Atlanta Hawks</v>
      </c>
      <c r="J237" s="2">
        <f>IF(Planilha1!D234="","",Planilha1!D234)</f>
        <v>136</v>
      </c>
      <c r="K237" s="10" t="str">
        <f>IF(Planilha1!E234="","",IF(Planilha1!E234=0,"",Planilha1!E234))</f>
        <v>Washington Wizards</v>
      </c>
      <c r="L237" s="10">
        <f>IF(Planilha1!F234="","",Planilha1!F234)</f>
        <v>108</v>
      </c>
      <c r="M237" s="10">
        <f>IF(Planilha1!G234="","",IF(Planilha1!G234=0,"",Planilha1!G234))</f>
        <v>108</v>
      </c>
      <c r="N237" s="5">
        <f t="shared" si="25"/>
        <v>1</v>
      </c>
      <c r="O237" s="5">
        <f t="shared" si="26"/>
        <v>0</v>
      </c>
      <c r="P237" s="5">
        <f t="shared" si="27"/>
        <v>0</v>
      </c>
      <c r="Q237" s="5">
        <f t="shared" si="28"/>
        <v>2</v>
      </c>
      <c r="R237" s="8">
        <f t="shared" si="29"/>
        <v>0</v>
      </c>
      <c r="S237" s="8">
        <f t="shared" si="30"/>
        <v>0</v>
      </c>
      <c r="T237" s="3" t="e">
        <f t="shared" si="31"/>
        <v>#VALUE!</v>
      </c>
      <c r="V237" s="1" t="e">
        <f t="shared" si="32"/>
        <v>#VALUE!</v>
      </c>
    </row>
    <row r="238" spans="8:22" x14ac:dyDescent="0.3">
      <c r="H238" s="2" t="str">
        <f>IF(Planilha1!B235="","",Planilha1!B235)</f>
        <v>7:30p</v>
      </c>
      <c r="I238" s="2" t="str">
        <f>IF(Planilha1!C235="","",Planilha1!C235)</f>
        <v>Los Angeles Lakers</v>
      </c>
      <c r="J238" s="2">
        <f>IF(Planilha1!D235="","",Planilha1!D235)</f>
        <v>121</v>
      </c>
      <c r="K238" s="10" t="str">
        <f>IF(Planilha1!E235="","",IF(Planilha1!E235=0,"",Planilha1!E235))</f>
        <v>Cleveland Cavaliers</v>
      </c>
      <c r="L238" s="10">
        <f>IF(Planilha1!F235="","",Planilha1!F235)</f>
        <v>115</v>
      </c>
      <c r="M238" s="10">
        <f>IF(Planilha1!G235="","",IF(Planilha1!G235=0,"",Planilha1!G235))</f>
        <v>115</v>
      </c>
      <c r="N238" s="5">
        <f t="shared" si="25"/>
        <v>1</v>
      </c>
      <c r="O238" s="5">
        <f t="shared" si="26"/>
        <v>0</v>
      </c>
      <c r="P238" s="5">
        <f t="shared" si="27"/>
        <v>0</v>
      </c>
      <c r="Q238" s="5">
        <f t="shared" si="28"/>
        <v>2</v>
      </c>
      <c r="R238" s="8">
        <f t="shared" si="29"/>
        <v>0</v>
      </c>
      <c r="S238" s="8">
        <f t="shared" si="30"/>
        <v>0</v>
      </c>
      <c r="T238" s="3" t="e">
        <f t="shared" si="31"/>
        <v>#VALUE!</v>
      </c>
      <c r="V238" s="1" t="e">
        <f t="shared" si="32"/>
        <v>#VALUE!</v>
      </c>
    </row>
    <row r="239" spans="8:22" x14ac:dyDescent="0.3">
      <c r="H239" s="2" t="str">
        <f>IF(Planilha1!B236="","",Planilha1!B236)</f>
        <v>9:30p</v>
      </c>
      <c r="I239" s="2" t="str">
        <f>IF(Planilha1!C236="","",Planilha1!C236)</f>
        <v>New Orleans Pelicans</v>
      </c>
      <c r="J239" s="2">
        <f>IF(Planilha1!D236="","",Planilha1!D236)</f>
        <v>100</v>
      </c>
      <c r="K239" s="10" t="str">
        <f>IF(Planilha1!E236="","",IF(Planilha1!E236=0,"",Planilha1!E236))</f>
        <v>Utah Jazz</v>
      </c>
      <c r="L239" s="10">
        <f>IF(Planilha1!F236="","",Planilha1!F236)</f>
        <v>105</v>
      </c>
      <c r="M239" s="10">
        <f>IF(Planilha1!G236="","",IF(Planilha1!G236=0,"",Planilha1!G236))</f>
        <v>105</v>
      </c>
      <c r="N239" s="5">
        <f t="shared" si="25"/>
        <v>1</v>
      </c>
      <c r="O239" s="5">
        <f t="shared" si="26"/>
        <v>0</v>
      </c>
      <c r="P239" s="5">
        <f t="shared" si="27"/>
        <v>0</v>
      </c>
      <c r="Q239" s="5">
        <f t="shared" si="28"/>
        <v>2</v>
      </c>
      <c r="R239" s="8">
        <f t="shared" si="29"/>
        <v>0</v>
      </c>
      <c r="S239" s="8">
        <f t="shared" si="30"/>
        <v>0</v>
      </c>
      <c r="T239" s="3" t="e">
        <f t="shared" si="31"/>
        <v>#VALUE!</v>
      </c>
      <c r="V239" s="1" t="e">
        <f t="shared" si="32"/>
        <v>#VALUE!</v>
      </c>
    </row>
    <row r="240" spans="8:22" x14ac:dyDescent="0.3">
      <c r="H240" s="2" t="str">
        <f>IF(Planilha1!B237="","",Planilha1!B237)</f>
        <v>10:30p</v>
      </c>
      <c r="I240" s="2" t="str">
        <f>IF(Planilha1!C237="","",Planilha1!C237)</f>
        <v>Dallas Mavericks</v>
      </c>
      <c r="J240" s="2">
        <f>IF(Planilha1!D237="","",Planilha1!D237)</f>
        <v>88</v>
      </c>
      <c r="K240" s="10" t="str">
        <f>IF(Planilha1!E237="","",IF(Planilha1!E237=0,"",Planilha1!E237))</f>
        <v>Los Angeles Clippers</v>
      </c>
      <c r="L240" s="10">
        <f>IF(Planilha1!F237="","",Planilha1!F237)</f>
        <v>107</v>
      </c>
      <c r="M240" s="10">
        <f>IF(Planilha1!G237="","",IF(Planilha1!G237=0,"",Planilha1!G237))</f>
        <v>107</v>
      </c>
      <c r="N240" s="5">
        <f t="shared" si="25"/>
        <v>1</v>
      </c>
      <c r="O240" s="5">
        <f t="shared" si="26"/>
        <v>0</v>
      </c>
      <c r="P240" s="5">
        <f t="shared" si="27"/>
        <v>0</v>
      </c>
      <c r="Q240" s="5">
        <f t="shared" si="28"/>
        <v>2</v>
      </c>
      <c r="R240" s="8">
        <f t="shared" si="29"/>
        <v>0</v>
      </c>
      <c r="S240" s="8">
        <f t="shared" si="30"/>
        <v>0</v>
      </c>
      <c r="T240" s="3" t="e">
        <f t="shared" si="31"/>
        <v>#VALUE!</v>
      </c>
      <c r="V240" s="1" t="e">
        <f t="shared" si="32"/>
        <v>#VALUE!</v>
      </c>
    </row>
    <row r="241" spans="8:22" x14ac:dyDescent="0.3">
      <c r="H241" s="2" t="str">
        <f>IF(Planilha1!B238="","",Planilha1!B238)</f>
        <v>3:30p</v>
      </c>
      <c r="I241" s="2" t="str">
        <f>IF(Planilha1!C238="","",Planilha1!C238)</f>
        <v>Portland Trail Blazers</v>
      </c>
      <c r="J241" s="2">
        <f>IF(Planilha1!D238="","",Planilha1!D238)</f>
        <v>102</v>
      </c>
      <c r="K241" s="10" t="str">
        <f>IF(Planilha1!E238="","",IF(Planilha1!E238=0,"",Planilha1!E238))</f>
        <v>Milwaukee Bucks</v>
      </c>
      <c r="L241" s="10">
        <f>IF(Planilha1!F238="","",Planilha1!F238)</f>
        <v>108</v>
      </c>
      <c r="M241" s="10">
        <f>IF(Planilha1!G238="","",IF(Planilha1!G238=0,"",Planilha1!G238))</f>
        <v>108</v>
      </c>
      <c r="N241" s="5">
        <f t="shared" si="25"/>
        <v>1</v>
      </c>
      <c r="O241" s="5">
        <f t="shared" si="26"/>
        <v>0</v>
      </c>
      <c r="P241" s="5">
        <f t="shared" si="27"/>
        <v>0</v>
      </c>
      <c r="Q241" s="5">
        <f t="shared" si="28"/>
        <v>2</v>
      </c>
      <c r="R241" s="8">
        <f t="shared" si="29"/>
        <v>0</v>
      </c>
      <c r="S241" s="8">
        <f t="shared" si="30"/>
        <v>0</v>
      </c>
      <c r="T241" s="3" t="e">
        <f t="shared" si="31"/>
        <v>#VALUE!</v>
      </c>
      <c r="V241" s="1" t="e">
        <f t="shared" si="32"/>
        <v>#VALUE!</v>
      </c>
    </row>
    <row r="242" spans="8:22" x14ac:dyDescent="0.3">
      <c r="H242" s="2" t="str">
        <f>IF(Planilha1!B239="","",Planilha1!B239)</f>
        <v>6:00p</v>
      </c>
      <c r="I242" s="2" t="str">
        <f>IF(Planilha1!C239="","",Planilha1!C239)</f>
        <v>Atlanta Hawks</v>
      </c>
      <c r="J242" s="2">
        <f>IF(Planilha1!D239="","",Planilha1!D239)</f>
        <v>103</v>
      </c>
      <c r="K242" s="10" t="str">
        <f>IF(Planilha1!E239="","",IF(Planilha1!E239=0,"",Planilha1!E239))</f>
        <v>Boston Celtics</v>
      </c>
      <c r="L242" s="10">
        <f>IF(Planilha1!F239="","",Planilha1!F239)</f>
        <v>113</v>
      </c>
      <c r="M242" s="10">
        <f>IF(Planilha1!G239="","",IF(Planilha1!G239=0,"",Planilha1!G239))</f>
        <v>113</v>
      </c>
      <c r="N242" s="5">
        <f t="shared" si="25"/>
        <v>1</v>
      </c>
      <c r="O242" s="5">
        <f t="shared" si="26"/>
        <v>0</v>
      </c>
      <c r="P242" s="5">
        <f t="shared" si="27"/>
        <v>0</v>
      </c>
      <c r="Q242" s="5">
        <f t="shared" si="28"/>
        <v>2</v>
      </c>
      <c r="R242" s="8">
        <f t="shared" si="29"/>
        <v>0</v>
      </c>
      <c r="S242" s="8">
        <f t="shared" si="30"/>
        <v>0</v>
      </c>
      <c r="T242" s="3" t="e">
        <f t="shared" si="31"/>
        <v>#VALUE!</v>
      </c>
      <c r="V242" s="1" t="e">
        <f t="shared" si="32"/>
        <v>#VALUE!</v>
      </c>
    </row>
    <row r="243" spans="8:22" x14ac:dyDescent="0.3">
      <c r="H243" s="2" t="str">
        <f>IF(Planilha1!B240="","",Planilha1!B240)</f>
        <v>6:00p</v>
      </c>
      <c r="I243" s="2" t="str">
        <f>IF(Planilha1!C240="","",Planilha1!C240)</f>
        <v>Minnesota Timberwolves</v>
      </c>
      <c r="J243" s="2">
        <f>IF(Planilha1!D240="","",Planilha1!D240)</f>
        <v>119</v>
      </c>
      <c r="K243" s="10" t="str">
        <f>IF(Planilha1!E240="","",IF(Planilha1!E240=0,"",Planilha1!E240))</f>
        <v>Memphis Grizzlies</v>
      </c>
      <c r="L243" s="10">
        <f>IF(Planilha1!F240="","",Planilha1!F240)</f>
        <v>97</v>
      </c>
      <c r="M243" s="10">
        <f>IF(Planilha1!G240="","",IF(Planilha1!G240=0,"",Planilha1!G240))</f>
        <v>97</v>
      </c>
      <c r="N243" s="5">
        <f t="shared" si="25"/>
        <v>1</v>
      </c>
      <c r="O243" s="5">
        <f t="shared" si="26"/>
        <v>0</v>
      </c>
      <c r="P243" s="5">
        <f t="shared" si="27"/>
        <v>0</v>
      </c>
      <c r="Q243" s="5">
        <f t="shared" si="28"/>
        <v>2</v>
      </c>
      <c r="R243" s="8">
        <f t="shared" si="29"/>
        <v>0</v>
      </c>
      <c r="S243" s="8">
        <f t="shared" si="30"/>
        <v>0</v>
      </c>
      <c r="T243" s="3" t="e">
        <f t="shared" si="31"/>
        <v>#VALUE!</v>
      </c>
      <c r="V243" s="1" t="e">
        <f t="shared" si="32"/>
        <v>#VALUE!</v>
      </c>
    </row>
    <row r="244" spans="8:22" x14ac:dyDescent="0.3">
      <c r="H244" s="2" t="str">
        <f>IF(Planilha1!B241="","",Planilha1!B241)</f>
        <v>6:00p</v>
      </c>
      <c r="I244" s="2" t="str">
        <f>IF(Planilha1!C241="","",Planilha1!C241)</f>
        <v>Phoenix Suns</v>
      </c>
      <c r="J244" s="2">
        <f>IF(Planilha1!D241="","",Planilha1!D241)</f>
        <v>116</v>
      </c>
      <c r="K244" s="10" t="str">
        <f>IF(Planilha1!E241="","",IF(Planilha1!E241=0,"",Planilha1!E241))</f>
        <v>New York Knicks</v>
      </c>
      <c r="L244" s="10">
        <f>IF(Planilha1!F241="","",Planilha1!F241)</f>
        <v>113</v>
      </c>
      <c r="M244" s="10">
        <f>IF(Planilha1!G241="","",IF(Planilha1!G241=0,"",Planilha1!G241))</f>
        <v>113</v>
      </c>
      <c r="N244" s="5">
        <f t="shared" si="25"/>
        <v>1</v>
      </c>
      <c r="O244" s="5">
        <f t="shared" si="26"/>
        <v>0</v>
      </c>
      <c r="P244" s="5">
        <f t="shared" si="27"/>
        <v>0</v>
      </c>
      <c r="Q244" s="5">
        <f t="shared" si="28"/>
        <v>2</v>
      </c>
      <c r="R244" s="8">
        <f t="shared" si="29"/>
        <v>0</v>
      </c>
      <c r="S244" s="8">
        <f t="shared" si="30"/>
        <v>0</v>
      </c>
      <c r="T244" s="3" t="e">
        <f t="shared" si="31"/>
        <v>#VALUE!</v>
      </c>
      <c r="V244" s="1" t="e">
        <f t="shared" si="32"/>
        <v>#VALUE!</v>
      </c>
    </row>
    <row r="245" spans="8:22" x14ac:dyDescent="0.3">
      <c r="H245" s="2" t="str">
        <f>IF(Planilha1!B242="","",Planilha1!B242)</f>
        <v>6:00p</v>
      </c>
      <c r="I245" s="2" t="str">
        <f>IF(Planilha1!C242="","",Planilha1!C242)</f>
        <v>Charlotte Hornets</v>
      </c>
      <c r="J245" s="2">
        <f>IF(Planilha1!D242="","",Planilha1!D242)</f>
        <v>117</v>
      </c>
      <c r="K245" s="10" t="str">
        <f>IF(Planilha1!E242="","",IF(Planilha1!E242=0,"",Planilha1!E242))</f>
        <v>Orlando Magic</v>
      </c>
      <c r="L245" s="10">
        <f>IF(Planilha1!F242="","",Planilha1!F242)</f>
        <v>130</v>
      </c>
      <c r="M245" s="10">
        <f>IF(Planilha1!G242="","",IF(Planilha1!G242=0,"",Planilha1!G242))</f>
        <v>130</v>
      </c>
      <c r="N245" s="5">
        <f t="shared" si="25"/>
        <v>1</v>
      </c>
      <c r="O245" s="5">
        <f t="shared" si="26"/>
        <v>0</v>
      </c>
      <c r="P245" s="5">
        <f t="shared" si="27"/>
        <v>0</v>
      </c>
      <c r="Q245" s="5">
        <f t="shared" si="28"/>
        <v>2</v>
      </c>
      <c r="R245" s="8">
        <f t="shared" si="29"/>
        <v>0</v>
      </c>
      <c r="S245" s="8">
        <f t="shared" si="30"/>
        <v>0</v>
      </c>
      <c r="T245" s="3" t="e">
        <f t="shared" si="31"/>
        <v>#VALUE!</v>
      </c>
      <c r="V245" s="1" t="e">
        <f t="shared" si="32"/>
        <v>#VALUE!</v>
      </c>
    </row>
    <row r="246" spans="8:22" x14ac:dyDescent="0.3">
      <c r="H246" s="2" t="str">
        <f>IF(Planilha1!B243="","",Planilha1!B243)</f>
        <v>7:30p</v>
      </c>
      <c r="I246" s="2" t="str">
        <f>IF(Planilha1!C243="","",Planilha1!C243)</f>
        <v>Chicago Bulls</v>
      </c>
      <c r="J246" s="2">
        <f>IF(Planilha1!D243="","",Planilha1!D243)</f>
        <v>109</v>
      </c>
      <c r="K246" s="10" t="str">
        <f>IF(Planilha1!E243="","",IF(Planilha1!E243=0,"",Planilha1!E243))</f>
        <v>Brooklyn Nets</v>
      </c>
      <c r="L246" s="10">
        <f>IF(Planilha1!F243="","",Planilha1!F243)</f>
        <v>118</v>
      </c>
      <c r="M246" s="10">
        <f>IF(Planilha1!G243="","",IF(Planilha1!G243=0,"",Planilha1!G243))</f>
        <v>118</v>
      </c>
      <c r="N246" s="5">
        <f t="shared" si="25"/>
        <v>1</v>
      </c>
      <c r="O246" s="5">
        <f t="shared" si="26"/>
        <v>0</v>
      </c>
      <c r="P246" s="5">
        <f t="shared" si="27"/>
        <v>0</v>
      </c>
      <c r="Q246" s="5">
        <f t="shared" si="28"/>
        <v>2</v>
      </c>
      <c r="R246" s="8">
        <f t="shared" si="29"/>
        <v>0</v>
      </c>
      <c r="S246" s="8">
        <f t="shared" si="30"/>
        <v>0</v>
      </c>
      <c r="T246" s="3" t="e">
        <f t="shared" si="31"/>
        <v>#VALUE!</v>
      </c>
      <c r="V246" s="1" t="e">
        <f t="shared" si="32"/>
        <v>#VALUE!</v>
      </c>
    </row>
    <row r="247" spans="8:22" x14ac:dyDescent="0.3">
      <c r="H247" s="2" t="str">
        <f>IF(Planilha1!B244="","",Planilha1!B244)</f>
        <v>7:30p</v>
      </c>
      <c r="I247" s="2" t="str">
        <f>IF(Planilha1!C244="","",Planilha1!C244)</f>
        <v>Toronto Raptors</v>
      </c>
      <c r="J247" s="2">
        <f>IF(Planilha1!D244="","",Planilha1!D244)</f>
        <v>102</v>
      </c>
      <c r="K247" s="10" t="str">
        <f>IF(Planilha1!E244="","",IF(Planilha1!E244=0,"",Planilha1!E244))</f>
        <v>Cleveland Cavaliers</v>
      </c>
      <c r="L247" s="10">
        <f>IF(Planilha1!F244="","",Planilha1!F244)</f>
        <v>105</v>
      </c>
      <c r="M247" s="10">
        <f>IF(Planilha1!G244="","",IF(Planilha1!G244=0,"",Planilha1!G244))</f>
        <v>105</v>
      </c>
      <c r="N247" s="5">
        <f t="shared" si="25"/>
        <v>1</v>
      </c>
      <c r="O247" s="5">
        <f t="shared" si="26"/>
        <v>0</v>
      </c>
      <c r="P247" s="5">
        <f t="shared" si="27"/>
        <v>0</v>
      </c>
      <c r="Q247" s="5">
        <f t="shared" si="28"/>
        <v>2</v>
      </c>
      <c r="R247" s="8">
        <f t="shared" si="29"/>
        <v>0</v>
      </c>
      <c r="S247" s="8">
        <f t="shared" si="30"/>
        <v>0</v>
      </c>
      <c r="T247" s="3" t="e">
        <f t="shared" si="31"/>
        <v>#VALUE!</v>
      </c>
      <c r="V247" s="1" t="e">
        <f t="shared" si="32"/>
        <v>#VALUE!</v>
      </c>
    </row>
    <row r="248" spans="8:22" x14ac:dyDescent="0.3">
      <c r="H248" s="2" t="str">
        <f>IF(Planilha1!B245="","",Planilha1!B245)</f>
        <v>8:00p</v>
      </c>
      <c r="I248" s="2" t="str">
        <f>IF(Planilha1!C245="","",Planilha1!C245)</f>
        <v>San Antonio Spurs</v>
      </c>
      <c r="J248" s="2">
        <f>IF(Planilha1!D245="","",Planilha1!D245)</f>
        <v>120</v>
      </c>
      <c r="K248" s="10" t="str">
        <f>IF(Planilha1!E245="","",IF(Planilha1!E245=0,"",Planilha1!E245))</f>
        <v>Denver Nuggets</v>
      </c>
      <c r="L248" s="10">
        <f>IF(Planilha1!F245="","",Planilha1!F245)</f>
        <v>132</v>
      </c>
      <c r="M248" s="10">
        <f>IF(Planilha1!G245="","",IF(Planilha1!G245=0,"",Planilha1!G245))</f>
        <v>132</v>
      </c>
      <c r="N248" s="5">
        <f t="shared" si="25"/>
        <v>1</v>
      </c>
      <c r="O248" s="5">
        <f t="shared" si="26"/>
        <v>0</v>
      </c>
      <c r="P248" s="5">
        <f t="shared" si="27"/>
        <v>0</v>
      </c>
      <c r="Q248" s="5">
        <f t="shared" si="28"/>
        <v>2</v>
      </c>
      <c r="R248" s="8">
        <f t="shared" si="29"/>
        <v>0</v>
      </c>
      <c r="S248" s="8">
        <f t="shared" si="30"/>
        <v>0</v>
      </c>
      <c r="T248" s="3" t="e">
        <f t="shared" si="31"/>
        <v>#VALUE!</v>
      </c>
      <c r="V248" s="1" t="e">
        <f t="shared" si="32"/>
        <v>#VALUE!</v>
      </c>
    </row>
    <row r="249" spans="8:22" x14ac:dyDescent="0.3">
      <c r="H249" s="2" t="str">
        <f>IF(Planilha1!B246="","",Planilha1!B246)</f>
        <v>7:00p</v>
      </c>
      <c r="I249" s="2" t="str">
        <f>IF(Planilha1!C246="","",Planilha1!C246)</f>
        <v>Washington Wizards</v>
      </c>
      <c r="J249" s="2">
        <f>IF(Planilha1!D246="","",Planilha1!D246)</f>
        <v>126</v>
      </c>
      <c r="K249" s="10" t="str">
        <f>IF(Planilha1!E246="","",IF(Planilha1!E246=0,"",Planilha1!E246))</f>
        <v>Detroit Pistons</v>
      </c>
      <c r="L249" s="10">
        <f>IF(Planilha1!F246="","",Planilha1!F246)</f>
        <v>107</v>
      </c>
      <c r="M249" s="10">
        <f>IF(Planilha1!G246="","",IF(Planilha1!G246=0,"",Planilha1!G246))</f>
        <v>107</v>
      </c>
      <c r="N249" s="5">
        <f t="shared" si="25"/>
        <v>1</v>
      </c>
      <c r="O249" s="5">
        <f t="shared" si="26"/>
        <v>0</v>
      </c>
      <c r="P249" s="5">
        <f t="shared" si="27"/>
        <v>0</v>
      </c>
      <c r="Q249" s="5">
        <f t="shared" si="28"/>
        <v>2</v>
      </c>
      <c r="R249" s="8">
        <f t="shared" si="29"/>
        <v>0</v>
      </c>
      <c r="S249" s="8">
        <f t="shared" si="30"/>
        <v>0</v>
      </c>
      <c r="T249" s="3" t="e">
        <f t="shared" si="31"/>
        <v>#VALUE!</v>
      </c>
      <c r="V249" s="1" t="e">
        <f t="shared" si="32"/>
        <v>#VALUE!</v>
      </c>
    </row>
    <row r="250" spans="8:22" x14ac:dyDescent="0.3">
      <c r="H250" s="2" t="str">
        <f>IF(Planilha1!B247="","",Planilha1!B247)</f>
        <v>7:00p</v>
      </c>
      <c r="I250" s="2" t="str">
        <f>IF(Planilha1!C247="","",Planilha1!C247)</f>
        <v>Portland Trail Blazers</v>
      </c>
      <c r="J250" s="2">
        <f>IF(Planilha1!D247="","",Planilha1!D247)</f>
        <v>114</v>
      </c>
      <c r="K250" s="10" t="str">
        <f>IF(Planilha1!E247="","",IF(Planilha1!E247=0,"",Planilha1!E247))</f>
        <v>Indiana Pacers</v>
      </c>
      <c r="L250" s="10">
        <f>IF(Planilha1!F247="","",Planilha1!F247)</f>
        <v>110</v>
      </c>
      <c r="M250" s="10">
        <f>IF(Planilha1!G247="","",IF(Planilha1!G247=0,"",Planilha1!G247))</f>
        <v>110</v>
      </c>
      <c r="N250" s="5">
        <f t="shared" si="25"/>
        <v>1</v>
      </c>
      <c r="O250" s="5">
        <f t="shared" si="26"/>
        <v>0</v>
      </c>
      <c r="P250" s="5">
        <f t="shared" si="27"/>
        <v>0</v>
      </c>
      <c r="Q250" s="5">
        <f t="shared" si="28"/>
        <v>2</v>
      </c>
      <c r="R250" s="8">
        <f t="shared" si="29"/>
        <v>0</v>
      </c>
      <c r="S250" s="8">
        <f t="shared" si="30"/>
        <v>0</v>
      </c>
      <c r="T250" s="3" t="e">
        <f t="shared" si="31"/>
        <v>#VALUE!</v>
      </c>
      <c r="V250" s="1" t="e">
        <f t="shared" si="32"/>
        <v>#VALUE!</v>
      </c>
    </row>
    <row r="251" spans="8:22" x14ac:dyDescent="0.3">
      <c r="H251" s="2" t="str">
        <f>IF(Planilha1!B248="","",Planilha1!B248)</f>
        <v>7:00p</v>
      </c>
      <c r="I251" s="2" t="str">
        <f>IF(Planilha1!C248="","",Planilha1!C248)</f>
        <v>Los Angeles Lakers</v>
      </c>
      <c r="J251" s="2">
        <f>IF(Planilha1!D248="","",Planilha1!D248)</f>
        <v>94</v>
      </c>
      <c r="K251" s="10" t="str">
        <f>IF(Planilha1!E248="","",IF(Planilha1!E248=0,"",Planilha1!E248))</f>
        <v>Philadelphia 76ers</v>
      </c>
      <c r="L251" s="10">
        <f>IF(Planilha1!F248="","",Planilha1!F248)</f>
        <v>138</v>
      </c>
      <c r="M251" s="10">
        <f>IF(Planilha1!G248="","",IF(Planilha1!G248=0,"",Planilha1!G248))</f>
        <v>138</v>
      </c>
      <c r="N251" s="5">
        <f t="shared" si="25"/>
        <v>1</v>
      </c>
      <c r="O251" s="5">
        <f t="shared" si="26"/>
        <v>0</v>
      </c>
      <c r="P251" s="5">
        <f t="shared" si="27"/>
        <v>0</v>
      </c>
      <c r="Q251" s="5">
        <f t="shared" si="28"/>
        <v>2</v>
      </c>
      <c r="R251" s="8">
        <f t="shared" si="29"/>
        <v>0</v>
      </c>
      <c r="S251" s="8">
        <f t="shared" si="30"/>
        <v>0</v>
      </c>
      <c r="T251" s="3" t="e">
        <f t="shared" si="31"/>
        <v>#VALUE!</v>
      </c>
      <c r="V251" s="1" t="e">
        <f t="shared" si="32"/>
        <v>#VALUE!</v>
      </c>
    </row>
    <row r="252" spans="8:22" x14ac:dyDescent="0.3">
      <c r="H252" s="2" t="str">
        <f>IF(Planilha1!B249="","",Planilha1!B249)</f>
        <v>9:00p</v>
      </c>
      <c r="I252" s="2" t="str">
        <f>IF(Planilha1!C249="","",Planilha1!C249)</f>
        <v>New Orleans Pelicans</v>
      </c>
      <c r="J252" s="2">
        <f>IF(Planilha1!D249="","",Planilha1!D249)</f>
        <v>112</v>
      </c>
      <c r="K252" s="10" t="str">
        <f>IF(Planilha1!E249="","",IF(Planilha1!E249=0,"",Planilha1!E249))</f>
        <v>Utah Jazz</v>
      </c>
      <c r="L252" s="10">
        <f>IF(Planilha1!F249="","",Planilha1!F249)</f>
        <v>114</v>
      </c>
      <c r="M252" s="10">
        <f>IF(Planilha1!G249="","",IF(Planilha1!G249=0,"",Planilha1!G249))</f>
        <v>114</v>
      </c>
      <c r="N252" s="5">
        <f t="shared" si="25"/>
        <v>1</v>
      </c>
      <c r="O252" s="5">
        <f t="shared" si="26"/>
        <v>0</v>
      </c>
      <c r="P252" s="5">
        <f t="shared" si="27"/>
        <v>0</v>
      </c>
      <c r="Q252" s="5">
        <f t="shared" si="28"/>
        <v>2</v>
      </c>
      <c r="R252" s="8">
        <f t="shared" si="29"/>
        <v>0</v>
      </c>
      <c r="S252" s="8">
        <f t="shared" si="30"/>
        <v>0</v>
      </c>
      <c r="T252" s="3" t="e">
        <f t="shared" si="31"/>
        <v>#VALUE!</v>
      </c>
      <c r="V252" s="1" t="e">
        <f t="shared" si="32"/>
        <v>#VALUE!</v>
      </c>
    </row>
    <row r="253" spans="8:22" x14ac:dyDescent="0.3">
      <c r="H253" s="2" t="str">
        <f>IF(Planilha1!B250="","",Planilha1!B250)</f>
        <v>10:30p</v>
      </c>
      <c r="I253" s="2" t="str">
        <f>IF(Planilha1!C250="","",Planilha1!C250)</f>
        <v>Denver Nuggets</v>
      </c>
      <c r="J253" s="2">
        <f>IF(Planilha1!D250="","",Planilha1!D250)</f>
        <v>113</v>
      </c>
      <c r="K253" s="10" t="str">
        <f>IF(Planilha1!E250="","",IF(Planilha1!E250=0,"",Planilha1!E250))</f>
        <v>Los Angeles Clippers</v>
      </c>
      <c r="L253" s="10">
        <f>IF(Planilha1!F250="","",Planilha1!F250)</f>
        <v>104</v>
      </c>
      <c r="M253" s="10">
        <f>IF(Planilha1!G250="","",IF(Planilha1!G250=0,"",Planilha1!G250))</f>
        <v>104</v>
      </c>
      <c r="N253" s="5">
        <f t="shared" si="25"/>
        <v>1</v>
      </c>
      <c r="O253" s="5">
        <f t="shared" si="26"/>
        <v>0</v>
      </c>
      <c r="P253" s="5">
        <f t="shared" si="27"/>
        <v>0</v>
      </c>
      <c r="Q253" s="5">
        <f t="shared" si="28"/>
        <v>2</v>
      </c>
      <c r="R253" s="8">
        <f t="shared" si="29"/>
        <v>0</v>
      </c>
      <c r="S253" s="8">
        <f t="shared" si="30"/>
        <v>0</v>
      </c>
      <c r="T253" s="3" t="e">
        <f t="shared" si="31"/>
        <v>#VALUE!</v>
      </c>
      <c r="V253" s="1" t="e">
        <f t="shared" si="32"/>
        <v>#VALUE!</v>
      </c>
    </row>
    <row r="254" spans="8:22" x14ac:dyDescent="0.3">
      <c r="H254" s="2" t="str">
        <f>IF(Planilha1!B251="","",Planilha1!B251)</f>
        <v>7:30p</v>
      </c>
      <c r="I254" s="2" t="str">
        <f>IF(Planilha1!C251="","",Planilha1!C251)</f>
        <v>Chicago Bulls</v>
      </c>
      <c r="J254" s="2">
        <f>IF(Planilha1!D251="","",Planilha1!D251)</f>
        <v>97</v>
      </c>
      <c r="K254" s="10" t="str">
        <f>IF(Planilha1!E251="","",IF(Planilha1!E251=0,"",Planilha1!E251))</f>
        <v>Boston Celtics</v>
      </c>
      <c r="L254" s="10">
        <f>IF(Planilha1!F251="","",Planilha1!F251)</f>
        <v>124</v>
      </c>
      <c r="M254" s="10">
        <f>IF(Planilha1!G251="","",IF(Planilha1!G251=0,"",Planilha1!G251))</f>
        <v>124</v>
      </c>
      <c r="N254" s="5">
        <f t="shared" si="25"/>
        <v>1</v>
      </c>
      <c r="O254" s="5">
        <f t="shared" si="26"/>
        <v>0</v>
      </c>
      <c r="P254" s="5">
        <f t="shared" si="27"/>
        <v>0</v>
      </c>
      <c r="Q254" s="5">
        <f t="shared" si="28"/>
        <v>2</v>
      </c>
      <c r="R254" s="8">
        <f t="shared" si="29"/>
        <v>0</v>
      </c>
      <c r="S254" s="8">
        <f t="shared" si="30"/>
        <v>0</v>
      </c>
      <c r="T254" s="3" t="e">
        <f t="shared" si="31"/>
        <v>#VALUE!</v>
      </c>
      <c r="V254" s="1" t="e">
        <f t="shared" si="32"/>
        <v>#VALUE!</v>
      </c>
    </row>
    <row r="255" spans="8:22" x14ac:dyDescent="0.3">
      <c r="H255" s="2" t="str">
        <f>IF(Planilha1!B252="","",Planilha1!B252)</f>
        <v>7:30p</v>
      </c>
      <c r="I255" s="2" t="str">
        <f>IF(Planilha1!C252="","",Planilha1!C252)</f>
        <v>Toronto Raptors</v>
      </c>
      <c r="J255" s="2">
        <f>IF(Planilha1!D252="","",Planilha1!D252)</f>
        <v>103</v>
      </c>
      <c r="K255" s="10" t="str">
        <f>IF(Planilha1!E252="","",IF(Planilha1!E252=0,"",Planilha1!E252))</f>
        <v>Brooklyn Nets</v>
      </c>
      <c r="L255" s="10">
        <f>IF(Planilha1!F252="","",Planilha1!F252)</f>
        <v>115</v>
      </c>
      <c r="M255" s="10">
        <f>IF(Planilha1!G252="","",IF(Planilha1!G252=0,"",Planilha1!G252))</f>
        <v>115</v>
      </c>
      <c r="N255" s="5">
        <f t="shared" si="25"/>
        <v>1</v>
      </c>
      <c r="O255" s="5">
        <f t="shared" si="26"/>
        <v>0</v>
      </c>
      <c r="P255" s="5">
        <f t="shared" si="27"/>
        <v>0</v>
      </c>
      <c r="Q255" s="5">
        <f t="shared" si="28"/>
        <v>2</v>
      </c>
      <c r="R255" s="8">
        <f t="shared" si="29"/>
        <v>0</v>
      </c>
      <c r="S255" s="8">
        <f t="shared" si="30"/>
        <v>0</v>
      </c>
      <c r="T255" s="3" t="e">
        <f t="shared" si="31"/>
        <v>#VALUE!</v>
      </c>
      <c r="V255" s="1" t="e">
        <f t="shared" si="32"/>
        <v>#VALUE!</v>
      </c>
    </row>
    <row r="256" spans="8:22" x14ac:dyDescent="0.3">
      <c r="H256" s="2" t="str">
        <f>IF(Planilha1!B253="","",Planilha1!B253)</f>
        <v>7:30p</v>
      </c>
      <c r="I256" s="2" t="str">
        <f>IF(Planilha1!C253="","",Planilha1!C253)</f>
        <v>Atlanta Hawks</v>
      </c>
      <c r="J256" s="2">
        <f>IF(Planilha1!D253="","",Planilha1!D253)</f>
        <v>105</v>
      </c>
      <c r="K256" s="10" t="str">
        <f>IF(Planilha1!E253="","",IF(Planilha1!E253=0,"",Planilha1!E253))</f>
        <v>Cleveland Cavaliers</v>
      </c>
      <c r="L256" s="10">
        <f>IF(Planilha1!F253="","",Planilha1!F253)</f>
        <v>128</v>
      </c>
      <c r="M256" s="10">
        <f>IF(Planilha1!G253="","",IF(Planilha1!G253=0,"",Planilha1!G253))</f>
        <v>128</v>
      </c>
      <c r="N256" s="5">
        <f t="shared" si="25"/>
        <v>1</v>
      </c>
      <c r="O256" s="5">
        <f t="shared" si="26"/>
        <v>0</v>
      </c>
      <c r="P256" s="5">
        <f t="shared" si="27"/>
        <v>0</v>
      </c>
      <c r="Q256" s="5">
        <f t="shared" si="28"/>
        <v>2</v>
      </c>
      <c r="R256" s="8">
        <f t="shared" si="29"/>
        <v>0</v>
      </c>
      <c r="S256" s="8">
        <f t="shared" si="30"/>
        <v>0</v>
      </c>
      <c r="T256" s="3" t="e">
        <f t="shared" si="31"/>
        <v>#VALUE!</v>
      </c>
      <c r="V256" s="1" t="e">
        <f t="shared" si="32"/>
        <v>#VALUE!</v>
      </c>
    </row>
    <row r="257" spans="8:22" x14ac:dyDescent="0.3">
      <c r="H257" s="2" t="str">
        <f>IF(Planilha1!B254="","",Planilha1!B254)</f>
        <v>7:30p</v>
      </c>
      <c r="I257" s="2" t="str">
        <f>IF(Planilha1!C254="","",Planilha1!C254)</f>
        <v>Milwaukee Bucks</v>
      </c>
      <c r="J257" s="2">
        <f>IF(Planilha1!D254="","",Planilha1!D254)</f>
        <v>131</v>
      </c>
      <c r="K257" s="10" t="str">
        <f>IF(Planilha1!E254="","",IF(Planilha1!E254=0,"",Planilha1!E254))</f>
        <v>Miami Heat</v>
      </c>
      <c r="L257" s="10">
        <f>IF(Planilha1!F254="","",Planilha1!F254)</f>
        <v>124</v>
      </c>
      <c r="M257" s="10">
        <f>IF(Planilha1!G254="","",IF(Planilha1!G254=0,"",Planilha1!G254))</f>
        <v>124</v>
      </c>
      <c r="N257" s="5">
        <f t="shared" si="25"/>
        <v>1</v>
      </c>
      <c r="O257" s="5">
        <f t="shared" si="26"/>
        <v>0</v>
      </c>
      <c r="P257" s="5">
        <f t="shared" si="27"/>
        <v>0</v>
      </c>
      <c r="Q257" s="5">
        <f t="shared" si="28"/>
        <v>2</v>
      </c>
      <c r="R257" s="8">
        <f t="shared" si="29"/>
        <v>0</v>
      </c>
      <c r="S257" s="8">
        <f t="shared" si="30"/>
        <v>0</v>
      </c>
      <c r="T257" s="3" t="e">
        <f t="shared" si="31"/>
        <v>#VALUE!</v>
      </c>
      <c r="V257" s="1" t="e">
        <f t="shared" si="32"/>
        <v>#VALUE!</v>
      </c>
    </row>
    <row r="258" spans="8:22" x14ac:dyDescent="0.3">
      <c r="H258" s="2" t="str">
        <f>IF(Planilha1!B255="","",Planilha1!B255)</f>
        <v>7:30p</v>
      </c>
      <c r="I258" s="2" t="str">
        <f>IF(Planilha1!C255="","",Planilha1!C255)</f>
        <v>Charlotte Hornets</v>
      </c>
      <c r="J258" s="2">
        <f>IF(Planilha1!D255="","",Planilha1!D255)</f>
        <v>91</v>
      </c>
      <c r="K258" s="10" t="str">
        <f>IF(Planilha1!E255="","",IF(Planilha1!E255=0,"",Planilha1!E255))</f>
        <v>New York Knicks</v>
      </c>
      <c r="L258" s="10">
        <f>IF(Planilha1!F255="","",Planilha1!F255)</f>
        <v>115</v>
      </c>
      <c r="M258" s="10">
        <f>IF(Planilha1!G255="","",IF(Planilha1!G255=0,"",Planilha1!G255))</f>
        <v>115</v>
      </c>
      <c r="N258" s="5">
        <f t="shared" si="25"/>
        <v>1</v>
      </c>
      <c r="O258" s="5">
        <f t="shared" si="26"/>
        <v>0</v>
      </c>
      <c r="P258" s="5">
        <f t="shared" si="27"/>
        <v>0</v>
      </c>
      <c r="Q258" s="5">
        <f t="shared" si="28"/>
        <v>2</v>
      </c>
      <c r="R258" s="8">
        <f t="shared" si="29"/>
        <v>0</v>
      </c>
      <c r="S258" s="8">
        <f t="shared" si="30"/>
        <v>0</v>
      </c>
      <c r="T258" s="3" t="e">
        <f t="shared" si="31"/>
        <v>#VALUE!</v>
      </c>
      <c r="V258" s="1" t="e">
        <f t="shared" si="32"/>
        <v>#VALUE!</v>
      </c>
    </row>
    <row r="259" spans="8:22" x14ac:dyDescent="0.3">
      <c r="H259" s="2" t="str">
        <f>IF(Planilha1!B256="","",Planilha1!B256)</f>
        <v>8:00p</v>
      </c>
      <c r="I259" s="2" t="str">
        <f>IF(Planilha1!C256="","",Planilha1!C256)</f>
        <v>Oklahoma City Thunder</v>
      </c>
      <c r="J259" s="2">
        <f>IF(Planilha1!D256="","",Planilha1!D256)</f>
        <v>103</v>
      </c>
      <c r="K259" s="10" t="str">
        <f>IF(Planilha1!E256="","",IF(Planilha1!E256=0,"",Planilha1!E256))</f>
        <v>Minnesota Timberwolves</v>
      </c>
      <c r="L259" s="10">
        <f>IF(Planilha1!F256="","",Planilha1!F256)</f>
        <v>106</v>
      </c>
      <c r="M259" s="10">
        <f>IF(Planilha1!G256="","",IF(Planilha1!G256=0,"",Planilha1!G256))</f>
        <v>106</v>
      </c>
      <c r="N259" s="5">
        <f t="shared" si="25"/>
        <v>1</v>
      </c>
      <c r="O259" s="5">
        <f t="shared" si="26"/>
        <v>0</v>
      </c>
      <c r="P259" s="5">
        <f t="shared" si="27"/>
        <v>0</v>
      </c>
      <c r="Q259" s="5">
        <f t="shared" si="28"/>
        <v>2</v>
      </c>
      <c r="R259" s="8">
        <f t="shared" si="29"/>
        <v>0</v>
      </c>
      <c r="S259" s="8">
        <f t="shared" si="30"/>
        <v>0</v>
      </c>
      <c r="T259" s="3" t="e">
        <f t="shared" si="31"/>
        <v>#VALUE!</v>
      </c>
      <c r="V259" s="1" t="e">
        <f t="shared" si="32"/>
        <v>#VALUE!</v>
      </c>
    </row>
    <row r="260" spans="8:22" x14ac:dyDescent="0.3">
      <c r="H260" s="2" t="str">
        <f>IF(Planilha1!B257="","",Planilha1!B257)</f>
        <v>8:30p</v>
      </c>
      <c r="I260" s="2" t="str">
        <f>IF(Planilha1!C257="","",Planilha1!C257)</f>
        <v>Houston Rockets</v>
      </c>
      <c r="J260" s="2">
        <f>IF(Planilha1!D257="","",Planilha1!D257)</f>
        <v>115</v>
      </c>
      <c r="K260" s="10" t="str">
        <f>IF(Planilha1!E257="","",IF(Planilha1!E257=0,"",Planilha1!E257))</f>
        <v>Dallas Mavericks</v>
      </c>
      <c r="L260" s="10">
        <f>IF(Planilha1!F257="","",Planilha1!F257)</f>
        <v>121</v>
      </c>
      <c r="M260" s="10">
        <f>IF(Planilha1!G257="","",IF(Planilha1!G257=0,"",Planilha1!G257))</f>
        <v>121</v>
      </c>
      <c r="N260" s="5">
        <f t="shared" si="25"/>
        <v>1</v>
      </c>
      <c r="O260" s="5">
        <f t="shared" si="26"/>
        <v>0</v>
      </c>
      <c r="P260" s="5">
        <f t="shared" si="27"/>
        <v>0</v>
      </c>
      <c r="Q260" s="5">
        <f t="shared" si="28"/>
        <v>2</v>
      </c>
      <c r="R260" s="8">
        <f t="shared" si="29"/>
        <v>0</v>
      </c>
      <c r="S260" s="8">
        <f t="shared" si="30"/>
        <v>0</v>
      </c>
      <c r="T260" s="3" t="e">
        <f t="shared" si="31"/>
        <v>#VALUE!</v>
      </c>
      <c r="V260" s="1" t="e">
        <f t="shared" si="32"/>
        <v>#VALUE!</v>
      </c>
    </row>
    <row r="261" spans="8:22" x14ac:dyDescent="0.3">
      <c r="H261" s="2" t="str">
        <f>IF(Planilha1!B258="","",Planilha1!B258)</f>
        <v>10:00p</v>
      </c>
      <c r="I261" s="2" t="str">
        <f>IF(Planilha1!C258="","",Planilha1!C258)</f>
        <v>Golden State Warriors</v>
      </c>
      <c r="J261" s="2">
        <f>IF(Planilha1!D258="","",Planilha1!D258)</f>
        <v>123</v>
      </c>
      <c r="K261" s="10" t="str">
        <f>IF(Planilha1!E258="","",IF(Planilha1!E258=0,"",Planilha1!E258))</f>
        <v>Sacramento Kings</v>
      </c>
      <c r="L261" s="10">
        <f>IF(Planilha1!F258="","",Planilha1!F258)</f>
        <v>124</v>
      </c>
      <c r="M261" s="10">
        <f>IF(Planilha1!G258="","",IF(Planilha1!G258=0,"",Planilha1!G258))</f>
        <v>124</v>
      </c>
      <c r="N261" s="5">
        <f t="shared" si="25"/>
        <v>1</v>
      </c>
      <c r="O261" s="5">
        <f t="shared" si="26"/>
        <v>0</v>
      </c>
      <c r="P261" s="5">
        <f t="shared" si="27"/>
        <v>0</v>
      </c>
      <c r="Q261" s="5">
        <f t="shared" si="28"/>
        <v>2</v>
      </c>
      <c r="R261" s="8">
        <f t="shared" si="29"/>
        <v>0</v>
      </c>
      <c r="S261" s="8">
        <f t="shared" si="30"/>
        <v>0</v>
      </c>
      <c r="T261" s="3" t="e">
        <f t="shared" si="31"/>
        <v>#VALUE!</v>
      </c>
      <c r="V261" s="1" t="e">
        <f t="shared" si="32"/>
        <v>#VALUE!</v>
      </c>
    </row>
    <row r="262" spans="8:22" x14ac:dyDescent="0.3">
      <c r="H262" s="2" t="str">
        <f>IF(Planilha1!B259="","",Planilha1!B259)</f>
        <v>7:00p</v>
      </c>
      <c r="I262" s="2" t="str">
        <f>IF(Planilha1!C259="","",Planilha1!C259)</f>
        <v>Los Angeles Lakers</v>
      </c>
      <c r="J262" s="2">
        <f>IF(Planilha1!D259="","",Planilha1!D259)</f>
        <v>133</v>
      </c>
      <c r="K262" s="10" t="str">
        <f>IF(Planilha1!E259="","",IF(Planilha1!E259=0,"",Planilha1!E259))</f>
        <v>Detroit Pistons</v>
      </c>
      <c r="L262" s="10">
        <f>IF(Planilha1!F259="","",Planilha1!F259)</f>
        <v>107</v>
      </c>
      <c r="M262" s="10">
        <f>IF(Planilha1!G259="","",IF(Planilha1!G259=0,"",Planilha1!G259))</f>
        <v>107</v>
      </c>
      <c r="N262" s="5">
        <f t="shared" ref="N262:N325" si="33">IF(K262="","",IF(K262&gt;M262,100%,0%))</f>
        <v>1</v>
      </c>
      <c r="O262" s="5">
        <f t="shared" ref="O262:O325" si="34">IF(K262="","",IF(K262&lt;M262,100%,0%))</f>
        <v>0</v>
      </c>
      <c r="P262" s="5">
        <f t="shared" ref="P262:P325" si="35">IF(M262="",IF(R262&gt;S262,2,0),IF(K262&lt;M262,2,0))</f>
        <v>0</v>
      </c>
      <c r="Q262" s="5">
        <f t="shared" ref="Q262:Q325" si="36">IF(M262="",IF(R262&gt;S262,0,2),IF(K262&gt;M262,2,0))</f>
        <v>2</v>
      </c>
      <c r="R262" s="8">
        <f t="shared" ref="R262:R325" si="37">SUMIF($B:$B,J262,$C:$C)+(SUMIF($B:$B,L262,$F:$F))</f>
        <v>0</v>
      </c>
      <c r="S262" s="8">
        <f t="shared" ref="S262:S325" si="38">SUMIF($B:$B,L262,$E:$E)+(SUMIF($B:$B,J262,$D:$D))</f>
        <v>0</v>
      </c>
      <c r="T262" s="3" t="e">
        <f t="shared" ref="T262:T325" si="39">IF(M262="","",(K262-S262)^2+(M262-R262)^2)</f>
        <v>#VALUE!</v>
      </c>
      <c r="V262" s="1" t="e">
        <f t="shared" ref="V262:V325" si="40">IF(O262="","",1/((M262-K262)/(R262-S262)))</f>
        <v>#VALUE!</v>
      </c>
    </row>
    <row r="263" spans="8:22" x14ac:dyDescent="0.3">
      <c r="H263" s="2" t="str">
        <f>IF(Planilha1!B260="","",Planilha1!B260)</f>
        <v>7:00p</v>
      </c>
      <c r="I263" s="2" t="str">
        <f>IF(Planilha1!C260="","",Planilha1!C260)</f>
        <v>Washington Wizards</v>
      </c>
      <c r="J263" s="2">
        <f>IF(Planilha1!D260="","",Planilha1!D260)</f>
        <v>120</v>
      </c>
      <c r="K263" s="10" t="str">
        <f>IF(Planilha1!E260="","",IF(Planilha1!E260=0,"",Planilha1!E260))</f>
        <v>Orlando Magic</v>
      </c>
      <c r="L263" s="10">
        <f>IF(Planilha1!F260="","",Planilha1!F260)</f>
        <v>139</v>
      </c>
      <c r="M263" s="10">
        <f>IF(Planilha1!G260="","",IF(Planilha1!G260=0,"",Planilha1!G260))</f>
        <v>139</v>
      </c>
      <c r="N263" s="5">
        <f t="shared" si="33"/>
        <v>1</v>
      </c>
      <c r="O263" s="5">
        <f t="shared" si="34"/>
        <v>0</v>
      </c>
      <c r="P263" s="5">
        <f t="shared" si="35"/>
        <v>0</v>
      </c>
      <c r="Q263" s="5">
        <f t="shared" si="36"/>
        <v>2</v>
      </c>
      <c r="R263" s="8">
        <f t="shared" si="37"/>
        <v>0</v>
      </c>
      <c r="S263" s="8">
        <f t="shared" si="38"/>
        <v>0</v>
      </c>
      <c r="T263" s="3" t="e">
        <f t="shared" si="39"/>
        <v>#VALUE!</v>
      </c>
      <c r="V263" s="1" t="e">
        <f t="shared" si="40"/>
        <v>#VALUE!</v>
      </c>
    </row>
    <row r="264" spans="8:22" x14ac:dyDescent="0.3">
      <c r="H264" s="2" t="str">
        <f>IF(Planilha1!B261="","",Planilha1!B261)</f>
        <v>7:30p</v>
      </c>
      <c r="I264" s="2" t="str">
        <f>IF(Planilha1!C261="","",Planilha1!C261)</f>
        <v>Phoenix Suns</v>
      </c>
      <c r="J264" s="2">
        <f>IF(Planilha1!D261="","",Planilha1!D261)</f>
        <v>105</v>
      </c>
      <c r="K264" s="10" t="str">
        <f>IF(Planilha1!E261="","",IF(Planilha1!E261=0,"",Planilha1!E261))</f>
        <v>Toronto Raptors</v>
      </c>
      <c r="L264" s="10">
        <f>IF(Planilha1!F261="","",Planilha1!F261)</f>
        <v>112</v>
      </c>
      <c r="M264" s="10">
        <f>IF(Planilha1!G261="","",IF(Planilha1!G261=0,"",Planilha1!G261))</f>
        <v>112</v>
      </c>
      <c r="N264" s="5">
        <f t="shared" si="33"/>
        <v>1</v>
      </c>
      <c r="O264" s="5">
        <f t="shared" si="34"/>
        <v>0</v>
      </c>
      <c r="P264" s="5">
        <f t="shared" si="35"/>
        <v>0</v>
      </c>
      <c r="Q264" s="5">
        <f t="shared" si="36"/>
        <v>2</v>
      </c>
      <c r="R264" s="8">
        <f t="shared" si="37"/>
        <v>0</v>
      </c>
      <c r="S264" s="8">
        <f t="shared" si="38"/>
        <v>0</v>
      </c>
      <c r="T264" s="3" t="e">
        <f t="shared" si="39"/>
        <v>#VALUE!</v>
      </c>
      <c r="V264" s="1" t="e">
        <f t="shared" si="40"/>
        <v>#VALUE!</v>
      </c>
    </row>
    <row r="265" spans="8:22" x14ac:dyDescent="0.3">
      <c r="H265" s="2" t="str">
        <f>IF(Planilha1!B262="","",Planilha1!B262)</f>
        <v>8:00p</v>
      </c>
      <c r="I265" s="2" t="str">
        <f>IF(Planilha1!C262="","",Planilha1!C262)</f>
        <v>Utah Jazz</v>
      </c>
      <c r="J265" s="2">
        <f>IF(Planilha1!D262="","",Planilha1!D262)</f>
        <v>91</v>
      </c>
      <c r="K265" s="10" t="str">
        <f>IF(Planilha1!E262="","",IF(Planilha1!E262=0,"",Planilha1!E262))</f>
        <v>Memphis Grizzlies</v>
      </c>
      <c r="L265" s="10">
        <f>IF(Planilha1!F262="","",Planilha1!F262)</f>
        <v>105</v>
      </c>
      <c r="M265" s="10">
        <f>IF(Planilha1!G262="","",IF(Planilha1!G262=0,"",Planilha1!G262))</f>
        <v>105</v>
      </c>
      <c r="N265" s="5">
        <f t="shared" si="33"/>
        <v>1</v>
      </c>
      <c r="O265" s="5">
        <f t="shared" si="34"/>
        <v>0</v>
      </c>
      <c r="P265" s="5">
        <f t="shared" si="35"/>
        <v>0</v>
      </c>
      <c r="Q265" s="5">
        <f t="shared" si="36"/>
        <v>2</v>
      </c>
      <c r="R265" s="8">
        <f t="shared" si="37"/>
        <v>0</v>
      </c>
      <c r="S265" s="8">
        <f t="shared" si="38"/>
        <v>0</v>
      </c>
      <c r="T265" s="3" t="e">
        <f t="shared" si="39"/>
        <v>#VALUE!</v>
      </c>
      <c r="V265" s="1" t="e">
        <f t="shared" si="40"/>
        <v>#VALUE!</v>
      </c>
    </row>
    <row r="266" spans="8:22" x14ac:dyDescent="0.3">
      <c r="H266" s="2" t="str">
        <f>IF(Planilha1!B263="","",Planilha1!B263)</f>
        <v>8:00p</v>
      </c>
      <c r="I266" s="2" t="str">
        <f>IF(Planilha1!C263="","",Planilha1!C263)</f>
        <v>Philadelphia 76ers</v>
      </c>
      <c r="J266" s="2">
        <f>IF(Planilha1!D263="","",Planilha1!D263)</f>
        <v>114</v>
      </c>
      <c r="K266" s="10" t="str">
        <f>IF(Planilha1!E263="","",IF(Planilha1!E263=0,"",Planilha1!E263))</f>
        <v>New Orleans Pelicans</v>
      </c>
      <c r="L266" s="10">
        <f>IF(Planilha1!F263="","",Planilha1!F263)</f>
        <v>124</v>
      </c>
      <c r="M266" s="10">
        <f>IF(Planilha1!G263="","",IF(Planilha1!G263=0,"",Planilha1!G263))</f>
        <v>124</v>
      </c>
      <c r="N266" s="5">
        <f t="shared" si="33"/>
        <v>1</v>
      </c>
      <c r="O266" s="5">
        <f t="shared" si="34"/>
        <v>0</v>
      </c>
      <c r="P266" s="5">
        <f t="shared" si="35"/>
        <v>0</v>
      </c>
      <c r="Q266" s="5">
        <f t="shared" si="36"/>
        <v>2</v>
      </c>
      <c r="R266" s="8">
        <f t="shared" si="37"/>
        <v>0</v>
      </c>
      <c r="S266" s="8">
        <f t="shared" si="38"/>
        <v>0</v>
      </c>
      <c r="T266" s="3" t="e">
        <f t="shared" si="39"/>
        <v>#VALUE!</v>
      </c>
      <c r="V266" s="1" t="e">
        <f t="shared" si="40"/>
        <v>#VALUE!</v>
      </c>
    </row>
    <row r="267" spans="8:22" x14ac:dyDescent="0.3">
      <c r="H267" s="2" t="str">
        <f>IF(Planilha1!B264="","",Planilha1!B264)</f>
        <v>9:00p</v>
      </c>
      <c r="I267" s="2" t="str">
        <f>IF(Planilha1!C264="","",Planilha1!C264)</f>
        <v>Houston Rockets</v>
      </c>
      <c r="J267" s="2">
        <f>IF(Planilha1!D264="","",Planilha1!D264)</f>
        <v>124</v>
      </c>
      <c r="K267" s="10" t="str">
        <f>IF(Planilha1!E264="","",IF(Planilha1!E264=0,"",Planilha1!E264))</f>
        <v>Denver Nuggets</v>
      </c>
      <c r="L267" s="10">
        <f>IF(Planilha1!F264="","",Planilha1!F264)</f>
        <v>134</v>
      </c>
      <c r="M267" s="10">
        <f>IF(Planilha1!G264="","",IF(Planilha1!G264=0,"",Planilha1!G264))</f>
        <v>134</v>
      </c>
      <c r="N267" s="5">
        <f t="shared" si="33"/>
        <v>1</v>
      </c>
      <c r="O267" s="5">
        <f t="shared" si="34"/>
        <v>0</v>
      </c>
      <c r="P267" s="5">
        <f t="shared" si="35"/>
        <v>0</v>
      </c>
      <c r="Q267" s="5">
        <f t="shared" si="36"/>
        <v>2</v>
      </c>
      <c r="R267" s="8">
        <f t="shared" si="37"/>
        <v>0</v>
      </c>
      <c r="S267" s="8">
        <f t="shared" si="38"/>
        <v>0</v>
      </c>
      <c r="T267" s="3" t="e">
        <f t="shared" si="39"/>
        <v>#VALUE!</v>
      </c>
      <c r="V267" s="1" t="e">
        <f t="shared" si="40"/>
        <v>#VALUE!</v>
      </c>
    </row>
    <row r="268" spans="8:22" x14ac:dyDescent="0.3">
      <c r="H268" s="2" t="str">
        <f>IF(Planilha1!B265="","",Planilha1!B265)</f>
        <v>10:00p</v>
      </c>
      <c r="I268" s="2" t="str">
        <f>IF(Planilha1!C265="","",Planilha1!C265)</f>
        <v>Los Angeles Clippers</v>
      </c>
      <c r="J268" s="2">
        <f>IF(Planilha1!D265="","",Planilha1!D265)</f>
        <v>131</v>
      </c>
      <c r="K268" s="10" t="str">
        <f>IF(Planilha1!E265="","",IF(Planilha1!E265=0,"",Planilha1!E265))</f>
        <v>Sacramento Kings</v>
      </c>
      <c r="L268" s="10">
        <f>IF(Planilha1!F265="","",Planilha1!F265)</f>
        <v>117</v>
      </c>
      <c r="M268" s="10">
        <f>IF(Planilha1!G265="","",IF(Planilha1!G265=0,"",Planilha1!G265))</f>
        <v>117</v>
      </c>
      <c r="N268" s="5">
        <f t="shared" si="33"/>
        <v>1</v>
      </c>
      <c r="O268" s="5">
        <f t="shared" si="34"/>
        <v>0</v>
      </c>
      <c r="P268" s="5">
        <f t="shared" si="35"/>
        <v>0</v>
      </c>
      <c r="Q268" s="5">
        <f t="shared" si="36"/>
        <v>2</v>
      </c>
      <c r="R268" s="8">
        <f t="shared" si="37"/>
        <v>0</v>
      </c>
      <c r="S268" s="8">
        <f t="shared" si="38"/>
        <v>0</v>
      </c>
      <c r="T268" s="3" t="e">
        <f t="shared" si="39"/>
        <v>#VALUE!</v>
      </c>
      <c r="V268" s="1" t="e">
        <f t="shared" si="40"/>
        <v>#VALUE!</v>
      </c>
    </row>
    <row r="269" spans="8:22" x14ac:dyDescent="0.3">
      <c r="H269" s="2" t="str">
        <f>IF(Planilha1!B266="","",Planilha1!B266)</f>
        <v>7:00p</v>
      </c>
      <c r="I269" s="2" t="str">
        <f>IF(Planilha1!C266="","",Planilha1!C266)</f>
        <v>Portland Trail Blazers</v>
      </c>
      <c r="J269" s="2">
        <f>IF(Planilha1!D266="","",Planilha1!D266)</f>
        <v>103</v>
      </c>
      <c r="K269" s="10" t="str">
        <f>IF(Planilha1!E266="","",IF(Planilha1!E266=0,"",Planilha1!E266))</f>
        <v>Cleveland Cavaliers</v>
      </c>
      <c r="L269" s="10">
        <f>IF(Planilha1!F266="","",Planilha1!F266)</f>
        <v>95</v>
      </c>
      <c r="M269" s="10">
        <f>IF(Planilha1!G266="","",IF(Planilha1!G266=0,"",Planilha1!G266))</f>
        <v>95</v>
      </c>
      <c r="N269" s="5">
        <f t="shared" si="33"/>
        <v>1</v>
      </c>
      <c r="O269" s="5">
        <f t="shared" si="34"/>
        <v>0</v>
      </c>
      <c r="P269" s="5">
        <f t="shared" si="35"/>
        <v>0</v>
      </c>
      <c r="Q269" s="5">
        <f t="shared" si="36"/>
        <v>2</v>
      </c>
      <c r="R269" s="8">
        <f t="shared" si="37"/>
        <v>0</v>
      </c>
      <c r="S269" s="8">
        <f t="shared" si="38"/>
        <v>0</v>
      </c>
      <c r="T269" s="3" t="e">
        <f t="shared" si="39"/>
        <v>#VALUE!</v>
      </c>
      <c r="V269" s="1" t="e">
        <f t="shared" si="40"/>
        <v>#VALUE!</v>
      </c>
    </row>
    <row r="270" spans="8:22" x14ac:dyDescent="0.3">
      <c r="H270" s="2" t="str">
        <f>IF(Planilha1!B267="","",Planilha1!B267)</f>
        <v>7:30p</v>
      </c>
      <c r="I270" s="2" t="str">
        <f>IF(Planilha1!C267="","",Planilha1!C267)</f>
        <v>Charlotte Hornets</v>
      </c>
      <c r="J270" s="2">
        <f>IF(Planilha1!D267="","",Planilha1!D267)</f>
        <v>129</v>
      </c>
      <c r="K270" s="10" t="str">
        <f>IF(Planilha1!E267="","",IF(Planilha1!E267=0,"",Planilha1!E267))</f>
        <v>Brooklyn Nets</v>
      </c>
      <c r="L270" s="10">
        <f>IF(Planilha1!F267="","",Planilha1!F267)</f>
        <v>128</v>
      </c>
      <c r="M270" s="10">
        <f>IF(Planilha1!G267="","",IF(Planilha1!G267=0,"",Planilha1!G267))</f>
        <v>128</v>
      </c>
      <c r="N270" s="5">
        <f t="shared" si="33"/>
        <v>1</v>
      </c>
      <c r="O270" s="5">
        <f t="shared" si="34"/>
        <v>0</v>
      </c>
      <c r="P270" s="5">
        <f t="shared" si="35"/>
        <v>0</v>
      </c>
      <c r="Q270" s="5">
        <f t="shared" si="36"/>
        <v>2</v>
      </c>
      <c r="R270" s="8">
        <f t="shared" si="37"/>
        <v>0</v>
      </c>
      <c r="S270" s="8">
        <f t="shared" si="38"/>
        <v>0</v>
      </c>
      <c r="T270" s="3" t="e">
        <f t="shared" si="39"/>
        <v>#VALUE!</v>
      </c>
      <c r="V270" s="1" t="e">
        <f t="shared" si="40"/>
        <v>#VALUE!</v>
      </c>
    </row>
    <row r="271" spans="8:22" x14ac:dyDescent="0.3">
      <c r="H271" s="2" t="str">
        <f>IF(Planilha1!B268="","",Planilha1!B268)</f>
        <v>7:30p</v>
      </c>
      <c r="I271" s="2" t="str">
        <f>IF(Planilha1!C268="","",Planilha1!C268)</f>
        <v>Indiana Pacers</v>
      </c>
      <c r="J271" s="2">
        <f>IF(Planilha1!D268="","",Planilha1!D268)</f>
        <v>132</v>
      </c>
      <c r="K271" s="10" t="str">
        <f>IF(Planilha1!E268="","",IF(Planilha1!E268=0,"",Planilha1!E268))</f>
        <v>Miami Heat</v>
      </c>
      <c r="L271" s="10">
        <f>IF(Planilha1!F268="","",Planilha1!F268)</f>
        <v>142</v>
      </c>
      <c r="M271" s="10">
        <f>IF(Planilha1!G268="","",IF(Planilha1!G268=0,"",Planilha1!G268))</f>
        <v>142</v>
      </c>
      <c r="N271" s="5">
        <f t="shared" si="33"/>
        <v>1</v>
      </c>
      <c r="O271" s="5">
        <f t="shared" si="34"/>
        <v>0</v>
      </c>
      <c r="P271" s="5">
        <f t="shared" si="35"/>
        <v>0</v>
      </c>
      <c r="Q271" s="5">
        <f t="shared" si="36"/>
        <v>2</v>
      </c>
      <c r="R271" s="8">
        <f t="shared" si="37"/>
        <v>0</v>
      </c>
      <c r="S271" s="8">
        <f t="shared" si="38"/>
        <v>0</v>
      </c>
      <c r="T271" s="3" t="e">
        <f t="shared" si="39"/>
        <v>#VALUE!</v>
      </c>
      <c r="V271" s="1" t="e">
        <f t="shared" si="40"/>
        <v>#VALUE!</v>
      </c>
    </row>
    <row r="272" spans="8:22" x14ac:dyDescent="0.3">
      <c r="H272" s="2" t="str">
        <f>IF(Planilha1!B269="","",Planilha1!B269)</f>
        <v>7:30p</v>
      </c>
      <c r="I272" s="2" t="str">
        <f>IF(Planilha1!C269="","",Planilha1!C269)</f>
        <v>Detroit Pistons</v>
      </c>
      <c r="J272" s="2">
        <f>IF(Planilha1!D269="","",Planilha1!D269)</f>
        <v>112</v>
      </c>
      <c r="K272" s="10" t="str">
        <f>IF(Planilha1!E269="","",IF(Planilha1!E269=0,"",Planilha1!E269))</f>
        <v>New York Knicks</v>
      </c>
      <c r="L272" s="10">
        <f>IF(Planilha1!F269="","",Planilha1!F269)</f>
        <v>118</v>
      </c>
      <c r="M272" s="10">
        <f>IF(Planilha1!G269="","",IF(Planilha1!G269=0,"",Planilha1!G269))</f>
        <v>118</v>
      </c>
      <c r="N272" s="5">
        <f t="shared" si="33"/>
        <v>1</v>
      </c>
      <c r="O272" s="5">
        <f t="shared" si="34"/>
        <v>0</v>
      </c>
      <c r="P272" s="5">
        <f t="shared" si="35"/>
        <v>0</v>
      </c>
      <c r="Q272" s="5">
        <f t="shared" si="36"/>
        <v>2</v>
      </c>
      <c r="R272" s="8">
        <f t="shared" si="37"/>
        <v>0</v>
      </c>
      <c r="S272" s="8">
        <f t="shared" si="38"/>
        <v>0</v>
      </c>
      <c r="T272" s="3" t="e">
        <f t="shared" si="39"/>
        <v>#VALUE!</v>
      </c>
      <c r="V272" s="1" t="e">
        <f t="shared" si="40"/>
        <v>#VALUE!</v>
      </c>
    </row>
    <row r="273" spans="8:22" x14ac:dyDescent="0.3">
      <c r="H273" s="2" t="str">
        <f>IF(Planilha1!B270="","",Planilha1!B270)</f>
        <v>8:00p</v>
      </c>
      <c r="I273" s="2" t="str">
        <f>IF(Planilha1!C270="","",Planilha1!C270)</f>
        <v>Milwaukee Bucks</v>
      </c>
      <c r="J273" s="2">
        <f>IF(Planilha1!D270="","",Planilha1!D270)</f>
        <v>113</v>
      </c>
      <c r="K273" s="10" t="str">
        <f>IF(Planilha1!E270="","",IF(Planilha1!E270=0,"",Planilha1!E270))</f>
        <v>Chicago Bulls</v>
      </c>
      <c r="L273" s="10">
        <f>IF(Planilha1!F270="","",Planilha1!F270)</f>
        <v>120</v>
      </c>
      <c r="M273" s="10">
        <f>IF(Planilha1!G270="","",IF(Planilha1!G270=0,"",Planilha1!G270))</f>
        <v>120</v>
      </c>
      <c r="N273" s="5">
        <f t="shared" si="33"/>
        <v>1</v>
      </c>
      <c r="O273" s="5">
        <f t="shared" si="34"/>
        <v>0</v>
      </c>
      <c r="P273" s="5">
        <f t="shared" si="35"/>
        <v>0</v>
      </c>
      <c r="Q273" s="5">
        <f t="shared" si="36"/>
        <v>2</v>
      </c>
      <c r="R273" s="8">
        <f t="shared" si="37"/>
        <v>0</v>
      </c>
      <c r="S273" s="8">
        <f t="shared" si="38"/>
        <v>0</v>
      </c>
      <c r="T273" s="3" t="e">
        <f t="shared" si="39"/>
        <v>#VALUE!</v>
      </c>
      <c r="V273" s="1" t="e">
        <f t="shared" si="40"/>
        <v>#VALUE!</v>
      </c>
    </row>
    <row r="274" spans="8:22" x14ac:dyDescent="0.3">
      <c r="H274" s="2" t="str">
        <f>IF(Planilha1!B271="","",Planilha1!B271)</f>
        <v>8:00p</v>
      </c>
      <c r="I274" s="2" t="str">
        <f>IF(Planilha1!C271="","",Planilha1!C271)</f>
        <v>Utah Jazz</v>
      </c>
      <c r="J274" s="2">
        <f>IF(Planilha1!D271="","",Planilha1!D271)</f>
        <v>90</v>
      </c>
      <c r="K274" s="10" t="str">
        <f>IF(Planilha1!E271="","",IF(Planilha1!E271=0,"",Planilha1!E271))</f>
        <v>Minnesota Timberwolves</v>
      </c>
      <c r="L274" s="10">
        <f>IF(Planilha1!F271="","",Planilha1!F271)</f>
        <v>101</v>
      </c>
      <c r="M274" s="10">
        <f>IF(Planilha1!G271="","",IF(Planilha1!G271=0,"",Planilha1!G271))</f>
        <v>101</v>
      </c>
      <c r="N274" s="5">
        <f t="shared" si="33"/>
        <v>1</v>
      </c>
      <c r="O274" s="5">
        <f t="shared" si="34"/>
        <v>0</v>
      </c>
      <c r="P274" s="5">
        <f t="shared" si="35"/>
        <v>0</v>
      </c>
      <c r="Q274" s="5">
        <f t="shared" si="36"/>
        <v>2</v>
      </c>
      <c r="R274" s="8">
        <f t="shared" si="37"/>
        <v>0</v>
      </c>
      <c r="S274" s="8">
        <f t="shared" si="38"/>
        <v>0</v>
      </c>
      <c r="T274" s="3" t="e">
        <f t="shared" si="39"/>
        <v>#VALUE!</v>
      </c>
      <c r="V274" s="1" t="e">
        <f t="shared" si="40"/>
        <v>#VALUE!</v>
      </c>
    </row>
    <row r="275" spans="8:22" x14ac:dyDescent="0.3">
      <c r="H275" s="2" t="str">
        <f>IF(Planilha1!B272="","",Planilha1!B272)</f>
        <v>8:00p</v>
      </c>
      <c r="I275" s="2" t="str">
        <f>IF(Planilha1!C272="","",Planilha1!C272)</f>
        <v>Los Angeles Lakers</v>
      </c>
      <c r="J275" s="2">
        <f>IF(Planilha1!D272="","",Planilha1!D272)</f>
        <v>110</v>
      </c>
      <c r="K275" s="10" t="str">
        <f>IF(Planilha1!E272="","",IF(Planilha1!E272=0,"",Planilha1!E272))</f>
        <v>Oklahoma City Thunder</v>
      </c>
      <c r="L275" s="10">
        <f>IF(Planilha1!F272="","",Planilha1!F272)</f>
        <v>133</v>
      </c>
      <c r="M275" s="10">
        <f>IF(Planilha1!G272="","",IF(Planilha1!G272=0,"",Planilha1!G272))</f>
        <v>133</v>
      </c>
      <c r="N275" s="5">
        <f t="shared" si="33"/>
        <v>1</v>
      </c>
      <c r="O275" s="5">
        <f t="shared" si="34"/>
        <v>0</v>
      </c>
      <c r="P275" s="5">
        <f t="shared" si="35"/>
        <v>0</v>
      </c>
      <c r="Q275" s="5">
        <f t="shared" si="36"/>
        <v>2</v>
      </c>
      <c r="R275" s="8">
        <f t="shared" si="37"/>
        <v>0</v>
      </c>
      <c r="S275" s="8">
        <f t="shared" si="38"/>
        <v>0</v>
      </c>
      <c r="T275" s="3" t="e">
        <f t="shared" si="39"/>
        <v>#VALUE!</v>
      </c>
      <c r="V275" s="1" t="e">
        <f t="shared" si="40"/>
        <v>#VALUE!</v>
      </c>
    </row>
    <row r="276" spans="8:22" x14ac:dyDescent="0.3">
      <c r="H276" s="2" t="str">
        <f>IF(Planilha1!B273="","",Planilha1!B273)</f>
        <v>8:00p</v>
      </c>
      <c r="I276" s="2" t="str">
        <f>IF(Planilha1!C273="","",Planilha1!C273)</f>
        <v>Atlanta Hawks</v>
      </c>
      <c r="J276" s="2">
        <f>IF(Planilha1!D273="","",Planilha1!D273)</f>
        <v>137</v>
      </c>
      <c r="K276" s="10" t="str">
        <f>IF(Planilha1!E273="","",IF(Planilha1!E273=0,"",Planilha1!E273))</f>
        <v>San Antonio Spurs</v>
      </c>
      <c r="L276" s="10">
        <f>IF(Planilha1!F273="","",Planilha1!F273)</f>
        <v>135</v>
      </c>
      <c r="M276" s="10">
        <f>IF(Planilha1!G273="","",IF(Planilha1!G273=0,"",Planilha1!G273))</f>
        <v>135</v>
      </c>
      <c r="N276" s="5">
        <f t="shared" si="33"/>
        <v>1</v>
      </c>
      <c r="O276" s="5">
        <f t="shared" si="34"/>
        <v>0</v>
      </c>
      <c r="P276" s="5">
        <f t="shared" si="35"/>
        <v>0</v>
      </c>
      <c r="Q276" s="5">
        <f t="shared" si="36"/>
        <v>2</v>
      </c>
      <c r="R276" s="8">
        <f t="shared" si="37"/>
        <v>0</v>
      </c>
      <c r="S276" s="8">
        <f t="shared" si="38"/>
        <v>0</v>
      </c>
      <c r="T276" s="3" t="e">
        <f t="shared" si="39"/>
        <v>#VALUE!</v>
      </c>
      <c r="V276" s="1" t="e">
        <f t="shared" si="40"/>
        <v>#VALUE!</v>
      </c>
    </row>
    <row r="277" spans="8:22" x14ac:dyDescent="0.3">
      <c r="H277" s="2" t="str">
        <f>IF(Planilha1!B274="","",Planilha1!B274)</f>
        <v>10:00p</v>
      </c>
      <c r="I277" s="2" t="str">
        <f>IF(Planilha1!C274="","",Planilha1!C274)</f>
        <v>Los Angeles Clippers</v>
      </c>
      <c r="J277" s="2">
        <f>IF(Planilha1!D274="","",Planilha1!D274)</f>
        <v>114</v>
      </c>
      <c r="K277" s="10" t="str">
        <f>IF(Planilha1!E274="","",IF(Planilha1!E274=0,"",Planilha1!E274))</f>
        <v>Golden State Warriors</v>
      </c>
      <c r="L277" s="10">
        <f>IF(Planilha1!F274="","",Planilha1!F274)</f>
        <v>120</v>
      </c>
      <c r="M277" s="10">
        <f>IF(Planilha1!G274="","",IF(Planilha1!G274=0,"",Planilha1!G274))</f>
        <v>120</v>
      </c>
      <c r="N277" s="5">
        <f t="shared" si="33"/>
        <v>1</v>
      </c>
      <c r="O277" s="5">
        <f t="shared" si="34"/>
        <v>0</v>
      </c>
      <c r="P277" s="5">
        <f t="shared" si="35"/>
        <v>0</v>
      </c>
      <c r="Q277" s="5">
        <f t="shared" si="36"/>
        <v>2</v>
      </c>
      <c r="R277" s="8">
        <f t="shared" si="37"/>
        <v>0</v>
      </c>
      <c r="S277" s="8">
        <f t="shared" si="38"/>
        <v>0</v>
      </c>
      <c r="T277" s="3" t="e">
        <f t="shared" si="39"/>
        <v>#VALUE!</v>
      </c>
      <c r="V277" s="1" t="e">
        <f t="shared" si="40"/>
        <v>#VALUE!</v>
      </c>
    </row>
    <row r="278" spans="8:22" x14ac:dyDescent="0.3">
      <c r="H278" s="2" t="str">
        <f>IF(Planilha1!B275="","",Planilha1!B275)</f>
        <v>7:00p</v>
      </c>
      <c r="I278" s="2" t="str">
        <f>IF(Planilha1!C275="","",Planilha1!C275)</f>
        <v>Washington Wizards</v>
      </c>
      <c r="J278" s="2">
        <f>IF(Planilha1!D275="","",Planilha1!D275)</f>
        <v>125</v>
      </c>
      <c r="K278" s="10" t="str">
        <f>IF(Planilha1!E275="","",IF(Planilha1!E275=0,"",Planilha1!E275))</f>
        <v>Orlando Magic</v>
      </c>
      <c r="L278" s="10">
        <f>IF(Planilha1!F275="","",Planilha1!F275)</f>
        <v>130</v>
      </c>
      <c r="M278" s="10">
        <f>IF(Planilha1!G275="","",IF(Planilha1!G275=0,"",Planilha1!G275))</f>
        <v>130</v>
      </c>
      <c r="N278" s="5">
        <f t="shared" si="33"/>
        <v>1</v>
      </c>
      <c r="O278" s="5">
        <f t="shared" si="34"/>
        <v>0</v>
      </c>
      <c r="P278" s="5">
        <f t="shared" si="35"/>
        <v>0</v>
      </c>
      <c r="Q278" s="5">
        <f t="shared" si="36"/>
        <v>2</v>
      </c>
      <c r="R278" s="8">
        <f t="shared" si="37"/>
        <v>0</v>
      </c>
      <c r="S278" s="8">
        <f t="shared" si="38"/>
        <v>0</v>
      </c>
      <c r="T278" s="3" t="e">
        <f t="shared" si="39"/>
        <v>#VALUE!</v>
      </c>
      <c r="V278" s="1" t="e">
        <f t="shared" si="40"/>
        <v>#VALUE!</v>
      </c>
    </row>
    <row r="279" spans="8:22" x14ac:dyDescent="0.3">
      <c r="H279" s="2" t="str">
        <f>IF(Planilha1!B276="","",Planilha1!B276)</f>
        <v>7:30p</v>
      </c>
      <c r="I279" s="2" t="str">
        <f>IF(Planilha1!C276="","",Planilha1!C276)</f>
        <v>Philadelphia 76ers</v>
      </c>
      <c r="J279" s="2">
        <f>IF(Planilha1!D276="","",Planilha1!D276)</f>
        <v>119</v>
      </c>
      <c r="K279" s="10" t="str">
        <f>IF(Planilha1!E276="","",IF(Planilha1!E276=0,"",Planilha1!E276))</f>
        <v>Boston Celtics</v>
      </c>
      <c r="L279" s="10">
        <f>IF(Planilha1!F276="","",Planilha1!F276)</f>
        <v>125</v>
      </c>
      <c r="M279" s="10">
        <f>IF(Planilha1!G276="","",IF(Planilha1!G276=0,"",Planilha1!G276))</f>
        <v>125</v>
      </c>
      <c r="N279" s="5">
        <f t="shared" si="33"/>
        <v>1</v>
      </c>
      <c r="O279" s="5">
        <f t="shared" si="34"/>
        <v>0</v>
      </c>
      <c r="P279" s="5">
        <f t="shared" si="35"/>
        <v>0</v>
      </c>
      <c r="Q279" s="5">
        <f t="shared" si="36"/>
        <v>2</v>
      </c>
      <c r="R279" s="8">
        <f t="shared" si="37"/>
        <v>0</v>
      </c>
      <c r="S279" s="8">
        <f t="shared" si="38"/>
        <v>0</v>
      </c>
      <c r="T279" s="3" t="e">
        <f t="shared" si="39"/>
        <v>#VALUE!</v>
      </c>
      <c r="V279" s="1" t="e">
        <f t="shared" si="40"/>
        <v>#VALUE!</v>
      </c>
    </row>
    <row r="280" spans="8:22" x14ac:dyDescent="0.3">
      <c r="H280" s="2" t="str">
        <f>IF(Planilha1!B277="","",Planilha1!B277)</f>
        <v>7:30p</v>
      </c>
      <c r="I280" s="2" t="str">
        <f>IF(Planilha1!C277="","",Planilha1!C277)</f>
        <v>Memphis Grizzlies</v>
      </c>
      <c r="J280" s="2">
        <f>IF(Planilha1!D277="","",Planilha1!D277)</f>
        <v>108</v>
      </c>
      <c r="K280" s="10" t="str">
        <f>IF(Planilha1!E277="","",IF(Planilha1!E277=0,"",Planilha1!E277))</f>
        <v>Dallas Mavericks</v>
      </c>
      <c r="L280" s="10">
        <f>IF(Planilha1!F277="","",Planilha1!F277)</f>
        <v>94</v>
      </c>
      <c r="M280" s="10">
        <f>IF(Planilha1!G277="","",IF(Planilha1!G277=0,"",Planilha1!G277))</f>
        <v>94</v>
      </c>
      <c r="N280" s="5">
        <f t="shared" si="33"/>
        <v>1</v>
      </c>
      <c r="O280" s="5">
        <f t="shared" si="34"/>
        <v>0</v>
      </c>
      <c r="P280" s="5">
        <f t="shared" si="35"/>
        <v>0</v>
      </c>
      <c r="Q280" s="5">
        <f t="shared" si="36"/>
        <v>2</v>
      </c>
      <c r="R280" s="8">
        <f t="shared" si="37"/>
        <v>0</v>
      </c>
      <c r="S280" s="8">
        <f t="shared" si="38"/>
        <v>0</v>
      </c>
      <c r="T280" s="3" t="e">
        <f t="shared" si="39"/>
        <v>#VALUE!</v>
      </c>
      <c r="V280" s="1" t="e">
        <f t="shared" si="40"/>
        <v>#VALUE!</v>
      </c>
    </row>
    <row r="281" spans="8:22" x14ac:dyDescent="0.3">
      <c r="H281" s="2" t="str">
        <f>IF(Planilha1!B278="","",Planilha1!B278)</f>
        <v>7:30p</v>
      </c>
      <c r="I281" s="2" t="str">
        <f>IF(Planilha1!C278="","",Planilha1!C278)</f>
        <v>New York Knicks</v>
      </c>
      <c r="J281" s="2">
        <f>IF(Planilha1!D278="","",Planilha1!D278)</f>
        <v>119</v>
      </c>
      <c r="K281" s="10" t="str">
        <f>IF(Planilha1!E278="","",IF(Planilha1!E278=0,"",Planilha1!E278))</f>
        <v>Toronto Raptors</v>
      </c>
      <c r="L281" s="10">
        <f>IF(Planilha1!F278="","",Planilha1!F278)</f>
        <v>106</v>
      </c>
      <c r="M281" s="10">
        <f>IF(Planilha1!G278="","",IF(Planilha1!G278=0,"",Planilha1!G278))</f>
        <v>106</v>
      </c>
      <c r="N281" s="5">
        <f t="shared" si="33"/>
        <v>1</v>
      </c>
      <c r="O281" s="5">
        <f t="shared" si="34"/>
        <v>0</v>
      </c>
      <c r="P281" s="5">
        <f t="shared" si="35"/>
        <v>0</v>
      </c>
      <c r="Q281" s="5">
        <f t="shared" si="36"/>
        <v>2</v>
      </c>
      <c r="R281" s="8">
        <f t="shared" si="37"/>
        <v>0</v>
      </c>
      <c r="S281" s="8">
        <f t="shared" si="38"/>
        <v>0</v>
      </c>
      <c r="T281" s="3" t="e">
        <f t="shared" si="39"/>
        <v>#VALUE!</v>
      </c>
      <c r="V281" s="1" t="e">
        <f t="shared" si="40"/>
        <v>#VALUE!</v>
      </c>
    </row>
    <row r="282" spans="8:22" x14ac:dyDescent="0.3">
      <c r="H282" s="2" t="str">
        <f>IF(Planilha1!B279="","",Planilha1!B279)</f>
        <v>8:00p</v>
      </c>
      <c r="I282" s="2" t="str">
        <f>IF(Planilha1!C279="","",Planilha1!C279)</f>
        <v>San Antonio Spurs</v>
      </c>
      <c r="J282" s="2">
        <f>IF(Planilha1!D279="","",Planilha1!D279)</f>
        <v>106</v>
      </c>
      <c r="K282" s="10" t="str">
        <f>IF(Planilha1!E279="","",IF(Planilha1!E279=0,"",Planilha1!E279))</f>
        <v>New Orleans Pelicans</v>
      </c>
      <c r="L282" s="10">
        <f>IF(Planilha1!F279="","",Planilha1!F279)</f>
        <v>121</v>
      </c>
      <c r="M282" s="10">
        <f>IF(Planilha1!G279="","",IF(Planilha1!G279=0,"",Planilha1!G279))</f>
        <v>121</v>
      </c>
      <c r="N282" s="5">
        <f t="shared" si="33"/>
        <v>1</v>
      </c>
      <c r="O282" s="5">
        <f t="shared" si="34"/>
        <v>0</v>
      </c>
      <c r="P282" s="5">
        <f t="shared" si="35"/>
        <v>0</v>
      </c>
      <c r="Q282" s="5">
        <f t="shared" si="36"/>
        <v>2</v>
      </c>
      <c r="R282" s="8">
        <f t="shared" si="37"/>
        <v>0</v>
      </c>
      <c r="S282" s="8">
        <f t="shared" si="38"/>
        <v>0</v>
      </c>
      <c r="T282" s="3" t="e">
        <f t="shared" si="39"/>
        <v>#VALUE!</v>
      </c>
      <c r="V282" s="1" t="e">
        <f t="shared" si="40"/>
        <v>#VALUE!</v>
      </c>
    </row>
    <row r="283" spans="8:22" x14ac:dyDescent="0.3">
      <c r="H283" s="2" t="str">
        <f>IF(Planilha1!B280="","",Planilha1!B280)</f>
        <v>10:00p</v>
      </c>
      <c r="I283" s="2" t="str">
        <f>IF(Planilha1!C280="","",Planilha1!C280)</f>
        <v>Denver Nuggets</v>
      </c>
      <c r="J283" s="2">
        <f>IF(Planilha1!D280="","",Planilha1!D280)</f>
        <v>119</v>
      </c>
      <c r="K283" s="10" t="str">
        <f>IF(Planilha1!E280="","",IF(Planilha1!E280=0,"",Planilha1!E280))</f>
        <v>Phoenix Suns</v>
      </c>
      <c r="L283" s="10">
        <f>IF(Planilha1!F280="","",Planilha1!F280)</f>
        <v>111</v>
      </c>
      <c r="M283" s="10">
        <f>IF(Planilha1!G280="","",IF(Planilha1!G280=0,"",Planilha1!G280))</f>
        <v>111</v>
      </c>
      <c r="N283" s="5">
        <f t="shared" si="33"/>
        <v>1</v>
      </c>
      <c r="O283" s="5">
        <f t="shared" si="34"/>
        <v>0</v>
      </c>
      <c r="P283" s="5">
        <f t="shared" si="35"/>
        <v>0</v>
      </c>
      <c r="Q283" s="5">
        <f t="shared" si="36"/>
        <v>2</v>
      </c>
      <c r="R283" s="8">
        <f t="shared" si="37"/>
        <v>0</v>
      </c>
      <c r="S283" s="8">
        <f t="shared" si="38"/>
        <v>0</v>
      </c>
      <c r="T283" s="3" t="e">
        <f t="shared" si="39"/>
        <v>#VALUE!</v>
      </c>
      <c r="V283" s="1" t="e">
        <f t="shared" si="40"/>
        <v>#VALUE!</v>
      </c>
    </row>
    <row r="284" spans="8:22" x14ac:dyDescent="0.3">
      <c r="H284" s="2" t="str">
        <f>IF(Planilha1!B281="","",Planilha1!B281)</f>
        <v>4:00p</v>
      </c>
      <c r="I284" s="2" t="str">
        <f>IF(Planilha1!C281="","",Planilha1!C281)</f>
        <v>Golden State Warriors</v>
      </c>
      <c r="J284" s="2">
        <f>IF(Planilha1!D281="","",Planilha1!D281)</f>
        <v>112</v>
      </c>
      <c r="K284" s="10" t="str">
        <f>IF(Planilha1!E281="","",IF(Planilha1!E281=0,"",Planilha1!E281))</f>
        <v>Los Angeles Clippers</v>
      </c>
      <c r="L284" s="10">
        <f>IF(Planilha1!F281="","",Planilha1!F281)</f>
        <v>113</v>
      </c>
      <c r="M284" s="10">
        <f>IF(Planilha1!G281="","",IF(Planilha1!G281=0,"",Planilha1!G281))</f>
        <v>113</v>
      </c>
      <c r="N284" s="5">
        <f t="shared" si="33"/>
        <v>1</v>
      </c>
      <c r="O284" s="5">
        <f t="shared" si="34"/>
        <v>0</v>
      </c>
      <c r="P284" s="5">
        <f t="shared" si="35"/>
        <v>0</v>
      </c>
      <c r="Q284" s="5">
        <f t="shared" si="36"/>
        <v>2</v>
      </c>
      <c r="R284" s="8">
        <f t="shared" si="37"/>
        <v>0</v>
      </c>
      <c r="S284" s="8">
        <f t="shared" si="38"/>
        <v>0</v>
      </c>
      <c r="T284" s="3" t="e">
        <f t="shared" si="39"/>
        <v>#VALUE!</v>
      </c>
      <c r="V284" s="1" t="e">
        <f t="shared" si="40"/>
        <v>#VALUE!</v>
      </c>
    </row>
    <row r="285" spans="8:22" x14ac:dyDescent="0.3">
      <c r="H285" s="2" t="str">
        <f>IF(Planilha1!B282="","",Planilha1!B282)</f>
        <v>5:00p</v>
      </c>
      <c r="I285" s="2" t="str">
        <f>IF(Planilha1!C282="","",Planilha1!C282)</f>
        <v>Minnesota Timberwolves</v>
      </c>
      <c r="J285" s="2">
        <f>IF(Planilha1!D282="","",Planilha1!D282)</f>
        <v>123</v>
      </c>
      <c r="K285" s="10" t="str">
        <f>IF(Planilha1!E282="","",IF(Planilha1!E282=0,"",Planilha1!E282))</f>
        <v>Charlotte Hornets</v>
      </c>
      <c r="L285" s="10">
        <f>IF(Planilha1!F282="","",Planilha1!F282)</f>
        <v>117</v>
      </c>
      <c r="M285" s="10">
        <f>IF(Planilha1!G282="","",IF(Planilha1!G282=0,"",Planilha1!G282))</f>
        <v>117</v>
      </c>
      <c r="N285" s="5">
        <f t="shared" si="33"/>
        <v>1</v>
      </c>
      <c r="O285" s="5">
        <f t="shared" si="34"/>
        <v>0</v>
      </c>
      <c r="P285" s="5">
        <f t="shared" si="35"/>
        <v>0</v>
      </c>
      <c r="Q285" s="5">
        <f t="shared" si="36"/>
        <v>2</v>
      </c>
      <c r="R285" s="8">
        <f t="shared" si="37"/>
        <v>0</v>
      </c>
      <c r="S285" s="8">
        <f t="shared" si="38"/>
        <v>0</v>
      </c>
      <c r="T285" s="3" t="e">
        <f t="shared" si="39"/>
        <v>#VALUE!</v>
      </c>
      <c r="V285" s="1" t="e">
        <f t="shared" si="40"/>
        <v>#VALUE!</v>
      </c>
    </row>
    <row r="286" spans="8:22" x14ac:dyDescent="0.3">
      <c r="H286" s="2" t="str">
        <f>IF(Planilha1!B283="","",Planilha1!B283)</f>
        <v>7:00p</v>
      </c>
      <c r="I286" s="2" t="str">
        <f>IF(Planilha1!C283="","",Planilha1!C283)</f>
        <v>Orlando Magic</v>
      </c>
      <c r="J286" s="2">
        <f>IF(Planilha1!D283="","",Planilha1!D283)</f>
        <v>101</v>
      </c>
      <c r="K286" s="10" t="str">
        <f>IF(Planilha1!E283="","",IF(Planilha1!E283=0,"",Planilha1!E283))</f>
        <v>Brooklyn Nets</v>
      </c>
      <c r="L286" s="10">
        <f>IF(Planilha1!F283="","",Planilha1!F283)</f>
        <v>129</v>
      </c>
      <c r="M286" s="10">
        <f>IF(Planilha1!G283="","",IF(Planilha1!G283=0,"",Planilha1!G283))</f>
        <v>129</v>
      </c>
      <c r="N286" s="5">
        <f t="shared" si="33"/>
        <v>1</v>
      </c>
      <c r="O286" s="5">
        <f t="shared" si="34"/>
        <v>0</v>
      </c>
      <c r="P286" s="5">
        <f t="shared" si="35"/>
        <v>0</v>
      </c>
      <c r="Q286" s="5">
        <f t="shared" si="36"/>
        <v>2</v>
      </c>
      <c r="R286" s="8">
        <f t="shared" si="37"/>
        <v>0</v>
      </c>
      <c r="S286" s="8">
        <f t="shared" si="38"/>
        <v>0</v>
      </c>
      <c r="T286" s="3" t="e">
        <f t="shared" si="39"/>
        <v>#VALUE!</v>
      </c>
      <c r="V286" s="1" t="e">
        <f t="shared" si="40"/>
        <v>#VALUE!</v>
      </c>
    </row>
    <row r="287" spans="8:22" x14ac:dyDescent="0.3">
      <c r="H287" s="2" t="str">
        <f>IF(Planilha1!B284="","",Planilha1!B284)</f>
        <v>7:00p</v>
      </c>
      <c r="I287" s="2" t="str">
        <f>IF(Planilha1!C284="","",Planilha1!C284)</f>
        <v>Cleveland Cavaliers</v>
      </c>
      <c r="J287" s="2">
        <f>IF(Planilha1!D284="","",Planilha1!D284)</f>
        <v>110</v>
      </c>
      <c r="K287" s="10" t="str">
        <f>IF(Planilha1!E284="","",IF(Planilha1!E284=0,"",Planilha1!E284))</f>
        <v>Detroit Pistons</v>
      </c>
      <c r="L287" s="10">
        <f>IF(Planilha1!F284="","",Planilha1!F284)</f>
        <v>101</v>
      </c>
      <c r="M287" s="10">
        <f>IF(Planilha1!G284="","",IF(Planilha1!G284=0,"",Planilha1!G284))</f>
        <v>101</v>
      </c>
      <c r="N287" s="5">
        <f t="shared" si="33"/>
        <v>1</v>
      </c>
      <c r="O287" s="5">
        <f t="shared" si="34"/>
        <v>0</v>
      </c>
      <c r="P287" s="5">
        <f t="shared" si="35"/>
        <v>0</v>
      </c>
      <c r="Q287" s="5">
        <f t="shared" si="36"/>
        <v>2</v>
      </c>
      <c r="R287" s="8">
        <f t="shared" si="37"/>
        <v>0</v>
      </c>
      <c r="S287" s="8">
        <f t="shared" si="38"/>
        <v>0</v>
      </c>
      <c r="T287" s="3" t="e">
        <f t="shared" si="39"/>
        <v>#VALUE!</v>
      </c>
      <c r="V287" s="1" t="e">
        <f t="shared" si="40"/>
        <v>#VALUE!</v>
      </c>
    </row>
    <row r="288" spans="8:22" x14ac:dyDescent="0.3">
      <c r="H288" s="2" t="str">
        <f>IF(Planilha1!B285="","",Planilha1!B285)</f>
        <v>8:00p</v>
      </c>
      <c r="I288" s="2" t="str">
        <f>IF(Planilha1!C285="","",Planilha1!C285)</f>
        <v>New Orleans Pelicans</v>
      </c>
      <c r="J288" s="2">
        <f>IF(Planilha1!D285="","",Planilha1!D285)</f>
        <v>118</v>
      </c>
      <c r="K288" s="10" t="str">
        <f>IF(Planilha1!E285="","",IF(Planilha1!E285=0,"",Planilha1!E285))</f>
        <v>Chicago Bulls</v>
      </c>
      <c r="L288" s="10">
        <f>IF(Planilha1!F285="","",Planilha1!F285)</f>
        <v>124</v>
      </c>
      <c r="M288" s="10">
        <f>IF(Planilha1!G285="","",IF(Planilha1!G285=0,"",Planilha1!G285))</f>
        <v>124</v>
      </c>
      <c r="N288" s="5">
        <f t="shared" si="33"/>
        <v>1</v>
      </c>
      <c r="O288" s="5">
        <f t="shared" si="34"/>
        <v>0</v>
      </c>
      <c r="P288" s="5">
        <f t="shared" si="35"/>
        <v>0</v>
      </c>
      <c r="Q288" s="5">
        <f t="shared" si="36"/>
        <v>2</v>
      </c>
      <c r="R288" s="8">
        <f t="shared" si="37"/>
        <v>0</v>
      </c>
      <c r="S288" s="8">
        <f t="shared" si="38"/>
        <v>0</v>
      </c>
      <c r="T288" s="3" t="e">
        <f t="shared" si="39"/>
        <v>#VALUE!</v>
      </c>
      <c r="V288" s="1" t="e">
        <f t="shared" si="40"/>
        <v>#VALUE!</v>
      </c>
    </row>
    <row r="289" spans="8:22" x14ac:dyDescent="0.3">
      <c r="H289" s="2" t="str">
        <f>IF(Planilha1!B286="","",Planilha1!B286)</f>
        <v>8:00p</v>
      </c>
      <c r="I289" s="2" t="str">
        <f>IF(Planilha1!C286="","",Planilha1!C286)</f>
        <v>Indiana Pacers</v>
      </c>
      <c r="J289" s="2">
        <f>IF(Planilha1!D286="","",Planilha1!D286)</f>
        <v>144</v>
      </c>
      <c r="K289" s="10" t="str">
        <f>IF(Planilha1!E286="","",IF(Planilha1!E286=0,"",Planilha1!E286))</f>
        <v>Miami Heat</v>
      </c>
      <c r="L289" s="10">
        <f>IF(Planilha1!F286="","",Planilha1!F286)</f>
        <v>129</v>
      </c>
      <c r="M289" s="10">
        <f>IF(Planilha1!G286="","",IF(Planilha1!G286=0,"",Planilha1!G286))</f>
        <v>129</v>
      </c>
      <c r="N289" s="5">
        <f t="shared" si="33"/>
        <v>1</v>
      </c>
      <c r="O289" s="5">
        <f t="shared" si="34"/>
        <v>0</v>
      </c>
      <c r="P289" s="5">
        <f t="shared" si="35"/>
        <v>0</v>
      </c>
      <c r="Q289" s="5">
        <f t="shared" si="36"/>
        <v>2</v>
      </c>
      <c r="R289" s="8">
        <f t="shared" si="37"/>
        <v>0</v>
      </c>
      <c r="S289" s="8">
        <f t="shared" si="38"/>
        <v>0</v>
      </c>
      <c r="T289" s="3" t="e">
        <f t="shared" si="39"/>
        <v>#VALUE!</v>
      </c>
      <c r="V289" s="1" t="e">
        <f t="shared" si="40"/>
        <v>#VALUE!</v>
      </c>
    </row>
    <row r="290" spans="8:22" x14ac:dyDescent="0.3">
      <c r="H290" s="2" t="str">
        <f>IF(Planilha1!B287="","",Planilha1!B287)</f>
        <v>8:00p</v>
      </c>
      <c r="I290" s="2" t="str">
        <f>IF(Planilha1!C287="","",Planilha1!C287)</f>
        <v>Atlanta Hawks</v>
      </c>
      <c r="J290" s="2">
        <f>IF(Planilha1!D287="","",Planilha1!D287)</f>
        <v>121</v>
      </c>
      <c r="K290" s="10" t="str">
        <f>IF(Planilha1!E287="","",IF(Planilha1!E287=0,"",Planilha1!E287))</f>
        <v>Milwaukee Bucks</v>
      </c>
      <c r="L290" s="10">
        <f>IF(Planilha1!F287="","",Planilha1!F287)</f>
        <v>132</v>
      </c>
      <c r="M290" s="10">
        <f>IF(Planilha1!G287="","",IF(Planilha1!G287=0,"",Planilha1!G287))</f>
        <v>132</v>
      </c>
      <c r="N290" s="5">
        <f t="shared" si="33"/>
        <v>1</v>
      </c>
      <c r="O290" s="5">
        <f t="shared" si="34"/>
        <v>0</v>
      </c>
      <c r="P290" s="5">
        <f t="shared" si="35"/>
        <v>0</v>
      </c>
      <c r="Q290" s="5">
        <f t="shared" si="36"/>
        <v>2</v>
      </c>
      <c r="R290" s="8">
        <f t="shared" si="37"/>
        <v>0</v>
      </c>
      <c r="S290" s="8">
        <f t="shared" si="38"/>
        <v>0</v>
      </c>
      <c r="T290" s="3" t="e">
        <f t="shared" si="39"/>
        <v>#VALUE!</v>
      </c>
      <c r="V290" s="1" t="e">
        <f t="shared" si="40"/>
        <v>#VALUE!</v>
      </c>
    </row>
    <row r="291" spans="8:22" x14ac:dyDescent="0.3">
      <c r="H291" s="2" t="str">
        <f>IF(Planilha1!B288="","",Planilha1!B288)</f>
        <v>9:00p</v>
      </c>
      <c r="I291" s="2" t="str">
        <f>IF(Planilha1!C288="","",Planilha1!C288)</f>
        <v>Oklahoma City Thunder</v>
      </c>
      <c r="J291" s="2">
        <f>IF(Planilha1!D288="","",Planilha1!D288)</f>
        <v>126</v>
      </c>
      <c r="K291" s="10" t="str">
        <f>IF(Planilha1!E288="","",IF(Planilha1!E288=0,"",Planilha1!E288))</f>
        <v>Dallas Mavericks</v>
      </c>
      <c r="L291" s="10">
        <f>IF(Planilha1!F288="","",Planilha1!F288)</f>
        <v>120</v>
      </c>
      <c r="M291" s="10">
        <f>IF(Planilha1!G288="","",IF(Planilha1!G288=0,"",Planilha1!G288))</f>
        <v>120</v>
      </c>
      <c r="N291" s="5">
        <f t="shared" si="33"/>
        <v>1</v>
      </c>
      <c r="O291" s="5">
        <f t="shared" si="34"/>
        <v>0</v>
      </c>
      <c r="P291" s="5">
        <f t="shared" si="35"/>
        <v>0</v>
      </c>
      <c r="Q291" s="5">
        <f t="shared" si="36"/>
        <v>2</v>
      </c>
      <c r="R291" s="8">
        <f t="shared" si="37"/>
        <v>0</v>
      </c>
      <c r="S291" s="8">
        <f t="shared" si="38"/>
        <v>0</v>
      </c>
      <c r="T291" s="3" t="e">
        <f t="shared" si="39"/>
        <v>#VALUE!</v>
      </c>
      <c r="V291" s="1" t="e">
        <f t="shared" si="40"/>
        <v>#VALUE!</v>
      </c>
    </row>
    <row r="292" spans="8:22" x14ac:dyDescent="0.3">
      <c r="H292" s="2" t="str">
        <f>IF(Planilha1!B289="","",Planilha1!B289)</f>
        <v>9:00p</v>
      </c>
      <c r="I292" s="2" t="str">
        <f>IF(Planilha1!C289="","",Planilha1!C289)</f>
        <v>Memphis Grizzlies</v>
      </c>
      <c r="J292" s="2">
        <f>IF(Planilha1!D289="","",Planilha1!D289)</f>
        <v>109</v>
      </c>
      <c r="K292" s="10" t="str">
        <f>IF(Planilha1!E289="","",IF(Planilha1!E289=0,"",Planilha1!E289))</f>
        <v>Phoenix Suns</v>
      </c>
      <c r="L292" s="10">
        <f>IF(Planilha1!F289="","",Planilha1!F289)</f>
        <v>116</v>
      </c>
      <c r="M292" s="10">
        <f>IF(Planilha1!G289="","",IF(Planilha1!G289=0,"",Planilha1!G289))</f>
        <v>116</v>
      </c>
      <c r="N292" s="5">
        <f t="shared" si="33"/>
        <v>1</v>
      </c>
      <c r="O292" s="5">
        <f t="shared" si="34"/>
        <v>0</v>
      </c>
      <c r="P292" s="5">
        <f t="shared" si="35"/>
        <v>0</v>
      </c>
      <c r="Q292" s="5">
        <f t="shared" si="36"/>
        <v>2</v>
      </c>
      <c r="R292" s="8">
        <f t="shared" si="37"/>
        <v>0</v>
      </c>
      <c r="S292" s="8">
        <f t="shared" si="38"/>
        <v>0</v>
      </c>
      <c r="T292" s="3" t="e">
        <f t="shared" si="39"/>
        <v>#VALUE!</v>
      </c>
      <c r="V292" s="1" t="e">
        <f t="shared" si="40"/>
        <v>#VALUE!</v>
      </c>
    </row>
    <row r="293" spans="8:22" x14ac:dyDescent="0.3">
      <c r="H293" s="2" t="str">
        <f>IF(Planilha1!B290="","",Planilha1!B290)</f>
        <v>9:30p</v>
      </c>
      <c r="I293" s="2" t="str">
        <f>IF(Planilha1!C290="","",Planilha1!C290)</f>
        <v>Portland Trail Blazers</v>
      </c>
      <c r="J293" s="2">
        <f>IF(Planilha1!D290="","",Planilha1!D290)</f>
        <v>113</v>
      </c>
      <c r="K293" s="10" t="str">
        <f>IF(Planilha1!E290="","",IF(Planilha1!E290=0,"",Planilha1!E290))</f>
        <v>Utah Jazz</v>
      </c>
      <c r="L293" s="10">
        <f>IF(Planilha1!F290="","",Planilha1!F290)</f>
        <v>118</v>
      </c>
      <c r="M293" s="10">
        <f>IF(Planilha1!G290="","",IF(Planilha1!G290=0,"",Planilha1!G290))</f>
        <v>118</v>
      </c>
      <c r="N293" s="5">
        <f t="shared" si="33"/>
        <v>1</v>
      </c>
      <c r="O293" s="5">
        <f t="shared" si="34"/>
        <v>0</v>
      </c>
      <c r="P293" s="5">
        <f t="shared" si="35"/>
        <v>0</v>
      </c>
      <c r="Q293" s="5">
        <f t="shared" si="36"/>
        <v>2</v>
      </c>
      <c r="R293" s="8">
        <f t="shared" si="37"/>
        <v>0</v>
      </c>
      <c r="S293" s="8">
        <f t="shared" si="38"/>
        <v>0</v>
      </c>
      <c r="T293" s="3" t="e">
        <f t="shared" si="39"/>
        <v>#VALUE!</v>
      </c>
      <c r="V293" s="1" t="e">
        <f t="shared" si="40"/>
        <v>#VALUE!</v>
      </c>
    </row>
    <row r="294" spans="8:22" x14ac:dyDescent="0.3">
      <c r="H294" s="2" t="str">
        <f>IF(Planilha1!B291="","",Planilha1!B291)</f>
        <v>10:00p</v>
      </c>
      <c r="I294" s="2" t="str">
        <f>IF(Planilha1!C291="","",Planilha1!C291)</f>
        <v>Denver Nuggets</v>
      </c>
      <c r="J294" s="2">
        <f>IF(Planilha1!D291="","",Planilha1!D291)</f>
        <v>117</v>
      </c>
      <c r="K294" s="10" t="str">
        <f>IF(Planilha1!E291="","",IF(Planilha1!E291=0,"",Planilha1!E291))</f>
        <v>Sacramento Kings</v>
      </c>
      <c r="L294" s="10">
        <f>IF(Planilha1!F291="","",Planilha1!F291)</f>
        <v>123</v>
      </c>
      <c r="M294" s="10">
        <f>IF(Planilha1!G291="","",IF(Planilha1!G291=0,"",Planilha1!G291))</f>
        <v>123</v>
      </c>
      <c r="N294" s="5">
        <f t="shared" si="33"/>
        <v>1</v>
      </c>
      <c r="O294" s="5">
        <f t="shared" si="34"/>
        <v>0</v>
      </c>
      <c r="P294" s="5">
        <f t="shared" si="35"/>
        <v>0</v>
      </c>
      <c r="Q294" s="5">
        <f t="shared" si="36"/>
        <v>2</v>
      </c>
      <c r="R294" s="8">
        <f t="shared" si="37"/>
        <v>0</v>
      </c>
      <c r="S294" s="8">
        <f t="shared" si="38"/>
        <v>0</v>
      </c>
      <c r="T294" s="3" t="e">
        <f t="shared" si="39"/>
        <v>#VALUE!</v>
      </c>
      <c r="V294" s="1" t="e">
        <f t="shared" si="40"/>
        <v>#VALUE!</v>
      </c>
    </row>
    <row r="295" spans="8:22" x14ac:dyDescent="0.3">
      <c r="H295" s="2" t="str">
        <f>IF(Planilha1!B292="","",Planilha1!B292)</f>
        <v>10:30p</v>
      </c>
      <c r="I295" s="2" t="str">
        <f>IF(Planilha1!C292="","",Planilha1!C292)</f>
        <v>Houston Rockets</v>
      </c>
      <c r="J295" s="2">
        <f>IF(Planilha1!D292="","",Planilha1!D292)</f>
        <v>97</v>
      </c>
      <c r="K295" s="10" t="str">
        <f>IF(Planilha1!E292="","",IF(Planilha1!E292=0,"",Planilha1!E292))</f>
        <v>Los Angeles Lakers</v>
      </c>
      <c r="L295" s="10">
        <f>IF(Planilha1!F292="","",Planilha1!F292)</f>
        <v>107</v>
      </c>
      <c r="M295" s="10">
        <f>IF(Planilha1!G292="","",IF(Planilha1!G292=0,"",Planilha1!G292))</f>
        <v>107</v>
      </c>
      <c r="N295" s="5">
        <f t="shared" si="33"/>
        <v>1</v>
      </c>
      <c r="O295" s="5">
        <f t="shared" si="34"/>
        <v>0</v>
      </c>
      <c r="P295" s="5">
        <f t="shared" si="35"/>
        <v>0</v>
      </c>
      <c r="Q295" s="5">
        <f t="shared" si="36"/>
        <v>2</v>
      </c>
      <c r="R295" s="8">
        <f t="shared" si="37"/>
        <v>0</v>
      </c>
      <c r="S295" s="8">
        <f t="shared" si="38"/>
        <v>0</v>
      </c>
      <c r="T295" s="3" t="e">
        <f t="shared" si="39"/>
        <v>#VALUE!</v>
      </c>
      <c r="V295" s="1" t="e">
        <f t="shared" si="40"/>
        <v>#VALUE!</v>
      </c>
    </row>
    <row r="296" spans="8:22" x14ac:dyDescent="0.3">
      <c r="H296" s="2" t="str">
        <f>IF(Planilha1!B293="","",Planilha1!B293)</f>
        <v>7:30p</v>
      </c>
      <c r="I296" s="2" t="str">
        <f>IF(Planilha1!C293="","",Planilha1!C293)</f>
        <v>Boston Celtics</v>
      </c>
      <c r="J296" s="2">
        <f>IF(Planilha1!D293="","",Planilha1!D293)</f>
        <v>112</v>
      </c>
      <c r="K296" s="10" t="str">
        <f>IF(Planilha1!E293="","",IF(Planilha1!E293=0,"",Planilha1!E293))</f>
        <v>Indiana Pacers</v>
      </c>
      <c r="L296" s="10">
        <f>IF(Planilha1!F293="","",Planilha1!F293)</f>
        <v>122</v>
      </c>
      <c r="M296" s="10">
        <f>IF(Planilha1!G293="","",IF(Planilha1!G293=0,"",Planilha1!G293))</f>
        <v>122</v>
      </c>
      <c r="N296" s="5">
        <f t="shared" si="33"/>
        <v>1</v>
      </c>
      <c r="O296" s="5">
        <f t="shared" si="34"/>
        <v>0</v>
      </c>
      <c r="P296" s="5">
        <f t="shared" si="35"/>
        <v>0</v>
      </c>
      <c r="Q296" s="5">
        <f t="shared" si="36"/>
        <v>2</v>
      </c>
      <c r="R296" s="8">
        <f t="shared" si="37"/>
        <v>0</v>
      </c>
      <c r="S296" s="8">
        <f t="shared" si="38"/>
        <v>0</v>
      </c>
      <c r="T296" s="3" t="e">
        <f t="shared" si="39"/>
        <v>#VALUE!</v>
      </c>
      <c r="V296" s="1" t="e">
        <f t="shared" si="40"/>
        <v>#VALUE!</v>
      </c>
    </row>
    <row r="297" spans="8:22" x14ac:dyDescent="0.3">
      <c r="H297" s="2" t="str">
        <f>IF(Planilha1!B294="","",Planilha1!B294)</f>
        <v>10:00p</v>
      </c>
      <c r="I297" s="2" t="str">
        <f>IF(Planilha1!C294="","",Planilha1!C294)</f>
        <v>New Orleans Pelicans</v>
      </c>
      <c r="J297" s="2">
        <f>IF(Planilha1!D294="","",Planilha1!D294)</f>
        <v>127</v>
      </c>
      <c r="K297" s="10" t="str">
        <f>IF(Planilha1!E294="","",IF(Planilha1!E294=0,"",Planilha1!E294))</f>
        <v>Sacramento Kings</v>
      </c>
      <c r="L297" s="10">
        <f>IF(Planilha1!F294="","",Planilha1!F294)</f>
        <v>117</v>
      </c>
      <c r="M297" s="10">
        <f>IF(Planilha1!G294="","",IF(Planilha1!G294=0,"",Planilha1!G294))</f>
        <v>117</v>
      </c>
      <c r="N297" s="5">
        <f t="shared" si="33"/>
        <v>1</v>
      </c>
      <c r="O297" s="5">
        <f t="shared" si="34"/>
        <v>0</v>
      </c>
      <c r="P297" s="5">
        <f t="shared" si="35"/>
        <v>0</v>
      </c>
      <c r="Q297" s="5">
        <f t="shared" si="36"/>
        <v>2</v>
      </c>
      <c r="R297" s="8">
        <f t="shared" si="37"/>
        <v>0</v>
      </c>
      <c r="S297" s="8">
        <f t="shared" si="38"/>
        <v>0</v>
      </c>
      <c r="T297" s="3" t="e">
        <f t="shared" si="39"/>
        <v>#VALUE!</v>
      </c>
      <c r="V297" s="1" t="e">
        <f t="shared" si="40"/>
        <v>#VALUE!</v>
      </c>
    </row>
    <row r="298" spans="8:22" x14ac:dyDescent="0.3">
      <c r="H298" s="2" t="str">
        <f>IF(Planilha1!B295="","",Planilha1!B295)</f>
        <v>7:30p</v>
      </c>
      <c r="I298" s="2" t="str">
        <f>IF(Planilha1!C295="","",Planilha1!C295)</f>
        <v>New York Knicks</v>
      </c>
      <c r="J298" s="2">
        <f>IF(Planilha1!D295="","",Planilha1!D295)</f>
        <v>122</v>
      </c>
      <c r="K298" s="10" t="str">
        <f>IF(Planilha1!E295="","",IF(Planilha1!E295=0,"",Planilha1!E295))</f>
        <v>Milwaukee Bucks</v>
      </c>
      <c r="L298" s="10">
        <f>IF(Planilha1!F295="","",Planilha1!F295)</f>
        <v>146</v>
      </c>
      <c r="M298" s="10">
        <f>IF(Planilha1!G295="","",IF(Planilha1!G295=0,"",Planilha1!G295))</f>
        <v>146</v>
      </c>
      <c r="N298" s="5">
        <f t="shared" si="33"/>
        <v>1</v>
      </c>
      <c r="O298" s="5">
        <f t="shared" si="34"/>
        <v>0</v>
      </c>
      <c r="P298" s="5">
        <f t="shared" si="35"/>
        <v>0</v>
      </c>
      <c r="Q298" s="5">
        <f t="shared" si="36"/>
        <v>2</v>
      </c>
      <c r="R298" s="8">
        <f t="shared" si="37"/>
        <v>0</v>
      </c>
      <c r="S298" s="8">
        <f t="shared" si="38"/>
        <v>0</v>
      </c>
      <c r="T298" s="3" t="e">
        <f t="shared" si="39"/>
        <v>#VALUE!</v>
      </c>
      <c r="V298" s="1" t="e">
        <f t="shared" si="40"/>
        <v>#VALUE!</v>
      </c>
    </row>
    <row r="299" spans="8:22" x14ac:dyDescent="0.3">
      <c r="H299" s="2" t="str">
        <f>IF(Planilha1!B296="","",Planilha1!B296)</f>
        <v>10:00p</v>
      </c>
      <c r="I299" s="2" t="str">
        <f>IF(Planilha1!C296="","",Planilha1!C296)</f>
        <v>Phoenix Suns</v>
      </c>
      <c r="J299" s="2">
        <f>IF(Planilha1!D296="","",Planilha1!D296)</f>
        <v>103</v>
      </c>
      <c r="K299" s="10" t="str">
        <f>IF(Planilha1!E296="","",IF(Planilha1!E296=0,"",Planilha1!E296))</f>
        <v>Los Angeles Lakers</v>
      </c>
      <c r="L299" s="10">
        <f>IF(Planilha1!F296="","",Planilha1!F296)</f>
        <v>106</v>
      </c>
      <c r="M299" s="10">
        <f>IF(Planilha1!G296="","",IF(Planilha1!G296=0,"",Planilha1!G296))</f>
        <v>106</v>
      </c>
      <c r="N299" s="5">
        <f t="shared" si="33"/>
        <v>1</v>
      </c>
      <c r="O299" s="5">
        <f t="shared" si="34"/>
        <v>0</v>
      </c>
      <c r="P299" s="5">
        <f t="shared" si="35"/>
        <v>0</v>
      </c>
      <c r="Q299" s="5">
        <f t="shared" si="36"/>
        <v>2</v>
      </c>
      <c r="R299" s="8">
        <f t="shared" si="37"/>
        <v>0</v>
      </c>
      <c r="S299" s="8">
        <f t="shared" si="38"/>
        <v>0</v>
      </c>
      <c r="T299" s="3" t="e">
        <f t="shared" si="39"/>
        <v>#VALUE!</v>
      </c>
      <c r="V299" s="1" t="e">
        <f t="shared" si="40"/>
        <v>#VALUE!</v>
      </c>
    </row>
    <row r="300" spans="8:22" x14ac:dyDescent="0.3">
      <c r="H300" s="2" t="str">
        <f>IF(Planilha1!B297="","",Planilha1!B297)</f>
        <v>7:00p</v>
      </c>
      <c r="I300" s="2" t="str">
        <f>IF(Planilha1!C297="","",Planilha1!C297)</f>
        <v>Orlando Magic</v>
      </c>
      <c r="J300" s="2">
        <f>IF(Planilha1!D297="","",Planilha1!D297)</f>
        <v>111</v>
      </c>
      <c r="K300" s="10" t="str">
        <f>IF(Planilha1!E297="","",IF(Planilha1!E297=0,"",Planilha1!E297))</f>
        <v>Cleveland Cavaliers</v>
      </c>
      <c r="L300" s="10">
        <f>IF(Planilha1!F297="","",Planilha1!F297)</f>
        <v>121</v>
      </c>
      <c r="M300" s="10">
        <f>IF(Planilha1!G297="","",IF(Planilha1!G297=0,"",Planilha1!G297))</f>
        <v>121</v>
      </c>
      <c r="N300" s="5">
        <f t="shared" si="33"/>
        <v>1</v>
      </c>
      <c r="O300" s="5">
        <f t="shared" si="34"/>
        <v>0</v>
      </c>
      <c r="P300" s="5">
        <f t="shared" si="35"/>
        <v>0</v>
      </c>
      <c r="Q300" s="5">
        <f t="shared" si="36"/>
        <v>2</v>
      </c>
      <c r="R300" s="8">
        <f t="shared" si="37"/>
        <v>0</v>
      </c>
      <c r="S300" s="8">
        <f t="shared" si="38"/>
        <v>0</v>
      </c>
      <c r="T300" s="3" t="e">
        <f t="shared" si="39"/>
        <v>#VALUE!</v>
      </c>
      <c r="V300" s="1" t="e">
        <f t="shared" si="40"/>
        <v>#VALUE!</v>
      </c>
    </row>
    <row r="301" spans="8:22" x14ac:dyDescent="0.3">
      <c r="H301" s="2" t="str">
        <f>IF(Planilha1!B298="","",Planilha1!B298)</f>
        <v>7:00p</v>
      </c>
      <c r="I301" s="2" t="str">
        <f>IF(Planilha1!C298="","",Planilha1!C298)</f>
        <v>Memphis Grizzlies</v>
      </c>
      <c r="J301" s="2">
        <f>IF(Planilha1!D298="","",Planilha1!D298)</f>
        <v>116</v>
      </c>
      <c r="K301" s="10" t="str">
        <f>IF(Planilha1!E298="","",IF(Planilha1!E298=0,"",Planilha1!E298))</f>
        <v>Detroit Pistons</v>
      </c>
      <c r="L301" s="10">
        <f>IF(Planilha1!F298="","",Planilha1!F298)</f>
        <v>102</v>
      </c>
      <c r="M301" s="10">
        <f>IF(Planilha1!G298="","",IF(Planilha1!G298=0,"",Planilha1!G298))</f>
        <v>102</v>
      </c>
      <c r="N301" s="5">
        <f t="shared" si="33"/>
        <v>1</v>
      </c>
      <c r="O301" s="5">
        <f t="shared" si="34"/>
        <v>0</v>
      </c>
      <c r="P301" s="5">
        <f t="shared" si="35"/>
        <v>0</v>
      </c>
      <c r="Q301" s="5">
        <f t="shared" si="36"/>
        <v>2</v>
      </c>
      <c r="R301" s="8">
        <f t="shared" si="37"/>
        <v>0</v>
      </c>
      <c r="S301" s="8">
        <f t="shared" si="38"/>
        <v>0</v>
      </c>
      <c r="T301" s="3" t="e">
        <f t="shared" si="39"/>
        <v>#VALUE!</v>
      </c>
      <c r="V301" s="1" t="e">
        <f t="shared" si="40"/>
        <v>#VALUE!</v>
      </c>
    </row>
    <row r="302" spans="8:22" x14ac:dyDescent="0.3">
      <c r="H302" s="2" t="str">
        <f>IF(Planilha1!B299="","",Planilha1!B299)</f>
        <v>7:00p</v>
      </c>
      <c r="I302" s="2" t="str">
        <f>IF(Planilha1!C299="","",Planilha1!C299)</f>
        <v>Philadelphia 76ers</v>
      </c>
      <c r="J302" s="2">
        <f>IF(Planilha1!D299="","",Planilha1!D299)</f>
        <v>131</v>
      </c>
      <c r="K302" s="10" t="str">
        <f>IF(Planilha1!E299="","",IF(Planilha1!E299=0,"",Planilha1!E299))</f>
        <v>Washington Wizards</v>
      </c>
      <c r="L302" s="10">
        <f>IF(Planilha1!F299="","",Planilha1!F299)</f>
        <v>126</v>
      </c>
      <c r="M302" s="10">
        <f>IF(Planilha1!G299="","",IF(Planilha1!G299=0,"",Planilha1!G299))</f>
        <v>126</v>
      </c>
      <c r="N302" s="5">
        <f t="shared" si="33"/>
        <v>1</v>
      </c>
      <c r="O302" s="5">
        <f t="shared" si="34"/>
        <v>0</v>
      </c>
      <c r="P302" s="5">
        <f t="shared" si="35"/>
        <v>0</v>
      </c>
      <c r="Q302" s="5">
        <f t="shared" si="36"/>
        <v>2</v>
      </c>
      <c r="R302" s="8">
        <f t="shared" si="37"/>
        <v>0</v>
      </c>
      <c r="S302" s="8">
        <f t="shared" si="38"/>
        <v>0</v>
      </c>
      <c r="T302" s="3" t="e">
        <f t="shared" si="39"/>
        <v>#VALUE!</v>
      </c>
      <c r="V302" s="1" t="e">
        <f t="shared" si="40"/>
        <v>#VALUE!</v>
      </c>
    </row>
    <row r="303" spans="8:22" x14ac:dyDescent="0.3">
      <c r="H303" s="2" t="str">
        <f>IF(Planilha1!B300="","",Planilha1!B300)</f>
        <v>7:30p</v>
      </c>
      <c r="I303" s="2" t="str">
        <f>IF(Planilha1!C300="","",Planilha1!C300)</f>
        <v>Brooklyn Nets</v>
      </c>
      <c r="J303" s="2">
        <f>IF(Planilha1!D300="","",Planilha1!D300)</f>
        <v>114</v>
      </c>
      <c r="K303" s="10" t="str">
        <f>IF(Planilha1!E300="","",IF(Planilha1!E300=0,"",Planilha1!E300))</f>
        <v>Atlanta Hawks</v>
      </c>
      <c r="L303" s="10">
        <f>IF(Planilha1!F300="","",Planilha1!F300)</f>
        <v>113</v>
      </c>
      <c r="M303" s="10">
        <f>IF(Planilha1!G300="","",IF(Planilha1!G300=0,"",Planilha1!G300))</f>
        <v>113</v>
      </c>
      <c r="N303" s="5">
        <f t="shared" si="33"/>
        <v>1</v>
      </c>
      <c r="O303" s="5">
        <f t="shared" si="34"/>
        <v>0</v>
      </c>
      <c r="P303" s="5">
        <f t="shared" si="35"/>
        <v>0</v>
      </c>
      <c r="Q303" s="5">
        <f t="shared" si="36"/>
        <v>2</v>
      </c>
      <c r="R303" s="8">
        <f t="shared" si="37"/>
        <v>0</v>
      </c>
      <c r="S303" s="8">
        <f t="shared" si="38"/>
        <v>0</v>
      </c>
      <c r="T303" s="3" t="e">
        <f t="shared" si="39"/>
        <v>#VALUE!</v>
      </c>
      <c r="V303" s="1" t="e">
        <f t="shared" si="40"/>
        <v>#VALUE!</v>
      </c>
    </row>
    <row r="304" spans="8:22" x14ac:dyDescent="0.3">
      <c r="H304" s="2" t="str">
        <f>IF(Planilha1!B301="","",Planilha1!B301)</f>
        <v>7:30p</v>
      </c>
      <c r="I304" s="2" t="str">
        <f>IF(Planilha1!C301="","",Planilha1!C301)</f>
        <v>San Antonio Spurs</v>
      </c>
      <c r="J304" s="2">
        <f>IF(Planilha1!D301="","",Planilha1!D301)</f>
        <v>94</v>
      </c>
      <c r="K304" s="10" t="str">
        <f>IF(Planilha1!E301="","",IF(Planilha1!E301=0,"",Planilha1!E301))</f>
        <v>Minnesota Timberwolves</v>
      </c>
      <c r="L304" s="10">
        <f>IF(Planilha1!F301="","",Planilha1!F301)</f>
        <v>102</v>
      </c>
      <c r="M304" s="10">
        <f>IF(Planilha1!G301="","",IF(Planilha1!G301=0,"",Planilha1!G301))</f>
        <v>102</v>
      </c>
      <c r="N304" s="5">
        <f t="shared" si="33"/>
        <v>1</v>
      </c>
      <c r="O304" s="5">
        <f t="shared" si="34"/>
        <v>0</v>
      </c>
      <c r="P304" s="5">
        <f t="shared" si="35"/>
        <v>0</v>
      </c>
      <c r="Q304" s="5">
        <f t="shared" si="36"/>
        <v>2</v>
      </c>
      <c r="R304" s="8">
        <f t="shared" si="37"/>
        <v>0</v>
      </c>
      <c r="S304" s="8">
        <f t="shared" si="38"/>
        <v>0</v>
      </c>
      <c r="T304" s="3" t="e">
        <f t="shared" si="39"/>
        <v>#VALUE!</v>
      </c>
      <c r="V304" s="1" t="e">
        <f t="shared" si="40"/>
        <v>#VALUE!</v>
      </c>
    </row>
    <row r="305" spans="8:22" x14ac:dyDescent="0.3">
      <c r="H305" s="2" t="str">
        <f>IF(Planilha1!B302="","",Planilha1!B302)</f>
        <v>7:30p</v>
      </c>
      <c r="I305" s="2" t="str">
        <f>IF(Planilha1!C302="","",Planilha1!C302)</f>
        <v>Miami Heat</v>
      </c>
      <c r="J305" s="2">
        <f>IF(Planilha1!D302="","",Planilha1!D302)</f>
        <v>112</v>
      </c>
      <c r="K305" s="10" t="str">
        <f>IF(Planilha1!E302="","",IF(Planilha1!E302=0,"",Planilha1!E302))</f>
        <v>Toronto Raptors</v>
      </c>
      <c r="L305" s="10">
        <f>IF(Planilha1!F302="","",Planilha1!F302)</f>
        <v>103</v>
      </c>
      <c r="M305" s="10">
        <f>IF(Planilha1!G302="","",IF(Planilha1!G302=0,"",Planilha1!G302))</f>
        <v>103</v>
      </c>
      <c r="N305" s="5">
        <f t="shared" si="33"/>
        <v>1</v>
      </c>
      <c r="O305" s="5">
        <f t="shared" si="34"/>
        <v>0</v>
      </c>
      <c r="P305" s="5">
        <f t="shared" si="35"/>
        <v>0</v>
      </c>
      <c r="Q305" s="5">
        <f t="shared" si="36"/>
        <v>2</v>
      </c>
      <c r="R305" s="8">
        <f t="shared" si="37"/>
        <v>0</v>
      </c>
      <c r="S305" s="8">
        <f t="shared" si="38"/>
        <v>0</v>
      </c>
      <c r="T305" s="3" t="e">
        <f t="shared" si="39"/>
        <v>#VALUE!</v>
      </c>
      <c r="V305" s="1" t="e">
        <f t="shared" si="40"/>
        <v>#VALUE!</v>
      </c>
    </row>
    <row r="306" spans="8:22" x14ac:dyDescent="0.3">
      <c r="H306" s="2" t="str">
        <f>IF(Planilha1!B303="","",Planilha1!B303)</f>
        <v>8:00p</v>
      </c>
      <c r="I306" s="2" t="str">
        <f>IF(Planilha1!C303="","",Planilha1!C303)</f>
        <v>Charlotte Hornets</v>
      </c>
      <c r="J306" s="2">
        <f>IF(Planilha1!D303="","",Planilha1!D303)</f>
        <v>100</v>
      </c>
      <c r="K306" s="10" t="str">
        <f>IF(Planilha1!E303="","",IF(Planilha1!E303=0,"",Planilha1!E303))</f>
        <v>Chicago Bulls</v>
      </c>
      <c r="L306" s="10">
        <f>IF(Planilha1!F303="","",Planilha1!F303)</f>
        <v>111</v>
      </c>
      <c r="M306" s="10">
        <f>IF(Planilha1!G303="","",IF(Planilha1!G303=0,"",Planilha1!G303))</f>
        <v>111</v>
      </c>
      <c r="N306" s="5">
        <f t="shared" si="33"/>
        <v>1</v>
      </c>
      <c r="O306" s="5">
        <f t="shared" si="34"/>
        <v>0</v>
      </c>
      <c r="P306" s="5">
        <f t="shared" si="35"/>
        <v>0</v>
      </c>
      <c r="Q306" s="5">
        <f t="shared" si="36"/>
        <v>2</v>
      </c>
      <c r="R306" s="8">
        <f t="shared" si="37"/>
        <v>0</v>
      </c>
      <c r="S306" s="8">
        <f t="shared" si="38"/>
        <v>0</v>
      </c>
      <c r="T306" s="3" t="e">
        <f t="shared" si="39"/>
        <v>#VALUE!</v>
      </c>
      <c r="V306" s="1" t="e">
        <f t="shared" si="40"/>
        <v>#VALUE!</v>
      </c>
    </row>
    <row r="307" spans="8:22" x14ac:dyDescent="0.3">
      <c r="H307" s="2" t="str">
        <f>IF(Planilha1!B304="","",Planilha1!B304)</f>
        <v>8:00p</v>
      </c>
      <c r="I307" s="2" t="str">
        <f>IF(Planilha1!C304="","",Planilha1!C304)</f>
        <v>Oklahoma City Thunder</v>
      </c>
      <c r="J307" s="2">
        <f>IF(Planilha1!D304="","",Planilha1!D304)</f>
        <v>101</v>
      </c>
      <c r="K307" s="10" t="str">
        <f>IF(Planilha1!E304="","",IF(Planilha1!E304=0,"",Planilha1!E304))</f>
        <v>Houston Rockets</v>
      </c>
      <c r="L307" s="10">
        <f>IF(Planilha1!F304="","",Planilha1!F304)</f>
        <v>110</v>
      </c>
      <c r="M307" s="10">
        <f>IF(Planilha1!G304="","",IF(Planilha1!G304=0,"",Planilha1!G304))</f>
        <v>110</v>
      </c>
      <c r="N307" s="5">
        <f t="shared" si="33"/>
        <v>1</v>
      </c>
      <c r="O307" s="5">
        <f t="shared" si="34"/>
        <v>0</v>
      </c>
      <c r="P307" s="5">
        <f t="shared" si="35"/>
        <v>0</v>
      </c>
      <c r="Q307" s="5">
        <f t="shared" si="36"/>
        <v>2</v>
      </c>
      <c r="R307" s="8">
        <f t="shared" si="37"/>
        <v>0</v>
      </c>
      <c r="S307" s="8">
        <f t="shared" si="38"/>
        <v>0</v>
      </c>
      <c r="T307" s="3" t="e">
        <f t="shared" si="39"/>
        <v>#VALUE!</v>
      </c>
      <c r="V307" s="1" t="e">
        <f t="shared" si="40"/>
        <v>#VALUE!</v>
      </c>
    </row>
    <row r="308" spans="8:22" x14ac:dyDescent="0.3">
      <c r="H308" s="2" t="str">
        <f>IF(Planilha1!B305="","",Planilha1!B305)</f>
        <v>8:30p</v>
      </c>
      <c r="I308" s="2" t="str">
        <f>IF(Planilha1!C305="","",Planilha1!C305)</f>
        <v>Utah Jazz</v>
      </c>
      <c r="J308" s="2">
        <f>IF(Planilha1!D305="","",Planilha1!D305)</f>
        <v>97</v>
      </c>
      <c r="K308" s="10" t="str">
        <f>IF(Planilha1!E305="","",IF(Planilha1!E305=0,"",Planilha1!E305))</f>
        <v>Dallas Mavericks</v>
      </c>
      <c r="L308" s="10">
        <f>IF(Planilha1!F305="","",Planilha1!F305)</f>
        <v>147</v>
      </c>
      <c r="M308" s="10">
        <f>IF(Planilha1!G305="","",IF(Planilha1!G305=0,"",Planilha1!G305))</f>
        <v>147</v>
      </c>
      <c r="N308" s="5">
        <f t="shared" si="33"/>
        <v>1</v>
      </c>
      <c r="O308" s="5">
        <f t="shared" si="34"/>
        <v>0</v>
      </c>
      <c r="P308" s="5">
        <f t="shared" si="35"/>
        <v>0</v>
      </c>
      <c r="Q308" s="5">
        <f t="shared" si="36"/>
        <v>2</v>
      </c>
      <c r="R308" s="8">
        <f t="shared" si="37"/>
        <v>0</v>
      </c>
      <c r="S308" s="8">
        <f t="shared" si="38"/>
        <v>0</v>
      </c>
      <c r="T308" s="3" t="e">
        <f t="shared" si="39"/>
        <v>#VALUE!</v>
      </c>
      <c r="V308" s="1" t="e">
        <f t="shared" si="40"/>
        <v>#VALUE!</v>
      </c>
    </row>
    <row r="309" spans="8:22" x14ac:dyDescent="0.3">
      <c r="H309" s="2" t="str">
        <f>IF(Planilha1!B306="","",Planilha1!B306)</f>
        <v>10:00p</v>
      </c>
      <c r="I309" s="2" t="str">
        <f>IF(Planilha1!C306="","",Planilha1!C306)</f>
        <v>Portland Trail Blazers</v>
      </c>
      <c r="J309" s="2">
        <f>IF(Planilha1!D306="","",Planilha1!D306)</f>
        <v>106</v>
      </c>
      <c r="K309" s="10" t="str">
        <f>IF(Planilha1!E306="","",IF(Planilha1!E306=0,"",Planilha1!E306))</f>
        <v>Golden State Warriors</v>
      </c>
      <c r="L309" s="10">
        <f>IF(Planilha1!F306="","",Planilha1!F306)</f>
        <v>110</v>
      </c>
      <c r="M309" s="10">
        <f>IF(Planilha1!G306="","",IF(Planilha1!G306=0,"",Planilha1!G306))</f>
        <v>110</v>
      </c>
      <c r="N309" s="5">
        <f t="shared" si="33"/>
        <v>1</v>
      </c>
      <c r="O309" s="5">
        <f t="shared" si="34"/>
        <v>0</v>
      </c>
      <c r="P309" s="5">
        <f t="shared" si="35"/>
        <v>0</v>
      </c>
      <c r="Q309" s="5">
        <f t="shared" si="36"/>
        <v>2</v>
      </c>
      <c r="R309" s="8">
        <f t="shared" si="37"/>
        <v>0</v>
      </c>
      <c r="S309" s="8">
        <f t="shared" si="38"/>
        <v>0</v>
      </c>
      <c r="T309" s="3" t="e">
        <f t="shared" si="39"/>
        <v>#VALUE!</v>
      </c>
      <c r="V309" s="1" t="e">
        <f t="shared" si="40"/>
        <v>#VALUE!</v>
      </c>
    </row>
    <row r="310" spans="8:22" x14ac:dyDescent="0.3">
      <c r="H310" s="2" t="str">
        <f>IF(Planilha1!B307="","",Planilha1!B307)</f>
        <v>10:00p</v>
      </c>
      <c r="I310" s="2" t="str">
        <f>IF(Planilha1!C307="","",Planilha1!C307)</f>
        <v>Denver Nuggets</v>
      </c>
      <c r="J310" s="2">
        <f>IF(Planilha1!D307="","",Planilha1!D307)</f>
        <v>102</v>
      </c>
      <c r="K310" s="10" t="str">
        <f>IF(Planilha1!E307="","",IF(Planilha1!E307=0,"",Planilha1!E307))</f>
        <v>Los Angeles Clippers</v>
      </c>
      <c r="L310" s="10">
        <f>IF(Planilha1!F307="","",Planilha1!F307)</f>
        <v>111</v>
      </c>
      <c r="M310" s="10">
        <f>IF(Planilha1!G307="","",IF(Planilha1!G307=0,"",Planilha1!G307))</f>
        <v>111</v>
      </c>
      <c r="N310" s="5">
        <f t="shared" si="33"/>
        <v>1</v>
      </c>
      <c r="O310" s="5">
        <f t="shared" si="34"/>
        <v>0</v>
      </c>
      <c r="P310" s="5">
        <f t="shared" si="35"/>
        <v>0</v>
      </c>
      <c r="Q310" s="5">
        <f t="shared" si="36"/>
        <v>2</v>
      </c>
      <c r="R310" s="8">
        <f t="shared" si="37"/>
        <v>0</v>
      </c>
      <c r="S310" s="8">
        <f t="shared" si="38"/>
        <v>0</v>
      </c>
      <c r="T310" s="3" t="e">
        <f t="shared" si="39"/>
        <v>#VALUE!</v>
      </c>
      <c r="V310" s="1" t="e">
        <f t="shared" si="40"/>
        <v>#VALUE!</v>
      </c>
    </row>
    <row r="311" spans="8:22" x14ac:dyDescent="0.3">
      <c r="H311" s="2" t="str">
        <f>IF(Planilha1!B308="","",Planilha1!B308)</f>
        <v>5:00p</v>
      </c>
      <c r="I311" s="2" t="str">
        <f>IF(Planilha1!C308="","",Planilha1!C308)</f>
        <v>Indiana Pacers</v>
      </c>
      <c r="J311" s="2">
        <f>IF(Planilha1!D308="","",Planilha1!D308)</f>
        <v>128</v>
      </c>
      <c r="K311" s="10" t="str">
        <f>IF(Planilha1!E308="","",IF(Planilha1!E308=0,"",Planilha1!E308))</f>
        <v>Milwaukee Bucks</v>
      </c>
      <c r="L311" s="10">
        <f>IF(Planilha1!F308="","",Planilha1!F308)</f>
        <v>119</v>
      </c>
      <c r="M311" s="10">
        <f>IF(Planilha1!G308="","",IF(Planilha1!G308=0,"",Planilha1!G308))</f>
        <v>119</v>
      </c>
      <c r="N311" s="5">
        <f t="shared" si="33"/>
        <v>1</v>
      </c>
      <c r="O311" s="5">
        <f t="shared" si="34"/>
        <v>0</v>
      </c>
      <c r="P311" s="5">
        <f t="shared" si="35"/>
        <v>0</v>
      </c>
      <c r="Q311" s="5">
        <f t="shared" si="36"/>
        <v>2</v>
      </c>
      <c r="R311" s="8">
        <f t="shared" si="37"/>
        <v>0</v>
      </c>
      <c r="S311" s="8">
        <f t="shared" si="38"/>
        <v>0</v>
      </c>
      <c r="T311" s="3" t="e">
        <f t="shared" si="39"/>
        <v>#VALUE!</v>
      </c>
      <c r="V311" s="1" t="e">
        <f t="shared" si="40"/>
        <v>#VALUE!</v>
      </c>
    </row>
    <row r="312" spans="8:22" x14ac:dyDescent="0.3">
      <c r="H312" s="2" t="str">
        <f>IF(Planilha1!B309="","",Planilha1!B309)</f>
        <v>9:00p</v>
      </c>
      <c r="I312" s="2" t="str">
        <f>IF(Planilha1!C309="","",Planilha1!C309)</f>
        <v>New Orleans Pelicans</v>
      </c>
      <c r="J312" s="2">
        <f>IF(Planilha1!D309="","",Planilha1!D309)</f>
        <v>89</v>
      </c>
      <c r="K312" s="10" t="str">
        <f>IF(Planilha1!E309="","",IF(Planilha1!E309=0,"",Planilha1!E309))</f>
        <v>Los Angeles Lakers</v>
      </c>
      <c r="L312" s="10">
        <f>IF(Planilha1!F309="","",Planilha1!F309)</f>
        <v>133</v>
      </c>
      <c r="M312" s="10">
        <f>IF(Planilha1!G309="","",IF(Planilha1!G309=0,"",Planilha1!G309))</f>
        <v>133</v>
      </c>
      <c r="N312" s="5">
        <f t="shared" si="33"/>
        <v>1</v>
      </c>
      <c r="O312" s="5">
        <f t="shared" si="34"/>
        <v>0</v>
      </c>
      <c r="P312" s="5">
        <f t="shared" si="35"/>
        <v>0</v>
      </c>
      <c r="Q312" s="5">
        <f t="shared" si="36"/>
        <v>2</v>
      </c>
      <c r="R312" s="8">
        <f t="shared" si="37"/>
        <v>0</v>
      </c>
      <c r="S312" s="8">
        <f t="shared" si="38"/>
        <v>0</v>
      </c>
      <c r="T312" s="3" t="e">
        <f t="shared" si="39"/>
        <v>#VALUE!</v>
      </c>
      <c r="V312" s="1" t="e">
        <f t="shared" si="40"/>
        <v>#VALUE!</v>
      </c>
    </row>
    <row r="313" spans="8:22" x14ac:dyDescent="0.3">
      <c r="H313" s="2" t="str">
        <f>IF(Planilha1!B310="","",Planilha1!B310)</f>
        <v>7:00p</v>
      </c>
      <c r="I313" s="2" t="str">
        <f>IF(Planilha1!C310="","",Planilha1!C310)</f>
        <v>Toronto Raptors</v>
      </c>
      <c r="J313" s="2">
        <f>IF(Planilha1!D310="","",Planilha1!D310)</f>
        <v>116</v>
      </c>
      <c r="K313" s="10" t="str">
        <f>IF(Planilha1!E310="","",IF(Planilha1!E310=0,"",Planilha1!E310))</f>
        <v>Charlotte Hornets</v>
      </c>
      <c r="L313" s="10">
        <f>IF(Planilha1!F310="","",Planilha1!F310)</f>
        <v>119</v>
      </c>
      <c r="M313" s="10">
        <f>IF(Planilha1!G310="","",IF(Planilha1!G310=0,"",Planilha1!G310))</f>
        <v>119</v>
      </c>
      <c r="N313" s="5">
        <f t="shared" si="33"/>
        <v>1</v>
      </c>
      <c r="O313" s="5">
        <f t="shared" si="34"/>
        <v>0</v>
      </c>
      <c r="P313" s="5">
        <f t="shared" si="35"/>
        <v>0</v>
      </c>
      <c r="Q313" s="5">
        <f t="shared" si="36"/>
        <v>2</v>
      </c>
      <c r="R313" s="8">
        <f t="shared" si="37"/>
        <v>0</v>
      </c>
      <c r="S313" s="8">
        <f t="shared" si="38"/>
        <v>0</v>
      </c>
      <c r="T313" s="3" t="e">
        <f t="shared" si="39"/>
        <v>#VALUE!</v>
      </c>
      <c r="V313" s="1" t="e">
        <f t="shared" si="40"/>
        <v>#VALUE!</v>
      </c>
    </row>
    <row r="314" spans="8:22" x14ac:dyDescent="0.3">
      <c r="H314" s="2" t="str">
        <f>IF(Planilha1!B311="","",Planilha1!B311)</f>
        <v>7:00p</v>
      </c>
      <c r="I314" s="2" t="str">
        <f>IF(Planilha1!C311="","",Planilha1!C311)</f>
        <v>Detroit Pistons</v>
      </c>
      <c r="J314" s="2">
        <f>IF(Planilha1!D311="","",Planilha1!D311)</f>
        <v>91</v>
      </c>
      <c r="K314" s="10" t="str">
        <f>IF(Planilha1!E311="","",IF(Planilha1!E311=0,"",Planilha1!E311))</f>
        <v>Orlando Magic</v>
      </c>
      <c r="L314" s="10">
        <f>IF(Planilha1!F311="","",Planilha1!F311)</f>
        <v>123</v>
      </c>
      <c r="M314" s="10">
        <f>IF(Planilha1!G311="","",IF(Planilha1!G311=0,"",Planilha1!G311))</f>
        <v>123</v>
      </c>
      <c r="N314" s="5">
        <f t="shared" si="33"/>
        <v>1</v>
      </c>
      <c r="O314" s="5">
        <f t="shared" si="34"/>
        <v>0</v>
      </c>
      <c r="P314" s="5">
        <f t="shared" si="35"/>
        <v>0</v>
      </c>
      <c r="Q314" s="5">
        <f t="shared" si="36"/>
        <v>2</v>
      </c>
      <c r="R314" s="8">
        <f t="shared" si="37"/>
        <v>0</v>
      </c>
      <c r="S314" s="8">
        <f t="shared" si="38"/>
        <v>0</v>
      </c>
      <c r="T314" s="3" t="e">
        <f t="shared" si="39"/>
        <v>#VALUE!</v>
      </c>
      <c r="V314" s="1" t="e">
        <f t="shared" si="40"/>
        <v>#VALUE!</v>
      </c>
    </row>
    <row r="315" spans="8:22" x14ac:dyDescent="0.3">
      <c r="H315" s="2" t="str">
        <f>IF(Planilha1!B312="","",Planilha1!B312)</f>
        <v>7:00p</v>
      </c>
      <c r="I315" s="2" t="str">
        <f>IF(Planilha1!C312="","",Planilha1!C312)</f>
        <v>Atlanta Hawks</v>
      </c>
      <c r="J315" s="2">
        <f>IF(Planilha1!D312="","",Planilha1!D312)</f>
        <v>114</v>
      </c>
      <c r="K315" s="10" t="str">
        <f>IF(Planilha1!E312="","",IF(Planilha1!E312=0,"",Planilha1!E312))</f>
        <v>Philadelphia 76ers</v>
      </c>
      <c r="L315" s="10">
        <f>IF(Planilha1!F312="","",Planilha1!F312)</f>
        <v>125</v>
      </c>
      <c r="M315" s="10">
        <f>IF(Planilha1!G312="","",IF(Planilha1!G312=0,"",Planilha1!G312))</f>
        <v>125</v>
      </c>
      <c r="N315" s="5">
        <f t="shared" si="33"/>
        <v>1</v>
      </c>
      <c r="O315" s="5">
        <f t="shared" si="34"/>
        <v>0</v>
      </c>
      <c r="P315" s="5">
        <f t="shared" si="35"/>
        <v>0</v>
      </c>
      <c r="Q315" s="5">
        <f t="shared" si="36"/>
        <v>2</v>
      </c>
      <c r="R315" s="8">
        <f t="shared" si="37"/>
        <v>0</v>
      </c>
      <c r="S315" s="8">
        <f t="shared" si="38"/>
        <v>0</v>
      </c>
      <c r="T315" s="3" t="e">
        <f t="shared" si="39"/>
        <v>#VALUE!</v>
      </c>
      <c r="V315" s="1" t="e">
        <f t="shared" si="40"/>
        <v>#VALUE!</v>
      </c>
    </row>
    <row r="316" spans="8:22" x14ac:dyDescent="0.3">
      <c r="H316" s="2" t="str">
        <f>IF(Planilha1!B313="","",Planilha1!B313)</f>
        <v>7:30p</v>
      </c>
      <c r="I316" s="2" t="str">
        <f>IF(Planilha1!C313="","",Planilha1!C313)</f>
        <v>New York Knicks</v>
      </c>
      <c r="J316" s="2">
        <f>IF(Planilha1!D313="","",Planilha1!D313)</f>
        <v>123</v>
      </c>
      <c r="K316" s="10" t="str">
        <f>IF(Planilha1!E313="","",IF(Planilha1!E313=0,"",Planilha1!E313))</f>
        <v>Boston Celtics</v>
      </c>
      <c r="L316" s="10">
        <f>IF(Planilha1!F313="","",Planilha1!F313)</f>
        <v>133</v>
      </c>
      <c r="M316" s="10">
        <f>IF(Planilha1!G313="","",IF(Planilha1!G313=0,"",Planilha1!G313))</f>
        <v>133</v>
      </c>
      <c r="N316" s="5">
        <f t="shared" si="33"/>
        <v>1</v>
      </c>
      <c r="O316" s="5">
        <f t="shared" si="34"/>
        <v>0</v>
      </c>
      <c r="P316" s="5">
        <f t="shared" si="35"/>
        <v>0</v>
      </c>
      <c r="Q316" s="5">
        <f t="shared" si="36"/>
        <v>2</v>
      </c>
      <c r="R316" s="8">
        <f t="shared" si="37"/>
        <v>0</v>
      </c>
      <c r="S316" s="8">
        <f t="shared" si="38"/>
        <v>0</v>
      </c>
      <c r="T316" s="3" t="e">
        <f t="shared" si="39"/>
        <v>#VALUE!</v>
      </c>
      <c r="V316" s="1" t="e">
        <f t="shared" si="40"/>
        <v>#VALUE!</v>
      </c>
    </row>
    <row r="317" spans="8:22" x14ac:dyDescent="0.3">
      <c r="H317" s="2" t="str">
        <f>IF(Planilha1!B314="","",Planilha1!B314)</f>
        <v>7:30p</v>
      </c>
      <c r="I317" s="2" t="str">
        <f>IF(Planilha1!C314="","",Planilha1!C314)</f>
        <v>Washington Wizards</v>
      </c>
      <c r="J317" s="2">
        <f>IF(Planilha1!D314="","",Planilha1!D314)</f>
        <v>97</v>
      </c>
      <c r="K317" s="10" t="str">
        <f>IF(Planilha1!E314="","",IF(Planilha1!E314=0,"",Planilha1!E314))</f>
        <v>Brooklyn Nets</v>
      </c>
      <c r="L317" s="10">
        <f>IF(Planilha1!F314="","",Planilha1!F314)</f>
        <v>124</v>
      </c>
      <c r="M317" s="10">
        <f>IF(Planilha1!G314="","",IF(Planilha1!G314=0,"",Planilha1!G314))</f>
        <v>124</v>
      </c>
      <c r="N317" s="5">
        <f t="shared" si="33"/>
        <v>1</v>
      </c>
      <c r="O317" s="5">
        <f t="shared" si="34"/>
        <v>0</v>
      </c>
      <c r="P317" s="5">
        <f t="shared" si="35"/>
        <v>0</v>
      </c>
      <c r="Q317" s="5">
        <f t="shared" si="36"/>
        <v>2</v>
      </c>
      <c r="R317" s="8">
        <f t="shared" si="37"/>
        <v>0</v>
      </c>
      <c r="S317" s="8">
        <f t="shared" si="38"/>
        <v>0</v>
      </c>
      <c r="T317" s="3" t="e">
        <f t="shared" si="39"/>
        <v>#VALUE!</v>
      </c>
      <c r="V317" s="1" t="e">
        <f t="shared" si="40"/>
        <v>#VALUE!</v>
      </c>
    </row>
    <row r="318" spans="8:22" x14ac:dyDescent="0.3">
      <c r="H318" s="2" t="str">
        <f>IF(Planilha1!B315="","",Planilha1!B315)</f>
        <v>8:00p</v>
      </c>
      <c r="I318" s="2" t="str">
        <f>IF(Planilha1!C315="","",Planilha1!C315)</f>
        <v>Minnesota Timberwolves</v>
      </c>
      <c r="J318" s="2">
        <f>IF(Planilha1!D315="","",Planilha1!D315)</f>
        <v>127</v>
      </c>
      <c r="K318" s="10" t="str">
        <f>IF(Planilha1!E315="","",IF(Planilha1!E315=0,"",Planilha1!E315))</f>
        <v>Memphis Grizzlies</v>
      </c>
      <c r="L318" s="10">
        <f>IF(Planilha1!F315="","",Planilha1!F315)</f>
        <v>103</v>
      </c>
      <c r="M318" s="10">
        <f>IF(Planilha1!G315="","",IF(Planilha1!G315=0,"",Planilha1!G315))</f>
        <v>103</v>
      </c>
      <c r="N318" s="5">
        <f t="shared" si="33"/>
        <v>1</v>
      </c>
      <c r="O318" s="5">
        <f t="shared" si="34"/>
        <v>0</v>
      </c>
      <c r="P318" s="5">
        <f t="shared" si="35"/>
        <v>0</v>
      </c>
      <c r="Q318" s="5">
        <f t="shared" si="36"/>
        <v>2</v>
      </c>
      <c r="R318" s="8">
        <f t="shared" si="37"/>
        <v>0</v>
      </c>
      <c r="S318" s="8">
        <f t="shared" si="38"/>
        <v>0</v>
      </c>
      <c r="T318" s="3" t="e">
        <f t="shared" si="39"/>
        <v>#VALUE!</v>
      </c>
      <c r="V318" s="1" t="e">
        <f t="shared" si="40"/>
        <v>#VALUE!</v>
      </c>
    </row>
    <row r="319" spans="8:22" x14ac:dyDescent="0.3">
      <c r="H319" s="2" t="str">
        <f>IF(Planilha1!B316="","",Planilha1!B316)</f>
        <v>8:00p</v>
      </c>
      <c r="I319" s="2" t="str">
        <f>IF(Planilha1!C316="","",Planilha1!C316)</f>
        <v>Cleveland Cavaliers</v>
      </c>
      <c r="J319" s="2">
        <f>IF(Planilha1!D316="","",Planilha1!D316)</f>
        <v>111</v>
      </c>
      <c r="K319" s="10" t="str">
        <f>IF(Planilha1!E316="","",IF(Planilha1!E316=0,"",Planilha1!E316))</f>
        <v>Miami Heat</v>
      </c>
      <c r="L319" s="10">
        <f>IF(Planilha1!F316="","",Planilha1!F316)</f>
        <v>99</v>
      </c>
      <c r="M319" s="10">
        <f>IF(Planilha1!G316="","",IF(Planilha1!G316=0,"",Planilha1!G316))</f>
        <v>99</v>
      </c>
      <c r="N319" s="5">
        <f t="shared" si="33"/>
        <v>1</v>
      </c>
      <c r="O319" s="5">
        <f t="shared" si="34"/>
        <v>0</v>
      </c>
      <c r="P319" s="5">
        <f t="shared" si="35"/>
        <v>0</v>
      </c>
      <c r="Q319" s="5">
        <f t="shared" si="36"/>
        <v>2</v>
      </c>
      <c r="R319" s="8">
        <f t="shared" si="37"/>
        <v>0</v>
      </c>
      <c r="S319" s="8">
        <f t="shared" si="38"/>
        <v>0</v>
      </c>
      <c r="T319" s="3" t="e">
        <f t="shared" si="39"/>
        <v>#VALUE!</v>
      </c>
      <c r="V319" s="1" t="e">
        <f t="shared" si="40"/>
        <v>#VALUE!</v>
      </c>
    </row>
    <row r="320" spans="8:22" x14ac:dyDescent="0.3">
      <c r="H320" s="2" t="str">
        <f>IF(Planilha1!B317="","",Planilha1!B317)</f>
        <v>8:00p</v>
      </c>
      <c r="I320" s="2" t="str">
        <f>IF(Planilha1!C317="","",Planilha1!C317)</f>
        <v>Golden State Warriors</v>
      </c>
      <c r="J320" s="2">
        <f>IF(Planilha1!D317="","",Planilha1!D317)</f>
        <v>136</v>
      </c>
      <c r="K320" s="10" t="str">
        <f>IF(Planilha1!E317="","",IF(Planilha1!E317=0,"",Planilha1!E317))</f>
        <v>Oklahoma City Thunder</v>
      </c>
      <c r="L320" s="10">
        <f>IF(Planilha1!F317="","",Planilha1!F317)</f>
        <v>138</v>
      </c>
      <c r="M320" s="10">
        <f>IF(Planilha1!G317="","",IF(Planilha1!G317=0,"",Planilha1!G317))</f>
        <v>138</v>
      </c>
      <c r="N320" s="5">
        <f t="shared" si="33"/>
        <v>1</v>
      </c>
      <c r="O320" s="5">
        <f t="shared" si="34"/>
        <v>0</v>
      </c>
      <c r="P320" s="5">
        <f t="shared" si="35"/>
        <v>0</v>
      </c>
      <c r="Q320" s="5">
        <f t="shared" si="36"/>
        <v>2</v>
      </c>
      <c r="R320" s="8">
        <f t="shared" si="37"/>
        <v>0</v>
      </c>
      <c r="S320" s="8">
        <f t="shared" si="38"/>
        <v>0</v>
      </c>
      <c r="T320" s="3" t="e">
        <f t="shared" si="39"/>
        <v>#VALUE!</v>
      </c>
      <c r="V320" s="1" t="e">
        <f t="shared" si="40"/>
        <v>#VALUE!</v>
      </c>
    </row>
    <row r="321" spans="8:22" x14ac:dyDescent="0.3">
      <c r="H321" s="2" t="str">
        <f>IF(Planilha1!B318="","",Planilha1!B318)</f>
        <v>8:30p</v>
      </c>
      <c r="I321" s="2" t="str">
        <f>IF(Planilha1!C318="","",Planilha1!C318)</f>
        <v>Chicago Bulls</v>
      </c>
      <c r="J321" s="2">
        <f>IF(Planilha1!D318="","",Planilha1!D318)</f>
        <v>121</v>
      </c>
      <c r="K321" s="10" t="str">
        <f>IF(Planilha1!E318="","",IF(Planilha1!E318=0,"",Planilha1!E318))</f>
        <v>San Antonio Spurs</v>
      </c>
      <c r="L321" s="10">
        <f>IF(Planilha1!F318="","",Planilha1!F318)</f>
        <v>112</v>
      </c>
      <c r="M321" s="10">
        <f>IF(Planilha1!G318="","",IF(Planilha1!G318=0,"",Planilha1!G318))</f>
        <v>112</v>
      </c>
      <c r="N321" s="5">
        <f t="shared" si="33"/>
        <v>1</v>
      </c>
      <c r="O321" s="5">
        <f t="shared" si="34"/>
        <v>0</v>
      </c>
      <c r="P321" s="5">
        <f t="shared" si="35"/>
        <v>0</v>
      </c>
      <c r="Q321" s="5">
        <f t="shared" si="36"/>
        <v>2</v>
      </c>
      <c r="R321" s="8">
        <f t="shared" si="37"/>
        <v>0</v>
      </c>
      <c r="S321" s="8">
        <f t="shared" si="38"/>
        <v>0</v>
      </c>
      <c r="T321" s="3" t="e">
        <f t="shared" si="39"/>
        <v>#VALUE!</v>
      </c>
      <c r="V321" s="1" t="e">
        <f t="shared" si="40"/>
        <v>#VALUE!</v>
      </c>
    </row>
    <row r="322" spans="8:22" x14ac:dyDescent="0.3">
      <c r="H322" s="2" t="str">
        <f>IF(Planilha1!B319="","",Planilha1!B319)</f>
        <v>9:00p</v>
      </c>
      <c r="I322" s="2" t="str">
        <f>IF(Planilha1!C319="","",Planilha1!C319)</f>
        <v>Houston Rockets</v>
      </c>
      <c r="J322" s="2">
        <f>IF(Planilha1!D319="","",Planilha1!D319)</f>
        <v>114</v>
      </c>
      <c r="K322" s="10" t="str">
        <f>IF(Planilha1!E319="","",IF(Planilha1!E319=0,"",Planilha1!E319))</f>
        <v>Denver Nuggets</v>
      </c>
      <c r="L322" s="10">
        <f>IF(Planilha1!F319="","",Planilha1!F319)</f>
        <v>106</v>
      </c>
      <c r="M322" s="10">
        <f>IF(Planilha1!G319="","",IF(Planilha1!G319=0,"",Planilha1!G319))</f>
        <v>106</v>
      </c>
      <c r="N322" s="5">
        <f t="shared" si="33"/>
        <v>1</v>
      </c>
      <c r="O322" s="5">
        <f t="shared" si="34"/>
        <v>0</v>
      </c>
      <c r="P322" s="5">
        <f t="shared" si="35"/>
        <v>0</v>
      </c>
      <c r="Q322" s="5">
        <f t="shared" si="36"/>
        <v>2</v>
      </c>
      <c r="R322" s="8">
        <f t="shared" si="37"/>
        <v>0</v>
      </c>
      <c r="S322" s="8">
        <f t="shared" si="38"/>
        <v>0</v>
      </c>
      <c r="T322" s="3" t="e">
        <f t="shared" si="39"/>
        <v>#VALUE!</v>
      </c>
      <c r="V322" s="1" t="e">
        <f t="shared" si="40"/>
        <v>#VALUE!</v>
      </c>
    </row>
    <row r="323" spans="8:22" x14ac:dyDescent="0.3">
      <c r="H323" s="2" t="str">
        <f>IF(Planilha1!B320="","",Planilha1!B320)</f>
        <v>9:00p</v>
      </c>
      <c r="I323" s="2" t="str">
        <f>IF(Planilha1!C320="","",Planilha1!C320)</f>
        <v>Sacramento Kings</v>
      </c>
      <c r="J323" s="2">
        <f>IF(Planilha1!D320="","",Planilha1!D320)</f>
        <v>114</v>
      </c>
      <c r="K323" s="10" t="str">
        <f>IF(Planilha1!E320="","",IF(Planilha1!E320=0,"",Planilha1!E320))</f>
        <v>Phoenix Suns</v>
      </c>
      <c r="L323" s="10">
        <f>IF(Planilha1!F320="","",Planilha1!F320)</f>
        <v>106</v>
      </c>
      <c r="M323" s="10">
        <f>IF(Planilha1!G320="","",IF(Planilha1!G320=0,"",Planilha1!G320))</f>
        <v>106</v>
      </c>
      <c r="N323" s="5">
        <f t="shared" si="33"/>
        <v>1</v>
      </c>
      <c r="O323" s="5">
        <f t="shared" si="34"/>
        <v>0</v>
      </c>
      <c r="P323" s="5">
        <f t="shared" si="35"/>
        <v>0</v>
      </c>
      <c r="Q323" s="5">
        <f t="shared" si="36"/>
        <v>2</v>
      </c>
      <c r="R323" s="8">
        <f t="shared" si="37"/>
        <v>0</v>
      </c>
      <c r="S323" s="8">
        <f t="shared" si="38"/>
        <v>0</v>
      </c>
      <c r="T323" s="3" t="e">
        <f t="shared" si="39"/>
        <v>#VALUE!</v>
      </c>
      <c r="V323" s="1" t="e">
        <f t="shared" si="40"/>
        <v>#VALUE!</v>
      </c>
    </row>
    <row r="324" spans="8:22" x14ac:dyDescent="0.3">
      <c r="H324" s="2" t="str">
        <f>IF(Planilha1!B321="","",Planilha1!B321)</f>
        <v>10:00p</v>
      </c>
      <c r="I324" s="2" t="str">
        <f>IF(Planilha1!C321="","",Planilha1!C321)</f>
        <v>Dallas Mavericks</v>
      </c>
      <c r="J324" s="2">
        <f>IF(Planilha1!D321="","",Planilha1!D321)</f>
        <v>125</v>
      </c>
      <c r="K324" s="10" t="str">
        <f>IF(Planilha1!E321="","",IF(Planilha1!E321=0,"",Planilha1!E321))</f>
        <v>Portland Trail Blazers</v>
      </c>
      <c r="L324" s="10">
        <f>IF(Planilha1!F321="","",Planilha1!F321)</f>
        <v>112</v>
      </c>
      <c r="M324" s="10">
        <f>IF(Planilha1!G321="","",IF(Planilha1!G321=0,"",Planilha1!G321))</f>
        <v>112</v>
      </c>
      <c r="N324" s="5">
        <f t="shared" si="33"/>
        <v>1</v>
      </c>
      <c r="O324" s="5">
        <f t="shared" si="34"/>
        <v>0</v>
      </c>
      <c r="P324" s="5">
        <f t="shared" si="35"/>
        <v>0</v>
      </c>
      <c r="Q324" s="5">
        <f t="shared" si="36"/>
        <v>2</v>
      </c>
      <c r="R324" s="8">
        <f t="shared" si="37"/>
        <v>0</v>
      </c>
      <c r="S324" s="8">
        <f t="shared" si="38"/>
        <v>0</v>
      </c>
      <c r="T324" s="3" t="e">
        <f t="shared" si="39"/>
        <v>#VALUE!</v>
      </c>
      <c r="V324" s="1" t="e">
        <f t="shared" si="40"/>
        <v>#VALUE!</v>
      </c>
    </row>
    <row r="325" spans="8:22" x14ac:dyDescent="0.3">
      <c r="H325" s="2" t="str">
        <f>IF(Planilha1!B322="","",Planilha1!B322)</f>
        <v>10:00p</v>
      </c>
      <c r="I325" s="2" t="str">
        <f>IF(Planilha1!C322="","",Planilha1!C322)</f>
        <v>Los Angeles Clippers</v>
      </c>
      <c r="J325" s="2">
        <f>IF(Planilha1!D322="","",Planilha1!D322)</f>
        <v>117</v>
      </c>
      <c r="K325" s="10" t="str">
        <f>IF(Planilha1!E322="","",IF(Planilha1!E322=0,"",Planilha1!E322))</f>
        <v>Utah Jazz</v>
      </c>
      <c r="L325" s="10">
        <f>IF(Planilha1!F322="","",Planilha1!F322)</f>
        <v>103</v>
      </c>
      <c r="M325" s="10">
        <f>IF(Planilha1!G322="","",IF(Planilha1!G322=0,"",Planilha1!G322))</f>
        <v>103</v>
      </c>
      <c r="N325" s="5">
        <f t="shared" si="33"/>
        <v>1</v>
      </c>
      <c r="O325" s="5">
        <f t="shared" si="34"/>
        <v>0</v>
      </c>
      <c r="P325" s="5">
        <f t="shared" si="35"/>
        <v>0</v>
      </c>
      <c r="Q325" s="5">
        <f t="shared" si="36"/>
        <v>2</v>
      </c>
      <c r="R325" s="8">
        <f t="shared" si="37"/>
        <v>0</v>
      </c>
      <c r="S325" s="8">
        <f t="shared" si="38"/>
        <v>0</v>
      </c>
      <c r="T325" s="3" t="e">
        <f t="shared" si="39"/>
        <v>#VALUE!</v>
      </c>
      <c r="V325" s="1" t="e">
        <f t="shared" si="40"/>
        <v>#VALUE!</v>
      </c>
    </row>
    <row r="326" spans="8:22" x14ac:dyDescent="0.3">
      <c r="H326" s="2" t="str">
        <f>IF(Planilha1!B323="","",Planilha1!B323)</f>
        <v>8:30p</v>
      </c>
      <c r="I326" s="2" t="str">
        <f>IF(Planilha1!C323="","",Planilha1!C323)</f>
        <v>Indiana Pacers</v>
      </c>
      <c r="J326" s="2">
        <f>IF(Planilha1!D323="","",Planilha1!D323)</f>
        <v>109</v>
      </c>
      <c r="K326" s="10" t="str">
        <f>IF(Planilha1!E323="","",IF(Planilha1!E323=0,"",Planilha1!E323))</f>
        <v>Los Angeles Lakers</v>
      </c>
      <c r="L326" s="10">
        <f>IF(Planilha1!F323="","",Planilha1!F323)</f>
        <v>123</v>
      </c>
      <c r="M326" s="10">
        <f>IF(Planilha1!G323="","",IF(Planilha1!G323=0,"",Planilha1!G323))</f>
        <v>123</v>
      </c>
      <c r="N326" s="5">
        <f t="shared" ref="N326:N389" si="41">IF(K326="","",IF(K326&gt;M326,100%,0%))</f>
        <v>1</v>
      </c>
      <c r="O326" s="5">
        <f t="shared" ref="O326:O389" si="42">IF(K326="","",IF(K326&lt;M326,100%,0%))</f>
        <v>0</v>
      </c>
      <c r="P326" s="5">
        <f t="shared" ref="P326:P389" si="43">IF(M326="",IF(R326&gt;S326,2,0),IF(K326&lt;M326,2,0))</f>
        <v>0</v>
      </c>
      <c r="Q326" s="5">
        <f t="shared" ref="Q326:Q389" si="44">IF(M326="",IF(R326&gt;S326,0,2),IF(K326&gt;M326,2,0))</f>
        <v>2</v>
      </c>
      <c r="R326" s="8">
        <f t="shared" ref="R326:R389" si="45">SUMIF($B:$B,J326,$C:$C)+(SUMIF($B:$B,L326,$F:$F))</f>
        <v>0</v>
      </c>
      <c r="S326" s="8">
        <f t="shared" ref="S326:S389" si="46">SUMIF($B:$B,L326,$E:$E)+(SUMIF($B:$B,J326,$D:$D))</f>
        <v>0</v>
      </c>
      <c r="T326" s="3" t="e">
        <f t="shared" ref="T326:T389" si="47">IF(M326="","",(K326-S326)^2+(M326-R326)^2)</f>
        <v>#VALUE!</v>
      </c>
      <c r="V326" s="1" t="e">
        <f t="shared" ref="V326:V389" si="48">IF(O326="","",1/((M326-K326)/(R326-S326)))</f>
        <v>#VALUE!</v>
      </c>
    </row>
    <row r="327" spans="8:22" x14ac:dyDescent="0.3">
      <c r="H327" s="2" t="str">
        <f>IF(Planilha1!B324="","",Planilha1!B324)</f>
        <v>7:00p</v>
      </c>
      <c r="I327" s="2" t="str">
        <f>IF(Planilha1!C324="","",Planilha1!C324)</f>
        <v>Miami Heat</v>
      </c>
      <c r="J327" s="2">
        <f>IF(Planilha1!D324="","",Planilha1!D324)</f>
        <v>116</v>
      </c>
      <c r="K327" s="10" t="str">
        <f>IF(Planilha1!E324="","",IF(Planilha1!E324=0,"",Planilha1!E324))</f>
        <v>Charlotte Hornets</v>
      </c>
      <c r="L327" s="10">
        <f>IF(Planilha1!F324="","",Planilha1!F324)</f>
        <v>114</v>
      </c>
      <c r="M327" s="10">
        <f>IF(Planilha1!G324="","",IF(Planilha1!G324=0,"",Planilha1!G324))</f>
        <v>114</v>
      </c>
      <c r="N327" s="5">
        <f t="shared" si="41"/>
        <v>1</v>
      </c>
      <c r="O327" s="5">
        <f t="shared" si="42"/>
        <v>0</v>
      </c>
      <c r="P327" s="5">
        <f t="shared" si="43"/>
        <v>0</v>
      </c>
      <c r="Q327" s="5">
        <f t="shared" si="44"/>
        <v>2</v>
      </c>
      <c r="R327" s="8">
        <f t="shared" si="45"/>
        <v>0</v>
      </c>
      <c r="S327" s="8">
        <f t="shared" si="46"/>
        <v>0</v>
      </c>
      <c r="T327" s="3" t="e">
        <f t="shared" si="47"/>
        <v>#VALUE!</v>
      </c>
      <c r="V327" s="1" t="e">
        <f t="shared" si="48"/>
        <v>#VALUE!</v>
      </c>
    </row>
    <row r="328" spans="8:22" x14ac:dyDescent="0.3">
      <c r="H328" s="2" t="str">
        <f>IF(Planilha1!B325="","",Planilha1!B325)</f>
        <v>7:00p</v>
      </c>
      <c r="I328" s="2" t="str">
        <f>IF(Planilha1!C325="","",Planilha1!C325)</f>
        <v>Indiana Pacers</v>
      </c>
      <c r="J328" s="2">
        <f>IF(Planilha1!D325="","",Planilha1!D325)</f>
        <v>131</v>
      </c>
      <c r="K328" s="10" t="str">
        <f>IF(Planilha1!E325="","",IF(Planilha1!E325=0,"",Planilha1!E325))</f>
        <v>Detroit Pistons</v>
      </c>
      <c r="L328" s="10">
        <f>IF(Planilha1!F325="","",Planilha1!F325)</f>
        <v>123</v>
      </c>
      <c r="M328" s="10">
        <f>IF(Planilha1!G325="","",IF(Planilha1!G325=0,"",Planilha1!G325))</f>
        <v>123</v>
      </c>
      <c r="N328" s="5">
        <f t="shared" si="41"/>
        <v>1</v>
      </c>
      <c r="O328" s="5">
        <f t="shared" si="42"/>
        <v>0</v>
      </c>
      <c r="P328" s="5">
        <f t="shared" si="43"/>
        <v>0</v>
      </c>
      <c r="Q328" s="5">
        <f t="shared" si="44"/>
        <v>2</v>
      </c>
      <c r="R328" s="8">
        <f t="shared" si="45"/>
        <v>0</v>
      </c>
      <c r="S328" s="8">
        <f t="shared" si="46"/>
        <v>0</v>
      </c>
      <c r="T328" s="3" t="e">
        <f t="shared" si="47"/>
        <v>#VALUE!</v>
      </c>
      <c r="V328" s="1" t="e">
        <f t="shared" si="48"/>
        <v>#VALUE!</v>
      </c>
    </row>
    <row r="329" spans="8:22" x14ac:dyDescent="0.3">
      <c r="H329" s="2" t="str">
        <f>IF(Planilha1!B326="","",Planilha1!B326)</f>
        <v>7:00p</v>
      </c>
      <c r="I329" s="2" t="str">
        <f>IF(Planilha1!C326="","",Planilha1!C326)</f>
        <v>Cleveland Cavaliers</v>
      </c>
      <c r="J329" s="2">
        <f>IF(Planilha1!D326="","",Planilha1!D326)</f>
        <v>94</v>
      </c>
      <c r="K329" s="10" t="str">
        <f>IF(Planilha1!E326="","",IF(Planilha1!E326=0,"",Planilha1!E326))</f>
        <v>Orlando Magic</v>
      </c>
      <c r="L329" s="10">
        <f>IF(Planilha1!F326="","",Planilha1!F326)</f>
        <v>104</v>
      </c>
      <c r="M329" s="10">
        <f>IF(Planilha1!G326="","",IF(Planilha1!G326=0,"",Planilha1!G326))</f>
        <v>104</v>
      </c>
      <c r="N329" s="5">
        <f t="shared" si="41"/>
        <v>1</v>
      </c>
      <c r="O329" s="5">
        <f t="shared" si="42"/>
        <v>0</v>
      </c>
      <c r="P329" s="5">
        <f t="shared" si="43"/>
        <v>0</v>
      </c>
      <c r="Q329" s="5">
        <f t="shared" si="44"/>
        <v>2</v>
      </c>
      <c r="R329" s="8">
        <f t="shared" si="45"/>
        <v>0</v>
      </c>
      <c r="S329" s="8">
        <f t="shared" si="46"/>
        <v>0</v>
      </c>
      <c r="T329" s="3" t="e">
        <f t="shared" si="47"/>
        <v>#VALUE!</v>
      </c>
      <c r="V329" s="1" t="e">
        <f t="shared" si="48"/>
        <v>#VALUE!</v>
      </c>
    </row>
    <row r="330" spans="8:22" x14ac:dyDescent="0.3">
      <c r="H330" s="2" t="str">
        <f>IF(Planilha1!B327="","",Planilha1!B327)</f>
        <v>7:00p</v>
      </c>
      <c r="I330" s="2" t="str">
        <f>IF(Planilha1!C327="","",Planilha1!C327)</f>
        <v>Washington Wizards</v>
      </c>
      <c r="J330" s="2">
        <f>IF(Planilha1!D327="","",Planilha1!D327)</f>
        <v>101</v>
      </c>
      <c r="K330" s="10" t="str">
        <f>IF(Planilha1!E327="","",IF(Planilha1!E327=0,"",Planilha1!E327))</f>
        <v>Philadelphia 76ers</v>
      </c>
      <c r="L330" s="10">
        <f>IF(Planilha1!F327="","",Planilha1!F327)</f>
        <v>146</v>
      </c>
      <c r="M330" s="10">
        <f>IF(Planilha1!G327="","",IF(Planilha1!G327=0,"",Planilha1!G327))</f>
        <v>146</v>
      </c>
      <c r="N330" s="5">
        <f t="shared" si="41"/>
        <v>1</v>
      </c>
      <c r="O330" s="5">
        <f t="shared" si="42"/>
        <v>0</v>
      </c>
      <c r="P330" s="5">
        <f t="shared" si="43"/>
        <v>0</v>
      </c>
      <c r="Q330" s="5">
        <f t="shared" si="44"/>
        <v>2</v>
      </c>
      <c r="R330" s="8">
        <f t="shared" si="45"/>
        <v>0</v>
      </c>
      <c r="S330" s="8">
        <f t="shared" si="46"/>
        <v>0</v>
      </c>
      <c r="T330" s="3" t="e">
        <f t="shared" si="47"/>
        <v>#VALUE!</v>
      </c>
      <c r="V330" s="1" t="e">
        <f t="shared" si="48"/>
        <v>#VALUE!</v>
      </c>
    </row>
    <row r="331" spans="8:22" x14ac:dyDescent="0.3">
      <c r="H331" s="2" t="str">
        <f>IF(Planilha1!B328="","",Planilha1!B328)</f>
        <v>7:30p</v>
      </c>
      <c r="I331" s="2" t="str">
        <f>IF(Planilha1!C328="","",Planilha1!C328)</f>
        <v>Denver Nuggets</v>
      </c>
      <c r="J331" s="2">
        <f>IF(Planilha1!D328="","",Planilha1!D328)</f>
        <v>129</v>
      </c>
      <c r="K331" s="10" t="str">
        <f>IF(Planilha1!E328="","",IF(Planilha1!E328=0,"",Planilha1!E328))</f>
        <v>Atlanta Hawks</v>
      </c>
      <c r="L331" s="10">
        <f>IF(Planilha1!F328="","",Planilha1!F328)</f>
        <v>122</v>
      </c>
      <c r="M331" s="10">
        <f>IF(Planilha1!G328="","",IF(Planilha1!G328=0,"",Planilha1!G328))</f>
        <v>122</v>
      </c>
      <c r="N331" s="5">
        <f t="shared" si="41"/>
        <v>1</v>
      </c>
      <c r="O331" s="5">
        <f t="shared" si="42"/>
        <v>0</v>
      </c>
      <c r="P331" s="5">
        <f t="shared" si="43"/>
        <v>0</v>
      </c>
      <c r="Q331" s="5">
        <f t="shared" si="44"/>
        <v>2</v>
      </c>
      <c r="R331" s="8">
        <f t="shared" si="45"/>
        <v>0</v>
      </c>
      <c r="S331" s="8">
        <f t="shared" si="46"/>
        <v>0</v>
      </c>
      <c r="T331" s="3" t="e">
        <f t="shared" si="47"/>
        <v>#VALUE!</v>
      </c>
      <c r="V331" s="1" t="e">
        <f t="shared" si="48"/>
        <v>#VALUE!</v>
      </c>
    </row>
    <row r="332" spans="8:22" x14ac:dyDescent="0.3">
      <c r="H332" s="2" t="str">
        <f>IF(Planilha1!B329="","",Planilha1!B329)</f>
        <v>7:30p</v>
      </c>
      <c r="I332" s="2" t="str">
        <f>IF(Planilha1!C329="","",Planilha1!C329)</f>
        <v>Toronto Raptors</v>
      </c>
      <c r="J332" s="2">
        <f>IF(Planilha1!D329="","",Planilha1!D329)</f>
        <v>130</v>
      </c>
      <c r="K332" s="10" t="str">
        <f>IF(Planilha1!E329="","",IF(Planilha1!E329=0,"",Planilha1!E329))</f>
        <v>New York Knicks</v>
      </c>
      <c r="L332" s="10">
        <f>IF(Planilha1!F329="","",Planilha1!F329)</f>
        <v>136</v>
      </c>
      <c r="M332" s="10">
        <f>IF(Planilha1!G329="","",IF(Planilha1!G329=0,"",Planilha1!G329))</f>
        <v>136</v>
      </c>
      <c r="N332" s="5">
        <f t="shared" si="41"/>
        <v>1</v>
      </c>
      <c r="O332" s="5">
        <f t="shared" si="42"/>
        <v>0</v>
      </c>
      <c r="P332" s="5">
        <f t="shared" si="43"/>
        <v>0</v>
      </c>
      <c r="Q332" s="5">
        <f t="shared" si="44"/>
        <v>2</v>
      </c>
      <c r="R332" s="8">
        <f t="shared" si="45"/>
        <v>0</v>
      </c>
      <c r="S332" s="8">
        <f t="shared" si="46"/>
        <v>0</v>
      </c>
      <c r="T332" s="3" t="e">
        <f t="shared" si="47"/>
        <v>#VALUE!</v>
      </c>
      <c r="V332" s="1" t="e">
        <f t="shared" si="48"/>
        <v>#VALUE!</v>
      </c>
    </row>
    <row r="333" spans="8:22" x14ac:dyDescent="0.3">
      <c r="H333" s="2" t="str">
        <f>IF(Planilha1!B330="","",Planilha1!B330)</f>
        <v>8:00p</v>
      </c>
      <c r="I333" s="2" t="str">
        <f>IF(Planilha1!C330="","",Planilha1!C330)</f>
        <v>San Antonio Spurs</v>
      </c>
      <c r="J333" s="2">
        <f>IF(Planilha1!D330="","",Planilha1!D330)</f>
        <v>82</v>
      </c>
      <c r="K333" s="10" t="str">
        <f>IF(Planilha1!E330="","",IF(Planilha1!E330=0,"",Planilha1!E330))</f>
        <v>Houston Rockets</v>
      </c>
      <c r="L333" s="10">
        <f>IF(Planilha1!F330="","",Planilha1!F330)</f>
        <v>93</v>
      </c>
      <c r="M333" s="10">
        <f>IF(Planilha1!G330="","",IF(Planilha1!G330=0,"",Planilha1!G330))</f>
        <v>93</v>
      </c>
      <c r="N333" s="5">
        <f t="shared" si="41"/>
        <v>1</v>
      </c>
      <c r="O333" s="5">
        <f t="shared" si="42"/>
        <v>0</v>
      </c>
      <c r="P333" s="5">
        <f t="shared" si="43"/>
        <v>0</v>
      </c>
      <c r="Q333" s="5">
        <f t="shared" si="44"/>
        <v>2</v>
      </c>
      <c r="R333" s="8">
        <f t="shared" si="45"/>
        <v>0</v>
      </c>
      <c r="S333" s="8">
        <f t="shared" si="46"/>
        <v>0</v>
      </c>
      <c r="T333" s="3" t="e">
        <f t="shared" si="47"/>
        <v>#VALUE!</v>
      </c>
      <c r="V333" s="1" t="e">
        <f t="shared" si="48"/>
        <v>#VALUE!</v>
      </c>
    </row>
    <row r="334" spans="8:22" x14ac:dyDescent="0.3">
      <c r="H334" s="2" t="str">
        <f>IF(Planilha1!B331="","",Planilha1!B331)</f>
        <v>8:00p</v>
      </c>
      <c r="I334" s="2" t="str">
        <f>IF(Planilha1!C331="","",Planilha1!C331)</f>
        <v>Dallas Mavericks</v>
      </c>
      <c r="J334" s="2">
        <f>IF(Planilha1!D331="","",Planilha1!D331)</f>
        <v>120</v>
      </c>
      <c r="K334" s="10" t="str">
        <f>IF(Planilha1!E331="","",IF(Planilha1!E331=0,"",Planilha1!E331))</f>
        <v>Memphis Grizzlies</v>
      </c>
      <c r="L334" s="10">
        <f>IF(Planilha1!F331="","",Planilha1!F331)</f>
        <v>113</v>
      </c>
      <c r="M334" s="10">
        <f>IF(Planilha1!G331="","",IF(Planilha1!G331=0,"",Planilha1!G331))</f>
        <v>113</v>
      </c>
      <c r="N334" s="5">
        <f t="shared" si="41"/>
        <v>1</v>
      </c>
      <c r="O334" s="5">
        <f t="shared" si="42"/>
        <v>0</v>
      </c>
      <c r="P334" s="5">
        <f t="shared" si="43"/>
        <v>0</v>
      </c>
      <c r="Q334" s="5">
        <f t="shared" si="44"/>
        <v>2</v>
      </c>
      <c r="R334" s="8">
        <f t="shared" si="45"/>
        <v>0</v>
      </c>
      <c r="S334" s="8">
        <f t="shared" si="46"/>
        <v>0</v>
      </c>
      <c r="T334" s="3" t="e">
        <f t="shared" si="47"/>
        <v>#VALUE!</v>
      </c>
      <c r="V334" s="1" t="e">
        <f t="shared" si="48"/>
        <v>#VALUE!</v>
      </c>
    </row>
    <row r="335" spans="8:22" x14ac:dyDescent="0.3">
      <c r="H335" s="2" t="str">
        <f>IF(Planilha1!B332="","",Planilha1!B332)</f>
        <v>8:00p</v>
      </c>
      <c r="I335" s="2" t="str">
        <f>IF(Planilha1!C332="","",Planilha1!C332)</f>
        <v>Chicago Bulls</v>
      </c>
      <c r="J335" s="2">
        <f>IF(Planilha1!D332="","",Planilha1!D332)</f>
        <v>129</v>
      </c>
      <c r="K335" s="10" t="str">
        <f>IF(Planilha1!E332="","",IF(Planilha1!E332=0,"",Planilha1!E332))</f>
        <v>Milwaukee Bucks</v>
      </c>
      <c r="L335" s="10">
        <f>IF(Planilha1!F332="","",Planilha1!F332)</f>
        <v>133</v>
      </c>
      <c r="M335" s="10">
        <f>IF(Planilha1!G332="","",IF(Planilha1!G332=0,"",Planilha1!G332))</f>
        <v>133</v>
      </c>
      <c r="N335" s="5">
        <f t="shared" si="41"/>
        <v>1</v>
      </c>
      <c r="O335" s="5">
        <f t="shared" si="42"/>
        <v>0</v>
      </c>
      <c r="P335" s="5">
        <f t="shared" si="43"/>
        <v>0</v>
      </c>
      <c r="Q335" s="5">
        <f t="shared" si="44"/>
        <v>2</v>
      </c>
      <c r="R335" s="8">
        <f t="shared" si="45"/>
        <v>0</v>
      </c>
      <c r="S335" s="8">
        <f t="shared" si="46"/>
        <v>0</v>
      </c>
      <c r="T335" s="3" t="e">
        <f t="shared" si="47"/>
        <v>#VALUE!</v>
      </c>
      <c r="V335" s="1" t="e">
        <f t="shared" si="48"/>
        <v>#VALUE!</v>
      </c>
    </row>
    <row r="336" spans="8:22" x14ac:dyDescent="0.3">
      <c r="H336" s="2" t="str">
        <f>IF(Planilha1!B333="","",Planilha1!B333)</f>
        <v>8:00p</v>
      </c>
      <c r="I336" s="2" t="str">
        <f>IF(Planilha1!C333="","",Planilha1!C333)</f>
        <v>Minnesota Timberwolves</v>
      </c>
      <c r="J336" s="2">
        <f>IF(Planilha1!D333="","",Planilha1!D333)</f>
        <v>107</v>
      </c>
      <c r="K336" s="10" t="str">
        <f>IF(Planilha1!E333="","",IF(Planilha1!E333=0,"",Planilha1!E333))</f>
        <v>New Orleans Pelicans</v>
      </c>
      <c r="L336" s="10">
        <f>IF(Planilha1!F333="","",Planilha1!F333)</f>
        <v>121</v>
      </c>
      <c r="M336" s="10">
        <f>IF(Planilha1!G333="","",IF(Planilha1!G333=0,"",Planilha1!G333))</f>
        <v>121</v>
      </c>
      <c r="N336" s="5">
        <f t="shared" si="41"/>
        <v>1</v>
      </c>
      <c r="O336" s="5">
        <f t="shared" si="42"/>
        <v>0</v>
      </c>
      <c r="P336" s="5">
        <f t="shared" si="43"/>
        <v>0</v>
      </c>
      <c r="Q336" s="5">
        <f t="shared" si="44"/>
        <v>2</v>
      </c>
      <c r="R336" s="8">
        <f t="shared" si="45"/>
        <v>0</v>
      </c>
      <c r="S336" s="8">
        <f t="shared" si="46"/>
        <v>0</v>
      </c>
      <c r="T336" s="3" t="e">
        <f t="shared" si="47"/>
        <v>#VALUE!</v>
      </c>
      <c r="V336" s="1" t="e">
        <f t="shared" si="48"/>
        <v>#VALUE!</v>
      </c>
    </row>
    <row r="337" spans="8:22" x14ac:dyDescent="0.3">
      <c r="H337" s="2" t="str">
        <f>IF(Planilha1!B334="","",Planilha1!B334)</f>
        <v>8:00p</v>
      </c>
      <c r="I337" s="2" t="str">
        <f>IF(Planilha1!C334="","",Planilha1!C334)</f>
        <v>Utah Jazz</v>
      </c>
      <c r="J337" s="2">
        <f>IF(Planilha1!D334="","",Planilha1!D334)</f>
        <v>120</v>
      </c>
      <c r="K337" s="10" t="str">
        <f>IF(Planilha1!E334="","",IF(Planilha1!E334=0,"",Planilha1!E334))</f>
        <v>Oklahoma City Thunder</v>
      </c>
      <c r="L337" s="10">
        <f>IF(Planilha1!F334="","",Planilha1!F334)</f>
        <v>134</v>
      </c>
      <c r="M337" s="10">
        <f>IF(Planilha1!G334="","",IF(Planilha1!G334=0,"",Planilha1!G334))</f>
        <v>134</v>
      </c>
      <c r="N337" s="5">
        <f t="shared" si="41"/>
        <v>1</v>
      </c>
      <c r="O337" s="5">
        <f t="shared" si="42"/>
        <v>0</v>
      </c>
      <c r="P337" s="5">
        <f t="shared" si="43"/>
        <v>0</v>
      </c>
      <c r="Q337" s="5">
        <f t="shared" si="44"/>
        <v>2</v>
      </c>
      <c r="R337" s="8">
        <f t="shared" si="45"/>
        <v>0</v>
      </c>
      <c r="S337" s="8">
        <f t="shared" si="46"/>
        <v>0</v>
      </c>
      <c r="T337" s="3" t="e">
        <f t="shared" si="47"/>
        <v>#VALUE!</v>
      </c>
      <c r="V337" s="1" t="e">
        <f t="shared" si="48"/>
        <v>#VALUE!</v>
      </c>
    </row>
    <row r="338" spans="8:22" x14ac:dyDescent="0.3">
      <c r="H338" s="2" t="str">
        <f>IF(Planilha1!B335="","",Planilha1!B335)</f>
        <v>10:00p</v>
      </c>
      <c r="I338" s="2" t="str">
        <f>IF(Planilha1!C335="","",Planilha1!C335)</f>
        <v>Brooklyn Nets</v>
      </c>
      <c r="J338" s="2">
        <f>IF(Planilha1!D335="","",Planilha1!D335)</f>
        <v>118</v>
      </c>
      <c r="K338" s="10" t="str">
        <f>IF(Planilha1!E335="","",IF(Planilha1!E335=0,"",Planilha1!E335))</f>
        <v>Sacramento Kings</v>
      </c>
      <c r="L338" s="10">
        <f>IF(Planilha1!F335="","",Planilha1!F335)</f>
        <v>131</v>
      </c>
      <c r="M338" s="10">
        <f>IF(Planilha1!G335="","",IF(Planilha1!G335=0,"",Planilha1!G335))</f>
        <v>131</v>
      </c>
      <c r="N338" s="5">
        <f t="shared" si="41"/>
        <v>1</v>
      </c>
      <c r="O338" s="5">
        <f t="shared" si="42"/>
        <v>0</v>
      </c>
      <c r="P338" s="5">
        <f t="shared" si="43"/>
        <v>0</v>
      </c>
      <c r="Q338" s="5">
        <f t="shared" si="44"/>
        <v>2</v>
      </c>
      <c r="R338" s="8">
        <f t="shared" si="45"/>
        <v>0</v>
      </c>
      <c r="S338" s="8">
        <f t="shared" si="46"/>
        <v>0</v>
      </c>
      <c r="T338" s="3" t="e">
        <f t="shared" si="47"/>
        <v>#VALUE!</v>
      </c>
      <c r="V338" s="1" t="e">
        <f t="shared" si="48"/>
        <v>#VALUE!</v>
      </c>
    </row>
    <row r="339" spans="8:22" x14ac:dyDescent="0.3">
      <c r="H339" s="2" t="str">
        <f>IF(Planilha1!B336="","",Planilha1!B336)</f>
        <v>10:30p</v>
      </c>
      <c r="I339" s="2" t="str">
        <f>IF(Planilha1!C336="","",Planilha1!C336)</f>
        <v>Portland Trail Blazers</v>
      </c>
      <c r="J339" s="2">
        <f>IF(Planilha1!D336="","",Planilha1!D336)</f>
        <v>127</v>
      </c>
      <c r="K339" s="10" t="str">
        <f>IF(Planilha1!E336="","",IF(Planilha1!E336=0,"",Planilha1!E336))</f>
        <v>Los Angeles Clippers</v>
      </c>
      <c r="L339" s="10">
        <f>IF(Planilha1!F336="","",Planilha1!F336)</f>
        <v>132</v>
      </c>
      <c r="M339" s="10">
        <f>IF(Planilha1!G336="","",IF(Planilha1!G336=0,"",Planilha1!G336))</f>
        <v>132</v>
      </c>
      <c r="N339" s="5">
        <f t="shared" si="41"/>
        <v>1</v>
      </c>
      <c r="O339" s="5">
        <f t="shared" si="42"/>
        <v>0</v>
      </c>
      <c r="P339" s="5">
        <f t="shared" si="43"/>
        <v>0</v>
      </c>
      <c r="Q339" s="5">
        <f t="shared" si="44"/>
        <v>2</v>
      </c>
      <c r="R339" s="8">
        <f t="shared" si="45"/>
        <v>0</v>
      </c>
      <c r="S339" s="8">
        <f t="shared" si="46"/>
        <v>0</v>
      </c>
      <c r="T339" s="3" t="e">
        <f t="shared" si="47"/>
        <v>#VALUE!</v>
      </c>
      <c r="V339" s="1" t="e">
        <f t="shared" si="48"/>
        <v>#VALUE!</v>
      </c>
    </row>
    <row r="340" spans="8:22" x14ac:dyDescent="0.3">
      <c r="H340" s="2" t="str">
        <f>IF(Planilha1!B337="","",Planilha1!B337)</f>
        <v>7:30p</v>
      </c>
      <c r="I340" s="2" t="str">
        <f>IF(Planilha1!C337="","",Planilha1!C337)</f>
        <v>Cleveland Cavaliers</v>
      </c>
      <c r="J340" s="2">
        <f>IF(Planilha1!D337="","",Planilha1!D337)</f>
        <v>113</v>
      </c>
      <c r="K340" s="10" t="str">
        <f>IF(Planilha1!E337="","",IF(Planilha1!E337=0,"",Planilha1!E337))</f>
        <v>Boston Celtics</v>
      </c>
      <c r="L340" s="10">
        <f>IF(Planilha1!F337="","",Planilha1!F337)</f>
        <v>120</v>
      </c>
      <c r="M340" s="10">
        <f>IF(Planilha1!G337="","",IF(Planilha1!G337=0,"",Planilha1!G337))</f>
        <v>120</v>
      </c>
      <c r="N340" s="5">
        <f t="shared" si="41"/>
        <v>1</v>
      </c>
      <c r="O340" s="5">
        <f t="shared" si="42"/>
        <v>0</v>
      </c>
      <c r="P340" s="5">
        <f t="shared" si="43"/>
        <v>0</v>
      </c>
      <c r="Q340" s="5">
        <f t="shared" si="44"/>
        <v>2</v>
      </c>
      <c r="R340" s="8">
        <f t="shared" si="45"/>
        <v>0</v>
      </c>
      <c r="S340" s="8">
        <f t="shared" si="46"/>
        <v>0</v>
      </c>
      <c r="T340" s="3" t="e">
        <f t="shared" si="47"/>
        <v>#VALUE!</v>
      </c>
      <c r="V340" s="1" t="e">
        <f t="shared" si="48"/>
        <v>#VALUE!</v>
      </c>
    </row>
    <row r="341" spans="8:22" x14ac:dyDescent="0.3">
      <c r="H341" s="2" t="str">
        <f>IF(Planilha1!B338="","",Planilha1!B338)</f>
        <v>7:30p</v>
      </c>
      <c r="I341" s="2" t="str">
        <f>IF(Planilha1!C338="","",Planilha1!C338)</f>
        <v>Los Angeles Lakers</v>
      </c>
      <c r="J341" s="2">
        <f>IF(Planilha1!D338="","",Planilha1!D338)</f>
        <v>125</v>
      </c>
      <c r="K341" s="10" t="str">
        <f>IF(Planilha1!E338="","",IF(Planilha1!E338=0,"",Planilha1!E338))</f>
        <v>Dallas Mavericks</v>
      </c>
      <c r="L341" s="10">
        <f>IF(Planilha1!F338="","",Planilha1!F338)</f>
        <v>127</v>
      </c>
      <c r="M341" s="10">
        <f>IF(Planilha1!G338="","",IF(Planilha1!G338=0,"",Planilha1!G338))</f>
        <v>127</v>
      </c>
      <c r="N341" s="5">
        <f t="shared" si="41"/>
        <v>1</v>
      </c>
      <c r="O341" s="5">
        <f t="shared" si="42"/>
        <v>0</v>
      </c>
      <c r="P341" s="5">
        <f t="shared" si="43"/>
        <v>0</v>
      </c>
      <c r="Q341" s="5">
        <f t="shared" si="44"/>
        <v>2</v>
      </c>
      <c r="R341" s="8">
        <f t="shared" si="45"/>
        <v>0</v>
      </c>
      <c r="S341" s="8">
        <f t="shared" si="46"/>
        <v>0</v>
      </c>
      <c r="T341" s="3" t="e">
        <f t="shared" si="47"/>
        <v>#VALUE!</v>
      </c>
      <c r="V341" s="1" t="e">
        <f t="shared" si="48"/>
        <v>#VALUE!</v>
      </c>
    </row>
    <row r="342" spans="8:22" x14ac:dyDescent="0.3">
      <c r="H342" s="2" t="str">
        <f>IF(Planilha1!B339="","",Planilha1!B339)</f>
        <v>8:00p</v>
      </c>
      <c r="I342" s="2" t="str">
        <f>IF(Planilha1!C339="","",Planilha1!C339)</f>
        <v>Denver Nuggets</v>
      </c>
      <c r="J342" s="2">
        <f>IF(Planilha1!D339="","",Planilha1!D339)</f>
        <v>114</v>
      </c>
      <c r="K342" s="10" t="str">
        <f>IF(Planilha1!E339="","",IF(Planilha1!E339=0,"",Planilha1!E339))</f>
        <v>Chicago Bulls</v>
      </c>
      <c r="L342" s="10">
        <f>IF(Planilha1!F339="","",Planilha1!F339)</f>
        <v>106</v>
      </c>
      <c r="M342" s="10">
        <f>IF(Planilha1!G339="","",IF(Planilha1!G339=0,"",Planilha1!G339))</f>
        <v>106</v>
      </c>
      <c r="N342" s="5">
        <f t="shared" si="41"/>
        <v>1</v>
      </c>
      <c r="O342" s="5">
        <f t="shared" si="42"/>
        <v>0</v>
      </c>
      <c r="P342" s="5">
        <f t="shared" si="43"/>
        <v>0</v>
      </c>
      <c r="Q342" s="5">
        <f t="shared" si="44"/>
        <v>2</v>
      </c>
      <c r="R342" s="8">
        <f t="shared" si="45"/>
        <v>0</v>
      </c>
      <c r="S342" s="8">
        <f t="shared" si="46"/>
        <v>0</v>
      </c>
      <c r="T342" s="3" t="e">
        <f t="shared" si="47"/>
        <v>#VALUE!</v>
      </c>
      <c r="V342" s="1" t="e">
        <f t="shared" si="48"/>
        <v>#VALUE!</v>
      </c>
    </row>
    <row r="343" spans="8:22" x14ac:dyDescent="0.3">
      <c r="H343" s="2" t="str">
        <f>IF(Planilha1!B340="","",Planilha1!B340)</f>
        <v>10:00p</v>
      </c>
      <c r="I343" s="2" t="str">
        <f>IF(Planilha1!C340="","",Planilha1!C340)</f>
        <v>Golden State Warriors</v>
      </c>
      <c r="J343" s="2">
        <f>IF(Planilha1!D340="","",Planilha1!D340)</f>
        <v>116</v>
      </c>
      <c r="K343" s="10" t="str">
        <f>IF(Planilha1!E340="","",IF(Planilha1!E340=0,"",Planilha1!E340))</f>
        <v>Phoenix Suns</v>
      </c>
      <c r="L343" s="10">
        <f>IF(Planilha1!F340="","",Planilha1!F340)</f>
        <v>119</v>
      </c>
      <c r="M343" s="10">
        <f>IF(Planilha1!G340="","",IF(Planilha1!G340=0,"",Planilha1!G340))</f>
        <v>119</v>
      </c>
      <c r="N343" s="5">
        <f t="shared" si="41"/>
        <v>1</v>
      </c>
      <c r="O343" s="5">
        <f t="shared" si="42"/>
        <v>0</v>
      </c>
      <c r="P343" s="5">
        <f t="shared" si="43"/>
        <v>0</v>
      </c>
      <c r="Q343" s="5">
        <f t="shared" si="44"/>
        <v>2</v>
      </c>
      <c r="R343" s="8">
        <f t="shared" si="45"/>
        <v>0</v>
      </c>
      <c r="S343" s="8">
        <f t="shared" si="46"/>
        <v>0</v>
      </c>
      <c r="T343" s="3" t="e">
        <f t="shared" si="47"/>
        <v>#VALUE!</v>
      </c>
      <c r="V343" s="1" t="e">
        <f t="shared" si="48"/>
        <v>#VALUE!</v>
      </c>
    </row>
    <row r="344" spans="8:22" x14ac:dyDescent="0.3">
      <c r="H344" s="2" t="str">
        <f>IF(Planilha1!B341="","",Planilha1!B341)</f>
        <v>10:30p</v>
      </c>
      <c r="I344" s="2" t="str">
        <f>IF(Planilha1!C341="","",Planilha1!C341)</f>
        <v>Sacramento Kings</v>
      </c>
      <c r="J344" s="2">
        <f>IF(Planilha1!D341="","",Planilha1!D341)</f>
        <v>99</v>
      </c>
      <c r="K344" s="10" t="str">
        <f>IF(Planilha1!E341="","",IF(Planilha1!E341=0,"",Planilha1!E341))</f>
        <v>Los Angeles Clippers</v>
      </c>
      <c r="L344" s="10">
        <f>IF(Planilha1!F341="","",Planilha1!F341)</f>
        <v>119</v>
      </c>
      <c r="M344" s="10">
        <f>IF(Planilha1!G341="","",IF(Planilha1!G341=0,"",Planilha1!G341))</f>
        <v>119</v>
      </c>
      <c r="N344" s="5">
        <f t="shared" si="41"/>
        <v>1</v>
      </c>
      <c r="O344" s="5">
        <f t="shared" si="42"/>
        <v>0</v>
      </c>
      <c r="P344" s="5">
        <f t="shared" si="43"/>
        <v>0</v>
      </c>
      <c r="Q344" s="5">
        <f t="shared" si="44"/>
        <v>2</v>
      </c>
      <c r="R344" s="8">
        <f t="shared" si="45"/>
        <v>0</v>
      </c>
      <c r="S344" s="8">
        <f t="shared" si="46"/>
        <v>0</v>
      </c>
      <c r="T344" s="3" t="e">
        <f t="shared" si="47"/>
        <v>#VALUE!</v>
      </c>
      <c r="V344" s="1" t="e">
        <f t="shared" si="48"/>
        <v>#VALUE!</v>
      </c>
    </row>
    <row r="345" spans="8:22" x14ac:dyDescent="0.3">
      <c r="H345" s="2" t="str">
        <f>IF(Planilha1!B342="","",Planilha1!B342)</f>
        <v>7:00p</v>
      </c>
      <c r="I345" s="2" t="str">
        <f>IF(Planilha1!C342="","",Planilha1!C342)</f>
        <v>Philadelphia 76ers</v>
      </c>
      <c r="J345" s="2">
        <f>IF(Planilha1!D342="","",Planilha1!D342)</f>
        <v>129</v>
      </c>
      <c r="K345" s="10" t="str">
        <f>IF(Planilha1!E342="","",IF(Planilha1!E342=0,"",Planilha1!E342))</f>
        <v>Detroit Pistons</v>
      </c>
      <c r="L345" s="10">
        <f>IF(Planilha1!F342="","",Planilha1!F342)</f>
        <v>111</v>
      </c>
      <c r="M345" s="10">
        <f>IF(Planilha1!G342="","",IF(Planilha1!G342=0,"",Planilha1!G342))</f>
        <v>111</v>
      </c>
      <c r="N345" s="5">
        <f t="shared" si="41"/>
        <v>1</v>
      </c>
      <c r="O345" s="5">
        <f t="shared" si="42"/>
        <v>0</v>
      </c>
      <c r="P345" s="5">
        <f t="shared" si="43"/>
        <v>0</v>
      </c>
      <c r="Q345" s="5">
        <f t="shared" si="44"/>
        <v>2</v>
      </c>
      <c r="R345" s="8">
        <f t="shared" si="45"/>
        <v>0</v>
      </c>
      <c r="S345" s="8">
        <f t="shared" si="46"/>
        <v>0</v>
      </c>
      <c r="T345" s="3" t="e">
        <f t="shared" si="47"/>
        <v>#VALUE!</v>
      </c>
      <c r="V345" s="1" t="e">
        <f t="shared" si="48"/>
        <v>#VALUE!</v>
      </c>
    </row>
    <row r="346" spans="8:22" x14ac:dyDescent="0.3">
      <c r="H346" s="2" t="str">
        <f>IF(Planilha1!B343="","",Planilha1!B343)</f>
        <v>7:00p</v>
      </c>
      <c r="I346" s="2" t="str">
        <f>IF(Planilha1!C343="","",Planilha1!C343)</f>
        <v>New Orleans Pelicans</v>
      </c>
      <c r="J346" s="2">
        <f>IF(Planilha1!D343="","",Planilha1!D343)</f>
        <v>142</v>
      </c>
      <c r="K346" s="10" t="str">
        <f>IF(Planilha1!E343="","",IF(Planilha1!E343=0,"",Planilha1!E343))</f>
        <v>Washington Wizards</v>
      </c>
      <c r="L346" s="10">
        <f>IF(Planilha1!F343="","",Planilha1!F343)</f>
        <v>122</v>
      </c>
      <c r="M346" s="10">
        <f>IF(Planilha1!G343="","",IF(Planilha1!G343=0,"",Planilha1!G343))</f>
        <v>122</v>
      </c>
      <c r="N346" s="5">
        <f t="shared" si="41"/>
        <v>1</v>
      </c>
      <c r="O346" s="5">
        <f t="shared" si="42"/>
        <v>0</v>
      </c>
      <c r="P346" s="5">
        <f t="shared" si="43"/>
        <v>0</v>
      </c>
      <c r="Q346" s="5">
        <f t="shared" si="44"/>
        <v>2</v>
      </c>
      <c r="R346" s="8">
        <f t="shared" si="45"/>
        <v>0</v>
      </c>
      <c r="S346" s="8">
        <f t="shared" si="46"/>
        <v>0</v>
      </c>
      <c r="T346" s="3" t="e">
        <f t="shared" si="47"/>
        <v>#VALUE!</v>
      </c>
      <c r="V346" s="1" t="e">
        <f t="shared" si="48"/>
        <v>#VALUE!</v>
      </c>
    </row>
    <row r="347" spans="8:22" x14ac:dyDescent="0.3">
      <c r="H347" s="2" t="str">
        <f>IF(Planilha1!B344="","",Planilha1!B344)</f>
        <v>7:30p</v>
      </c>
      <c r="I347" s="2" t="str">
        <f>IF(Planilha1!C344="","",Planilha1!C344)</f>
        <v>Charlotte Hornets</v>
      </c>
      <c r="J347" s="2">
        <f>IF(Planilha1!D344="","",Planilha1!D344)</f>
        <v>104</v>
      </c>
      <c r="K347" s="10" t="str">
        <f>IF(Planilha1!E344="","",IF(Planilha1!E344=0,"",Planilha1!E344))</f>
        <v>Miami Heat</v>
      </c>
      <c r="L347" s="10">
        <f>IF(Planilha1!F344="","",Planilha1!F344)</f>
        <v>115</v>
      </c>
      <c r="M347" s="10">
        <f>IF(Planilha1!G344="","",IF(Planilha1!G344=0,"",Planilha1!G344))</f>
        <v>115</v>
      </c>
      <c r="N347" s="5">
        <f t="shared" si="41"/>
        <v>1</v>
      </c>
      <c r="O347" s="5">
        <f t="shared" si="42"/>
        <v>0</v>
      </c>
      <c r="P347" s="5">
        <f t="shared" si="43"/>
        <v>0</v>
      </c>
      <c r="Q347" s="5">
        <f t="shared" si="44"/>
        <v>2</v>
      </c>
      <c r="R347" s="8">
        <f t="shared" si="45"/>
        <v>0</v>
      </c>
      <c r="S347" s="8">
        <f t="shared" si="46"/>
        <v>0</v>
      </c>
      <c r="T347" s="3" t="e">
        <f t="shared" si="47"/>
        <v>#VALUE!</v>
      </c>
      <c r="V347" s="1" t="e">
        <f t="shared" si="48"/>
        <v>#VALUE!</v>
      </c>
    </row>
    <row r="348" spans="8:22" x14ac:dyDescent="0.3">
      <c r="H348" s="2" t="str">
        <f>IF(Planilha1!B345="","",Planilha1!B345)</f>
        <v>7:30p</v>
      </c>
      <c r="I348" s="2" t="str">
        <f>IF(Planilha1!C345="","",Planilha1!C345)</f>
        <v>Atlanta Hawks</v>
      </c>
      <c r="J348" s="2">
        <f>IF(Planilha1!D345="","",Planilha1!D345)</f>
        <v>128</v>
      </c>
      <c r="K348" s="10" t="str">
        <f>IF(Planilha1!E345="","",IF(Planilha1!E345=0,"",Planilha1!E345))</f>
        <v>Toronto Raptors</v>
      </c>
      <c r="L348" s="10">
        <f>IF(Planilha1!F345="","",Planilha1!F345)</f>
        <v>135</v>
      </c>
      <c r="M348" s="10">
        <f>IF(Planilha1!G345="","",IF(Planilha1!G345=0,"",Planilha1!G345))</f>
        <v>135</v>
      </c>
      <c r="N348" s="5">
        <f t="shared" si="41"/>
        <v>1</v>
      </c>
      <c r="O348" s="5">
        <f t="shared" si="42"/>
        <v>0</v>
      </c>
      <c r="P348" s="5">
        <f t="shared" si="43"/>
        <v>0</v>
      </c>
      <c r="Q348" s="5">
        <f t="shared" si="44"/>
        <v>2</v>
      </c>
      <c r="R348" s="8">
        <f t="shared" si="45"/>
        <v>0</v>
      </c>
      <c r="S348" s="8">
        <f t="shared" si="46"/>
        <v>0</v>
      </c>
      <c r="T348" s="3" t="e">
        <f t="shared" si="47"/>
        <v>#VALUE!</v>
      </c>
      <c r="V348" s="1" t="e">
        <f t="shared" si="48"/>
        <v>#VALUE!</v>
      </c>
    </row>
    <row r="349" spans="8:22" x14ac:dyDescent="0.3">
      <c r="H349" s="2" t="str">
        <f>IF(Planilha1!B346="","",Planilha1!B346)</f>
        <v>8:00p</v>
      </c>
      <c r="I349" s="2" t="str">
        <f>IF(Planilha1!C346="","",Planilha1!C346)</f>
        <v>Memphis Grizzlies</v>
      </c>
      <c r="J349" s="2">
        <f>IF(Planilha1!D346="","",Planilha1!D346)</f>
        <v>104</v>
      </c>
      <c r="K349" s="10" t="str">
        <f>IF(Planilha1!E346="","",IF(Planilha1!E346=0,"",Planilha1!E346))</f>
        <v>Houston Rockets</v>
      </c>
      <c r="L349" s="10">
        <f>IF(Planilha1!F346="","",Planilha1!F346)</f>
        <v>117</v>
      </c>
      <c r="M349" s="10">
        <f>IF(Planilha1!G346="","",IF(Planilha1!G346=0,"",Planilha1!G346))</f>
        <v>117</v>
      </c>
      <c r="N349" s="5">
        <f t="shared" si="41"/>
        <v>1</v>
      </c>
      <c r="O349" s="5">
        <f t="shared" si="42"/>
        <v>0</v>
      </c>
      <c r="P349" s="5">
        <f t="shared" si="43"/>
        <v>0</v>
      </c>
      <c r="Q349" s="5">
        <f t="shared" si="44"/>
        <v>2</v>
      </c>
      <c r="R349" s="8">
        <f t="shared" si="45"/>
        <v>0</v>
      </c>
      <c r="S349" s="8">
        <f t="shared" si="46"/>
        <v>0</v>
      </c>
      <c r="T349" s="3" t="e">
        <f t="shared" si="47"/>
        <v>#VALUE!</v>
      </c>
      <c r="V349" s="1" t="e">
        <f t="shared" si="48"/>
        <v>#VALUE!</v>
      </c>
    </row>
    <row r="350" spans="8:22" x14ac:dyDescent="0.3">
      <c r="H350" s="2" t="str">
        <f>IF(Planilha1!B347="","",Planilha1!B347)</f>
        <v>8:00p</v>
      </c>
      <c r="I350" s="2" t="str">
        <f>IF(Planilha1!C347="","",Planilha1!C347)</f>
        <v>Indiana Pacers</v>
      </c>
      <c r="J350" s="2">
        <f>IF(Planilha1!D347="","",Planilha1!D347)</f>
        <v>126</v>
      </c>
      <c r="K350" s="10" t="str">
        <f>IF(Planilha1!E347="","",IF(Planilha1!E347=0,"",Planilha1!E347))</f>
        <v>Milwaukee Bucks</v>
      </c>
      <c r="L350" s="10">
        <f>IF(Planilha1!F347="","",Planilha1!F347)</f>
        <v>140</v>
      </c>
      <c r="M350" s="10">
        <f>IF(Planilha1!G347="","",IF(Planilha1!G347=0,"",Planilha1!G347))</f>
        <v>140</v>
      </c>
      <c r="N350" s="5">
        <f t="shared" si="41"/>
        <v>1</v>
      </c>
      <c r="O350" s="5">
        <f t="shared" si="42"/>
        <v>0</v>
      </c>
      <c r="P350" s="5">
        <f t="shared" si="43"/>
        <v>0</v>
      </c>
      <c r="Q350" s="5">
        <f t="shared" si="44"/>
        <v>2</v>
      </c>
      <c r="R350" s="8">
        <f t="shared" si="45"/>
        <v>0</v>
      </c>
      <c r="S350" s="8">
        <f t="shared" si="46"/>
        <v>0</v>
      </c>
      <c r="T350" s="3" t="e">
        <f t="shared" si="47"/>
        <v>#VALUE!</v>
      </c>
      <c r="V350" s="1" t="e">
        <f t="shared" si="48"/>
        <v>#VALUE!</v>
      </c>
    </row>
    <row r="351" spans="8:22" x14ac:dyDescent="0.3">
      <c r="H351" s="2" t="str">
        <f>IF(Planilha1!B348="","",Planilha1!B348)</f>
        <v>8:00p</v>
      </c>
      <c r="I351" s="2" t="str">
        <f>IF(Planilha1!C348="","",Planilha1!C348)</f>
        <v>Los Angeles Lakers</v>
      </c>
      <c r="J351" s="2">
        <f>IF(Planilha1!D348="","",Planilha1!D348)</f>
        <v>122</v>
      </c>
      <c r="K351" s="10" t="str">
        <f>IF(Planilha1!E348="","",IF(Planilha1!E348=0,"",Planilha1!E348))</f>
        <v>San Antonio Spurs</v>
      </c>
      <c r="L351" s="10">
        <f>IF(Planilha1!F348="","",Planilha1!F348)</f>
        <v>119</v>
      </c>
      <c r="M351" s="10">
        <f>IF(Planilha1!G348="","",IF(Planilha1!G348=0,"",Planilha1!G348))</f>
        <v>119</v>
      </c>
      <c r="N351" s="5">
        <f t="shared" si="41"/>
        <v>1</v>
      </c>
      <c r="O351" s="5">
        <f t="shared" si="42"/>
        <v>0</v>
      </c>
      <c r="P351" s="5">
        <f t="shared" si="43"/>
        <v>0</v>
      </c>
      <c r="Q351" s="5">
        <f t="shared" si="44"/>
        <v>2</v>
      </c>
      <c r="R351" s="8">
        <f t="shared" si="45"/>
        <v>0</v>
      </c>
      <c r="S351" s="8">
        <f t="shared" si="46"/>
        <v>0</v>
      </c>
      <c r="T351" s="3" t="e">
        <f t="shared" si="47"/>
        <v>#VALUE!</v>
      </c>
      <c r="V351" s="1" t="e">
        <f t="shared" si="48"/>
        <v>#VALUE!</v>
      </c>
    </row>
    <row r="352" spans="8:22" x14ac:dyDescent="0.3">
      <c r="H352" s="2" t="str">
        <f>IF(Planilha1!B349="","",Planilha1!B349)</f>
        <v>9:00p</v>
      </c>
      <c r="I352" s="2" t="str">
        <f>IF(Planilha1!C349="","",Planilha1!C349)</f>
        <v>Brooklyn Nets</v>
      </c>
      <c r="J352" s="2">
        <f>IF(Planilha1!D349="","",Planilha1!D349)</f>
        <v>116</v>
      </c>
      <c r="K352" s="10" t="str">
        <f>IF(Planilha1!E349="","",IF(Planilha1!E349=0,"",Planilha1!E349))</f>
        <v>Phoenix Suns</v>
      </c>
      <c r="L352" s="10">
        <f>IF(Planilha1!F349="","",Planilha1!F349)</f>
        <v>112</v>
      </c>
      <c r="M352" s="10">
        <f>IF(Planilha1!G349="","",IF(Planilha1!G349=0,"",Planilha1!G349))</f>
        <v>112</v>
      </c>
      <c r="N352" s="5">
        <f t="shared" si="41"/>
        <v>1</v>
      </c>
      <c r="O352" s="5">
        <f t="shared" si="42"/>
        <v>0</v>
      </c>
      <c r="P352" s="5">
        <f t="shared" si="43"/>
        <v>0</v>
      </c>
      <c r="Q352" s="5">
        <f t="shared" si="44"/>
        <v>2</v>
      </c>
      <c r="R352" s="8">
        <f t="shared" si="45"/>
        <v>0</v>
      </c>
      <c r="S352" s="8">
        <f t="shared" si="46"/>
        <v>0</v>
      </c>
      <c r="T352" s="3" t="e">
        <f t="shared" si="47"/>
        <v>#VALUE!</v>
      </c>
      <c r="V352" s="1" t="e">
        <f t="shared" si="48"/>
        <v>#VALUE!</v>
      </c>
    </row>
    <row r="353" spans="8:22" x14ac:dyDescent="0.3">
      <c r="H353" s="2" t="str">
        <f>IF(Planilha1!B350="","",Planilha1!B350)</f>
        <v>9:00p</v>
      </c>
      <c r="I353" s="2" t="str">
        <f>IF(Planilha1!C350="","",Planilha1!C350)</f>
        <v>New York Knicks</v>
      </c>
      <c r="J353" s="2">
        <f>IF(Planilha1!D350="","",Planilha1!D350)</f>
        <v>113</v>
      </c>
      <c r="K353" s="10" t="str">
        <f>IF(Planilha1!E350="","",IF(Planilha1!E350=0,"",Planilha1!E350))</f>
        <v>Utah Jazz</v>
      </c>
      <c r="L353" s="10">
        <f>IF(Planilha1!F350="","",Planilha1!F350)</f>
        <v>117</v>
      </c>
      <c r="M353" s="10">
        <f>IF(Planilha1!G350="","",IF(Planilha1!G350=0,"",Planilha1!G350))</f>
        <v>117</v>
      </c>
      <c r="N353" s="5">
        <f t="shared" si="41"/>
        <v>1</v>
      </c>
      <c r="O353" s="5">
        <f t="shared" si="42"/>
        <v>0</v>
      </c>
      <c r="P353" s="5">
        <f t="shared" si="43"/>
        <v>0</v>
      </c>
      <c r="Q353" s="5">
        <f t="shared" si="44"/>
        <v>2</v>
      </c>
      <c r="R353" s="8">
        <f t="shared" si="45"/>
        <v>0</v>
      </c>
      <c r="S353" s="8">
        <f t="shared" si="46"/>
        <v>0</v>
      </c>
      <c r="T353" s="3" t="e">
        <f t="shared" si="47"/>
        <v>#VALUE!</v>
      </c>
      <c r="V353" s="1" t="e">
        <f t="shared" si="48"/>
        <v>#VALUE!</v>
      </c>
    </row>
    <row r="354" spans="8:22" x14ac:dyDescent="0.3">
      <c r="H354" s="2" t="str">
        <f>IF(Planilha1!B351="","",Planilha1!B351)</f>
        <v>7:30p</v>
      </c>
      <c r="I354" s="2" t="str">
        <f>IF(Planilha1!C351="","",Planilha1!C351)</f>
        <v>Cleveland Cavaliers</v>
      </c>
      <c r="J354" s="2">
        <f>IF(Planilha1!D351="","",Planilha1!D351)</f>
        <v>107</v>
      </c>
      <c r="K354" s="10" t="str">
        <f>IF(Planilha1!E351="","",IF(Planilha1!E351=0,"",Planilha1!E351))</f>
        <v>Boston Celtics</v>
      </c>
      <c r="L354" s="10">
        <f>IF(Planilha1!F351="","",Planilha1!F351)</f>
        <v>116</v>
      </c>
      <c r="M354" s="10">
        <f>IF(Planilha1!G351="","",IF(Planilha1!G351=0,"",Planilha1!G351))</f>
        <v>116</v>
      </c>
      <c r="N354" s="5">
        <f t="shared" si="41"/>
        <v>1</v>
      </c>
      <c r="O354" s="5">
        <f t="shared" si="42"/>
        <v>0</v>
      </c>
      <c r="P354" s="5">
        <f t="shared" si="43"/>
        <v>0</v>
      </c>
      <c r="Q354" s="5">
        <f t="shared" si="44"/>
        <v>2</v>
      </c>
      <c r="R354" s="8">
        <f t="shared" si="45"/>
        <v>0</v>
      </c>
      <c r="S354" s="8">
        <f t="shared" si="46"/>
        <v>0</v>
      </c>
      <c r="T354" s="3" t="e">
        <f t="shared" si="47"/>
        <v>#VALUE!</v>
      </c>
      <c r="V354" s="1" t="e">
        <f t="shared" si="48"/>
        <v>#VALUE!</v>
      </c>
    </row>
    <row r="355" spans="8:22" x14ac:dyDescent="0.3">
      <c r="H355" s="2" t="str">
        <f>IF(Planilha1!B352="","",Planilha1!B352)</f>
        <v>7:30p</v>
      </c>
      <c r="I355" s="2" t="str">
        <f>IF(Planilha1!C352="","",Planilha1!C352)</f>
        <v>Chicago Bulls</v>
      </c>
      <c r="J355" s="2">
        <f>IF(Planilha1!D352="","",Planilha1!D352)</f>
        <v>124</v>
      </c>
      <c r="K355" s="10" t="str">
        <f>IF(Planilha1!E352="","",IF(Planilha1!E352=0,"",Planilha1!E352))</f>
        <v>Miami Heat</v>
      </c>
      <c r="L355" s="10">
        <f>IF(Planilha1!F352="","",Planilha1!F352)</f>
        <v>116</v>
      </c>
      <c r="M355" s="10">
        <f>IF(Planilha1!G352="","",IF(Planilha1!G352=0,"",Planilha1!G352))</f>
        <v>116</v>
      </c>
      <c r="N355" s="5">
        <f t="shared" si="41"/>
        <v>1</v>
      </c>
      <c r="O355" s="5">
        <f t="shared" si="42"/>
        <v>0</v>
      </c>
      <c r="P355" s="5">
        <f t="shared" si="43"/>
        <v>0</v>
      </c>
      <c r="Q355" s="5">
        <f t="shared" si="44"/>
        <v>2</v>
      </c>
      <c r="R355" s="8">
        <f t="shared" si="45"/>
        <v>0</v>
      </c>
      <c r="S355" s="8">
        <f t="shared" si="46"/>
        <v>0</v>
      </c>
      <c r="T355" s="3" t="e">
        <f t="shared" si="47"/>
        <v>#VALUE!</v>
      </c>
      <c r="V355" s="1" t="e">
        <f t="shared" si="48"/>
        <v>#VALUE!</v>
      </c>
    </row>
    <row r="356" spans="8:22" x14ac:dyDescent="0.3">
      <c r="H356" s="2" t="str">
        <f>IF(Planilha1!B353="","",Planilha1!B353)</f>
        <v>8:30p</v>
      </c>
      <c r="I356" s="2" t="str">
        <f>IF(Planilha1!C353="","",Planilha1!C353)</f>
        <v>Minnesota Timberwolves</v>
      </c>
      <c r="J356" s="2">
        <f>IF(Planilha1!D353="","",Planilha1!D353)</f>
        <v>119</v>
      </c>
      <c r="K356" s="10" t="str">
        <f>IF(Planilha1!E353="","",IF(Planilha1!E353=0,"",Planilha1!E353))</f>
        <v>Dallas Mavericks</v>
      </c>
      <c r="L356" s="10">
        <f>IF(Planilha1!F353="","",Planilha1!F353)</f>
        <v>101</v>
      </c>
      <c r="M356" s="10">
        <f>IF(Planilha1!G353="","",IF(Planilha1!G353=0,"",Planilha1!G353))</f>
        <v>101</v>
      </c>
      <c r="N356" s="5">
        <f t="shared" si="41"/>
        <v>1</v>
      </c>
      <c r="O356" s="5">
        <f t="shared" si="42"/>
        <v>0</v>
      </c>
      <c r="P356" s="5">
        <f t="shared" si="43"/>
        <v>0</v>
      </c>
      <c r="Q356" s="5">
        <f t="shared" si="44"/>
        <v>2</v>
      </c>
      <c r="R356" s="8">
        <f t="shared" si="45"/>
        <v>0</v>
      </c>
      <c r="S356" s="8">
        <f t="shared" si="46"/>
        <v>0</v>
      </c>
      <c r="T356" s="3" t="e">
        <f t="shared" si="47"/>
        <v>#VALUE!</v>
      </c>
      <c r="V356" s="1" t="e">
        <f t="shared" si="48"/>
        <v>#VALUE!</v>
      </c>
    </row>
    <row r="357" spans="8:22" x14ac:dyDescent="0.3">
      <c r="H357" s="2" t="str">
        <f>IF(Planilha1!B354="","",Planilha1!B354)</f>
        <v>9:00p</v>
      </c>
      <c r="I357" s="2" t="str">
        <f>IF(Planilha1!C354="","",Planilha1!C354)</f>
        <v>Brooklyn Nets</v>
      </c>
      <c r="J357" s="2">
        <f>IF(Planilha1!D354="","",Planilha1!D354)</f>
        <v>101</v>
      </c>
      <c r="K357" s="10" t="str">
        <f>IF(Planilha1!E354="","",IF(Planilha1!E354=0,"",Planilha1!E354))</f>
        <v>Denver Nuggets</v>
      </c>
      <c r="L357" s="10">
        <f>IF(Planilha1!F354="","",Planilha1!F354)</f>
        <v>124</v>
      </c>
      <c r="M357" s="10">
        <f>IF(Planilha1!G354="","",IF(Planilha1!G354=0,"",Planilha1!G354))</f>
        <v>124</v>
      </c>
      <c r="N357" s="5">
        <f t="shared" si="41"/>
        <v>1</v>
      </c>
      <c r="O357" s="5">
        <f t="shared" si="42"/>
        <v>0</v>
      </c>
      <c r="P357" s="5">
        <f t="shared" si="43"/>
        <v>0</v>
      </c>
      <c r="Q357" s="5">
        <f t="shared" si="44"/>
        <v>2</v>
      </c>
      <c r="R357" s="8">
        <f t="shared" si="45"/>
        <v>0</v>
      </c>
      <c r="S357" s="8">
        <f t="shared" si="46"/>
        <v>0</v>
      </c>
      <c r="T357" s="3" t="e">
        <f t="shared" si="47"/>
        <v>#VALUE!</v>
      </c>
      <c r="V357" s="1" t="e">
        <f t="shared" si="48"/>
        <v>#VALUE!</v>
      </c>
    </row>
    <row r="358" spans="8:22" x14ac:dyDescent="0.3">
      <c r="H358" s="2" t="str">
        <f>IF(Planilha1!B355="","",Planilha1!B355)</f>
        <v>10:00p</v>
      </c>
      <c r="I358" s="2" t="str">
        <f>IF(Planilha1!C355="","",Planilha1!C355)</f>
        <v>Utah Jazz</v>
      </c>
      <c r="J358" s="2">
        <f>IF(Planilha1!D355="","",Planilha1!D355)</f>
        <v>122</v>
      </c>
      <c r="K358" s="10" t="str">
        <f>IF(Planilha1!E355="","",IF(Planilha1!E355=0,"",Planilha1!E355))</f>
        <v>Portland Trail Blazers</v>
      </c>
      <c r="L358" s="10">
        <f>IF(Planilha1!F355="","",Planilha1!F355)</f>
        <v>114</v>
      </c>
      <c r="M358" s="10">
        <f>IF(Planilha1!G355="","",IF(Planilha1!G355=0,"",Planilha1!G355))</f>
        <v>114</v>
      </c>
      <c r="N358" s="5">
        <f t="shared" si="41"/>
        <v>1</v>
      </c>
      <c r="O358" s="5">
        <f t="shared" si="42"/>
        <v>0</v>
      </c>
      <c r="P358" s="5">
        <f t="shared" si="43"/>
        <v>0</v>
      </c>
      <c r="Q358" s="5">
        <f t="shared" si="44"/>
        <v>2</v>
      </c>
      <c r="R358" s="8">
        <f t="shared" si="45"/>
        <v>0</v>
      </c>
      <c r="S358" s="8">
        <f t="shared" si="46"/>
        <v>0</v>
      </c>
      <c r="T358" s="3" t="e">
        <f t="shared" si="47"/>
        <v>#VALUE!</v>
      </c>
      <c r="V358" s="1" t="e">
        <f t="shared" si="48"/>
        <v>#VALUE!</v>
      </c>
    </row>
    <row r="359" spans="8:22" x14ac:dyDescent="0.3">
      <c r="H359" s="2" t="str">
        <f>IF(Planilha1!B356="","",Planilha1!B356)</f>
        <v>10:00p</v>
      </c>
      <c r="I359" s="2" t="str">
        <f>IF(Planilha1!C356="","",Planilha1!C356)</f>
        <v>Oklahoma City Thunder</v>
      </c>
      <c r="J359" s="2">
        <f>IF(Planilha1!D356="","",Planilha1!D356)</f>
        <v>123</v>
      </c>
      <c r="K359" s="10" t="str">
        <f>IF(Planilha1!E356="","",IF(Planilha1!E356=0,"",Planilha1!E356))</f>
        <v>Sacramento Kings</v>
      </c>
      <c r="L359" s="10">
        <f>IF(Planilha1!F356="","",Planilha1!F356)</f>
        <v>128</v>
      </c>
      <c r="M359" s="10">
        <f>IF(Planilha1!G356="","",IF(Planilha1!G356=0,"",Planilha1!G356))</f>
        <v>128</v>
      </c>
      <c r="N359" s="5">
        <f t="shared" si="41"/>
        <v>1</v>
      </c>
      <c r="O359" s="5">
        <f t="shared" si="42"/>
        <v>0</v>
      </c>
      <c r="P359" s="5">
        <f t="shared" si="43"/>
        <v>0</v>
      </c>
      <c r="Q359" s="5">
        <f t="shared" si="44"/>
        <v>2</v>
      </c>
      <c r="R359" s="8">
        <f t="shared" si="45"/>
        <v>0</v>
      </c>
      <c r="S359" s="8">
        <f t="shared" si="46"/>
        <v>0</v>
      </c>
      <c r="T359" s="3" t="e">
        <f t="shared" si="47"/>
        <v>#VALUE!</v>
      </c>
      <c r="V359" s="1" t="e">
        <f t="shared" si="48"/>
        <v>#VALUE!</v>
      </c>
    </row>
    <row r="360" spans="8:22" x14ac:dyDescent="0.3">
      <c r="H360" s="2" t="str">
        <f>IF(Planilha1!B357="","",Planilha1!B357)</f>
        <v>10:30p</v>
      </c>
      <c r="I360" s="2" t="str">
        <f>IF(Planilha1!C357="","",Planilha1!C357)</f>
        <v>Golden State Warriors</v>
      </c>
      <c r="J360" s="2">
        <f>IF(Planilha1!D357="","",Planilha1!D357)</f>
        <v>113</v>
      </c>
      <c r="K360" s="10" t="str">
        <f>IF(Planilha1!E357="","",IF(Planilha1!E357=0,"",Planilha1!E357))</f>
        <v>Los Angeles Clippers</v>
      </c>
      <c r="L360" s="10">
        <f>IF(Planilha1!F357="","",Planilha1!F357)</f>
        <v>121</v>
      </c>
      <c r="M360" s="10">
        <f>IF(Planilha1!G357="","",IF(Planilha1!G357=0,"",Planilha1!G357))</f>
        <v>121</v>
      </c>
      <c r="N360" s="5">
        <f t="shared" si="41"/>
        <v>1</v>
      </c>
      <c r="O360" s="5">
        <f t="shared" si="42"/>
        <v>0</v>
      </c>
      <c r="P360" s="5">
        <f t="shared" si="43"/>
        <v>0</v>
      </c>
      <c r="Q360" s="5">
        <f t="shared" si="44"/>
        <v>2</v>
      </c>
      <c r="R360" s="8">
        <f t="shared" si="45"/>
        <v>0</v>
      </c>
      <c r="S360" s="8">
        <f t="shared" si="46"/>
        <v>0</v>
      </c>
      <c r="T360" s="3" t="e">
        <f t="shared" si="47"/>
        <v>#VALUE!</v>
      </c>
      <c r="V360" s="1" t="e">
        <f t="shared" si="48"/>
        <v>#VALUE!</v>
      </c>
    </row>
    <row r="361" spans="8:22" x14ac:dyDescent="0.3">
      <c r="H361" s="2" t="str">
        <f>IF(Planilha1!B358="","",Planilha1!B358)</f>
        <v>7:00p</v>
      </c>
      <c r="I361" s="2" t="str">
        <f>IF(Planilha1!C358="","",Planilha1!C358)</f>
        <v>New Orleans Pelicans</v>
      </c>
      <c r="J361" s="2">
        <f>IF(Planilha1!D358="","",Planilha1!D358)</f>
        <v>112</v>
      </c>
      <c r="K361" s="10" t="str">
        <f>IF(Planilha1!E358="","",IF(Planilha1!E358=0,"",Planilha1!E358))</f>
        <v>Charlotte Hornets</v>
      </c>
      <c r="L361" s="10">
        <f>IF(Planilha1!F358="","",Planilha1!F358)</f>
        <v>107</v>
      </c>
      <c r="M361" s="10">
        <f>IF(Planilha1!G358="","",IF(Planilha1!G358=0,"",Planilha1!G358))</f>
        <v>107</v>
      </c>
      <c r="N361" s="5">
        <f t="shared" si="41"/>
        <v>1</v>
      </c>
      <c r="O361" s="5">
        <f t="shared" si="42"/>
        <v>0</v>
      </c>
      <c r="P361" s="5">
        <f t="shared" si="43"/>
        <v>0</v>
      </c>
      <c r="Q361" s="5">
        <f t="shared" si="44"/>
        <v>2</v>
      </c>
      <c r="R361" s="8">
        <f t="shared" si="45"/>
        <v>0</v>
      </c>
      <c r="S361" s="8">
        <f t="shared" si="46"/>
        <v>0</v>
      </c>
      <c r="T361" s="3" t="e">
        <f t="shared" si="47"/>
        <v>#VALUE!</v>
      </c>
      <c r="V361" s="1" t="e">
        <f t="shared" si="48"/>
        <v>#VALUE!</v>
      </c>
    </row>
    <row r="362" spans="8:22" x14ac:dyDescent="0.3">
      <c r="H362" s="2" t="str">
        <f>IF(Planilha1!B359="","",Planilha1!B359)</f>
        <v>7:00p</v>
      </c>
      <c r="I362" s="2" t="str">
        <f>IF(Planilha1!C359="","",Planilha1!C359)</f>
        <v>Detroit Pistons</v>
      </c>
      <c r="J362" s="2">
        <f>IF(Planilha1!D359="","",Planilha1!D359)</f>
        <v>92</v>
      </c>
      <c r="K362" s="10" t="str">
        <f>IF(Planilha1!E359="","",IF(Planilha1!E359=0,"",Planilha1!E359))</f>
        <v>Philadelphia 76ers</v>
      </c>
      <c r="L362" s="10">
        <f>IF(Planilha1!F359="","",Planilha1!F359)</f>
        <v>124</v>
      </c>
      <c r="M362" s="10">
        <f>IF(Planilha1!G359="","",IF(Planilha1!G359=0,"",Planilha1!G359))</f>
        <v>124</v>
      </c>
      <c r="N362" s="5">
        <f t="shared" si="41"/>
        <v>1</v>
      </c>
      <c r="O362" s="5">
        <f t="shared" si="42"/>
        <v>0</v>
      </c>
      <c r="P362" s="5">
        <f t="shared" si="43"/>
        <v>0</v>
      </c>
      <c r="Q362" s="5">
        <f t="shared" si="44"/>
        <v>2</v>
      </c>
      <c r="R362" s="8">
        <f t="shared" si="45"/>
        <v>0</v>
      </c>
      <c r="S362" s="8">
        <f t="shared" si="46"/>
        <v>0</v>
      </c>
      <c r="T362" s="3" t="e">
        <f t="shared" si="47"/>
        <v>#VALUE!</v>
      </c>
      <c r="V362" s="1" t="e">
        <f t="shared" si="48"/>
        <v>#VALUE!</v>
      </c>
    </row>
    <row r="363" spans="8:22" x14ac:dyDescent="0.3">
      <c r="H363" s="2" t="str">
        <f>IF(Planilha1!B360="","",Planilha1!B360)</f>
        <v>7:00p</v>
      </c>
      <c r="I363" s="2" t="str">
        <f>IF(Planilha1!C360="","",Planilha1!C360)</f>
        <v>Indiana Pacers</v>
      </c>
      <c r="J363" s="2">
        <f>IF(Planilha1!D360="","",Planilha1!D360)</f>
        <v>123</v>
      </c>
      <c r="K363" s="10" t="str">
        <f>IF(Planilha1!E360="","",IF(Planilha1!E360=0,"",Planilha1!E360))</f>
        <v>Washington Wizards</v>
      </c>
      <c r="L363" s="10">
        <f>IF(Planilha1!F360="","",Planilha1!F360)</f>
        <v>137</v>
      </c>
      <c r="M363" s="10">
        <f>IF(Planilha1!G360="","",IF(Planilha1!G360=0,"",Planilha1!G360))</f>
        <v>137</v>
      </c>
      <c r="N363" s="5">
        <f t="shared" si="41"/>
        <v>1</v>
      </c>
      <c r="O363" s="5">
        <f t="shared" si="42"/>
        <v>0</v>
      </c>
      <c r="P363" s="5">
        <f t="shared" si="43"/>
        <v>0</v>
      </c>
      <c r="Q363" s="5">
        <f t="shared" si="44"/>
        <v>2</v>
      </c>
      <c r="R363" s="8">
        <f t="shared" si="45"/>
        <v>0</v>
      </c>
      <c r="S363" s="8">
        <f t="shared" si="46"/>
        <v>0</v>
      </c>
      <c r="T363" s="3" t="e">
        <f t="shared" si="47"/>
        <v>#VALUE!</v>
      </c>
      <c r="V363" s="1" t="e">
        <f t="shared" si="48"/>
        <v>#VALUE!</v>
      </c>
    </row>
    <row r="364" spans="8:22" x14ac:dyDescent="0.3">
      <c r="H364" s="2" t="str">
        <f>IF(Planilha1!B361="","",Planilha1!B361)</f>
        <v>7:30p</v>
      </c>
      <c r="I364" s="2" t="str">
        <f>IF(Planilha1!C361="","",Planilha1!C361)</f>
        <v>Orlando Magic</v>
      </c>
      <c r="J364" s="2">
        <f>IF(Planilha1!D361="","",Planilha1!D361)</f>
        <v>111</v>
      </c>
      <c r="K364" s="10" t="str">
        <f>IF(Planilha1!E361="","",IF(Planilha1!E361=0,"",Planilha1!E361))</f>
        <v>Boston Celtics</v>
      </c>
      <c r="L364" s="10">
        <f>IF(Planilha1!F361="","",Planilha1!F361)</f>
        <v>128</v>
      </c>
      <c r="M364" s="10">
        <f>IF(Planilha1!G361="","",IF(Planilha1!G361=0,"",Planilha1!G361))</f>
        <v>128</v>
      </c>
      <c r="N364" s="5">
        <f t="shared" si="41"/>
        <v>1</v>
      </c>
      <c r="O364" s="5">
        <f t="shared" si="42"/>
        <v>0</v>
      </c>
      <c r="P364" s="5">
        <f t="shared" si="43"/>
        <v>0</v>
      </c>
      <c r="Q364" s="5">
        <f t="shared" si="44"/>
        <v>2</v>
      </c>
      <c r="R364" s="8">
        <f t="shared" si="45"/>
        <v>0</v>
      </c>
      <c r="S364" s="8">
        <f t="shared" si="46"/>
        <v>0</v>
      </c>
      <c r="T364" s="3" t="e">
        <f t="shared" si="47"/>
        <v>#VALUE!</v>
      </c>
      <c r="V364" s="1" t="e">
        <f t="shared" si="48"/>
        <v>#VALUE!</v>
      </c>
    </row>
    <row r="365" spans="8:22" x14ac:dyDescent="0.3">
      <c r="H365" s="2" t="str">
        <f>IF(Planilha1!B362="","",Planilha1!B362)</f>
        <v>7:30p</v>
      </c>
      <c r="I365" s="2" t="str">
        <f>IF(Planilha1!C362="","",Planilha1!C362)</f>
        <v>Los Angeles Lakers</v>
      </c>
      <c r="J365" s="2">
        <f>IF(Planilha1!D362="","",Planilha1!D362)</f>
        <v>115</v>
      </c>
      <c r="K365" s="10" t="str">
        <f>IF(Planilha1!E362="","",IF(Planilha1!E362=0,"",Planilha1!E362))</f>
        <v>San Antonio Spurs</v>
      </c>
      <c r="L365" s="10">
        <f>IF(Planilha1!F362="","",Planilha1!F362)</f>
        <v>129</v>
      </c>
      <c r="M365" s="10">
        <f>IF(Planilha1!G362="","",IF(Planilha1!G362=0,"",Planilha1!G362))</f>
        <v>129</v>
      </c>
      <c r="N365" s="5">
        <f t="shared" si="41"/>
        <v>1</v>
      </c>
      <c r="O365" s="5">
        <f t="shared" si="42"/>
        <v>0</v>
      </c>
      <c r="P365" s="5">
        <f t="shared" si="43"/>
        <v>0</v>
      </c>
      <c r="Q365" s="5">
        <f t="shared" si="44"/>
        <v>2</v>
      </c>
      <c r="R365" s="8">
        <f t="shared" si="45"/>
        <v>0</v>
      </c>
      <c r="S365" s="8">
        <f t="shared" si="46"/>
        <v>0</v>
      </c>
      <c r="T365" s="3" t="e">
        <f t="shared" si="47"/>
        <v>#VALUE!</v>
      </c>
      <c r="V365" s="1" t="e">
        <f t="shared" si="48"/>
        <v>#VALUE!</v>
      </c>
    </row>
    <row r="366" spans="8:22" x14ac:dyDescent="0.3">
      <c r="H366" s="2" t="str">
        <f>IF(Planilha1!B363="","",Planilha1!B363)</f>
        <v>7:30p</v>
      </c>
      <c r="I366" s="2" t="str">
        <f>IF(Planilha1!C363="","",Planilha1!C363)</f>
        <v>Atlanta Hawks</v>
      </c>
      <c r="J366" s="2">
        <f>IF(Planilha1!D363="","",Planilha1!D363)</f>
        <v>125</v>
      </c>
      <c r="K366" s="10" t="str">
        <f>IF(Planilha1!E363="","",IF(Planilha1!E363=0,"",Planilha1!E363))</f>
        <v>Toronto Raptors</v>
      </c>
      <c r="L366" s="10">
        <f>IF(Planilha1!F363="","",Planilha1!F363)</f>
        <v>104</v>
      </c>
      <c r="M366" s="10">
        <f>IF(Planilha1!G363="","",IF(Planilha1!G363=0,"",Planilha1!G363))</f>
        <v>104</v>
      </c>
      <c r="N366" s="5">
        <f t="shared" si="41"/>
        <v>1</v>
      </c>
      <c r="O366" s="5">
        <f t="shared" si="42"/>
        <v>0</v>
      </c>
      <c r="P366" s="5">
        <f t="shared" si="43"/>
        <v>0</v>
      </c>
      <c r="Q366" s="5">
        <f t="shared" si="44"/>
        <v>2</v>
      </c>
      <c r="R366" s="8">
        <f t="shared" si="45"/>
        <v>0</v>
      </c>
      <c r="S366" s="8">
        <f t="shared" si="46"/>
        <v>0</v>
      </c>
      <c r="T366" s="3" t="e">
        <f t="shared" si="47"/>
        <v>#VALUE!</v>
      </c>
      <c r="V366" s="1" t="e">
        <f t="shared" si="48"/>
        <v>#VALUE!</v>
      </c>
    </row>
    <row r="367" spans="8:22" x14ac:dyDescent="0.3">
      <c r="H367" s="2" t="str">
        <f>IF(Planilha1!B364="","",Planilha1!B364)</f>
        <v>8:00p</v>
      </c>
      <c r="I367" s="2" t="str">
        <f>IF(Planilha1!C364="","",Planilha1!C364)</f>
        <v>Houston Rockets</v>
      </c>
      <c r="J367" s="2">
        <f>IF(Planilha1!D364="","",Planilha1!D364)</f>
        <v>103</v>
      </c>
      <c r="K367" s="10" t="str">
        <f>IF(Planilha1!E364="","",IF(Planilha1!E364=0,"",Planilha1!E364))</f>
        <v>Memphis Grizzlies</v>
      </c>
      <c r="L367" s="10">
        <f>IF(Planilha1!F364="","",Planilha1!F364)</f>
        <v>96</v>
      </c>
      <c r="M367" s="10">
        <f>IF(Planilha1!G364="","",IF(Planilha1!G364=0,"",Planilha1!G364))</f>
        <v>96</v>
      </c>
      <c r="N367" s="5">
        <f t="shared" si="41"/>
        <v>1</v>
      </c>
      <c r="O367" s="5">
        <f t="shared" si="42"/>
        <v>0</v>
      </c>
      <c r="P367" s="5">
        <f t="shared" si="43"/>
        <v>0</v>
      </c>
      <c r="Q367" s="5">
        <f t="shared" si="44"/>
        <v>2</v>
      </c>
      <c r="R367" s="8">
        <f t="shared" si="45"/>
        <v>0</v>
      </c>
      <c r="S367" s="8">
        <f t="shared" si="46"/>
        <v>0</v>
      </c>
      <c r="T367" s="3" t="e">
        <f t="shared" si="47"/>
        <v>#VALUE!</v>
      </c>
      <c r="V367" s="1" t="e">
        <f t="shared" si="48"/>
        <v>#VALUE!</v>
      </c>
    </row>
    <row r="368" spans="8:22" x14ac:dyDescent="0.3">
      <c r="H368" s="2" t="str">
        <f>IF(Planilha1!B365="","",Planilha1!B365)</f>
        <v>10:00p</v>
      </c>
      <c r="I368" s="2" t="str">
        <f>IF(Planilha1!C365="","",Planilha1!C365)</f>
        <v>New York Knicks</v>
      </c>
      <c r="J368" s="2">
        <f>IF(Planilha1!D365="","",Planilha1!D365)</f>
        <v>139</v>
      </c>
      <c r="K368" s="10" t="str">
        <f>IF(Planilha1!E365="","",IF(Planilha1!E365=0,"",Planilha1!E365))</f>
        <v>Phoenix Suns</v>
      </c>
      <c r="L368" s="10">
        <f>IF(Planilha1!F365="","",Planilha1!F365)</f>
        <v>122</v>
      </c>
      <c r="M368" s="10">
        <f>IF(Planilha1!G365="","",IF(Planilha1!G365=0,"",Planilha1!G365))</f>
        <v>122</v>
      </c>
      <c r="N368" s="5">
        <f t="shared" si="41"/>
        <v>1</v>
      </c>
      <c r="O368" s="5">
        <f t="shared" si="42"/>
        <v>0</v>
      </c>
      <c r="P368" s="5">
        <f t="shared" si="43"/>
        <v>0</v>
      </c>
      <c r="Q368" s="5">
        <f t="shared" si="44"/>
        <v>2</v>
      </c>
      <c r="R368" s="8">
        <f t="shared" si="45"/>
        <v>0</v>
      </c>
      <c r="S368" s="8">
        <f t="shared" si="46"/>
        <v>0</v>
      </c>
      <c r="T368" s="3" t="e">
        <f t="shared" si="47"/>
        <v>#VALUE!</v>
      </c>
      <c r="V368" s="1" t="e">
        <f t="shared" si="48"/>
        <v>#VALUE!</v>
      </c>
    </row>
    <row r="369" spans="8:22" x14ac:dyDescent="0.3">
      <c r="H369" s="2" t="str">
        <f>IF(Planilha1!B366="","",Planilha1!B366)</f>
        <v>6:00p</v>
      </c>
      <c r="I369" s="2" t="str">
        <f>IF(Planilha1!C366="","",Planilha1!C366)</f>
        <v>Detroit Pistons</v>
      </c>
      <c r="J369" s="2">
        <f>IF(Planilha1!D366="","",Planilha1!D366)</f>
        <v>114</v>
      </c>
      <c r="K369" s="10" t="str">
        <f>IF(Planilha1!E366="","",IF(Planilha1!E366=0,"",Planilha1!E366))</f>
        <v>Milwaukee Bucks</v>
      </c>
      <c r="L369" s="10">
        <f>IF(Planilha1!F366="","",Planilha1!F366)</f>
        <v>146</v>
      </c>
      <c r="M369" s="10">
        <f>IF(Planilha1!G366="","",IF(Planilha1!G366=0,"",Planilha1!G366))</f>
        <v>146</v>
      </c>
      <c r="N369" s="5">
        <f t="shared" si="41"/>
        <v>1</v>
      </c>
      <c r="O369" s="5">
        <f t="shared" si="42"/>
        <v>0</v>
      </c>
      <c r="P369" s="5">
        <f t="shared" si="43"/>
        <v>0</v>
      </c>
      <c r="Q369" s="5">
        <f t="shared" si="44"/>
        <v>2</v>
      </c>
      <c r="R369" s="8">
        <f t="shared" si="45"/>
        <v>0</v>
      </c>
      <c r="S369" s="8">
        <f t="shared" si="46"/>
        <v>0</v>
      </c>
      <c r="T369" s="3" t="e">
        <f t="shared" si="47"/>
        <v>#VALUE!</v>
      </c>
      <c r="V369" s="1" t="e">
        <f t="shared" si="48"/>
        <v>#VALUE!</v>
      </c>
    </row>
    <row r="370" spans="8:22" x14ac:dyDescent="0.3">
      <c r="H370" s="2" t="str">
        <f>IF(Planilha1!B367="","",Planilha1!B367)</f>
        <v>7:00p</v>
      </c>
      <c r="I370" s="2" t="str">
        <f>IF(Planilha1!C367="","",Planilha1!C367)</f>
        <v>Philadelphia 76ers</v>
      </c>
      <c r="J370" s="2">
        <f>IF(Planilha1!D367="","",Planilha1!D367)</f>
        <v>135</v>
      </c>
      <c r="K370" s="10" t="str">
        <f>IF(Planilha1!E367="","",IF(Planilha1!E367=0,"",Planilha1!E367))</f>
        <v>Charlotte Hornets</v>
      </c>
      <c r="L370" s="10">
        <f>IF(Planilha1!F367="","",Planilha1!F367)</f>
        <v>82</v>
      </c>
      <c r="M370" s="10">
        <f>IF(Planilha1!G367="","",IF(Planilha1!G367=0,"",Planilha1!G367))</f>
        <v>82</v>
      </c>
      <c r="N370" s="5">
        <f t="shared" si="41"/>
        <v>1</v>
      </c>
      <c r="O370" s="5">
        <f t="shared" si="42"/>
        <v>0</v>
      </c>
      <c r="P370" s="5">
        <f t="shared" si="43"/>
        <v>0</v>
      </c>
      <c r="Q370" s="5">
        <f t="shared" si="44"/>
        <v>2</v>
      </c>
      <c r="R370" s="8">
        <f t="shared" si="45"/>
        <v>0</v>
      </c>
      <c r="S370" s="8">
        <f t="shared" si="46"/>
        <v>0</v>
      </c>
      <c r="T370" s="3" t="e">
        <f t="shared" si="47"/>
        <v>#VALUE!</v>
      </c>
      <c r="V370" s="1" t="e">
        <f t="shared" si="48"/>
        <v>#VALUE!</v>
      </c>
    </row>
    <row r="371" spans="8:22" x14ac:dyDescent="0.3">
      <c r="H371" s="2" t="str">
        <f>IF(Planilha1!B368="","",Planilha1!B368)</f>
        <v>7:30p</v>
      </c>
      <c r="I371" s="2" t="str">
        <f>IF(Planilha1!C368="","",Planilha1!C368)</f>
        <v>Atlanta Hawks</v>
      </c>
      <c r="J371" s="2">
        <f>IF(Planilha1!D368="","",Planilha1!D368)</f>
        <v>119</v>
      </c>
      <c r="K371" s="10" t="str">
        <f>IF(Planilha1!E368="","",IF(Planilha1!E368=0,"",Planilha1!E368))</f>
        <v>Cleveland Cavaliers</v>
      </c>
      <c r="L371" s="10">
        <f>IF(Planilha1!F368="","",Planilha1!F368)</f>
        <v>127</v>
      </c>
      <c r="M371" s="10">
        <f>IF(Planilha1!G368="","",IF(Planilha1!G368=0,"",Planilha1!G368))</f>
        <v>127</v>
      </c>
      <c r="N371" s="5">
        <f t="shared" si="41"/>
        <v>1</v>
      </c>
      <c r="O371" s="5">
        <f t="shared" si="42"/>
        <v>0</v>
      </c>
      <c r="P371" s="5">
        <f t="shared" si="43"/>
        <v>0</v>
      </c>
      <c r="Q371" s="5">
        <f t="shared" si="44"/>
        <v>2</v>
      </c>
      <c r="R371" s="8">
        <f t="shared" si="45"/>
        <v>0</v>
      </c>
      <c r="S371" s="8">
        <f t="shared" si="46"/>
        <v>0</v>
      </c>
      <c r="T371" s="3" t="e">
        <f t="shared" si="47"/>
        <v>#VALUE!</v>
      </c>
      <c r="V371" s="1" t="e">
        <f t="shared" si="48"/>
        <v>#VALUE!</v>
      </c>
    </row>
    <row r="372" spans="8:22" x14ac:dyDescent="0.3">
      <c r="H372" s="2" t="str">
        <f>IF(Planilha1!B369="","",Planilha1!B369)</f>
        <v>8:00p</v>
      </c>
      <c r="I372" s="2" t="str">
        <f>IF(Planilha1!C369="","",Planilha1!C369)</f>
        <v>Chicago Bulls</v>
      </c>
      <c r="J372" s="2">
        <f>IF(Planilha1!D369="","",Planilha1!D369)</f>
        <v>116</v>
      </c>
      <c r="K372" s="10" t="str">
        <f>IF(Planilha1!E369="","",IF(Planilha1!E369=0,"",Planilha1!E369))</f>
        <v>Miami Heat</v>
      </c>
      <c r="L372" s="10">
        <f>IF(Planilha1!F369="","",Planilha1!F369)</f>
        <v>118</v>
      </c>
      <c r="M372" s="10">
        <f>IF(Planilha1!G369="","",IF(Planilha1!G369=0,"",Planilha1!G369))</f>
        <v>118</v>
      </c>
      <c r="N372" s="5">
        <f t="shared" si="41"/>
        <v>1</v>
      </c>
      <c r="O372" s="5">
        <f t="shared" si="42"/>
        <v>0</v>
      </c>
      <c r="P372" s="5">
        <f t="shared" si="43"/>
        <v>0</v>
      </c>
      <c r="Q372" s="5">
        <f t="shared" si="44"/>
        <v>2</v>
      </c>
      <c r="R372" s="8">
        <f t="shared" si="45"/>
        <v>0</v>
      </c>
      <c r="S372" s="8">
        <f t="shared" si="46"/>
        <v>0</v>
      </c>
      <c r="T372" s="3" t="e">
        <f t="shared" si="47"/>
        <v>#VALUE!</v>
      </c>
      <c r="V372" s="1" t="e">
        <f t="shared" si="48"/>
        <v>#VALUE!</v>
      </c>
    </row>
    <row r="373" spans="8:22" x14ac:dyDescent="0.3">
      <c r="H373" s="2" t="str">
        <f>IF(Planilha1!B370="","",Planilha1!B370)</f>
        <v>8:00p</v>
      </c>
      <c r="I373" s="2" t="str">
        <f>IF(Planilha1!C370="","",Planilha1!C370)</f>
        <v>Indiana Pacers</v>
      </c>
      <c r="J373" s="2">
        <f>IF(Planilha1!D370="","",Planilha1!D370)</f>
        <v>109</v>
      </c>
      <c r="K373" s="10" t="str">
        <f>IF(Planilha1!E370="","",IF(Planilha1!E370=0,"",Planilha1!E370))</f>
        <v>Minnesota Timberwolves</v>
      </c>
      <c r="L373" s="10">
        <f>IF(Planilha1!F370="","",Planilha1!F370)</f>
        <v>127</v>
      </c>
      <c r="M373" s="10">
        <f>IF(Planilha1!G370="","",IF(Planilha1!G370=0,"",Planilha1!G370))</f>
        <v>127</v>
      </c>
      <c r="N373" s="5">
        <f t="shared" si="41"/>
        <v>1</v>
      </c>
      <c r="O373" s="5">
        <f t="shared" si="42"/>
        <v>0</v>
      </c>
      <c r="P373" s="5">
        <f t="shared" si="43"/>
        <v>0</v>
      </c>
      <c r="Q373" s="5">
        <f t="shared" si="44"/>
        <v>2</v>
      </c>
      <c r="R373" s="8">
        <f t="shared" si="45"/>
        <v>0</v>
      </c>
      <c r="S373" s="8">
        <f t="shared" si="46"/>
        <v>0</v>
      </c>
      <c r="T373" s="3" t="e">
        <f t="shared" si="47"/>
        <v>#VALUE!</v>
      </c>
      <c r="V373" s="1" t="e">
        <f t="shared" si="48"/>
        <v>#VALUE!</v>
      </c>
    </row>
    <row r="374" spans="8:22" x14ac:dyDescent="0.3">
      <c r="H374" s="2" t="str">
        <f>IF(Planilha1!B371="","",Planilha1!B371)</f>
        <v>8:30p</v>
      </c>
      <c r="I374" s="2" t="str">
        <f>IF(Planilha1!C371="","",Planilha1!C371)</f>
        <v>Brooklyn Nets</v>
      </c>
      <c r="J374" s="2">
        <f>IF(Planilha1!D371="","",Planilha1!D371)</f>
        <v>120</v>
      </c>
      <c r="K374" s="10" t="str">
        <f>IF(Planilha1!E371="","",IF(Planilha1!E371=0,"",Planilha1!E371))</f>
        <v>Golden State Warriors</v>
      </c>
      <c r="L374" s="10">
        <f>IF(Planilha1!F371="","",Planilha1!F371)</f>
        <v>124</v>
      </c>
      <c r="M374" s="10">
        <f>IF(Planilha1!G371="","",IF(Planilha1!G371=0,"",Planilha1!G371))</f>
        <v>124</v>
      </c>
      <c r="N374" s="5">
        <f t="shared" si="41"/>
        <v>1</v>
      </c>
      <c r="O374" s="5">
        <f t="shared" si="42"/>
        <v>0</v>
      </c>
      <c r="P374" s="5">
        <f t="shared" si="43"/>
        <v>0</v>
      </c>
      <c r="Q374" s="5">
        <f t="shared" si="44"/>
        <v>2</v>
      </c>
      <c r="R374" s="8">
        <f t="shared" si="45"/>
        <v>0</v>
      </c>
      <c r="S374" s="8">
        <f t="shared" si="46"/>
        <v>0</v>
      </c>
      <c r="T374" s="3" t="e">
        <f t="shared" si="47"/>
        <v>#VALUE!</v>
      </c>
      <c r="V374" s="1" t="e">
        <f t="shared" si="48"/>
        <v>#VALUE!</v>
      </c>
    </row>
    <row r="375" spans="8:22" x14ac:dyDescent="0.3">
      <c r="H375" s="2" t="str">
        <f>IF(Planilha1!B372="","",Planilha1!B372)</f>
        <v>9:00p</v>
      </c>
      <c r="I375" s="2" t="str">
        <f>IF(Planilha1!C372="","",Planilha1!C372)</f>
        <v>Oklahoma City Thunder</v>
      </c>
      <c r="J375" s="2">
        <f>IF(Planilha1!D372="","",Planilha1!D372)</f>
        <v>118</v>
      </c>
      <c r="K375" s="10" t="str">
        <f>IF(Planilha1!E372="","",IF(Planilha1!E372=0,"",Planilha1!E372))</f>
        <v>Denver Nuggets</v>
      </c>
      <c r="L375" s="10">
        <f>IF(Planilha1!F372="","",Planilha1!F372)</f>
        <v>117</v>
      </c>
      <c r="M375" s="10">
        <f>IF(Planilha1!G372="","",IF(Planilha1!G372=0,"",Planilha1!G372))</f>
        <v>117</v>
      </c>
      <c r="N375" s="5">
        <f t="shared" si="41"/>
        <v>1</v>
      </c>
      <c r="O375" s="5">
        <f t="shared" si="42"/>
        <v>0</v>
      </c>
      <c r="P375" s="5">
        <f t="shared" si="43"/>
        <v>0</v>
      </c>
      <c r="Q375" s="5">
        <f t="shared" si="44"/>
        <v>2</v>
      </c>
      <c r="R375" s="8">
        <f t="shared" si="45"/>
        <v>0</v>
      </c>
      <c r="S375" s="8">
        <f t="shared" si="46"/>
        <v>0</v>
      </c>
      <c r="T375" s="3" t="e">
        <f t="shared" si="47"/>
        <v>#VALUE!</v>
      </c>
      <c r="V375" s="1" t="e">
        <f t="shared" si="48"/>
        <v>#VALUE!</v>
      </c>
    </row>
    <row r="376" spans="8:22" x14ac:dyDescent="0.3">
      <c r="H376" s="2" t="str">
        <f>IF(Planilha1!B373="","",Planilha1!B373)</f>
        <v>9:00p</v>
      </c>
      <c r="I376" s="2" t="str">
        <f>IF(Planilha1!C373="","",Planilha1!C373)</f>
        <v>Dallas Mavericks</v>
      </c>
      <c r="J376" s="2">
        <f>IF(Planilha1!D373="","",Planilha1!D373)</f>
        <v>131</v>
      </c>
      <c r="K376" s="10" t="str">
        <f>IF(Planilha1!E373="","",IF(Planilha1!E373=0,"",Planilha1!E373))</f>
        <v>Portland Trail Blazers</v>
      </c>
      <c r="L376" s="10">
        <f>IF(Planilha1!F373="","",Planilha1!F373)</f>
        <v>120</v>
      </c>
      <c r="M376" s="10">
        <f>IF(Planilha1!G373="","",IF(Planilha1!G373=0,"",Planilha1!G373))</f>
        <v>120</v>
      </c>
      <c r="N376" s="5">
        <f t="shared" si="41"/>
        <v>1</v>
      </c>
      <c r="O376" s="5">
        <f t="shared" si="42"/>
        <v>0</v>
      </c>
      <c r="P376" s="5">
        <f t="shared" si="43"/>
        <v>0</v>
      </c>
      <c r="Q376" s="5">
        <f t="shared" si="44"/>
        <v>2</v>
      </c>
      <c r="R376" s="8">
        <f t="shared" si="45"/>
        <v>0</v>
      </c>
      <c r="S376" s="8">
        <f t="shared" si="46"/>
        <v>0</v>
      </c>
      <c r="T376" s="3" t="e">
        <f t="shared" si="47"/>
        <v>#VALUE!</v>
      </c>
      <c r="V376" s="1" t="e">
        <f t="shared" si="48"/>
        <v>#VALUE!</v>
      </c>
    </row>
    <row r="377" spans="8:22" x14ac:dyDescent="0.3">
      <c r="H377" s="2" t="str">
        <f>IF(Planilha1!B374="","",Planilha1!B374)</f>
        <v>10:00p</v>
      </c>
      <c r="I377" s="2" t="str">
        <f>IF(Planilha1!C374="","",Planilha1!C374)</f>
        <v>Utah Jazz</v>
      </c>
      <c r="J377" s="2">
        <f>IF(Planilha1!D374="","",Planilha1!D374)</f>
        <v>104</v>
      </c>
      <c r="K377" s="10" t="str">
        <f>IF(Planilha1!E374="","",IF(Planilha1!E374=0,"",Planilha1!E374))</f>
        <v>Sacramento Kings</v>
      </c>
      <c r="L377" s="10">
        <f>IF(Planilha1!F374="","",Planilha1!F374)</f>
        <v>125</v>
      </c>
      <c r="M377" s="10">
        <f>IF(Planilha1!G374="","",IF(Planilha1!G374=0,"",Planilha1!G374))</f>
        <v>125</v>
      </c>
      <c r="N377" s="5">
        <f t="shared" si="41"/>
        <v>1</v>
      </c>
      <c r="O377" s="5">
        <f t="shared" si="42"/>
        <v>0</v>
      </c>
      <c r="P377" s="5">
        <f t="shared" si="43"/>
        <v>0</v>
      </c>
      <c r="Q377" s="5">
        <f t="shared" si="44"/>
        <v>2</v>
      </c>
      <c r="R377" s="8">
        <f t="shared" si="45"/>
        <v>0</v>
      </c>
      <c r="S377" s="8">
        <f t="shared" si="46"/>
        <v>0</v>
      </c>
      <c r="T377" s="3" t="e">
        <f t="shared" si="47"/>
        <v>#VALUE!</v>
      </c>
      <c r="V377" s="1" t="e">
        <f t="shared" si="48"/>
        <v>#VALUE!</v>
      </c>
    </row>
    <row r="378" spans="8:22" x14ac:dyDescent="0.3">
      <c r="H378" s="2" t="str">
        <f>IF(Planilha1!B375="","",Planilha1!B375)</f>
        <v>10:30p</v>
      </c>
      <c r="I378" s="2" t="str">
        <f>IF(Planilha1!C375="","",Planilha1!C375)</f>
        <v>New York Knicks</v>
      </c>
      <c r="J378" s="2">
        <f>IF(Planilha1!D375="","",Planilha1!D375)</f>
        <v>122</v>
      </c>
      <c r="K378" s="10" t="str">
        <f>IF(Planilha1!E375="","",IF(Planilha1!E375=0,"",Planilha1!E375))</f>
        <v>Los Angeles Clippers</v>
      </c>
      <c r="L378" s="10">
        <f>IF(Planilha1!F375="","",Planilha1!F375)</f>
        <v>144</v>
      </c>
      <c r="M378" s="10">
        <f>IF(Planilha1!G375="","",IF(Planilha1!G375=0,"",Planilha1!G375))</f>
        <v>144</v>
      </c>
      <c r="N378" s="5">
        <f t="shared" si="41"/>
        <v>1</v>
      </c>
      <c r="O378" s="5">
        <f t="shared" si="42"/>
        <v>0</v>
      </c>
      <c r="P378" s="5">
        <f t="shared" si="43"/>
        <v>0</v>
      </c>
      <c r="Q378" s="5">
        <f t="shared" si="44"/>
        <v>2</v>
      </c>
      <c r="R378" s="8">
        <f t="shared" si="45"/>
        <v>0</v>
      </c>
      <c r="S378" s="8">
        <f t="shared" si="46"/>
        <v>0</v>
      </c>
      <c r="T378" s="3" t="e">
        <f t="shared" si="47"/>
        <v>#VALUE!</v>
      </c>
      <c r="V378" s="1" t="e">
        <f t="shared" si="48"/>
        <v>#VALUE!</v>
      </c>
    </row>
    <row r="379" spans="8:22" x14ac:dyDescent="0.3">
      <c r="H379" s="2" t="str">
        <f>IF(Planilha1!B376="","",Planilha1!B376)</f>
        <v>3:00p</v>
      </c>
      <c r="I379" s="2" t="str">
        <f>IF(Planilha1!C376="","",Planilha1!C376)</f>
        <v>Orlando Magic</v>
      </c>
      <c r="J379" s="2">
        <f>IF(Planilha1!D376="","",Planilha1!D376)</f>
        <v>97</v>
      </c>
      <c r="K379" s="10" t="str">
        <f>IF(Planilha1!E376="","",IF(Planilha1!E376=0,"",Planilha1!E376))</f>
        <v>Boston Celtics</v>
      </c>
      <c r="L379" s="10">
        <f>IF(Planilha1!F376="","",Planilha1!F376)</f>
        <v>114</v>
      </c>
      <c r="M379" s="10">
        <f>IF(Planilha1!G376="","",IF(Planilha1!G376=0,"",Planilha1!G376))</f>
        <v>114</v>
      </c>
      <c r="N379" s="5">
        <f t="shared" si="41"/>
        <v>1</v>
      </c>
      <c r="O379" s="5">
        <f t="shared" si="42"/>
        <v>0</v>
      </c>
      <c r="P379" s="5">
        <f t="shared" si="43"/>
        <v>0</v>
      </c>
      <c r="Q379" s="5">
        <f t="shared" si="44"/>
        <v>2</v>
      </c>
      <c r="R379" s="8">
        <f t="shared" si="45"/>
        <v>0</v>
      </c>
      <c r="S379" s="8">
        <f t="shared" si="46"/>
        <v>0</v>
      </c>
      <c r="T379" s="3" t="e">
        <f t="shared" si="47"/>
        <v>#VALUE!</v>
      </c>
      <c r="V379" s="1" t="e">
        <f t="shared" si="48"/>
        <v>#VALUE!</v>
      </c>
    </row>
    <row r="380" spans="8:22" x14ac:dyDescent="0.3">
      <c r="H380" s="2" t="str">
        <f>IF(Planilha1!B377="","",Planilha1!B377)</f>
        <v>3:30p</v>
      </c>
      <c r="I380" s="2" t="str">
        <f>IF(Planilha1!C377="","",Planilha1!C377)</f>
        <v>New Orleans Pelicans</v>
      </c>
      <c r="J380" s="2">
        <f>IF(Planilha1!D377="","",Planilha1!D377)</f>
        <v>146</v>
      </c>
      <c r="K380" s="10" t="str">
        <f>IF(Planilha1!E377="","",IF(Planilha1!E377=0,"",Planilha1!E377))</f>
        <v>San Antonio Spurs</v>
      </c>
      <c r="L380" s="10">
        <f>IF(Planilha1!F377="","",Planilha1!F377)</f>
        <v>110</v>
      </c>
      <c r="M380" s="10">
        <f>IF(Planilha1!G377="","",IF(Planilha1!G377=0,"",Planilha1!G377))</f>
        <v>110</v>
      </c>
      <c r="N380" s="5">
        <f t="shared" si="41"/>
        <v>1</v>
      </c>
      <c r="O380" s="5">
        <f t="shared" si="42"/>
        <v>0</v>
      </c>
      <c r="P380" s="5">
        <f t="shared" si="43"/>
        <v>0</v>
      </c>
      <c r="Q380" s="5">
        <f t="shared" si="44"/>
        <v>2</v>
      </c>
      <c r="R380" s="8">
        <f t="shared" si="45"/>
        <v>0</v>
      </c>
      <c r="S380" s="8">
        <f t="shared" si="46"/>
        <v>0</v>
      </c>
      <c r="T380" s="3" t="e">
        <f t="shared" si="47"/>
        <v>#VALUE!</v>
      </c>
      <c r="V380" s="1" t="e">
        <f t="shared" si="48"/>
        <v>#VALUE!</v>
      </c>
    </row>
    <row r="381" spans="8:22" x14ac:dyDescent="0.3">
      <c r="H381" s="2" t="str">
        <f>IF(Planilha1!B378="","",Planilha1!B378)</f>
        <v>7:00p</v>
      </c>
      <c r="I381" s="2" t="str">
        <f>IF(Planilha1!C378="","",Planilha1!C378)</f>
        <v>Houston Rockets</v>
      </c>
      <c r="J381" s="2">
        <f>IF(Planilha1!D378="","",Planilha1!D378)</f>
        <v>119</v>
      </c>
      <c r="K381" s="10" t="str">
        <f>IF(Planilha1!E378="","",IF(Planilha1!E378=0,"",Planilha1!E378))</f>
        <v>Milwaukee Bucks</v>
      </c>
      <c r="L381" s="10">
        <f>IF(Planilha1!F378="","",Planilha1!F378)</f>
        <v>128</v>
      </c>
      <c r="M381" s="10">
        <f>IF(Planilha1!G378="","",IF(Planilha1!G378=0,"",Planilha1!G378))</f>
        <v>128</v>
      </c>
      <c r="N381" s="5">
        <f t="shared" si="41"/>
        <v>1</v>
      </c>
      <c r="O381" s="5">
        <f t="shared" si="42"/>
        <v>0</v>
      </c>
      <c r="P381" s="5">
        <f t="shared" si="43"/>
        <v>0</v>
      </c>
      <c r="Q381" s="5">
        <f t="shared" si="44"/>
        <v>2</v>
      </c>
      <c r="R381" s="8">
        <f t="shared" si="45"/>
        <v>0</v>
      </c>
      <c r="S381" s="8">
        <f t="shared" si="46"/>
        <v>0</v>
      </c>
      <c r="T381" s="3" t="e">
        <f t="shared" si="47"/>
        <v>#VALUE!</v>
      </c>
      <c r="V381" s="1" t="e">
        <f t="shared" si="48"/>
        <v>#VALUE!</v>
      </c>
    </row>
    <row r="382" spans="8:22" x14ac:dyDescent="0.3">
      <c r="H382" s="2" t="str">
        <f>IF(Planilha1!B379="","",Planilha1!B379)</f>
        <v>8:00p</v>
      </c>
      <c r="I382" s="2" t="str">
        <f>IF(Planilha1!C379="","",Planilha1!C379)</f>
        <v>Washington Wizards</v>
      </c>
      <c r="J382" s="2">
        <f>IF(Planilha1!D379="","",Planilha1!D379)</f>
        <v>108</v>
      </c>
      <c r="K382" s="10" t="str">
        <f>IF(Planilha1!E379="","",IF(Planilha1!E379=0,"",Planilha1!E379))</f>
        <v>Phoenix Suns</v>
      </c>
      <c r="L382" s="10">
        <f>IF(Planilha1!F379="","",Planilha1!F379)</f>
        <v>112</v>
      </c>
      <c r="M382" s="10">
        <f>IF(Planilha1!G379="","",IF(Planilha1!G379=0,"",Planilha1!G379))</f>
        <v>112</v>
      </c>
      <c r="N382" s="5">
        <f t="shared" si="41"/>
        <v>1</v>
      </c>
      <c r="O382" s="5">
        <f t="shared" si="42"/>
        <v>0</v>
      </c>
      <c r="P382" s="5">
        <f t="shared" si="43"/>
        <v>0</v>
      </c>
      <c r="Q382" s="5">
        <f t="shared" si="44"/>
        <v>2</v>
      </c>
      <c r="R382" s="8">
        <f t="shared" si="45"/>
        <v>0</v>
      </c>
      <c r="S382" s="8">
        <f t="shared" si="46"/>
        <v>0</v>
      </c>
      <c r="T382" s="3" t="e">
        <f t="shared" si="47"/>
        <v>#VALUE!</v>
      </c>
      <c r="V382" s="1" t="e">
        <f t="shared" si="48"/>
        <v>#VALUE!</v>
      </c>
    </row>
    <row r="383" spans="8:22" x14ac:dyDescent="0.3">
      <c r="H383" s="2" t="str">
        <f>IF(Planilha1!B380="","",Planilha1!B380)</f>
        <v>9:00p</v>
      </c>
      <c r="I383" s="2" t="str">
        <f>IF(Planilha1!C380="","",Planilha1!C380)</f>
        <v>Golden State Warriors</v>
      </c>
      <c r="J383" s="2">
        <f>IF(Planilha1!D380="","",Planilha1!D380)</f>
        <v>118</v>
      </c>
      <c r="K383" s="10" t="str">
        <f>IF(Planilha1!E380="","",IF(Planilha1!E380=0,"",Planilha1!E380))</f>
        <v>Portland Trail Blazers</v>
      </c>
      <c r="L383" s="10">
        <f>IF(Planilha1!F380="","",Planilha1!F380)</f>
        <v>114</v>
      </c>
      <c r="M383" s="10">
        <f>IF(Planilha1!G380="","",IF(Planilha1!G380=0,"",Planilha1!G380))</f>
        <v>114</v>
      </c>
      <c r="N383" s="5">
        <f t="shared" si="41"/>
        <v>1</v>
      </c>
      <c r="O383" s="5">
        <f t="shared" si="42"/>
        <v>0</v>
      </c>
      <c r="P383" s="5">
        <f t="shared" si="43"/>
        <v>0</v>
      </c>
      <c r="Q383" s="5">
        <f t="shared" si="44"/>
        <v>2</v>
      </c>
      <c r="R383" s="8">
        <f t="shared" si="45"/>
        <v>0</v>
      </c>
      <c r="S383" s="8">
        <f t="shared" si="46"/>
        <v>0</v>
      </c>
      <c r="T383" s="3" t="e">
        <f t="shared" si="47"/>
        <v>#VALUE!</v>
      </c>
      <c r="V383" s="1" t="e">
        <f t="shared" si="48"/>
        <v>#VALUE!</v>
      </c>
    </row>
    <row r="384" spans="8:22" x14ac:dyDescent="0.3">
      <c r="H384" s="2" t="str">
        <f>IF(Planilha1!B381="","",Planilha1!B381)</f>
        <v>7:00p</v>
      </c>
      <c r="I384" s="2" t="str">
        <f>IF(Planilha1!C381="","",Planilha1!C381)</f>
        <v>Houston Rockets</v>
      </c>
      <c r="J384" s="2">
        <f>IF(Planilha1!D381="","",Planilha1!D381)</f>
        <v>130</v>
      </c>
      <c r="K384" s="10" t="str">
        <f>IF(Planilha1!E381="","",IF(Planilha1!E381=0,"",Planilha1!E381))</f>
        <v>Cleveland Cavaliers</v>
      </c>
      <c r="L384" s="10">
        <f>IF(Planilha1!F381="","",Planilha1!F381)</f>
        <v>135</v>
      </c>
      <c r="M384" s="10">
        <f>IF(Planilha1!G381="","",IF(Planilha1!G381=0,"",Planilha1!G381))</f>
        <v>135</v>
      </c>
      <c r="N384" s="5">
        <f t="shared" si="41"/>
        <v>1</v>
      </c>
      <c r="O384" s="5">
        <f t="shared" si="42"/>
        <v>0</v>
      </c>
      <c r="P384" s="5">
        <f t="shared" si="43"/>
        <v>0</v>
      </c>
      <c r="Q384" s="5">
        <f t="shared" si="44"/>
        <v>2</v>
      </c>
      <c r="R384" s="8">
        <f t="shared" si="45"/>
        <v>0</v>
      </c>
      <c r="S384" s="8">
        <f t="shared" si="46"/>
        <v>0</v>
      </c>
      <c r="T384" s="3" t="e">
        <f t="shared" si="47"/>
        <v>#VALUE!</v>
      </c>
      <c r="V384" s="1" t="e">
        <f t="shared" si="48"/>
        <v>#VALUE!</v>
      </c>
    </row>
    <row r="385" spans="8:22" x14ac:dyDescent="0.3">
      <c r="H385" s="2" t="str">
        <f>IF(Planilha1!B382="","",Planilha1!B382)</f>
        <v>7:00p</v>
      </c>
      <c r="I385" s="2" t="str">
        <f>IF(Planilha1!C382="","",Planilha1!C382)</f>
        <v>Los Angeles Clippers</v>
      </c>
      <c r="J385" s="2">
        <f>IF(Planilha1!D382="","",Planilha1!D382)</f>
        <v>151</v>
      </c>
      <c r="K385" s="10" t="str">
        <f>IF(Planilha1!E382="","",IF(Planilha1!E382=0,"",Planilha1!E382))</f>
        <v>Indiana Pacers</v>
      </c>
      <c r="L385" s="10">
        <f>IF(Planilha1!F382="","",Planilha1!F382)</f>
        <v>127</v>
      </c>
      <c r="M385" s="10">
        <f>IF(Planilha1!G382="","",IF(Planilha1!G382=0,"",Planilha1!G382))</f>
        <v>127</v>
      </c>
      <c r="N385" s="5">
        <f t="shared" si="41"/>
        <v>1</v>
      </c>
      <c r="O385" s="5">
        <f t="shared" si="42"/>
        <v>0</v>
      </c>
      <c r="P385" s="5">
        <f t="shared" si="43"/>
        <v>0</v>
      </c>
      <c r="Q385" s="5">
        <f t="shared" si="44"/>
        <v>2</v>
      </c>
      <c r="R385" s="8">
        <f t="shared" si="45"/>
        <v>0</v>
      </c>
      <c r="S385" s="8">
        <f t="shared" si="46"/>
        <v>0</v>
      </c>
      <c r="T385" s="3" t="e">
        <f t="shared" si="47"/>
        <v>#VALUE!</v>
      </c>
      <c r="V385" s="1" t="e">
        <f t="shared" si="48"/>
        <v>#VALUE!</v>
      </c>
    </row>
    <row r="386" spans="8:22" x14ac:dyDescent="0.3">
      <c r="H386" s="2" t="str">
        <f>IF(Planilha1!B383="","",Planilha1!B383)</f>
        <v>7:00p</v>
      </c>
      <c r="I386" s="2" t="str">
        <f>IF(Planilha1!C383="","",Planilha1!C383)</f>
        <v>Chicago Bulls</v>
      </c>
      <c r="J386" s="2">
        <f>IF(Planilha1!D383="","",Planilha1!D383)</f>
        <v>108</v>
      </c>
      <c r="K386" s="10" t="str">
        <f>IF(Planilha1!E383="","",IF(Planilha1!E383=0,"",Planilha1!E383))</f>
        <v>Philadelphia 76ers</v>
      </c>
      <c r="L386" s="10">
        <f>IF(Planilha1!F383="","",Planilha1!F383)</f>
        <v>104</v>
      </c>
      <c r="M386" s="10">
        <f>IF(Planilha1!G383="","",IF(Planilha1!G383=0,"",Planilha1!G383))</f>
        <v>104</v>
      </c>
      <c r="N386" s="5">
        <f t="shared" si="41"/>
        <v>1</v>
      </c>
      <c r="O386" s="5">
        <f t="shared" si="42"/>
        <v>0</v>
      </c>
      <c r="P386" s="5">
        <f t="shared" si="43"/>
        <v>0</v>
      </c>
      <c r="Q386" s="5">
        <f t="shared" si="44"/>
        <v>2</v>
      </c>
      <c r="R386" s="8">
        <f t="shared" si="45"/>
        <v>0</v>
      </c>
      <c r="S386" s="8">
        <f t="shared" si="46"/>
        <v>0</v>
      </c>
      <c r="T386" s="3" t="e">
        <f t="shared" si="47"/>
        <v>#VALUE!</v>
      </c>
      <c r="V386" s="1" t="e">
        <f t="shared" si="48"/>
        <v>#VALUE!</v>
      </c>
    </row>
    <row r="387" spans="8:22" x14ac:dyDescent="0.3">
      <c r="H387" s="2" t="str">
        <f>IF(Planilha1!B384="","",Planilha1!B384)</f>
        <v>7:30p</v>
      </c>
      <c r="I387" s="2" t="str">
        <f>IF(Planilha1!C384="","",Planilha1!C384)</f>
        <v>Detroit Pistons</v>
      </c>
      <c r="J387" s="2">
        <f>IF(Planilha1!D384="","",Planilha1!D384)</f>
        <v>124</v>
      </c>
      <c r="K387" s="10" t="str">
        <f>IF(Planilha1!E384="","",IF(Planilha1!E384=0,"",Planilha1!E384))</f>
        <v>Atlanta Hawks</v>
      </c>
      <c r="L387" s="10">
        <f>IF(Planilha1!F384="","",Planilha1!F384)</f>
        <v>130</v>
      </c>
      <c r="M387" s="10">
        <f>IF(Planilha1!G384="","",IF(Planilha1!G384=0,"",Planilha1!G384))</f>
        <v>130</v>
      </c>
      <c r="N387" s="5">
        <f t="shared" si="41"/>
        <v>1</v>
      </c>
      <c r="O387" s="5">
        <f t="shared" si="42"/>
        <v>0</v>
      </c>
      <c r="P387" s="5">
        <f t="shared" si="43"/>
        <v>0</v>
      </c>
      <c r="Q387" s="5">
        <f t="shared" si="44"/>
        <v>2</v>
      </c>
      <c r="R387" s="8">
        <f t="shared" si="45"/>
        <v>0</v>
      </c>
      <c r="S387" s="8">
        <f t="shared" si="46"/>
        <v>0</v>
      </c>
      <c r="T387" s="3" t="e">
        <f t="shared" si="47"/>
        <v>#VALUE!</v>
      </c>
      <c r="V387" s="1" t="e">
        <f t="shared" si="48"/>
        <v>#VALUE!</v>
      </c>
    </row>
    <row r="388" spans="8:22" x14ac:dyDescent="0.3">
      <c r="H388" s="2" t="str">
        <f>IF(Planilha1!B385="","",Planilha1!B385)</f>
        <v>7:30p</v>
      </c>
      <c r="I388" s="2" t="str">
        <f>IF(Planilha1!C385="","",Planilha1!C385)</f>
        <v>Minnesota Timberwolves</v>
      </c>
      <c r="J388" s="2">
        <f>IF(Planilha1!D385="","",Planilha1!D385)</f>
        <v>112</v>
      </c>
      <c r="K388" s="10" t="str">
        <f>IF(Planilha1!E385="","",IF(Planilha1!E385=0,"",Planilha1!E385))</f>
        <v>Miami Heat</v>
      </c>
      <c r="L388" s="10">
        <f>IF(Planilha1!F385="","",Planilha1!F385)</f>
        <v>108</v>
      </c>
      <c r="M388" s="10">
        <f>IF(Planilha1!G385="","",IF(Planilha1!G385=0,"",Planilha1!G385))</f>
        <v>108</v>
      </c>
      <c r="N388" s="5">
        <f t="shared" si="41"/>
        <v>1</v>
      </c>
      <c r="O388" s="5">
        <f t="shared" si="42"/>
        <v>0</v>
      </c>
      <c r="P388" s="5">
        <f t="shared" si="43"/>
        <v>0</v>
      </c>
      <c r="Q388" s="5">
        <f t="shared" si="44"/>
        <v>2</v>
      </c>
      <c r="R388" s="8">
        <f t="shared" si="45"/>
        <v>0</v>
      </c>
      <c r="S388" s="8">
        <f t="shared" si="46"/>
        <v>0</v>
      </c>
      <c r="T388" s="3" t="e">
        <f t="shared" si="47"/>
        <v>#VALUE!</v>
      </c>
      <c r="V388" s="1" t="e">
        <f t="shared" si="48"/>
        <v>#VALUE!</v>
      </c>
    </row>
    <row r="389" spans="8:22" x14ac:dyDescent="0.3">
      <c r="H389" s="2" t="str">
        <f>IF(Planilha1!B386="","",Planilha1!B386)</f>
        <v>7:30p</v>
      </c>
      <c r="I389" s="2" t="str">
        <f>IF(Planilha1!C386="","",Planilha1!C386)</f>
        <v>Charlotte Hornets</v>
      </c>
      <c r="J389" s="2">
        <f>IF(Planilha1!D386="","",Planilha1!D386)</f>
        <v>99</v>
      </c>
      <c r="K389" s="10" t="str">
        <f>IF(Planilha1!E386="","",IF(Planilha1!E386=0,"",Planilha1!E386))</f>
        <v>Toronto Raptors</v>
      </c>
      <c r="L389" s="10">
        <f>IF(Planilha1!F386="","",Planilha1!F386)</f>
        <v>114</v>
      </c>
      <c r="M389" s="10">
        <f>IF(Planilha1!G386="","",IF(Planilha1!G386=0,"",Planilha1!G386))</f>
        <v>114</v>
      </c>
      <c r="N389" s="5">
        <f t="shared" si="41"/>
        <v>1</v>
      </c>
      <c r="O389" s="5">
        <f t="shared" si="42"/>
        <v>0</v>
      </c>
      <c r="P389" s="5">
        <f t="shared" si="43"/>
        <v>0</v>
      </c>
      <c r="Q389" s="5">
        <f t="shared" si="44"/>
        <v>2</v>
      </c>
      <c r="R389" s="8">
        <f t="shared" si="45"/>
        <v>0</v>
      </c>
      <c r="S389" s="8">
        <f t="shared" si="46"/>
        <v>0</v>
      </c>
      <c r="T389" s="3" t="e">
        <f t="shared" si="47"/>
        <v>#VALUE!</v>
      </c>
      <c r="V389" s="1" t="e">
        <f t="shared" si="48"/>
        <v>#VALUE!</v>
      </c>
    </row>
    <row r="390" spans="8:22" x14ac:dyDescent="0.3">
      <c r="H390" s="2" t="str">
        <f>IF(Planilha1!B387="","",Planilha1!B387)</f>
        <v>8:00p</v>
      </c>
      <c r="I390" s="2" t="str">
        <f>IF(Planilha1!C387="","",Planilha1!C387)</f>
        <v>Memphis Grizzlies</v>
      </c>
      <c r="J390" s="2">
        <f>IF(Planilha1!D387="","",Planilha1!D387)</f>
        <v>97</v>
      </c>
      <c r="K390" s="10" t="str">
        <f>IF(Planilha1!E387="","",IF(Planilha1!E387=0,"",Planilha1!E387))</f>
        <v>Oklahoma City Thunder</v>
      </c>
      <c r="L390" s="10">
        <f>IF(Planilha1!F387="","",Planilha1!F387)</f>
        <v>116</v>
      </c>
      <c r="M390" s="10">
        <f>IF(Planilha1!G387="","",IF(Planilha1!G387=0,"",Planilha1!G387))</f>
        <v>116</v>
      </c>
      <c r="N390" s="5">
        <f t="shared" ref="N390:N453" si="49">IF(K390="","",IF(K390&gt;M390,100%,0%))</f>
        <v>1</v>
      </c>
      <c r="O390" s="5">
        <f t="shared" ref="O390:O453" si="50">IF(K390="","",IF(K390&lt;M390,100%,0%))</f>
        <v>0</v>
      </c>
      <c r="P390" s="5">
        <f t="shared" ref="P390:P453" si="51">IF(M390="",IF(R390&gt;S390,2,0),IF(K390&lt;M390,2,0))</f>
        <v>0</v>
      </c>
      <c r="Q390" s="5">
        <f t="shared" ref="Q390:Q453" si="52">IF(M390="",IF(R390&gt;S390,0,2),IF(K390&gt;M390,2,0))</f>
        <v>2</v>
      </c>
      <c r="R390" s="8">
        <f t="shared" ref="R390:R453" si="53">SUMIF($B:$B,J390,$C:$C)+(SUMIF($B:$B,L390,$F:$F))</f>
        <v>0</v>
      </c>
      <c r="S390" s="8">
        <f t="shared" ref="S390:S453" si="54">SUMIF($B:$B,L390,$E:$E)+(SUMIF($B:$B,J390,$D:$D))</f>
        <v>0</v>
      </c>
      <c r="T390" s="3" t="e">
        <f t="shared" ref="T390:T453" si="55">IF(M390="","",(K390-S390)^2+(M390-R390)^2)</f>
        <v>#VALUE!</v>
      </c>
      <c r="V390" s="1" t="e">
        <f t="shared" ref="V390:V453" si="56">IF(O390="","",1/((M390-K390)/(R390-S390)))</f>
        <v>#VALUE!</v>
      </c>
    </row>
    <row r="391" spans="8:22" x14ac:dyDescent="0.3">
      <c r="H391" s="2" t="str">
        <f>IF(Planilha1!B388="","",Planilha1!B388)</f>
        <v>9:00p</v>
      </c>
      <c r="I391" s="2" t="str">
        <f>IF(Planilha1!C388="","",Planilha1!C388)</f>
        <v>Dallas Mavericks</v>
      </c>
      <c r="J391" s="2">
        <f>IF(Planilha1!D388="","",Planilha1!D388)</f>
        <v>104</v>
      </c>
      <c r="K391" s="10" t="str">
        <f>IF(Planilha1!E388="","",IF(Planilha1!E388=0,"",Planilha1!E388))</f>
        <v>Denver Nuggets</v>
      </c>
      <c r="L391" s="10">
        <f>IF(Planilha1!F388="","",Planilha1!F388)</f>
        <v>130</v>
      </c>
      <c r="M391" s="10">
        <f>IF(Planilha1!G388="","",IF(Planilha1!G388=0,"",Planilha1!G388))</f>
        <v>130</v>
      </c>
      <c r="N391" s="5">
        <f t="shared" si="49"/>
        <v>1</v>
      </c>
      <c r="O391" s="5">
        <f t="shared" si="50"/>
        <v>0</v>
      </c>
      <c r="P391" s="5">
        <f t="shared" si="51"/>
        <v>0</v>
      </c>
      <c r="Q391" s="5">
        <f t="shared" si="52"/>
        <v>2</v>
      </c>
      <c r="R391" s="8">
        <f t="shared" si="53"/>
        <v>0</v>
      </c>
      <c r="S391" s="8">
        <f t="shared" si="54"/>
        <v>0</v>
      </c>
      <c r="T391" s="3" t="e">
        <f t="shared" si="55"/>
        <v>#VALUE!</v>
      </c>
      <c r="V391" s="1" t="e">
        <f t="shared" si="56"/>
        <v>#VALUE!</v>
      </c>
    </row>
    <row r="392" spans="8:22" ht="13.8" customHeight="1" x14ac:dyDescent="0.3">
      <c r="H392" s="2" t="str">
        <f>IF(Planilha1!B389="","",Planilha1!B389)</f>
        <v>9:00p</v>
      </c>
      <c r="I392" s="2" t="str">
        <f>IF(Planilha1!C389="","",Planilha1!C389)</f>
        <v>Brooklyn Nets</v>
      </c>
      <c r="J392" s="2">
        <f>IF(Planilha1!D389="","",Planilha1!D389)</f>
        <v>108</v>
      </c>
      <c r="K392" s="10" t="str">
        <f>IF(Planilha1!E389="","",IF(Planilha1!E389=0,"",Planilha1!E389))</f>
        <v>Utah Jazz</v>
      </c>
      <c r="L392" s="10">
        <f>IF(Planilha1!F389="","",Planilha1!F389)</f>
        <v>125</v>
      </c>
      <c r="M392" s="10">
        <f>IF(Planilha1!G389="","",IF(Planilha1!G389=0,"",Planilha1!G389))</f>
        <v>125</v>
      </c>
      <c r="N392" s="5">
        <f t="shared" si="49"/>
        <v>1</v>
      </c>
      <c r="O392" s="5">
        <f t="shared" si="50"/>
        <v>0</v>
      </c>
      <c r="P392" s="5">
        <f t="shared" si="51"/>
        <v>0</v>
      </c>
      <c r="Q392" s="5">
        <f t="shared" si="52"/>
        <v>2</v>
      </c>
      <c r="R392" s="8">
        <f t="shared" si="53"/>
        <v>0</v>
      </c>
      <c r="S392" s="8">
        <f t="shared" si="54"/>
        <v>0</v>
      </c>
      <c r="T392" s="3" t="e">
        <f t="shared" si="55"/>
        <v>#VALUE!</v>
      </c>
      <c r="V392" s="1" t="e">
        <f t="shared" si="56"/>
        <v>#VALUE!</v>
      </c>
    </row>
    <row r="393" spans="8:22" x14ac:dyDescent="0.3">
      <c r="H393" s="2" t="str">
        <f>IF(Planilha1!B390="","",Planilha1!B390)</f>
        <v>10:00p</v>
      </c>
      <c r="I393" s="2" t="str">
        <f>IF(Planilha1!C390="","",Planilha1!C390)</f>
        <v>Washington Wizards</v>
      </c>
      <c r="J393" s="2">
        <f>IF(Planilha1!D390="","",Planilha1!D390)</f>
        <v>131</v>
      </c>
      <c r="K393" s="10" t="str">
        <f>IF(Planilha1!E390="","",IF(Planilha1!E390=0,"",Planilha1!E390))</f>
        <v>Sacramento Kings</v>
      </c>
      <c r="L393" s="10">
        <f>IF(Planilha1!F390="","",Planilha1!F390)</f>
        <v>143</v>
      </c>
      <c r="M393" s="10">
        <f>IF(Planilha1!G390="","",IF(Planilha1!G390=0,"",Planilha1!G390))</f>
        <v>143</v>
      </c>
      <c r="N393" s="5">
        <f t="shared" si="49"/>
        <v>1</v>
      </c>
      <c r="O393" s="5">
        <f t="shared" si="50"/>
        <v>0</v>
      </c>
      <c r="P393" s="5">
        <f t="shared" si="51"/>
        <v>0</v>
      </c>
      <c r="Q393" s="5">
        <f t="shared" si="52"/>
        <v>2</v>
      </c>
      <c r="R393" s="8">
        <f t="shared" si="53"/>
        <v>0</v>
      </c>
      <c r="S393" s="8">
        <f t="shared" si="54"/>
        <v>0</v>
      </c>
      <c r="T393" s="3" t="e">
        <f t="shared" si="55"/>
        <v>#VALUE!</v>
      </c>
      <c r="V393" s="1" t="e">
        <f t="shared" si="56"/>
        <v>#VALUE!</v>
      </c>
    </row>
    <row r="394" spans="8:22" x14ac:dyDescent="0.3">
      <c r="H394" s="2" t="str">
        <f>IF(Planilha1!B391="","",Planilha1!B391)</f>
        <v>10:30p</v>
      </c>
      <c r="I394" s="2" t="str">
        <f>IF(Planilha1!C391="","",Planilha1!C391)</f>
        <v>New York Knicks</v>
      </c>
      <c r="J394" s="2">
        <f>IF(Planilha1!D391="","",Planilha1!D391)</f>
        <v>114</v>
      </c>
      <c r="K394" s="10" t="str">
        <f>IF(Planilha1!E391="","",IF(Planilha1!E391=0,"",Planilha1!E391))</f>
        <v>Los Angeles Lakers</v>
      </c>
      <c r="L394" s="10">
        <f>IF(Planilha1!F391="","",Planilha1!F391)</f>
        <v>109</v>
      </c>
      <c r="M394" s="10">
        <f>IF(Planilha1!G391="","",IF(Planilha1!G391=0,"",Planilha1!G391))</f>
        <v>109</v>
      </c>
      <c r="N394" s="5">
        <f t="shared" si="49"/>
        <v>1</v>
      </c>
      <c r="O394" s="5">
        <f t="shared" si="50"/>
        <v>0</v>
      </c>
      <c r="P394" s="5">
        <f t="shared" si="51"/>
        <v>0</v>
      </c>
      <c r="Q394" s="5">
        <f t="shared" si="52"/>
        <v>2</v>
      </c>
      <c r="R394" s="8">
        <f t="shared" si="53"/>
        <v>0</v>
      </c>
      <c r="S394" s="8">
        <f t="shared" si="54"/>
        <v>0</v>
      </c>
      <c r="T394" s="3" t="e">
        <f t="shared" si="55"/>
        <v>#VALUE!</v>
      </c>
      <c r="V394" s="1" t="e">
        <f t="shared" si="56"/>
        <v>#VALUE!</v>
      </c>
    </row>
    <row r="395" spans="8:22" x14ac:dyDescent="0.3">
      <c r="H395" s="2" t="str">
        <f>IF(Planilha1!B392="","",Planilha1!B392)</f>
        <v>7:30p</v>
      </c>
      <c r="I395" s="2" t="str">
        <f>IF(Planilha1!C392="","",Planilha1!C392)</f>
        <v>Memphis Grizzlies</v>
      </c>
      <c r="J395" s="2">
        <f>IF(Planilha1!D392="","",Planilha1!D392)</f>
        <v>115</v>
      </c>
      <c r="K395" s="10" t="str">
        <f>IF(Planilha1!E392="","",IF(Planilha1!E392=0,"",Planilha1!E392))</f>
        <v>New Orleans Pelicans</v>
      </c>
      <c r="L395" s="10">
        <f>IF(Planilha1!F392="","",Planilha1!F392)</f>
        <v>113</v>
      </c>
      <c r="M395" s="10">
        <f>IF(Planilha1!G392="","",IF(Planilha1!G392=0,"",Planilha1!G392))</f>
        <v>113</v>
      </c>
      <c r="N395" s="5">
        <f t="shared" si="49"/>
        <v>1</v>
      </c>
      <c r="O395" s="5">
        <f t="shared" si="50"/>
        <v>0</v>
      </c>
      <c r="P395" s="5">
        <f t="shared" si="51"/>
        <v>0</v>
      </c>
      <c r="Q395" s="5">
        <f t="shared" si="52"/>
        <v>2</v>
      </c>
      <c r="R395" s="8">
        <f t="shared" si="53"/>
        <v>0</v>
      </c>
      <c r="S395" s="8">
        <f t="shared" si="54"/>
        <v>0</v>
      </c>
      <c r="T395" s="3" t="e">
        <f t="shared" si="55"/>
        <v>#VALUE!</v>
      </c>
      <c r="V395" s="1" t="e">
        <f t="shared" si="56"/>
        <v>#VALUE!</v>
      </c>
    </row>
    <row r="396" spans="8:22" x14ac:dyDescent="0.3">
      <c r="H396" s="2" t="str">
        <f>IF(Planilha1!B393="","",Planilha1!B393)</f>
        <v>8:00p</v>
      </c>
      <c r="I396" s="2" t="str">
        <f>IF(Planilha1!C393="","",Planilha1!C393)</f>
        <v>San Antonio Spurs</v>
      </c>
      <c r="J396" s="2">
        <f>IF(Planilha1!D393="","",Planilha1!D393)</f>
        <v>119</v>
      </c>
      <c r="K396" s="10" t="str">
        <f>IF(Planilha1!E393="","",IF(Planilha1!E393=0,"",Planilha1!E393))</f>
        <v>Milwaukee Bucks</v>
      </c>
      <c r="L396" s="10">
        <f>IF(Planilha1!F393="","",Planilha1!F393)</f>
        <v>132</v>
      </c>
      <c r="M396" s="10">
        <f>IF(Planilha1!G393="","",IF(Planilha1!G393=0,"",Planilha1!G393))</f>
        <v>132</v>
      </c>
      <c r="N396" s="5">
        <f t="shared" si="49"/>
        <v>1</v>
      </c>
      <c r="O396" s="5">
        <f t="shared" si="50"/>
        <v>0</v>
      </c>
      <c r="P396" s="5">
        <f t="shared" si="51"/>
        <v>0</v>
      </c>
      <c r="Q396" s="5">
        <f t="shared" si="52"/>
        <v>2</v>
      </c>
      <c r="R396" s="8">
        <f t="shared" si="53"/>
        <v>0</v>
      </c>
      <c r="S396" s="8">
        <f t="shared" si="54"/>
        <v>0</v>
      </c>
      <c r="T396" s="3" t="e">
        <f t="shared" si="55"/>
        <v>#VALUE!</v>
      </c>
      <c r="V396" s="1" t="e">
        <f t="shared" si="56"/>
        <v>#VALUE!</v>
      </c>
    </row>
    <row r="397" spans="8:22" x14ac:dyDescent="0.3">
      <c r="H397" s="2" t="str">
        <f>IF(Planilha1!B394="","",Planilha1!B394)</f>
        <v>10:00p</v>
      </c>
      <c r="I397" s="2" t="str">
        <f>IF(Planilha1!C394="","",Planilha1!C394)</f>
        <v>Boston Celtics</v>
      </c>
      <c r="J397" s="2">
        <f>IF(Planilha1!D394="","",Planilha1!D394)</f>
        <v>126</v>
      </c>
      <c r="K397" s="10" t="str">
        <f>IF(Planilha1!E394="","",IF(Planilha1!E394=0,"",Planilha1!E394))</f>
        <v>Golden State Warriors</v>
      </c>
      <c r="L397" s="10">
        <f>IF(Planilha1!F394="","",Planilha1!F394)</f>
        <v>132</v>
      </c>
      <c r="M397" s="10">
        <f>IF(Planilha1!G394="","",IF(Planilha1!G394=0,"",Planilha1!G394))</f>
        <v>132</v>
      </c>
      <c r="N397" s="5">
        <f t="shared" si="49"/>
        <v>1</v>
      </c>
      <c r="O397" s="5">
        <f t="shared" si="50"/>
        <v>0</v>
      </c>
      <c r="P397" s="5">
        <f t="shared" si="51"/>
        <v>0</v>
      </c>
      <c r="Q397" s="5">
        <f t="shared" si="52"/>
        <v>2</v>
      </c>
      <c r="R397" s="8">
        <f t="shared" si="53"/>
        <v>0</v>
      </c>
      <c r="S397" s="8">
        <f t="shared" si="54"/>
        <v>0</v>
      </c>
      <c r="T397" s="3" t="e">
        <f t="shared" si="55"/>
        <v>#VALUE!</v>
      </c>
      <c r="V397" s="1" t="e">
        <f t="shared" si="56"/>
        <v>#VALUE!</v>
      </c>
    </row>
    <row r="398" spans="8:22" x14ac:dyDescent="0.3">
      <c r="H398" s="2" t="str">
        <f>IF(Planilha1!B395="","",Planilha1!B395)</f>
        <v>10:00p</v>
      </c>
      <c r="I398" s="2" t="str">
        <f>IF(Planilha1!C395="","",Planilha1!C395)</f>
        <v>Phoenix Suns</v>
      </c>
      <c r="J398" s="2">
        <f>IF(Planilha1!D395="","",Planilha1!D395)</f>
        <v>104</v>
      </c>
      <c r="K398" s="10" t="str">
        <f>IF(Planilha1!E395="","",IF(Planilha1!E395=0,"",Planilha1!E395))</f>
        <v>Portland Trail Blazers</v>
      </c>
      <c r="L398" s="10">
        <f>IF(Planilha1!F395="","",Planilha1!F395)</f>
        <v>109</v>
      </c>
      <c r="M398" s="10">
        <f>IF(Planilha1!G395="","",IF(Planilha1!G395=0,"",Planilha1!G395))</f>
        <v>109</v>
      </c>
      <c r="N398" s="5">
        <f t="shared" si="49"/>
        <v>1</v>
      </c>
      <c r="O398" s="5">
        <f t="shared" si="50"/>
        <v>0</v>
      </c>
      <c r="P398" s="5">
        <f t="shared" si="51"/>
        <v>0</v>
      </c>
      <c r="Q398" s="5">
        <f t="shared" si="52"/>
        <v>2</v>
      </c>
      <c r="R398" s="8">
        <f t="shared" si="53"/>
        <v>0</v>
      </c>
      <c r="S398" s="8">
        <f t="shared" si="54"/>
        <v>0</v>
      </c>
      <c r="T398" s="3" t="e">
        <f t="shared" si="55"/>
        <v>#VALUE!</v>
      </c>
      <c r="V398" s="1" t="e">
        <f t="shared" si="56"/>
        <v>#VALUE!</v>
      </c>
    </row>
    <row r="399" spans="8:22" x14ac:dyDescent="0.3">
      <c r="H399" s="2" t="str">
        <f>IF(Planilha1!B396="","",Planilha1!B396)</f>
        <v>7:00p</v>
      </c>
      <c r="I399" s="2" t="str">
        <f>IF(Planilha1!C396="","",Planilha1!C396)</f>
        <v>Utah Jazz</v>
      </c>
      <c r="J399" s="2">
        <f>IF(Planilha1!D396="","",Planilha1!D396)</f>
        <v>116</v>
      </c>
      <c r="K399" s="10" t="str">
        <f>IF(Planilha1!E396="","",IF(Planilha1!E396=0,"",Planilha1!E396))</f>
        <v>Cleveland Cavaliers</v>
      </c>
      <c r="L399" s="10">
        <f>IF(Planilha1!F396="","",Planilha1!F396)</f>
        <v>124</v>
      </c>
      <c r="M399" s="10">
        <f>IF(Planilha1!G396="","",IF(Planilha1!G396=0,"",Planilha1!G396))</f>
        <v>124</v>
      </c>
      <c r="N399" s="5">
        <f t="shared" si="49"/>
        <v>1</v>
      </c>
      <c r="O399" s="5">
        <f t="shared" si="50"/>
        <v>0</v>
      </c>
      <c r="P399" s="5">
        <f t="shared" si="51"/>
        <v>0</v>
      </c>
      <c r="Q399" s="5">
        <f t="shared" si="52"/>
        <v>2</v>
      </c>
      <c r="R399" s="8">
        <f t="shared" si="53"/>
        <v>0</v>
      </c>
      <c r="S399" s="8">
        <f t="shared" si="54"/>
        <v>0</v>
      </c>
      <c r="T399" s="3" t="e">
        <f t="shared" si="55"/>
        <v>#VALUE!</v>
      </c>
      <c r="V399" s="1" t="e">
        <f t="shared" si="56"/>
        <v>#VALUE!</v>
      </c>
    </row>
    <row r="400" spans="8:22" x14ac:dyDescent="0.3">
      <c r="H400" s="2" t="str">
        <f>IF(Planilha1!B397="","",Planilha1!B397)</f>
        <v>7:00p</v>
      </c>
      <c r="I400" s="2" t="str">
        <f>IF(Planilha1!C397="","",Planilha1!C397)</f>
        <v>Charlotte Hornets</v>
      </c>
      <c r="J400" s="2">
        <f>IF(Planilha1!D397="","",Planilha1!D397)</f>
        <v>113</v>
      </c>
      <c r="K400" s="10" t="str">
        <f>IF(Planilha1!E397="","",IF(Planilha1!E397=0,"",Planilha1!E397))</f>
        <v>Indiana Pacers</v>
      </c>
      <c r="L400" s="10">
        <f>IF(Planilha1!F397="","",Planilha1!F397)</f>
        <v>144</v>
      </c>
      <c r="M400" s="10">
        <f>IF(Planilha1!G397="","",IF(Planilha1!G397=0,"",Planilha1!G397))</f>
        <v>144</v>
      </c>
      <c r="N400" s="5">
        <f t="shared" si="49"/>
        <v>1</v>
      </c>
      <c r="O400" s="5">
        <f t="shared" si="50"/>
        <v>0</v>
      </c>
      <c r="P400" s="5">
        <f t="shared" si="51"/>
        <v>0</v>
      </c>
      <c r="Q400" s="5">
        <f t="shared" si="52"/>
        <v>2</v>
      </c>
      <c r="R400" s="8">
        <f t="shared" si="53"/>
        <v>0</v>
      </c>
      <c r="S400" s="8">
        <f t="shared" si="54"/>
        <v>0</v>
      </c>
      <c r="T400" s="3" t="e">
        <f t="shared" si="55"/>
        <v>#VALUE!</v>
      </c>
      <c r="V400" s="1" t="e">
        <f t="shared" si="56"/>
        <v>#VALUE!</v>
      </c>
    </row>
    <row r="401" spans="8:22" x14ac:dyDescent="0.3">
      <c r="H401" s="2" t="str">
        <f>IF(Planilha1!B398="","",Planilha1!B398)</f>
        <v>7:00p</v>
      </c>
      <c r="I401" s="2" t="str">
        <f>IF(Planilha1!C398="","",Planilha1!C398)</f>
        <v>Miami Heat</v>
      </c>
      <c r="J401" s="2">
        <f>IF(Planilha1!D398="","",Planilha1!D398)</f>
        <v>115</v>
      </c>
      <c r="K401" s="10" t="str">
        <f>IF(Planilha1!E398="","",IF(Planilha1!E398=0,"",Planilha1!E398))</f>
        <v>Orlando Magic</v>
      </c>
      <c r="L401" s="10">
        <f>IF(Planilha1!F398="","",Planilha1!F398)</f>
        <v>106</v>
      </c>
      <c r="M401" s="10">
        <f>IF(Planilha1!G398="","",IF(Planilha1!G398=0,"",Planilha1!G398))</f>
        <v>106</v>
      </c>
      <c r="N401" s="5">
        <f t="shared" si="49"/>
        <v>1</v>
      </c>
      <c r="O401" s="5">
        <f t="shared" si="50"/>
        <v>0</v>
      </c>
      <c r="P401" s="5">
        <f t="shared" si="51"/>
        <v>0</v>
      </c>
      <c r="Q401" s="5">
        <f t="shared" si="52"/>
        <v>2</v>
      </c>
      <c r="R401" s="8">
        <f t="shared" si="53"/>
        <v>0</v>
      </c>
      <c r="S401" s="8">
        <f t="shared" si="54"/>
        <v>0</v>
      </c>
      <c r="T401" s="3" t="e">
        <f t="shared" si="55"/>
        <v>#VALUE!</v>
      </c>
      <c r="V401" s="1" t="e">
        <f t="shared" si="56"/>
        <v>#VALUE!</v>
      </c>
    </row>
    <row r="402" spans="8:22" x14ac:dyDescent="0.3">
      <c r="H402" s="2" t="str">
        <f>IF(Planilha1!B399="","",Planilha1!B399)</f>
        <v>7:00p</v>
      </c>
      <c r="I402" s="2" t="str">
        <f>IF(Planilha1!C399="","",Planilha1!C399)</f>
        <v>Minnesota Timberwolves</v>
      </c>
      <c r="J402" s="2">
        <f>IF(Planilha1!D399="","",Planilha1!D399)</f>
        <v>113</v>
      </c>
      <c r="K402" s="10" t="str">
        <f>IF(Planilha1!E399="","",IF(Planilha1!E399=0,"",Planilha1!E399))</f>
        <v>Philadelphia 76ers</v>
      </c>
      <c r="L402" s="10">
        <f>IF(Planilha1!F399="","",Planilha1!F399)</f>
        <v>127</v>
      </c>
      <c r="M402" s="10">
        <f>IF(Planilha1!G399="","",IF(Planilha1!G399=0,"",Planilha1!G399))</f>
        <v>127</v>
      </c>
      <c r="N402" s="5">
        <f t="shared" si="49"/>
        <v>1</v>
      </c>
      <c r="O402" s="5">
        <f t="shared" si="50"/>
        <v>0</v>
      </c>
      <c r="P402" s="5">
        <f t="shared" si="51"/>
        <v>0</v>
      </c>
      <c r="Q402" s="5">
        <f t="shared" si="52"/>
        <v>2</v>
      </c>
      <c r="R402" s="8">
        <f t="shared" si="53"/>
        <v>0</v>
      </c>
      <c r="S402" s="8">
        <f t="shared" si="54"/>
        <v>0</v>
      </c>
      <c r="T402" s="3" t="e">
        <f t="shared" si="55"/>
        <v>#VALUE!</v>
      </c>
      <c r="V402" s="1" t="e">
        <f t="shared" si="56"/>
        <v>#VALUE!</v>
      </c>
    </row>
    <row r="403" spans="8:22" x14ac:dyDescent="0.3">
      <c r="H403" s="2" t="str">
        <f>IF(Planilha1!B400="","",Planilha1!B400)</f>
        <v>7:30p</v>
      </c>
      <c r="I403" s="2" t="str">
        <f>IF(Planilha1!C400="","",Planilha1!C400)</f>
        <v>New York Knicks</v>
      </c>
      <c r="J403" s="2">
        <f>IF(Planilha1!D400="","",Planilha1!D400)</f>
        <v>121</v>
      </c>
      <c r="K403" s="10" t="str">
        <f>IF(Planilha1!E400="","",IF(Planilha1!E400=0,"",Planilha1!E400))</f>
        <v>Brooklyn Nets</v>
      </c>
      <c r="L403" s="10">
        <f>IF(Planilha1!F400="","",Planilha1!F400)</f>
        <v>102</v>
      </c>
      <c r="M403" s="10">
        <f>IF(Planilha1!G400="","",IF(Planilha1!G400=0,"",Planilha1!G400))</f>
        <v>102</v>
      </c>
      <c r="N403" s="5">
        <f t="shared" si="49"/>
        <v>1</v>
      </c>
      <c r="O403" s="5">
        <f t="shared" si="50"/>
        <v>0</v>
      </c>
      <c r="P403" s="5">
        <f t="shared" si="51"/>
        <v>0</v>
      </c>
      <c r="Q403" s="5">
        <f t="shared" si="52"/>
        <v>2</v>
      </c>
      <c r="R403" s="8">
        <f t="shared" si="53"/>
        <v>0</v>
      </c>
      <c r="S403" s="8">
        <f t="shared" si="54"/>
        <v>0</v>
      </c>
      <c r="T403" s="3" t="e">
        <f t="shared" si="55"/>
        <v>#VALUE!</v>
      </c>
      <c r="V403" s="1" t="e">
        <f t="shared" si="56"/>
        <v>#VALUE!</v>
      </c>
    </row>
    <row r="404" spans="8:22" x14ac:dyDescent="0.3">
      <c r="H404" s="2" t="str">
        <f>IF(Planilha1!B401="","",Planilha1!B401)</f>
        <v>7:30p</v>
      </c>
      <c r="I404" s="2" t="str">
        <f>IF(Planilha1!C401="","",Planilha1!C401)</f>
        <v>Denver Nuggets</v>
      </c>
      <c r="J404" s="2">
        <f>IF(Planilha1!D401="","",Planilha1!D401)</f>
        <v>113</v>
      </c>
      <c r="K404" s="10" t="str">
        <f>IF(Planilha1!E401="","",IF(Planilha1!E401=0,"",Planilha1!E401))</f>
        <v>Toronto Raptors</v>
      </c>
      <c r="L404" s="10">
        <f>IF(Planilha1!F401="","",Planilha1!F401)</f>
        <v>104</v>
      </c>
      <c r="M404" s="10">
        <f>IF(Planilha1!G401="","",IF(Planilha1!G401=0,"",Planilha1!G401))</f>
        <v>104</v>
      </c>
      <c r="N404" s="5">
        <f t="shared" si="49"/>
        <v>1</v>
      </c>
      <c r="O404" s="5">
        <f t="shared" si="50"/>
        <v>0</v>
      </c>
      <c r="P404" s="5">
        <f t="shared" si="51"/>
        <v>0</v>
      </c>
      <c r="Q404" s="5">
        <f t="shared" si="52"/>
        <v>2</v>
      </c>
      <c r="R404" s="8">
        <f t="shared" si="53"/>
        <v>0</v>
      </c>
      <c r="S404" s="8">
        <f t="shared" si="54"/>
        <v>0</v>
      </c>
      <c r="T404" s="3" t="e">
        <f t="shared" si="55"/>
        <v>#VALUE!</v>
      </c>
      <c r="V404" s="1" t="e">
        <f t="shared" si="56"/>
        <v>#VALUE!</v>
      </c>
    </row>
    <row r="405" spans="8:22" x14ac:dyDescent="0.3">
      <c r="H405" s="2" t="str">
        <f>IF(Planilha1!B402="","",Planilha1!B402)</f>
        <v>8:00p</v>
      </c>
      <c r="I405" s="2" t="str">
        <f>IF(Planilha1!C402="","",Planilha1!C402)</f>
        <v>Los Angeles Lakers</v>
      </c>
      <c r="J405" s="2">
        <f>IF(Planilha1!D402="","",Planilha1!D402)</f>
        <v>108</v>
      </c>
      <c r="K405" s="10" t="str">
        <f>IF(Planilha1!E402="","",IF(Planilha1!E402=0,"",Planilha1!E402))</f>
        <v>Chicago Bulls</v>
      </c>
      <c r="L405" s="10">
        <f>IF(Planilha1!F402="","",Planilha1!F402)</f>
        <v>124</v>
      </c>
      <c r="M405" s="10">
        <f>IF(Planilha1!G402="","",IF(Planilha1!G402=0,"",Planilha1!G402))</f>
        <v>124</v>
      </c>
      <c r="N405" s="5">
        <f t="shared" si="49"/>
        <v>1</v>
      </c>
      <c r="O405" s="5">
        <f t="shared" si="50"/>
        <v>0</v>
      </c>
      <c r="P405" s="5">
        <f t="shared" si="51"/>
        <v>0</v>
      </c>
      <c r="Q405" s="5">
        <f t="shared" si="52"/>
        <v>2</v>
      </c>
      <c r="R405" s="8">
        <f t="shared" si="53"/>
        <v>0</v>
      </c>
      <c r="S405" s="8">
        <f t="shared" si="54"/>
        <v>0</v>
      </c>
      <c r="T405" s="3" t="e">
        <f t="shared" si="55"/>
        <v>#VALUE!</v>
      </c>
      <c r="V405" s="1" t="e">
        <f t="shared" si="56"/>
        <v>#VALUE!</v>
      </c>
    </row>
    <row r="406" spans="8:22" x14ac:dyDescent="0.3">
      <c r="H406" s="2" t="str">
        <f>IF(Planilha1!B403="","",Planilha1!B403)</f>
        <v>8:00p</v>
      </c>
      <c r="I406" s="2" t="str">
        <f>IF(Planilha1!C403="","",Planilha1!C403)</f>
        <v>Atlanta Hawks</v>
      </c>
      <c r="J406" s="2">
        <f>IF(Planilha1!D403="","",Planilha1!D403)</f>
        <v>134</v>
      </c>
      <c r="K406" s="10" t="str">
        <f>IF(Planilha1!E403="","",IF(Planilha1!E403=0,"",Planilha1!E403))</f>
        <v>Houston Rockets</v>
      </c>
      <c r="L406" s="10">
        <f>IF(Planilha1!F403="","",Planilha1!F403)</f>
        <v>127</v>
      </c>
      <c r="M406" s="10">
        <f>IF(Planilha1!G403="","",IF(Planilha1!G403=0,"",Planilha1!G403))</f>
        <v>127</v>
      </c>
      <c r="N406" s="5">
        <f t="shared" si="49"/>
        <v>1</v>
      </c>
      <c r="O406" s="5">
        <f t="shared" si="50"/>
        <v>0</v>
      </c>
      <c r="P406" s="5">
        <f t="shared" si="51"/>
        <v>0</v>
      </c>
      <c r="Q406" s="5">
        <f t="shared" si="52"/>
        <v>2</v>
      </c>
      <c r="R406" s="8">
        <f t="shared" si="53"/>
        <v>0</v>
      </c>
      <c r="S406" s="8">
        <f t="shared" si="54"/>
        <v>0</v>
      </c>
      <c r="T406" s="3" t="e">
        <f t="shared" si="55"/>
        <v>#VALUE!</v>
      </c>
      <c r="V406" s="1" t="e">
        <f t="shared" si="56"/>
        <v>#VALUE!</v>
      </c>
    </row>
    <row r="407" spans="8:22" x14ac:dyDescent="0.3">
      <c r="H407" s="2" t="str">
        <f>IF(Planilha1!B404="","",Planilha1!B404)</f>
        <v>8:30p</v>
      </c>
      <c r="I407" s="2" t="str">
        <f>IF(Planilha1!C404="","",Planilha1!C404)</f>
        <v>Los Angeles Clippers</v>
      </c>
      <c r="J407" s="2">
        <f>IF(Planilha1!D404="","",Planilha1!D404)</f>
        <v>120</v>
      </c>
      <c r="K407" s="10" t="str">
        <f>IF(Planilha1!E404="","",IF(Planilha1!E404=0,"",Planilha1!E404))</f>
        <v>Dallas Mavericks</v>
      </c>
      <c r="L407" s="10">
        <f>IF(Planilha1!F404="","",Planilha1!F404)</f>
        <v>111</v>
      </c>
      <c r="M407" s="10">
        <f>IF(Planilha1!G404="","",IF(Planilha1!G404=0,"",Planilha1!G404))</f>
        <v>111</v>
      </c>
      <c r="N407" s="5">
        <f t="shared" si="49"/>
        <v>1</v>
      </c>
      <c r="O407" s="5">
        <f t="shared" si="50"/>
        <v>0</v>
      </c>
      <c r="P407" s="5">
        <f t="shared" si="51"/>
        <v>0</v>
      </c>
      <c r="Q407" s="5">
        <f t="shared" si="52"/>
        <v>2</v>
      </c>
      <c r="R407" s="8">
        <f t="shared" si="53"/>
        <v>0</v>
      </c>
      <c r="S407" s="8">
        <f t="shared" si="54"/>
        <v>0</v>
      </c>
      <c r="T407" s="3" t="e">
        <f t="shared" si="55"/>
        <v>#VALUE!</v>
      </c>
      <c r="V407" s="1" t="e">
        <f t="shared" si="56"/>
        <v>#VALUE!</v>
      </c>
    </row>
    <row r="408" spans="8:22" x14ac:dyDescent="0.3">
      <c r="H408" s="2" t="str">
        <f>IF(Planilha1!B405="","",Planilha1!B405)</f>
        <v>10:00p</v>
      </c>
      <c r="I408" s="2" t="str">
        <f>IF(Planilha1!C405="","",Planilha1!C405)</f>
        <v>Boston Celtics</v>
      </c>
      <c r="J408" s="2">
        <f>IF(Planilha1!D405="","",Planilha1!D405)</f>
        <v>144</v>
      </c>
      <c r="K408" s="10" t="str">
        <f>IF(Planilha1!E405="","",IF(Planilha1!E405=0,"",Planilha1!E405))</f>
        <v>Sacramento Kings</v>
      </c>
      <c r="L408" s="10">
        <f>IF(Planilha1!F405="","",Planilha1!F405)</f>
        <v>119</v>
      </c>
      <c r="M408" s="10">
        <f>IF(Planilha1!G405="","",IF(Planilha1!G405=0,"",Planilha1!G405))</f>
        <v>119</v>
      </c>
      <c r="N408" s="5">
        <f t="shared" si="49"/>
        <v>1</v>
      </c>
      <c r="O408" s="5">
        <f t="shared" si="50"/>
        <v>0</v>
      </c>
      <c r="P408" s="5">
        <f t="shared" si="51"/>
        <v>0</v>
      </c>
      <c r="Q408" s="5">
        <f t="shared" si="52"/>
        <v>2</v>
      </c>
      <c r="R408" s="8">
        <f t="shared" si="53"/>
        <v>0</v>
      </c>
      <c r="S408" s="8">
        <f t="shared" si="54"/>
        <v>0</v>
      </c>
      <c r="T408" s="3" t="e">
        <f t="shared" si="55"/>
        <v>#VALUE!</v>
      </c>
      <c r="V408" s="1" t="e">
        <f t="shared" si="56"/>
        <v>#VALUE!</v>
      </c>
    </row>
    <row r="409" spans="8:22" x14ac:dyDescent="0.3">
      <c r="H409" s="2" t="str">
        <f>IF(Planilha1!B406="","",Planilha1!B406)</f>
        <v>7:00p</v>
      </c>
      <c r="I409" s="2" t="str">
        <f>IF(Planilha1!C406="","",Planilha1!C406)</f>
        <v>Utah Jazz</v>
      </c>
      <c r="J409" s="2">
        <f>IF(Planilha1!D406="","",Planilha1!D406)</f>
        <v>119</v>
      </c>
      <c r="K409" s="10" t="str">
        <f>IF(Planilha1!E406="","",IF(Planilha1!E406=0,"",Planilha1!E406))</f>
        <v>Detroit Pistons</v>
      </c>
      <c r="L409" s="10">
        <f>IF(Planilha1!F406="","",Planilha1!F406)</f>
        <v>111</v>
      </c>
      <c r="M409" s="10">
        <f>IF(Planilha1!G406="","",IF(Planilha1!G406=0,"",Planilha1!G406))</f>
        <v>111</v>
      </c>
      <c r="N409" s="5">
        <f t="shared" si="49"/>
        <v>1</v>
      </c>
      <c r="O409" s="5">
        <f t="shared" si="50"/>
        <v>0</v>
      </c>
      <c r="P409" s="5">
        <f t="shared" si="51"/>
        <v>0</v>
      </c>
      <c r="Q409" s="5">
        <f t="shared" si="52"/>
        <v>2</v>
      </c>
      <c r="R409" s="8">
        <f t="shared" si="53"/>
        <v>0</v>
      </c>
      <c r="S409" s="8">
        <f t="shared" si="54"/>
        <v>0</v>
      </c>
      <c r="T409" s="3" t="e">
        <f t="shared" si="55"/>
        <v>#VALUE!</v>
      </c>
      <c r="V409" s="1" t="e">
        <f t="shared" si="56"/>
        <v>#VALUE!</v>
      </c>
    </row>
    <row r="410" spans="8:22" x14ac:dyDescent="0.3">
      <c r="H410" s="2" t="str">
        <f>IF(Planilha1!B407="","",Planilha1!B407)</f>
        <v>7:30p</v>
      </c>
      <c r="I410" s="2" t="str">
        <f>IF(Planilha1!C407="","",Planilha1!C407)</f>
        <v>New Orleans Pelicans</v>
      </c>
      <c r="J410" s="2">
        <f>IF(Planilha1!D407="","",Planilha1!D407)</f>
        <v>123</v>
      </c>
      <c r="K410" s="10" t="str">
        <f>IF(Planilha1!E407="","",IF(Planilha1!E407=0,"",Planilha1!E407))</f>
        <v>Cleveland Cavaliers</v>
      </c>
      <c r="L410" s="10">
        <f>IF(Planilha1!F407="","",Planilha1!F407)</f>
        <v>104</v>
      </c>
      <c r="M410" s="10">
        <f>IF(Planilha1!G407="","",IF(Planilha1!G407=0,"",Planilha1!G407))</f>
        <v>104</v>
      </c>
      <c r="N410" s="5">
        <f t="shared" si="49"/>
        <v>1</v>
      </c>
      <c r="O410" s="5">
        <f t="shared" si="50"/>
        <v>0</v>
      </c>
      <c r="P410" s="5">
        <f t="shared" si="51"/>
        <v>0</v>
      </c>
      <c r="Q410" s="5">
        <f t="shared" si="52"/>
        <v>2</v>
      </c>
      <c r="R410" s="8">
        <f t="shared" si="53"/>
        <v>0</v>
      </c>
      <c r="S410" s="8">
        <f t="shared" si="54"/>
        <v>0</v>
      </c>
      <c r="T410" s="3" t="e">
        <f t="shared" si="55"/>
        <v>#VALUE!</v>
      </c>
      <c r="V410" s="1" t="e">
        <f t="shared" si="56"/>
        <v>#VALUE!</v>
      </c>
    </row>
    <row r="411" spans="8:22" x14ac:dyDescent="0.3">
      <c r="H411" s="2" t="str">
        <f>IF(Planilha1!B408="","",Planilha1!B408)</f>
        <v>8:00p</v>
      </c>
      <c r="I411" s="2" t="str">
        <f>IF(Planilha1!C408="","",Planilha1!C408)</f>
        <v>San Antonio Spurs</v>
      </c>
      <c r="J411" s="2">
        <f>IF(Planilha1!D408="","",Planilha1!D408)</f>
        <v>95</v>
      </c>
      <c r="K411" s="10" t="str">
        <f>IF(Planilha1!E408="","",IF(Planilha1!E408=0,"",Planilha1!E408))</f>
        <v>Chicago Bulls</v>
      </c>
      <c r="L411" s="10">
        <f>IF(Planilha1!F408="","",Planilha1!F408)</f>
        <v>114</v>
      </c>
      <c r="M411" s="10">
        <f>IF(Planilha1!G408="","",IF(Planilha1!G408=0,"",Planilha1!G408))</f>
        <v>114</v>
      </c>
      <c r="N411" s="5">
        <f t="shared" si="49"/>
        <v>1</v>
      </c>
      <c r="O411" s="5">
        <f t="shared" si="50"/>
        <v>0</v>
      </c>
      <c r="P411" s="5">
        <f t="shared" si="51"/>
        <v>0</v>
      </c>
      <c r="Q411" s="5">
        <f t="shared" si="52"/>
        <v>2</v>
      </c>
      <c r="R411" s="8">
        <f t="shared" si="53"/>
        <v>0</v>
      </c>
      <c r="S411" s="8">
        <f t="shared" si="54"/>
        <v>0</v>
      </c>
      <c r="T411" s="3" t="e">
        <f t="shared" si="55"/>
        <v>#VALUE!</v>
      </c>
      <c r="V411" s="1" t="e">
        <f t="shared" si="56"/>
        <v>#VALUE!</v>
      </c>
    </row>
    <row r="412" spans="8:22" x14ac:dyDescent="0.3">
      <c r="H412" s="2" t="str">
        <f>IF(Planilha1!B409="","",Planilha1!B409)</f>
        <v>8:00p</v>
      </c>
      <c r="I412" s="2" t="str">
        <f>IF(Planilha1!C409="","",Planilha1!C409)</f>
        <v>Indiana Pacers</v>
      </c>
      <c r="J412" s="2">
        <f>IF(Planilha1!D409="","",Planilha1!D409)</f>
        <v>103</v>
      </c>
      <c r="K412" s="10" t="str">
        <f>IF(Planilha1!E409="","",IF(Planilha1!E409=0,"",Planilha1!E409))</f>
        <v>Memphis Grizzlies</v>
      </c>
      <c r="L412" s="10">
        <f>IF(Planilha1!F409="","",Planilha1!F409)</f>
        <v>116</v>
      </c>
      <c r="M412" s="10">
        <f>IF(Planilha1!G409="","",IF(Planilha1!G409=0,"",Planilha1!G409))</f>
        <v>116</v>
      </c>
      <c r="N412" s="5">
        <f t="shared" si="49"/>
        <v>1</v>
      </c>
      <c r="O412" s="5">
        <f t="shared" si="50"/>
        <v>0</v>
      </c>
      <c r="P412" s="5">
        <f t="shared" si="51"/>
        <v>0</v>
      </c>
      <c r="Q412" s="5">
        <f t="shared" si="52"/>
        <v>2</v>
      </c>
      <c r="R412" s="8">
        <f t="shared" si="53"/>
        <v>0</v>
      </c>
      <c r="S412" s="8">
        <f t="shared" si="54"/>
        <v>0</v>
      </c>
      <c r="T412" s="3" t="e">
        <f t="shared" si="55"/>
        <v>#VALUE!</v>
      </c>
      <c r="V412" s="1" t="e">
        <f t="shared" si="56"/>
        <v>#VALUE!</v>
      </c>
    </row>
    <row r="413" spans="8:22" x14ac:dyDescent="0.3">
      <c r="H413" s="2" t="str">
        <f>IF(Planilha1!B410="","",Planilha1!B410)</f>
        <v>8:00p</v>
      </c>
      <c r="I413" s="2" t="str">
        <f>IF(Planilha1!C410="","",Planilha1!C410)</f>
        <v>Orlando Magic</v>
      </c>
      <c r="J413" s="2">
        <f>IF(Planilha1!D410="","",Planilha1!D410)</f>
        <v>114</v>
      </c>
      <c r="K413" s="10" t="str">
        <f>IF(Planilha1!E410="","",IF(Planilha1!E410=0,"",Planilha1!E410))</f>
        <v>Milwaukee Bucks</v>
      </c>
      <c r="L413" s="10">
        <f>IF(Planilha1!F410="","",Planilha1!F410)</f>
        <v>118</v>
      </c>
      <c r="M413" s="10">
        <f>IF(Planilha1!G410="","",IF(Planilha1!G410=0,"",Planilha1!G410))</f>
        <v>118</v>
      </c>
      <c r="N413" s="5">
        <f t="shared" si="49"/>
        <v>1</v>
      </c>
      <c r="O413" s="5">
        <f t="shared" si="50"/>
        <v>0</v>
      </c>
      <c r="P413" s="5">
        <f t="shared" si="51"/>
        <v>0</v>
      </c>
      <c r="Q413" s="5">
        <f t="shared" si="52"/>
        <v>2</v>
      </c>
      <c r="R413" s="8">
        <f t="shared" si="53"/>
        <v>0</v>
      </c>
      <c r="S413" s="8">
        <f t="shared" si="54"/>
        <v>0</v>
      </c>
      <c r="T413" s="3" t="e">
        <f t="shared" si="55"/>
        <v>#VALUE!</v>
      </c>
      <c r="V413" s="1" t="e">
        <f t="shared" si="56"/>
        <v>#VALUE!</v>
      </c>
    </row>
    <row r="414" spans="8:22" x14ac:dyDescent="0.3">
      <c r="H414" s="2" t="str">
        <f>IF(Planilha1!B411="","",Planilha1!B411)</f>
        <v>8:00p</v>
      </c>
      <c r="I414" s="2" t="str">
        <f>IF(Planilha1!C411="","",Planilha1!C411)</f>
        <v>Los Angeles Clippers</v>
      </c>
      <c r="J414" s="2">
        <f>IF(Planilha1!D411="","",Planilha1!D411)</f>
        <v>115</v>
      </c>
      <c r="K414" s="10" t="str">
        <f>IF(Planilha1!E411="","",IF(Planilha1!E411=0,"",Planilha1!E411))</f>
        <v>Oklahoma City Thunder</v>
      </c>
      <c r="L414" s="10">
        <f>IF(Planilha1!F411="","",Planilha1!F411)</f>
        <v>134</v>
      </c>
      <c r="M414" s="10">
        <f>IF(Planilha1!G411="","",IF(Planilha1!G411=0,"",Planilha1!G411))</f>
        <v>134</v>
      </c>
      <c r="N414" s="5">
        <f t="shared" si="49"/>
        <v>1</v>
      </c>
      <c r="O414" s="5">
        <f t="shared" si="50"/>
        <v>0</v>
      </c>
      <c r="P414" s="5">
        <f t="shared" si="51"/>
        <v>0</v>
      </c>
      <c r="Q414" s="5">
        <f t="shared" si="52"/>
        <v>2</v>
      </c>
      <c r="R414" s="8">
        <f t="shared" si="53"/>
        <v>0</v>
      </c>
      <c r="S414" s="8">
        <f t="shared" si="54"/>
        <v>0</v>
      </c>
      <c r="T414" s="3" t="e">
        <f t="shared" si="55"/>
        <v>#VALUE!</v>
      </c>
      <c r="V414" s="1" t="e">
        <f t="shared" si="56"/>
        <v>#VALUE!</v>
      </c>
    </row>
    <row r="415" spans="8:22" x14ac:dyDescent="0.3">
      <c r="H415" s="2" t="str">
        <f>IF(Planilha1!B412="","",Planilha1!B412)</f>
        <v>9:00p</v>
      </c>
      <c r="I415" s="2" t="str">
        <f>IF(Planilha1!C412="","",Planilha1!C412)</f>
        <v>Los Angeles Lakers</v>
      </c>
      <c r="J415" s="2">
        <f>IF(Planilha1!D412="","",Planilha1!D412)</f>
        <v>111</v>
      </c>
      <c r="K415" s="10" t="str">
        <f>IF(Planilha1!E412="","",IF(Planilha1!E412=0,"",Planilha1!E412))</f>
        <v>Minnesota Timberwolves</v>
      </c>
      <c r="L415" s="10">
        <f>IF(Planilha1!F412="","",Planilha1!F412)</f>
        <v>118</v>
      </c>
      <c r="M415" s="10">
        <f>IF(Planilha1!G412="","",IF(Planilha1!G412=0,"",Planilha1!G412))</f>
        <v>118</v>
      </c>
      <c r="N415" s="5">
        <f t="shared" si="49"/>
        <v>1</v>
      </c>
      <c r="O415" s="5">
        <f t="shared" si="50"/>
        <v>0</v>
      </c>
      <c r="P415" s="5">
        <f t="shared" si="51"/>
        <v>0</v>
      </c>
      <c r="Q415" s="5">
        <f t="shared" si="52"/>
        <v>2</v>
      </c>
      <c r="R415" s="8">
        <f t="shared" si="53"/>
        <v>0</v>
      </c>
      <c r="S415" s="8">
        <f t="shared" si="54"/>
        <v>0</v>
      </c>
      <c r="T415" s="3" t="e">
        <f t="shared" si="55"/>
        <v>#VALUE!</v>
      </c>
      <c r="V415" s="1" t="e">
        <f t="shared" si="56"/>
        <v>#VALUE!</v>
      </c>
    </row>
    <row r="416" spans="8:22" x14ac:dyDescent="0.3">
      <c r="H416" s="2" t="str">
        <f>IF(Planilha1!B413="","",Planilha1!B413)</f>
        <v>10:00p</v>
      </c>
      <c r="I416" s="2" t="str">
        <f>IF(Planilha1!C413="","",Planilha1!C413)</f>
        <v>Washington Wizards</v>
      </c>
      <c r="J416" s="2">
        <f>IF(Planilha1!D413="","",Planilha1!D413)</f>
        <v>118</v>
      </c>
      <c r="K416" s="10" t="str">
        <f>IF(Planilha1!E413="","",IF(Planilha1!E413=0,"",Planilha1!E413))</f>
        <v>Portland Trail Blazers</v>
      </c>
      <c r="L416" s="10">
        <f>IF(Planilha1!F413="","",Planilha1!F413)</f>
        <v>117</v>
      </c>
      <c r="M416" s="10">
        <f>IF(Planilha1!G413="","",IF(Planilha1!G413=0,"",Planilha1!G413))</f>
        <v>117</v>
      </c>
      <c r="N416" s="5">
        <f t="shared" si="49"/>
        <v>1</v>
      </c>
      <c r="O416" s="5">
        <f t="shared" si="50"/>
        <v>0</v>
      </c>
      <c r="P416" s="5">
        <f t="shared" si="51"/>
        <v>0</v>
      </c>
      <c r="Q416" s="5">
        <f t="shared" si="52"/>
        <v>2</v>
      </c>
      <c r="R416" s="8">
        <f t="shared" si="53"/>
        <v>0</v>
      </c>
      <c r="S416" s="8">
        <f t="shared" si="54"/>
        <v>0</v>
      </c>
      <c r="T416" s="3" t="e">
        <f t="shared" si="55"/>
        <v>#VALUE!</v>
      </c>
      <c r="V416" s="1" t="e">
        <f t="shared" si="56"/>
        <v>#VALUE!</v>
      </c>
    </row>
    <row r="417" spans="8:22" x14ac:dyDescent="0.3">
      <c r="H417" s="2" t="str">
        <f>IF(Planilha1!B414="","",Planilha1!B414)</f>
        <v>7:00p</v>
      </c>
      <c r="I417" s="2" t="str">
        <f>IF(Planilha1!C414="","",Planilha1!C414)</f>
        <v>Toronto Raptors</v>
      </c>
      <c r="J417" s="2">
        <f>IF(Planilha1!D414="","",Planilha1!D414)</f>
        <v>111</v>
      </c>
      <c r="K417" s="10" t="str">
        <f>IF(Planilha1!E414="","",IF(Planilha1!E414=0,"",Planilha1!E414))</f>
        <v>Philadelphia 76ers</v>
      </c>
      <c r="L417" s="10">
        <f>IF(Planilha1!F414="","",Planilha1!F414)</f>
        <v>121</v>
      </c>
      <c r="M417" s="10">
        <f>IF(Planilha1!G414="","",IF(Planilha1!G414=0,"",Planilha1!G414))</f>
        <v>121</v>
      </c>
      <c r="N417" s="5">
        <f t="shared" si="49"/>
        <v>1</v>
      </c>
      <c r="O417" s="5">
        <f t="shared" si="50"/>
        <v>0</v>
      </c>
      <c r="P417" s="5">
        <f t="shared" si="51"/>
        <v>0</v>
      </c>
      <c r="Q417" s="5">
        <f t="shared" si="52"/>
        <v>2</v>
      </c>
      <c r="R417" s="8">
        <f t="shared" si="53"/>
        <v>0</v>
      </c>
      <c r="S417" s="8">
        <f t="shared" si="54"/>
        <v>0</v>
      </c>
      <c r="T417" s="3" t="e">
        <f t="shared" si="55"/>
        <v>#VALUE!</v>
      </c>
      <c r="V417" s="1" t="e">
        <f t="shared" si="56"/>
        <v>#VALUE!</v>
      </c>
    </row>
    <row r="418" spans="8:22" x14ac:dyDescent="0.3">
      <c r="H418" s="2" t="str">
        <f>IF(Planilha1!B415="","",Planilha1!B415)</f>
        <v>7:30p</v>
      </c>
      <c r="I418" s="2" t="str">
        <f>IF(Planilha1!C415="","",Planilha1!C415)</f>
        <v>Denver Nuggets</v>
      </c>
      <c r="J418" s="2">
        <f>IF(Planilha1!D415="","",Planilha1!D415)</f>
        <v>122</v>
      </c>
      <c r="K418" s="10" t="str">
        <f>IF(Planilha1!E415="","",IF(Planilha1!E415=0,"",Planilha1!E415))</f>
        <v>Brooklyn Nets</v>
      </c>
      <c r="L418" s="10">
        <f>IF(Planilha1!F415="","",Planilha1!F415)</f>
        <v>117</v>
      </c>
      <c r="M418" s="10">
        <f>IF(Planilha1!G415="","",IF(Planilha1!G415=0,"",Planilha1!G415))</f>
        <v>117</v>
      </c>
      <c r="N418" s="5">
        <f t="shared" si="49"/>
        <v>1</v>
      </c>
      <c r="O418" s="5">
        <f t="shared" si="50"/>
        <v>0</v>
      </c>
      <c r="P418" s="5">
        <f t="shared" si="51"/>
        <v>0</v>
      </c>
      <c r="Q418" s="5">
        <f t="shared" si="52"/>
        <v>2</v>
      </c>
      <c r="R418" s="8">
        <f t="shared" si="53"/>
        <v>0</v>
      </c>
      <c r="S418" s="8">
        <f t="shared" si="54"/>
        <v>0</v>
      </c>
      <c r="T418" s="3" t="e">
        <f t="shared" si="55"/>
        <v>#VALUE!</v>
      </c>
      <c r="V418" s="1" t="e">
        <f t="shared" si="56"/>
        <v>#VALUE!</v>
      </c>
    </row>
    <row r="419" spans="8:22" x14ac:dyDescent="0.3">
      <c r="H419" s="2" t="str">
        <f>IF(Planilha1!B416="","",Planilha1!B416)</f>
        <v>8:00p</v>
      </c>
      <c r="I419" s="2" t="str">
        <f>IF(Planilha1!C416="","",Planilha1!C416)</f>
        <v>Dallas Mavericks</v>
      </c>
      <c r="J419" s="2">
        <f>IF(Planilha1!D416="","",Planilha1!D416)</f>
        <v>96</v>
      </c>
      <c r="K419" s="10" t="str">
        <f>IF(Planilha1!E416="","",IF(Planilha1!E416=0,"",Planilha1!E416))</f>
        <v>Houston Rockets</v>
      </c>
      <c r="L419" s="10">
        <f>IF(Planilha1!F416="","",Planilha1!F416)</f>
        <v>122</v>
      </c>
      <c r="M419" s="10">
        <f>IF(Planilha1!G416="","",IF(Planilha1!G416=0,"",Planilha1!G416))</f>
        <v>122</v>
      </c>
      <c r="N419" s="5">
        <f t="shared" si="49"/>
        <v>1</v>
      </c>
      <c r="O419" s="5">
        <f t="shared" si="50"/>
        <v>0</v>
      </c>
      <c r="P419" s="5">
        <f t="shared" si="51"/>
        <v>0</v>
      </c>
      <c r="Q419" s="5">
        <f t="shared" si="52"/>
        <v>2</v>
      </c>
      <c r="R419" s="8">
        <f t="shared" si="53"/>
        <v>0</v>
      </c>
      <c r="S419" s="8">
        <f t="shared" si="54"/>
        <v>0</v>
      </c>
      <c r="T419" s="3" t="e">
        <f t="shared" si="55"/>
        <v>#VALUE!</v>
      </c>
      <c r="V419" s="1" t="e">
        <f t="shared" si="56"/>
        <v>#VALUE!</v>
      </c>
    </row>
    <row r="420" spans="8:22" x14ac:dyDescent="0.3">
      <c r="H420" s="2" t="str">
        <f>IF(Planilha1!B417="","",Planilha1!B417)</f>
        <v>8:00p</v>
      </c>
      <c r="I420" s="2" t="str">
        <f>IF(Planilha1!C417="","",Planilha1!C417)</f>
        <v>Atlanta Hawks</v>
      </c>
      <c r="J420" s="2">
        <f>IF(Planilha1!D417="","",Planilha1!D417)</f>
        <v>113</v>
      </c>
      <c r="K420" s="10" t="str">
        <f>IF(Planilha1!E417="","",IF(Planilha1!E417=0,"",Planilha1!E417))</f>
        <v>Miami Heat</v>
      </c>
      <c r="L420" s="10">
        <f>IF(Planilha1!F417="","",Planilha1!F417)</f>
        <v>122</v>
      </c>
      <c r="M420" s="10">
        <f>IF(Planilha1!G417="","",IF(Planilha1!G417=0,"",Planilha1!G417))</f>
        <v>122</v>
      </c>
      <c r="N420" s="5">
        <f t="shared" si="49"/>
        <v>1</v>
      </c>
      <c r="O420" s="5">
        <f t="shared" si="50"/>
        <v>0</v>
      </c>
      <c r="P420" s="5">
        <f t="shared" si="51"/>
        <v>0</v>
      </c>
      <c r="Q420" s="5">
        <f t="shared" si="52"/>
        <v>2</v>
      </c>
      <c r="R420" s="8">
        <f t="shared" si="53"/>
        <v>0</v>
      </c>
      <c r="S420" s="8">
        <f t="shared" si="54"/>
        <v>0</v>
      </c>
      <c r="T420" s="3" t="e">
        <f t="shared" si="55"/>
        <v>#VALUE!</v>
      </c>
      <c r="V420" s="1" t="e">
        <f t="shared" si="56"/>
        <v>#VALUE!</v>
      </c>
    </row>
    <row r="421" spans="8:22" x14ac:dyDescent="0.3">
      <c r="H421" s="2" t="str">
        <f>IF(Planilha1!B418="","",Planilha1!B418)</f>
        <v>10:00p</v>
      </c>
      <c r="I421" s="2" t="str">
        <f>IF(Planilha1!C418="","",Planilha1!C418)</f>
        <v>Washington Wizards</v>
      </c>
      <c r="J421" s="2">
        <f>IF(Planilha1!D418="","",Planilha1!D418)</f>
        <v>118</v>
      </c>
      <c r="K421" s="10" t="str">
        <f>IF(Planilha1!E418="","",IF(Planilha1!E418=0,"",Planilha1!E418))</f>
        <v>Golden State Warriors</v>
      </c>
      <c r="L421" s="10">
        <f>IF(Planilha1!F418="","",Planilha1!F418)</f>
        <v>129</v>
      </c>
      <c r="M421" s="10">
        <f>IF(Planilha1!G418="","",IF(Planilha1!G418=0,"",Planilha1!G418))</f>
        <v>129</v>
      </c>
      <c r="N421" s="5">
        <f t="shared" si="49"/>
        <v>1</v>
      </c>
      <c r="O421" s="5">
        <f t="shared" si="50"/>
        <v>0</v>
      </c>
      <c r="P421" s="5">
        <f t="shared" si="51"/>
        <v>0</v>
      </c>
      <c r="Q421" s="5">
        <f t="shared" si="52"/>
        <v>2</v>
      </c>
      <c r="R421" s="8">
        <f t="shared" si="53"/>
        <v>0</v>
      </c>
      <c r="S421" s="8">
        <f t="shared" si="54"/>
        <v>0</v>
      </c>
      <c r="T421" s="3" t="e">
        <f t="shared" si="55"/>
        <v>#VALUE!</v>
      </c>
      <c r="V421" s="1" t="e">
        <f t="shared" si="56"/>
        <v>#VALUE!</v>
      </c>
    </row>
    <row r="422" spans="8:22" x14ac:dyDescent="0.3">
      <c r="H422" s="2" t="str">
        <f>IF(Planilha1!B419="","",Planilha1!B419)</f>
        <v>10:00p</v>
      </c>
      <c r="I422" s="2" t="str">
        <f>IF(Planilha1!C419="","",Planilha1!C419)</f>
        <v>Phoenix Suns</v>
      </c>
      <c r="J422" s="2">
        <f>IF(Planilha1!D419="","",Planilha1!D419)</f>
        <v>105</v>
      </c>
      <c r="K422" s="10" t="str">
        <f>IF(Planilha1!E419="","",IF(Planilha1!E419=0,"",Planilha1!E419))</f>
        <v>Sacramento Kings</v>
      </c>
      <c r="L422" s="10">
        <f>IF(Planilha1!F419="","",Planilha1!F419)</f>
        <v>120</v>
      </c>
      <c r="M422" s="10">
        <f>IF(Planilha1!G419="","",IF(Planilha1!G419=0,"",Planilha1!G419))</f>
        <v>120</v>
      </c>
      <c r="N422" s="5">
        <f t="shared" si="49"/>
        <v>1</v>
      </c>
      <c r="O422" s="5">
        <f t="shared" si="50"/>
        <v>0</v>
      </c>
      <c r="P422" s="5">
        <f t="shared" si="51"/>
        <v>0</v>
      </c>
      <c r="Q422" s="5">
        <f t="shared" si="52"/>
        <v>2</v>
      </c>
      <c r="R422" s="8">
        <f t="shared" si="53"/>
        <v>0</v>
      </c>
      <c r="S422" s="8">
        <f t="shared" si="54"/>
        <v>0</v>
      </c>
      <c r="T422" s="3" t="e">
        <f t="shared" si="55"/>
        <v>#VALUE!</v>
      </c>
      <c r="V422" s="1" t="e">
        <f t="shared" si="56"/>
        <v>#VALUE!</v>
      </c>
    </row>
    <row r="423" spans="8:22" x14ac:dyDescent="0.3">
      <c r="H423" s="2" t="str">
        <f>IF(Planilha1!B420="","",Planilha1!B420)</f>
        <v>12:30p</v>
      </c>
      <c r="I423" s="2" t="str">
        <f>IF(Planilha1!C420="","",Planilha1!C420)</f>
        <v>Milwaukee Bucks</v>
      </c>
      <c r="J423" s="2">
        <f>IF(Planilha1!D420="","",Planilha1!D420)</f>
        <v>130</v>
      </c>
      <c r="K423" s="10" t="str">
        <f>IF(Planilha1!E420="","",IF(Planilha1!E420=0,"",Planilha1!E420))</f>
        <v>New York Knicks</v>
      </c>
      <c r="L423" s="10">
        <f>IF(Planilha1!F420="","",Planilha1!F420)</f>
        <v>111</v>
      </c>
      <c r="M423" s="10">
        <f>IF(Planilha1!G420="","",IF(Planilha1!G420=0,"",Planilha1!G420))</f>
        <v>111</v>
      </c>
      <c r="N423" s="5">
        <f t="shared" si="49"/>
        <v>1</v>
      </c>
      <c r="O423" s="5">
        <f t="shared" si="50"/>
        <v>0</v>
      </c>
      <c r="P423" s="5">
        <f t="shared" si="51"/>
        <v>0</v>
      </c>
      <c r="Q423" s="5">
        <f t="shared" si="52"/>
        <v>2</v>
      </c>
      <c r="R423" s="8">
        <f t="shared" si="53"/>
        <v>0</v>
      </c>
      <c r="S423" s="8">
        <f t="shared" si="54"/>
        <v>0</v>
      </c>
      <c r="T423" s="3" t="e">
        <f t="shared" si="55"/>
        <v>#VALUE!</v>
      </c>
      <c r="V423" s="1" t="e">
        <f t="shared" si="56"/>
        <v>#VALUE!</v>
      </c>
    </row>
    <row r="424" spans="8:22" x14ac:dyDescent="0.3">
      <c r="H424" s="2" t="str">
        <f>IF(Planilha1!B421="","",Planilha1!B421)</f>
        <v>3:30p</v>
      </c>
      <c r="I424" s="2" t="str">
        <f>IF(Planilha1!C421="","",Planilha1!C421)</f>
        <v>Boston Celtics</v>
      </c>
      <c r="J424" s="2">
        <f>IF(Planilha1!D421="","",Planilha1!D421)</f>
        <v>145</v>
      </c>
      <c r="K424" s="10" t="str">
        <f>IF(Planilha1!E421="","",IF(Planilha1!E421=0,"",Planilha1!E421))</f>
        <v>Los Angeles Clippers</v>
      </c>
      <c r="L424" s="10">
        <f>IF(Planilha1!F421="","",Planilha1!F421)</f>
        <v>108</v>
      </c>
      <c r="M424" s="10">
        <f>IF(Planilha1!G421="","",IF(Planilha1!G421=0,"",Planilha1!G421))</f>
        <v>108</v>
      </c>
      <c r="N424" s="5">
        <f t="shared" si="49"/>
        <v>1</v>
      </c>
      <c r="O424" s="5">
        <f t="shared" si="50"/>
        <v>0</v>
      </c>
      <c r="P424" s="5">
        <f t="shared" si="51"/>
        <v>0</v>
      </c>
      <c r="Q424" s="5">
        <f t="shared" si="52"/>
        <v>2</v>
      </c>
      <c r="R424" s="8">
        <f t="shared" si="53"/>
        <v>0</v>
      </c>
      <c r="S424" s="8">
        <f t="shared" si="54"/>
        <v>0</v>
      </c>
      <c r="T424" s="3" t="e">
        <f t="shared" si="55"/>
        <v>#VALUE!</v>
      </c>
      <c r="V424" s="1" t="e">
        <f t="shared" si="56"/>
        <v>#VALUE!</v>
      </c>
    </row>
    <row r="425" spans="8:22" x14ac:dyDescent="0.3">
      <c r="H425" s="2" t="str">
        <f>IF(Planilha1!B422="","",Planilha1!B422)</f>
        <v>7:00p</v>
      </c>
      <c r="I425" s="2" t="str">
        <f>IF(Planilha1!C422="","",Planilha1!C422)</f>
        <v>Denver Nuggets</v>
      </c>
      <c r="J425" s="2">
        <f>IF(Planilha1!D422="","",Planilha1!D422)</f>
        <v>102</v>
      </c>
      <c r="K425" s="10" t="str">
        <f>IF(Planilha1!E422="","",IF(Planilha1!E422=0,"",Planilha1!E422))</f>
        <v>Charlotte Hornets</v>
      </c>
      <c r="L425" s="10">
        <f>IF(Planilha1!F422="","",Planilha1!F422)</f>
        <v>95</v>
      </c>
      <c r="M425" s="10">
        <f>IF(Planilha1!G422="","",IF(Planilha1!G422=0,"",Planilha1!G422))</f>
        <v>95</v>
      </c>
      <c r="N425" s="5">
        <f t="shared" si="49"/>
        <v>1</v>
      </c>
      <c r="O425" s="5">
        <f t="shared" si="50"/>
        <v>0</v>
      </c>
      <c r="P425" s="5">
        <f t="shared" si="51"/>
        <v>0</v>
      </c>
      <c r="Q425" s="5">
        <f t="shared" si="52"/>
        <v>2</v>
      </c>
      <c r="R425" s="8">
        <f t="shared" si="53"/>
        <v>0</v>
      </c>
      <c r="S425" s="8">
        <f t="shared" si="54"/>
        <v>0</v>
      </c>
      <c r="T425" s="3" t="e">
        <f t="shared" si="55"/>
        <v>#VALUE!</v>
      </c>
      <c r="V425" s="1" t="e">
        <f t="shared" si="56"/>
        <v>#VALUE!</v>
      </c>
    </row>
    <row r="426" spans="8:22" x14ac:dyDescent="0.3">
      <c r="H426" s="2" t="str">
        <f>IF(Planilha1!B423="","",Planilha1!B423)</f>
        <v>7:00p</v>
      </c>
      <c r="I426" s="2" t="str">
        <f>IF(Planilha1!C423="","",Planilha1!C423)</f>
        <v>Orlando Magic</v>
      </c>
      <c r="J426" s="2">
        <f>IF(Planilha1!D423="","",Planilha1!D423)</f>
        <v>117</v>
      </c>
      <c r="K426" s="10" t="str">
        <f>IF(Planilha1!E423="","",IF(Planilha1!E423=0,"",Planilha1!E423))</f>
        <v>Indiana Pacers</v>
      </c>
      <c r="L426" s="10">
        <f>IF(Planilha1!F423="","",Planilha1!F423)</f>
        <v>110</v>
      </c>
      <c r="M426" s="10">
        <f>IF(Planilha1!G423="","",IF(Planilha1!G423=0,"",Planilha1!G423))</f>
        <v>110</v>
      </c>
      <c r="N426" s="5">
        <f t="shared" si="49"/>
        <v>1</v>
      </c>
      <c r="O426" s="5">
        <f t="shared" si="50"/>
        <v>0</v>
      </c>
      <c r="P426" s="5">
        <f t="shared" si="51"/>
        <v>0</v>
      </c>
      <c r="Q426" s="5">
        <f t="shared" si="52"/>
        <v>2</v>
      </c>
      <c r="R426" s="8">
        <f t="shared" si="53"/>
        <v>0</v>
      </c>
      <c r="S426" s="8">
        <f t="shared" si="54"/>
        <v>0</v>
      </c>
      <c r="T426" s="3" t="e">
        <f t="shared" si="55"/>
        <v>#VALUE!</v>
      </c>
      <c r="V426" s="1" t="e">
        <f t="shared" si="56"/>
        <v>#VALUE!</v>
      </c>
    </row>
    <row r="427" spans="8:22" x14ac:dyDescent="0.3">
      <c r="H427" s="2" t="str">
        <f>IF(Planilha1!B424="","",Planilha1!B424)</f>
        <v>7:00p</v>
      </c>
      <c r="I427" s="2" t="str">
        <f>IF(Planilha1!C424="","",Planilha1!C424)</f>
        <v>Houston Rockets</v>
      </c>
      <c r="J427" s="2">
        <f>IF(Planilha1!D424="","",Planilha1!D424)</f>
        <v>106</v>
      </c>
      <c r="K427" s="10" t="str">
        <f>IF(Planilha1!E424="","",IF(Planilha1!E424=0,"",Planilha1!E424))</f>
        <v>New Orleans Pelicans</v>
      </c>
      <c r="L427" s="10">
        <f>IF(Planilha1!F424="","",Planilha1!F424)</f>
        <v>104</v>
      </c>
      <c r="M427" s="10">
        <f>IF(Planilha1!G424="","",IF(Planilha1!G424=0,"",Planilha1!G424))</f>
        <v>104</v>
      </c>
      <c r="N427" s="5">
        <f t="shared" si="49"/>
        <v>1</v>
      </c>
      <c r="O427" s="5">
        <f t="shared" si="50"/>
        <v>0</v>
      </c>
      <c r="P427" s="5">
        <f t="shared" si="51"/>
        <v>0</v>
      </c>
      <c r="Q427" s="5">
        <f t="shared" si="52"/>
        <v>2</v>
      </c>
      <c r="R427" s="8">
        <f t="shared" si="53"/>
        <v>0</v>
      </c>
      <c r="S427" s="8">
        <f t="shared" si="54"/>
        <v>0</v>
      </c>
      <c r="T427" s="3" t="e">
        <f t="shared" si="55"/>
        <v>#VALUE!</v>
      </c>
      <c r="V427" s="1" t="e">
        <f t="shared" si="56"/>
        <v>#VALUE!</v>
      </c>
    </row>
    <row r="428" spans="8:22" x14ac:dyDescent="0.3">
      <c r="H428" s="2" t="str">
        <f>IF(Planilha1!B425="","",Planilha1!B425)</f>
        <v>7:30p</v>
      </c>
      <c r="I428" s="2" t="str">
        <f>IF(Planilha1!C425="","",Planilha1!C425)</f>
        <v>Memphis Grizzlies</v>
      </c>
      <c r="J428" s="2">
        <f>IF(Planilha1!D425="","",Planilha1!D425)</f>
        <v>125</v>
      </c>
      <c r="K428" s="10" t="str">
        <f>IF(Planilha1!E425="","",IF(Planilha1!E425=0,"",Planilha1!E425))</f>
        <v>Atlanta Hawks</v>
      </c>
      <c r="L428" s="10">
        <f>IF(Planilha1!F425="","",Planilha1!F425)</f>
        <v>119</v>
      </c>
      <c r="M428" s="10">
        <f>IF(Planilha1!G425="","",IF(Planilha1!G425=0,"",Planilha1!G425))</f>
        <v>119</v>
      </c>
      <c r="N428" s="5">
        <f t="shared" si="49"/>
        <v>1</v>
      </c>
      <c r="O428" s="5">
        <f t="shared" si="50"/>
        <v>0</v>
      </c>
      <c r="P428" s="5">
        <f t="shared" si="51"/>
        <v>0</v>
      </c>
      <c r="Q428" s="5">
        <f t="shared" si="52"/>
        <v>2</v>
      </c>
      <c r="R428" s="8">
        <f t="shared" si="53"/>
        <v>0</v>
      </c>
      <c r="S428" s="8">
        <f t="shared" si="54"/>
        <v>0</v>
      </c>
      <c r="T428" s="3" t="e">
        <f t="shared" si="55"/>
        <v>#VALUE!</v>
      </c>
      <c r="V428" s="1" t="e">
        <f t="shared" si="56"/>
        <v>#VALUE!</v>
      </c>
    </row>
    <row r="429" spans="8:22" x14ac:dyDescent="0.3">
      <c r="H429" s="2" t="str">
        <f>IF(Planilha1!B426="","",Planilha1!B426)</f>
        <v>7:30p</v>
      </c>
      <c r="I429" s="2" t="str">
        <f>IF(Planilha1!C426="","",Planilha1!C426)</f>
        <v>Detroit Pistons</v>
      </c>
      <c r="J429" s="2">
        <f>IF(Planilha1!D426="","",Planilha1!D426)</f>
        <v>115</v>
      </c>
      <c r="K429" s="10" t="str">
        <f>IF(Planilha1!E426="","",IF(Planilha1!E426=0,"",Planilha1!E426))</f>
        <v>Brooklyn Nets</v>
      </c>
      <c r="L429" s="10">
        <f>IF(Planilha1!F426="","",Planilha1!F426)</f>
        <v>126</v>
      </c>
      <c r="M429" s="10">
        <f>IF(Planilha1!G426="","",IF(Planilha1!G426=0,"",Planilha1!G426))</f>
        <v>126</v>
      </c>
      <c r="N429" s="5">
        <f t="shared" si="49"/>
        <v>1</v>
      </c>
      <c r="O429" s="5">
        <f t="shared" si="50"/>
        <v>0</v>
      </c>
      <c r="P429" s="5">
        <f t="shared" si="51"/>
        <v>0</v>
      </c>
      <c r="Q429" s="5">
        <f t="shared" si="52"/>
        <v>2</v>
      </c>
      <c r="R429" s="8">
        <f t="shared" si="53"/>
        <v>0</v>
      </c>
      <c r="S429" s="8">
        <f t="shared" si="54"/>
        <v>0</v>
      </c>
      <c r="T429" s="3" t="e">
        <f t="shared" si="55"/>
        <v>#VALUE!</v>
      </c>
      <c r="V429" s="1" t="e">
        <f t="shared" si="56"/>
        <v>#VALUE!</v>
      </c>
    </row>
    <row r="430" spans="8:22" x14ac:dyDescent="0.3">
      <c r="H430" s="2" t="str">
        <f>IF(Planilha1!B427="","",Planilha1!B427)</f>
        <v>7:30p</v>
      </c>
      <c r="I430" s="2" t="str">
        <f>IF(Planilha1!C427="","",Planilha1!C427)</f>
        <v>Utah Jazz</v>
      </c>
      <c r="J430" s="2">
        <f>IF(Planilha1!D427="","",Planilha1!D427)</f>
        <v>126</v>
      </c>
      <c r="K430" s="10" t="str">
        <f>IF(Planilha1!E427="","",IF(Planilha1!E427=0,"",Planilha1!E427))</f>
        <v>Toronto Raptors</v>
      </c>
      <c r="L430" s="10">
        <f>IF(Planilha1!F427="","",Planilha1!F427)</f>
        <v>119</v>
      </c>
      <c r="M430" s="10">
        <f>IF(Planilha1!G427="","",IF(Planilha1!G427=0,"",Planilha1!G427))</f>
        <v>119</v>
      </c>
      <c r="N430" s="5">
        <f t="shared" si="49"/>
        <v>1</v>
      </c>
      <c r="O430" s="5">
        <f t="shared" si="50"/>
        <v>0</v>
      </c>
      <c r="P430" s="5">
        <f t="shared" si="51"/>
        <v>0</v>
      </c>
      <c r="Q430" s="5">
        <f t="shared" si="52"/>
        <v>2</v>
      </c>
      <c r="R430" s="8">
        <f t="shared" si="53"/>
        <v>0</v>
      </c>
      <c r="S430" s="8">
        <f t="shared" si="54"/>
        <v>0</v>
      </c>
      <c r="T430" s="3" t="e">
        <f t="shared" si="55"/>
        <v>#VALUE!</v>
      </c>
      <c r="V430" s="1" t="e">
        <f t="shared" si="56"/>
        <v>#VALUE!</v>
      </c>
    </row>
    <row r="431" spans="8:22" x14ac:dyDescent="0.3">
      <c r="H431" s="2" t="str">
        <f>IF(Planilha1!B428="","",Planilha1!B428)</f>
        <v>8:00p</v>
      </c>
      <c r="I431" s="2" t="str">
        <f>IF(Planilha1!C428="","",Planilha1!C428)</f>
        <v>Cleveland Cavaliers</v>
      </c>
      <c r="J431" s="2">
        <f>IF(Planilha1!D428="","",Planilha1!D428)</f>
        <v>109</v>
      </c>
      <c r="K431" s="10" t="str">
        <f>IF(Planilha1!E428="","",IF(Planilha1!E428=0,"",Planilha1!E428))</f>
        <v>Chicago Bulls</v>
      </c>
      <c r="L431" s="10">
        <f>IF(Planilha1!F428="","",Planilha1!F428)</f>
        <v>95</v>
      </c>
      <c r="M431" s="10">
        <f>IF(Planilha1!G428="","",IF(Planilha1!G428=0,"",Planilha1!G428))</f>
        <v>95</v>
      </c>
      <c r="N431" s="5">
        <f t="shared" si="49"/>
        <v>1</v>
      </c>
      <c r="O431" s="5">
        <f t="shared" si="50"/>
        <v>0</v>
      </c>
      <c r="P431" s="5">
        <f t="shared" si="51"/>
        <v>0</v>
      </c>
      <c r="Q431" s="5">
        <f t="shared" si="52"/>
        <v>2</v>
      </c>
      <c r="R431" s="8">
        <f t="shared" si="53"/>
        <v>0</v>
      </c>
      <c r="S431" s="8">
        <f t="shared" si="54"/>
        <v>0</v>
      </c>
      <c r="T431" s="3" t="e">
        <f t="shared" si="55"/>
        <v>#VALUE!</v>
      </c>
      <c r="V431" s="1" t="e">
        <f t="shared" si="56"/>
        <v>#VALUE!</v>
      </c>
    </row>
    <row r="432" spans="8:22" x14ac:dyDescent="0.3">
      <c r="H432" s="2" t="str">
        <f>IF(Planilha1!B429="","",Planilha1!B429)</f>
        <v>8:00p</v>
      </c>
      <c r="I432" s="2" t="str">
        <f>IF(Planilha1!C429="","",Planilha1!C429)</f>
        <v>Los Angeles Lakers</v>
      </c>
      <c r="J432" s="2">
        <f>IF(Planilha1!D429="","",Planilha1!D429)</f>
        <v>129</v>
      </c>
      <c r="K432" s="10" t="str">
        <f>IF(Planilha1!E429="","",IF(Planilha1!E429=0,"",Planilha1!E429))</f>
        <v>Oklahoma City Thunder</v>
      </c>
      <c r="L432" s="10">
        <f>IF(Planilha1!F429="","",Planilha1!F429)</f>
        <v>120</v>
      </c>
      <c r="M432" s="10">
        <f>IF(Planilha1!G429="","",IF(Planilha1!G429=0,"",Planilha1!G429))</f>
        <v>120</v>
      </c>
      <c r="N432" s="5">
        <f t="shared" si="49"/>
        <v>1</v>
      </c>
      <c r="O432" s="5">
        <f t="shared" si="50"/>
        <v>0</v>
      </c>
      <c r="P432" s="5">
        <f t="shared" si="51"/>
        <v>0</v>
      </c>
      <c r="Q432" s="5">
        <f t="shared" si="52"/>
        <v>2</v>
      </c>
      <c r="R432" s="8">
        <f t="shared" si="53"/>
        <v>0</v>
      </c>
      <c r="S432" s="8">
        <f t="shared" si="54"/>
        <v>0</v>
      </c>
      <c r="T432" s="3" t="e">
        <f t="shared" si="55"/>
        <v>#VALUE!</v>
      </c>
      <c r="V432" s="1" t="e">
        <f t="shared" si="56"/>
        <v>#VALUE!</v>
      </c>
    </row>
    <row r="433" spans="8:22" x14ac:dyDescent="0.3">
      <c r="H433" s="2" t="str">
        <f>IF(Planilha1!B430="","",Planilha1!B430)</f>
        <v>8:30p</v>
      </c>
      <c r="I433" s="2" t="str">
        <f>IF(Planilha1!C430="","",Planilha1!C430)</f>
        <v>San Antonio Spurs</v>
      </c>
      <c r="J433" s="2">
        <f>IF(Planilha1!D430="","",Planilha1!D430)</f>
        <v>119</v>
      </c>
      <c r="K433" s="10" t="str">
        <f>IF(Planilha1!E430="","",IF(Planilha1!E430=0,"",Planilha1!E430))</f>
        <v>Dallas Mavericks</v>
      </c>
      <c r="L433" s="10">
        <f>IF(Planilha1!F430="","",Planilha1!F430)</f>
        <v>144</v>
      </c>
      <c r="M433" s="10">
        <f>IF(Planilha1!G430="","",IF(Planilha1!G430=0,"",Planilha1!G430))</f>
        <v>144</v>
      </c>
      <c r="N433" s="5">
        <f t="shared" si="49"/>
        <v>1</v>
      </c>
      <c r="O433" s="5">
        <f t="shared" si="50"/>
        <v>0</v>
      </c>
      <c r="P433" s="5">
        <f t="shared" si="51"/>
        <v>0</v>
      </c>
      <c r="Q433" s="5">
        <f t="shared" si="52"/>
        <v>2</v>
      </c>
      <c r="R433" s="8">
        <f t="shared" si="53"/>
        <v>0</v>
      </c>
      <c r="S433" s="8">
        <f t="shared" si="54"/>
        <v>0</v>
      </c>
      <c r="T433" s="3" t="e">
        <f t="shared" si="55"/>
        <v>#VALUE!</v>
      </c>
      <c r="V433" s="1" t="e">
        <f t="shared" si="56"/>
        <v>#VALUE!</v>
      </c>
    </row>
    <row r="434" spans="8:22" x14ac:dyDescent="0.3">
      <c r="H434" s="2" t="str">
        <f>IF(Planilha1!B431="","",Planilha1!B431)</f>
        <v>8:30p</v>
      </c>
      <c r="I434" s="2" t="str">
        <f>IF(Planilha1!C431="","",Planilha1!C431)</f>
        <v>Portland Trail Blazers</v>
      </c>
      <c r="J434" s="2">
        <f>IF(Planilha1!D431="","",Planilha1!D431)</f>
        <v>106</v>
      </c>
      <c r="K434" s="10" t="str">
        <f>IF(Planilha1!E431="","",IF(Planilha1!E431=0,"",Planilha1!E431))</f>
        <v>Golden State Warriors</v>
      </c>
      <c r="L434" s="10">
        <f>IF(Planilha1!F431="","",Planilha1!F431)</f>
        <v>126</v>
      </c>
      <c r="M434" s="10">
        <f>IF(Planilha1!G431="","",IF(Planilha1!G431=0,"",Planilha1!G431))</f>
        <v>126</v>
      </c>
      <c r="N434" s="5">
        <f t="shared" si="49"/>
        <v>1</v>
      </c>
      <c r="O434" s="5">
        <f t="shared" si="50"/>
        <v>0</v>
      </c>
      <c r="P434" s="5">
        <f t="shared" si="51"/>
        <v>0</v>
      </c>
      <c r="Q434" s="5">
        <f t="shared" si="52"/>
        <v>2</v>
      </c>
      <c r="R434" s="8">
        <f t="shared" si="53"/>
        <v>0</v>
      </c>
      <c r="S434" s="8">
        <f t="shared" si="54"/>
        <v>0</v>
      </c>
      <c r="T434" s="3" t="e">
        <f t="shared" si="55"/>
        <v>#VALUE!</v>
      </c>
      <c r="V434" s="1" t="e">
        <f t="shared" si="56"/>
        <v>#VALUE!</v>
      </c>
    </row>
    <row r="435" spans="8:22" x14ac:dyDescent="0.3">
      <c r="H435" s="2" t="str">
        <f>IF(Planilha1!B432="","",Planilha1!B432)</f>
        <v>10:00p</v>
      </c>
      <c r="I435" s="2" t="str">
        <f>IF(Planilha1!C432="","",Planilha1!C432)</f>
        <v>Minnesota Timberwolves</v>
      </c>
      <c r="J435" s="2">
        <f>IF(Planilha1!D432="","",Planilha1!D432)</f>
        <v>110</v>
      </c>
      <c r="K435" s="10" t="str">
        <f>IF(Planilha1!E432="","",IF(Planilha1!E432=0,"",Planilha1!E432))</f>
        <v>Sacramento Kings</v>
      </c>
      <c r="L435" s="10">
        <f>IF(Planilha1!F432="","",Planilha1!F432)</f>
        <v>98</v>
      </c>
      <c r="M435" s="10">
        <f>IF(Planilha1!G432="","",IF(Planilha1!G432=0,"",Planilha1!G432))</f>
        <v>98</v>
      </c>
      <c r="N435" s="5">
        <f t="shared" si="49"/>
        <v>1</v>
      </c>
      <c r="O435" s="5">
        <f t="shared" si="50"/>
        <v>0</v>
      </c>
      <c r="P435" s="5">
        <f t="shared" si="51"/>
        <v>0</v>
      </c>
      <c r="Q435" s="5">
        <f t="shared" si="52"/>
        <v>2</v>
      </c>
      <c r="R435" s="8">
        <f t="shared" si="53"/>
        <v>0</v>
      </c>
      <c r="S435" s="8">
        <f t="shared" si="54"/>
        <v>0</v>
      </c>
      <c r="T435" s="3" t="e">
        <f t="shared" si="55"/>
        <v>#VALUE!</v>
      </c>
      <c r="V435" s="1" t="e">
        <f t="shared" si="56"/>
        <v>#VALUE!</v>
      </c>
    </row>
    <row r="436" spans="8:22" x14ac:dyDescent="0.3">
      <c r="H436" s="2" t="str">
        <f>IF(Planilha1!B433="","",Planilha1!B433)</f>
        <v>12:00p</v>
      </c>
      <c r="I436" s="2" t="str">
        <f>IF(Planilha1!C433="","",Planilha1!C433)</f>
        <v>Milwaukee Bucks</v>
      </c>
      <c r="J436" s="2">
        <f>IF(Planilha1!D433="","",Planilha1!D433)</f>
        <v>122</v>
      </c>
      <c r="K436" s="10" t="str">
        <f>IF(Planilha1!E433="","",IF(Planilha1!E433=0,"",Planilha1!E433))</f>
        <v>New York Knicks</v>
      </c>
      <c r="L436" s="10">
        <f>IF(Planilha1!F433="","",Planilha1!F433)</f>
        <v>129</v>
      </c>
      <c r="M436" s="10">
        <f>IF(Planilha1!G433="","",IF(Planilha1!G433=0,"",Planilha1!G433))</f>
        <v>129</v>
      </c>
      <c r="N436" s="5">
        <f t="shared" si="49"/>
        <v>1</v>
      </c>
      <c r="O436" s="5">
        <f t="shared" si="50"/>
        <v>0</v>
      </c>
      <c r="P436" s="5">
        <f t="shared" si="51"/>
        <v>0</v>
      </c>
      <c r="Q436" s="5">
        <f t="shared" si="52"/>
        <v>2</v>
      </c>
      <c r="R436" s="8">
        <f t="shared" si="53"/>
        <v>0</v>
      </c>
      <c r="S436" s="8">
        <f t="shared" si="54"/>
        <v>0</v>
      </c>
      <c r="T436" s="3" t="e">
        <f t="shared" si="55"/>
        <v>#VALUE!</v>
      </c>
      <c r="V436" s="1" t="e">
        <f t="shared" si="56"/>
        <v>#VALUE!</v>
      </c>
    </row>
    <row r="437" spans="8:22" x14ac:dyDescent="0.3">
      <c r="H437" s="2" t="str">
        <f>IF(Planilha1!B434="","",Planilha1!B434)</f>
        <v>2:30p</v>
      </c>
      <c r="I437" s="2" t="str">
        <f>IF(Planilha1!C434="","",Planilha1!C434)</f>
        <v>Golden State Warriors</v>
      </c>
      <c r="J437" s="2">
        <f>IF(Planilha1!D434="","",Planilha1!D434)</f>
        <v>114</v>
      </c>
      <c r="K437" s="10" t="str">
        <f>IF(Planilha1!E434="","",IF(Planilha1!E434=0,"",Planilha1!E434))</f>
        <v>Denver Nuggets</v>
      </c>
      <c r="L437" s="10">
        <f>IF(Planilha1!F434="","",Planilha1!F434)</f>
        <v>120</v>
      </c>
      <c r="M437" s="10">
        <f>IF(Planilha1!G434="","",IF(Planilha1!G434=0,"",Planilha1!G434))</f>
        <v>120</v>
      </c>
      <c r="N437" s="5">
        <f t="shared" si="49"/>
        <v>1</v>
      </c>
      <c r="O437" s="5">
        <f t="shared" si="50"/>
        <v>0</v>
      </c>
      <c r="P437" s="5">
        <f t="shared" si="51"/>
        <v>0</v>
      </c>
      <c r="Q437" s="5">
        <f t="shared" si="52"/>
        <v>2</v>
      </c>
      <c r="R437" s="8">
        <f t="shared" si="53"/>
        <v>0</v>
      </c>
      <c r="S437" s="8">
        <f t="shared" si="54"/>
        <v>0</v>
      </c>
      <c r="T437" s="3" t="e">
        <f t="shared" si="55"/>
        <v>#VALUE!</v>
      </c>
      <c r="V437" s="1" t="e">
        <f t="shared" si="56"/>
        <v>#VALUE!</v>
      </c>
    </row>
    <row r="438" spans="8:22" x14ac:dyDescent="0.3">
      <c r="H438" s="2" t="str">
        <f>IF(Planilha1!B435="","",Planilha1!B435)</f>
        <v>5:00p</v>
      </c>
      <c r="I438" s="2" t="str">
        <f>IF(Planilha1!C435="","",Planilha1!C435)</f>
        <v>Boston Celtics</v>
      </c>
      <c r="J438" s="2">
        <f>IF(Planilha1!D435="","",Planilha1!D435)</f>
        <v>126</v>
      </c>
      <c r="K438" s="10" t="str">
        <f>IF(Planilha1!E435="","",IF(Planilha1!E435=0,"",Planilha1!E435))</f>
        <v>Los Angeles Lakers</v>
      </c>
      <c r="L438" s="10">
        <f>IF(Planilha1!F435="","",Planilha1!F435)</f>
        <v>115</v>
      </c>
      <c r="M438" s="10">
        <f>IF(Planilha1!G435="","",IF(Planilha1!G435=0,"",Planilha1!G435))</f>
        <v>115</v>
      </c>
      <c r="N438" s="5">
        <f t="shared" si="49"/>
        <v>1</v>
      </c>
      <c r="O438" s="5">
        <f t="shared" si="50"/>
        <v>0</v>
      </c>
      <c r="P438" s="5">
        <f t="shared" si="51"/>
        <v>0</v>
      </c>
      <c r="Q438" s="5">
        <f t="shared" si="52"/>
        <v>2</v>
      </c>
      <c r="R438" s="8">
        <f t="shared" si="53"/>
        <v>0</v>
      </c>
      <c r="S438" s="8">
        <f t="shared" si="54"/>
        <v>0</v>
      </c>
      <c r="T438" s="3" t="e">
        <f t="shared" si="55"/>
        <v>#VALUE!</v>
      </c>
      <c r="V438" s="1" t="e">
        <f t="shared" si="56"/>
        <v>#VALUE!</v>
      </c>
    </row>
    <row r="439" spans="8:22" x14ac:dyDescent="0.3">
      <c r="H439" s="2" t="str">
        <f>IF(Planilha1!B436="","",Planilha1!B436)</f>
        <v>8:00p</v>
      </c>
      <c r="I439" s="2" t="str">
        <f>IF(Planilha1!C436="","",Planilha1!C436)</f>
        <v>Philadelphia 76ers</v>
      </c>
      <c r="J439" s="2">
        <f>IF(Planilha1!D436="","",Planilha1!D436)</f>
        <v>113</v>
      </c>
      <c r="K439" s="10" t="str">
        <f>IF(Planilha1!E436="","",IF(Planilha1!E436=0,"",Planilha1!E436))</f>
        <v>Miami Heat</v>
      </c>
      <c r="L439" s="10">
        <f>IF(Planilha1!F436="","",Planilha1!F436)</f>
        <v>119</v>
      </c>
      <c r="M439" s="10">
        <f>IF(Planilha1!G436="","",IF(Planilha1!G436=0,"",Planilha1!G436))</f>
        <v>119</v>
      </c>
      <c r="N439" s="5">
        <f t="shared" si="49"/>
        <v>1</v>
      </c>
      <c r="O439" s="5">
        <f t="shared" si="50"/>
        <v>0</v>
      </c>
      <c r="P439" s="5">
        <f t="shared" si="51"/>
        <v>0</v>
      </c>
      <c r="Q439" s="5">
        <f t="shared" si="52"/>
        <v>2</v>
      </c>
      <c r="R439" s="8">
        <f t="shared" si="53"/>
        <v>0</v>
      </c>
      <c r="S439" s="8">
        <f t="shared" si="54"/>
        <v>0</v>
      </c>
      <c r="T439" s="3" t="e">
        <f t="shared" si="55"/>
        <v>#VALUE!</v>
      </c>
      <c r="V439" s="1" t="e">
        <f t="shared" si="56"/>
        <v>#VALUE!</v>
      </c>
    </row>
    <row r="440" spans="8:22" x14ac:dyDescent="0.3">
      <c r="H440" s="2" t="str">
        <f>IF(Planilha1!B437="","",Planilha1!B437)</f>
        <v>10:30p</v>
      </c>
      <c r="I440" s="2" t="str">
        <f>IF(Planilha1!C437="","",Planilha1!C437)</f>
        <v>Dallas Mavericks</v>
      </c>
      <c r="J440" s="2">
        <f>IF(Planilha1!D437="","",Planilha1!D437)</f>
        <v>128</v>
      </c>
      <c r="K440" s="10" t="str">
        <f>IF(Planilha1!E437="","",IF(Planilha1!E437=0,"",Planilha1!E437))</f>
        <v>Phoenix Suns</v>
      </c>
      <c r="L440" s="10">
        <f>IF(Planilha1!F437="","",Planilha1!F437)</f>
        <v>114</v>
      </c>
      <c r="M440" s="10">
        <f>IF(Planilha1!G437="","",IF(Planilha1!G437=0,"",Planilha1!G437))</f>
        <v>114</v>
      </c>
      <c r="N440" s="5">
        <f t="shared" si="49"/>
        <v>1</v>
      </c>
      <c r="O440" s="5">
        <f t="shared" si="50"/>
        <v>0</v>
      </c>
      <c r="P440" s="5">
        <f t="shared" si="51"/>
        <v>0</v>
      </c>
      <c r="Q440" s="5">
        <f t="shared" si="52"/>
        <v>2</v>
      </c>
      <c r="R440" s="8">
        <f t="shared" si="53"/>
        <v>0</v>
      </c>
      <c r="S440" s="8">
        <f t="shared" si="54"/>
        <v>0</v>
      </c>
      <c r="T440" s="3" t="e">
        <f t="shared" si="55"/>
        <v>#VALUE!</v>
      </c>
      <c r="V440" s="1" t="e">
        <f t="shared" si="56"/>
        <v>#VALUE!</v>
      </c>
    </row>
    <row r="441" spans="8:22" x14ac:dyDescent="0.3">
      <c r="H441" s="2" t="str">
        <f>IF(Planilha1!B438="","",Planilha1!B438)</f>
        <v>7:00p</v>
      </c>
      <c r="I441" s="2" t="str">
        <f>IF(Planilha1!C438="","",Planilha1!C438)</f>
        <v>Brooklyn Nets</v>
      </c>
      <c r="J441" s="2">
        <f>IF(Planilha1!D438="","",Planilha1!D438)</f>
        <v>118</v>
      </c>
      <c r="K441" s="10" t="str">
        <f>IF(Planilha1!E438="","",IF(Planilha1!E438=0,"",Planilha1!E438))</f>
        <v>Detroit Pistons</v>
      </c>
      <c r="L441" s="10">
        <f>IF(Planilha1!F438="","",Planilha1!F438)</f>
        <v>112</v>
      </c>
      <c r="M441" s="10">
        <f>IF(Planilha1!G438="","",IF(Planilha1!G438=0,"",Planilha1!G438))</f>
        <v>112</v>
      </c>
      <c r="N441" s="5">
        <f t="shared" si="49"/>
        <v>1</v>
      </c>
      <c r="O441" s="5">
        <f t="shared" si="50"/>
        <v>0</v>
      </c>
      <c r="P441" s="5">
        <f t="shared" si="51"/>
        <v>0</v>
      </c>
      <c r="Q441" s="5">
        <f t="shared" si="52"/>
        <v>2</v>
      </c>
      <c r="R441" s="8">
        <f t="shared" si="53"/>
        <v>0</v>
      </c>
      <c r="S441" s="8">
        <f t="shared" si="54"/>
        <v>0</v>
      </c>
      <c r="T441" s="3" t="e">
        <f t="shared" si="55"/>
        <v>#VALUE!</v>
      </c>
      <c r="V441" s="1" t="e">
        <f t="shared" si="56"/>
        <v>#VALUE!</v>
      </c>
    </row>
    <row r="442" spans="8:22" x14ac:dyDescent="0.3">
      <c r="H442" s="2" t="str">
        <f>IF(Planilha1!B439="","",Planilha1!B439)</f>
        <v>7:00p</v>
      </c>
      <c r="I442" s="2" t="str">
        <f>IF(Planilha1!C439="","",Planilha1!C439)</f>
        <v>Orlando Magic</v>
      </c>
      <c r="J442" s="2">
        <f>IF(Planilha1!D439="","",Planilha1!D439)</f>
        <v>127</v>
      </c>
      <c r="K442" s="10" t="str">
        <f>IF(Planilha1!E439="","",IF(Planilha1!E439=0,"",Planilha1!E439))</f>
        <v>Washington Wizards</v>
      </c>
      <c r="L442" s="10">
        <f>IF(Planilha1!F439="","",Planilha1!F439)</f>
        <v>119</v>
      </c>
      <c r="M442" s="10">
        <f>IF(Planilha1!G439="","",IF(Planilha1!G439=0,"",Planilha1!G439))</f>
        <v>119</v>
      </c>
      <c r="N442" s="5">
        <f t="shared" si="49"/>
        <v>1</v>
      </c>
      <c r="O442" s="5">
        <f t="shared" si="50"/>
        <v>0</v>
      </c>
      <c r="P442" s="5">
        <f t="shared" si="51"/>
        <v>0</v>
      </c>
      <c r="Q442" s="5">
        <f t="shared" si="52"/>
        <v>2</v>
      </c>
      <c r="R442" s="8">
        <f t="shared" si="53"/>
        <v>0</v>
      </c>
      <c r="S442" s="8">
        <f t="shared" si="54"/>
        <v>0</v>
      </c>
      <c r="T442" s="3" t="e">
        <f t="shared" si="55"/>
        <v>#VALUE!</v>
      </c>
      <c r="V442" s="1" t="e">
        <f t="shared" si="56"/>
        <v>#VALUE!</v>
      </c>
    </row>
    <row r="443" spans="8:22" x14ac:dyDescent="0.3">
      <c r="H443" s="2" t="str">
        <f>IF(Planilha1!B440="","",Planilha1!B440)</f>
        <v>8:00p</v>
      </c>
      <c r="I443" s="2" t="str">
        <f>IF(Planilha1!C440="","",Planilha1!C440)</f>
        <v>Atlanta Hawks</v>
      </c>
      <c r="J443" s="2">
        <f>IF(Planilha1!D440="","",Planilha1!D440)</f>
        <v>113</v>
      </c>
      <c r="K443" s="10" t="str">
        <f>IF(Planilha1!E440="","",IF(Planilha1!E440=0,"",Planilha1!E440))</f>
        <v>Chicago Bulls</v>
      </c>
      <c r="L443" s="10">
        <f>IF(Planilha1!F440="","",Planilha1!F440)</f>
        <v>118</v>
      </c>
      <c r="M443" s="10">
        <f>IF(Planilha1!G440="","",IF(Planilha1!G440=0,"",Planilha1!G440))</f>
        <v>118</v>
      </c>
      <c r="N443" s="5">
        <f t="shared" si="49"/>
        <v>1</v>
      </c>
      <c r="O443" s="5">
        <f t="shared" si="50"/>
        <v>0</v>
      </c>
      <c r="P443" s="5">
        <f t="shared" si="51"/>
        <v>0</v>
      </c>
      <c r="Q443" s="5">
        <f t="shared" si="52"/>
        <v>2</v>
      </c>
      <c r="R443" s="8">
        <f t="shared" si="53"/>
        <v>0</v>
      </c>
      <c r="S443" s="8">
        <f t="shared" si="54"/>
        <v>0</v>
      </c>
      <c r="T443" s="3" t="e">
        <f t="shared" si="55"/>
        <v>#VALUE!</v>
      </c>
      <c r="V443" s="1" t="e">
        <f t="shared" si="56"/>
        <v>#VALUE!</v>
      </c>
    </row>
    <row r="444" spans="8:22" x14ac:dyDescent="0.3">
      <c r="H444" s="2" t="str">
        <f>IF(Planilha1!B441="","",Planilha1!B441)</f>
        <v>8:00p</v>
      </c>
      <c r="I444" s="2" t="str">
        <f>IF(Planilha1!C441="","",Planilha1!C441)</f>
        <v>Indiana Pacers</v>
      </c>
      <c r="J444" s="2">
        <f>IF(Planilha1!D441="","",Planilha1!D441)</f>
        <v>123</v>
      </c>
      <c r="K444" s="10" t="str">
        <f>IF(Planilha1!E441="","",IF(Planilha1!E441=0,"",Planilha1!E441))</f>
        <v>Houston Rockets</v>
      </c>
      <c r="L444" s="10">
        <f>IF(Planilha1!F441="","",Planilha1!F441)</f>
        <v>117</v>
      </c>
      <c r="M444" s="10">
        <f>IF(Planilha1!G441="","",IF(Planilha1!G441=0,"",Planilha1!G441))</f>
        <v>117</v>
      </c>
      <c r="N444" s="5">
        <f t="shared" si="49"/>
        <v>1</v>
      </c>
      <c r="O444" s="5">
        <f t="shared" si="50"/>
        <v>0</v>
      </c>
      <c r="P444" s="5">
        <f t="shared" si="51"/>
        <v>0</v>
      </c>
      <c r="Q444" s="5">
        <f t="shared" si="52"/>
        <v>2</v>
      </c>
      <c r="R444" s="8">
        <f t="shared" si="53"/>
        <v>0</v>
      </c>
      <c r="S444" s="8">
        <f t="shared" si="54"/>
        <v>0</v>
      </c>
      <c r="T444" s="3" t="e">
        <f t="shared" si="55"/>
        <v>#VALUE!</v>
      </c>
      <c r="V444" s="1" t="e">
        <f t="shared" si="56"/>
        <v>#VALUE!</v>
      </c>
    </row>
    <row r="445" spans="8:22" x14ac:dyDescent="0.3">
      <c r="H445" s="2" t="str">
        <f>IF(Planilha1!B442="","",Planilha1!B442)</f>
        <v>8:00p</v>
      </c>
      <c r="I445" s="2" t="str">
        <f>IF(Planilha1!C442="","",Planilha1!C442)</f>
        <v>Memphis Grizzlies</v>
      </c>
      <c r="J445" s="2">
        <f>IF(Planilha1!D442="","",Planilha1!D442)</f>
        <v>116</v>
      </c>
      <c r="K445" s="10" t="str">
        <f>IF(Planilha1!E442="","",IF(Planilha1!E442=0,"",Planilha1!E442))</f>
        <v>New Orleans Pelicans</v>
      </c>
      <c r="L445" s="10">
        <f>IF(Planilha1!F442="","",Planilha1!F442)</f>
        <v>115</v>
      </c>
      <c r="M445" s="10">
        <f>IF(Planilha1!G442="","",IF(Planilha1!G442=0,"",Planilha1!G442))</f>
        <v>115</v>
      </c>
      <c r="N445" s="5">
        <f t="shared" si="49"/>
        <v>1</v>
      </c>
      <c r="O445" s="5">
        <f t="shared" si="50"/>
        <v>0</v>
      </c>
      <c r="P445" s="5">
        <f t="shared" si="51"/>
        <v>0</v>
      </c>
      <c r="Q445" s="5">
        <f t="shared" si="52"/>
        <v>2</v>
      </c>
      <c r="R445" s="8">
        <f t="shared" si="53"/>
        <v>0</v>
      </c>
      <c r="S445" s="8">
        <f t="shared" si="54"/>
        <v>0</v>
      </c>
      <c r="T445" s="3" t="e">
        <f t="shared" si="55"/>
        <v>#VALUE!</v>
      </c>
      <c r="V445" s="1" t="e">
        <f t="shared" si="56"/>
        <v>#VALUE!</v>
      </c>
    </row>
    <row r="446" spans="8:22" x14ac:dyDescent="0.3">
      <c r="H446" s="2" t="str">
        <f>IF(Planilha1!B443="","",Planilha1!B443)</f>
        <v>8:00p</v>
      </c>
      <c r="I446" s="2" t="str">
        <f>IF(Planilha1!C443="","",Planilha1!C443)</f>
        <v>Minnesota Timberwolves</v>
      </c>
      <c r="J446" s="2">
        <f>IF(Planilha1!D443="","",Planilha1!D443)</f>
        <v>106</v>
      </c>
      <c r="K446" s="10" t="str">
        <f>IF(Planilha1!E443="","",IF(Planilha1!E443=0,"",Planilha1!E443))</f>
        <v>Oklahoma City Thunder</v>
      </c>
      <c r="L446" s="10">
        <f>IF(Planilha1!F443="","",Planilha1!F443)</f>
        <v>129</v>
      </c>
      <c r="M446" s="10">
        <f>IF(Planilha1!G443="","",IF(Planilha1!G443=0,"",Planilha1!G443))</f>
        <v>129</v>
      </c>
      <c r="N446" s="5">
        <f t="shared" si="49"/>
        <v>1</v>
      </c>
      <c r="O446" s="5">
        <f t="shared" si="50"/>
        <v>0</v>
      </c>
      <c r="P446" s="5">
        <f t="shared" si="51"/>
        <v>0</v>
      </c>
      <c r="Q446" s="5">
        <f t="shared" si="52"/>
        <v>2</v>
      </c>
      <c r="R446" s="8">
        <f t="shared" si="53"/>
        <v>0</v>
      </c>
      <c r="S446" s="8">
        <f t="shared" si="54"/>
        <v>0</v>
      </c>
      <c r="T446" s="3" t="e">
        <f t="shared" si="55"/>
        <v>#VALUE!</v>
      </c>
      <c r="V446" s="1" t="e">
        <f t="shared" si="56"/>
        <v>#VALUE!</v>
      </c>
    </row>
    <row r="447" spans="8:22" x14ac:dyDescent="0.3">
      <c r="H447" s="2" t="str">
        <f>IF(Planilha1!B444="","",Planilha1!B444)</f>
        <v>8:00p</v>
      </c>
      <c r="I447" s="2" t="str">
        <f>IF(Planilha1!C444="","",Planilha1!C444)</f>
        <v>Utah Jazz</v>
      </c>
      <c r="J447" s="2">
        <f>IF(Planilha1!D444="","",Planilha1!D444)</f>
        <v>130</v>
      </c>
      <c r="K447" s="10" t="str">
        <f>IF(Planilha1!E444="","",IF(Planilha1!E444=0,"",Planilha1!E444))</f>
        <v>San Antonio Spurs</v>
      </c>
      <c r="L447" s="10">
        <f>IF(Planilha1!F444="","",Planilha1!F444)</f>
        <v>118</v>
      </c>
      <c r="M447" s="10">
        <f>IF(Planilha1!G444="","",IF(Planilha1!G444=0,"",Planilha1!G444))</f>
        <v>118</v>
      </c>
      <c r="N447" s="5">
        <f t="shared" si="49"/>
        <v>1</v>
      </c>
      <c r="O447" s="5">
        <f t="shared" si="50"/>
        <v>0</v>
      </c>
      <c r="P447" s="5">
        <f t="shared" si="51"/>
        <v>0</v>
      </c>
      <c r="Q447" s="5">
        <f t="shared" si="52"/>
        <v>2</v>
      </c>
      <c r="R447" s="8">
        <f t="shared" si="53"/>
        <v>0</v>
      </c>
      <c r="S447" s="8">
        <f t="shared" si="54"/>
        <v>0</v>
      </c>
      <c r="T447" s="3" t="e">
        <f t="shared" si="55"/>
        <v>#VALUE!</v>
      </c>
      <c r="V447" s="1" t="e">
        <f t="shared" si="56"/>
        <v>#VALUE!</v>
      </c>
    </row>
    <row r="448" spans="8:22" x14ac:dyDescent="0.3">
      <c r="H448" s="2" t="str">
        <f>IF(Planilha1!B445="","",Planilha1!B445)</f>
        <v>10:00p</v>
      </c>
      <c r="I448" s="2" t="str">
        <f>IF(Planilha1!C445="","",Planilha1!C445)</f>
        <v>Sacramento Kings</v>
      </c>
      <c r="J448" s="2">
        <f>IF(Planilha1!D445="","",Planilha1!D445)</f>
        <v>113</v>
      </c>
      <c r="K448" s="10" t="str">
        <f>IF(Planilha1!E445="","",IF(Planilha1!E445=0,"",Planilha1!E445))</f>
        <v>Portland Trail Blazers</v>
      </c>
      <c r="L448" s="10">
        <f>IF(Planilha1!F445="","",Planilha1!F445)</f>
        <v>130</v>
      </c>
      <c r="M448" s="10">
        <f>IF(Planilha1!G445="","",IF(Planilha1!G445=0,"",Planilha1!G445))</f>
        <v>130</v>
      </c>
      <c r="N448" s="5">
        <f t="shared" si="49"/>
        <v>1</v>
      </c>
      <c r="O448" s="5">
        <f t="shared" si="50"/>
        <v>0</v>
      </c>
      <c r="P448" s="5">
        <f t="shared" si="51"/>
        <v>0</v>
      </c>
      <c r="Q448" s="5">
        <f t="shared" si="52"/>
        <v>2</v>
      </c>
      <c r="R448" s="8">
        <f t="shared" si="53"/>
        <v>0</v>
      </c>
      <c r="S448" s="8">
        <f t="shared" si="54"/>
        <v>0</v>
      </c>
      <c r="T448" s="3" t="e">
        <f t="shared" si="55"/>
        <v>#VALUE!</v>
      </c>
      <c r="V448" s="1" t="e">
        <f t="shared" si="56"/>
        <v>#VALUE!</v>
      </c>
    </row>
    <row r="449" spans="8:22" x14ac:dyDescent="0.3">
      <c r="H449" s="2" t="str">
        <f>IF(Planilha1!B446="","",Planilha1!B446)</f>
        <v>10:30p</v>
      </c>
      <c r="I449" s="2" t="str">
        <f>IF(Planilha1!C446="","",Planilha1!C446)</f>
        <v>Charlotte Hornets</v>
      </c>
      <c r="J449" s="2">
        <f>IF(Planilha1!D446="","",Planilha1!D446)</f>
        <v>104</v>
      </c>
      <c r="K449" s="10" t="str">
        <f>IF(Planilha1!E446="","",IF(Planilha1!E446=0,"",Planilha1!E446))</f>
        <v>Los Angeles Clippers</v>
      </c>
      <c r="L449" s="10">
        <f>IF(Planilha1!F446="","",Planilha1!F446)</f>
        <v>113</v>
      </c>
      <c r="M449" s="10">
        <f>IF(Planilha1!G446="","",IF(Planilha1!G446=0,"",Planilha1!G446))</f>
        <v>113</v>
      </c>
      <c r="N449" s="5">
        <f t="shared" si="49"/>
        <v>1</v>
      </c>
      <c r="O449" s="5">
        <f t="shared" si="50"/>
        <v>0</v>
      </c>
      <c r="P449" s="5">
        <f t="shared" si="51"/>
        <v>0</v>
      </c>
      <c r="Q449" s="5">
        <f t="shared" si="52"/>
        <v>2</v>
      </c>
      <c r="R449" s="8">
        <f t="shared" si="53"/>
        <v>0</v>
      </c>
      <c r="S449" s="8">
        <f t="shared" si="54"/>
        <v>0</v>
      </c>
      <c r="T449" s="3" t="e">
        <f t="shared" si="55"/>
        <v>#VALUE!</v>
      </c>
      <c r="V449" s="1" t="e">
        <f t="shared" si="56"/>
        <v>#VALUE!</v>
      </c>
    </row>
    <row r="450" spans="8:22" x14ac:dyDescent="0.3">
      <c r="H450" s="2" t="str">
        <f>IF(Planilha1!B447="","",Planilha1!B447)</f>
        <v>7:00p</v>
      </c>
      <c r="I450" s="2" t="str">
        <f>IF(Planilha1!C447="","",Planilha1!C447)</f>
        <v>Philadelphia 76ers</v>
      </c>
      <c r="J450" s="2">
        <f>IF(Planilha1!D447="","",Planilha1!D447)</f>
        <v>112</v>
      </c>
      <c r="K450" s="10" t="str">
        <f>IF(Planilha1!E447="","",IF(Planilha1!E447=0,"",Planilha1!E447))</f>
        <v>Orlando Magic</v>
      </c>
      <c r="L450" s="10">
        <f>IF(Planilha1!F447="","",Planilha1!F447)</f>
        <v>92</v>
      </c>
      <c r="M450" s="10">
        <f>IF(Planilha1!G447="","",IF(Planilha1!G447=0,"",Planilha1!G447))</f>
        <v>92</v>
      </c>
      <c r="N450" s="5">
        <f t="shared" si="49"/>
        <v>1</v>
      </c>
      <c r="O450" s="5">
        <f t="shared" si="50"/>
        <v>0</v>
      </c>
      <c r="P450" s="5">
        <f t="shared" si="51"/>
        <v>0</v>
      </c>
      <c r="Q450" s="5">
        <f t="shared" si="52"/>
        <v>2</v>
      </c>
      <c r="R450" s="8">
        <f t="shared" si="53"/>
        <v>0</v>
      </c>
      <c r="S450" s="8">
        <f t="shared" si="54"/>
        <v>0</v>
      </c>
      <c r="T450" s="3" t="e">
        <f t="shared" si="55"/>
        <v>#VALUE!</v>
      </c>
      <c r="V450" s="1" t="e">
        <f t="shared" si="56"/>
        <v>#VALUE!</v>
      </c>
    </row>
    <row r="451" spans="8:22" x14ac:dyDescent="0.3">
      <c r="H451" s="2" t="str">
        <f>IF(Planilha1!B448="","",Planilha1!B448)</f>
        <v>7:00p</v>
      </c>
      <c r="I451" s="2" t="str">
        <f>IF(Planilha1!C448="","",Planilha1!C448)</f>
        <v>Toronto Raptors</v>
      </c>
      <c r="J451" s="2">
        <f>IF(Planilha1!D448="","",Planilha1!D448)</f>
        <v>132</v>
      </c>
      <c r="K451" s="10" t="str">
        <f>IF(Planilha1!E448="","",IF(Planilha1!E448=0,"",Planilha1!E448))</f>
        <v>Washington Wizards</v>
      </c>
      <c r="L451" s="10">
        <f>IF(Planilha1!F448="","",Planilha1!F448)</f>
        <v>102</v>
      </c>
      <c r="M451" s="10">
        <f>IF(Planilha1!G448="","",IF(Planilha1!G448=0,"",Planilha1!G448))</f>
        <v>102</v>
      </c>
      <c r="N451" s="5">
        <f t="shared" si="49"/>
        <v>1</v>
      </c>
      <c r="O451" s="5">
        <f t="shared" si="50"/>
        <v>0</v>
      </c>
      <c r="P451" s="5">
        <f t="shared" si="51"/>
        <v>0</v>
      </c>
      <c r="Q451" s="5">
        <f t="shared" si="52"/>
        <v>2</v>
      </c>
      <c r="R451" s="8">
        <f t="shared" si="53"/>
        <v>0</v>
      </c>
      <c r="S451" s="8">
        <f t="shared" si="54"/>
        <v>0</v>
      </c>
      <c r="T451" s="3" t="e">
        <f t="shared" si="55"/>
        <v>#VALUE!</v>
      </c>
      <c r="V451" s="1" t="e">
        <f t="shared" si="56"/>
        <v>#VALUE!</v>
      </c>
    </row>
    <row r="452" spans="8:22" x14ac:dyDescent="0.3">
      <c r="H452" s="2" t="str">
        <f>IF(Planilha1!B449="","",Planilha1!B449)</f>
        <v>7:30p</v>
      </c>
      <c r="I452" s="2" t="str">
        <f>IF(Planilha1!C449="","",Planilha1!C449)</f>
        <v>Milwaukee Bucks</v>
      </c>
      <c r="J452" s="2">
        <f>IF(Planilha1!D449="","",Planilha1!D449)</f>
        <v>144</v>
      </c>
      <c r="K452" s="10" t="str">
        <f>IF(Planilha1!E449="","",IF(Planilha1!E449=0,"",Planilha1!E449))</f>
        <v>Brooklyn Nets</v>
      </c>
      <c r="L452" s="10">
        <f>IF(Planilha1!F449="","",Planilha1!F449)</f>
        <v>122</v>
      </c>
      <c r="M452" s="10">
        <f>IF(Planilha1!G449="","",IF(Planilha1!G449=0,"",Planilha1!G449))</f>
        <v>122</v>
      </c>
      <c r="N452" s="5">
        <f t="shared" si="49"/>
        <v>1</v>
      </c>
      <c r="O452" s="5">
        <f t="shared" si="50"/>
        <v>0</v>
      </c>
      <c r="P452" s="5">
        <f t="shared" si="51"/>
        <v>0</v>
      </c>
      <c r="Q452" s="5">
        <f t="shared" si="52"/>
        <v>2</v>
      </c>
      <c r="R452" s="8">
        <f t="shared" si="53"/>
        <v>0</v>
      </c>
      <c r="S452" s="8">
        <f t="shared" si="54"/>
        <v>0</v>
      </c>
      <c r="T452" s="3" t="e">
        <f t="shared" si="55"/>
        <v>#VALUE!</v>
      </c>
      <c r="V452" s="1" t="e">
        <f t="shared" si="56"/>
        <v>#VALUE!</v>
      </c>
    </row>
    <row r="453" spans="8:22" x14ac:dyDescent="0.3">
      <c r="H453" s="2" t="str">
        <f>IF(Planilha1!B450="","",Planilha1!B450)</f>
        <v>8:00p</v>
      </c>
      <c r="I453" s="2" t="str">
        <f>IF(Planilha1!C450="","",Planilha1!C450)</f>
        <v>Phoenix Suns</v>
      </c>
      <c r="J453" s="2">
        <f>IF(Planilha1!D450="","",Planilha1!D450)</f>
        <v>129</v>
      </c>
      <c r="K453" s="10" t="str">
        <f>IF(Planilha1!E450="","",IF(Planilha1!E450=0,"",Planilha1!E450))</f>
        <v>Houston Rockets</v>
      </c>
      <c r="L453" s="10">
        <f>IF(Planilha1!F450="","",Planilha1!F450)</f>
        <v>113</v>
      </c>
      <c r="M453" s="10">
        <f>IF(Planilha1!G450="","",IF(Planilha1!G450=0,"",Planilha1!G450))</f>
        <v>113</v>
      </c>
      <c r="N453" s="5">
        <f t="shared" si="49"/>
        <v>1</v>
      </c>
      <c r="O453" s="5">
        <f t="shared" si="50"/>
        <v>0</v>
      </c>
      <c r="P453" s="5">
        <f t="shared" si="51"/>
        <v>0</v>
      </c>
      <c r="Q453" s="5">
        <f t="shared" si="52"/>
        <v>2</v>
      </c>
      <c r="R453" s="8">
        <f t="shared" si="53"/>
        <v>0</v>
      </c>
      <c r="S453" s="8">
        <f t="shared" si="54"/>
        <v>0</v>
      </c>
      <c r="T453" s="3" t="e">
        <f t="shared" si="55"/>
        <v>#VALUE!</v>
      </c>
      <c r="V453" s="1" t="e">
        <f t="shared" si="56"/>
        <v>#VALUE!</v>
      </c>
    </row>
    <row r="454" spans="8:22" x14ac:dyDescent="0.3">
      <c r="H454" s="2" t="str">
        <f>IF(Planilha1!B451="","",Planilha1!B451)</f>
        <v>8:00p</v>
      </c>
      <c r="I454" s="2" t="str">
        <f>IF(Planilha1!C451="","",Planilha1!C451)</f>
        <v>New York Knicks</v>
      </c>
      <c r="J454" s="2">
        <f>IF(Planilha1!D451="","",Planilha1!D451)</f>
        <v>120</v>
      </c>
      <c r="K454" s="10" t="str">
        <f>IF(Planilha1!E451="","",IF(Planilha1!E451=0,"",Planilha1!E451))</f>
        <v>Oklahoma City Thunder</v>
      </c>
      <c r="L454" s="10">
        <f>IF(Planilha1!F451="","",Planilha1!F451)</f>
        <v>129</v>
      </c>
      <c r="M454" s="10">
        <f>IF(Planilha1!G451="","",IF(Planilha1!G451=0,"",Planilha1!G451))</f>
        <v>129</v>
      </c>
      <c r="N454" s="5">
        <f t="shared" ref="N454:N517" si="57">IF(K454="","",IF(K454&gt;M454,100%,0%))</f>
        <v>1</v>
      </c>
      <c r="O454" s="5">
        <f t="shared" ref="O454:O517" si="58">IF(K454="","",IF(K454&lt;M454,100%,0%))</f>
        <v>0</v>
      </c>
      <c r="P454" s="5">
        <f t="shared" ref="P454:P517" si="59">IF(M454="",IF(R454&gt;S454,2,0),IF(K454&lt;M454,2,0))</f>
        <v>0</v>
      </c>
      <c r="Q454" s="5">
        <f t="shared" ref="Q454:Q517" si="60">IF(M454="",IF(R454&gt;S454,0,2),IF(K454&gt;M454,2,0))</f>
        <v>2</v>
      </c>
      <c r="R454" s="8">
        <f t="shared" ref="R454:R517" si="61">SUMIF($B:$B,J454,$C:$C)+(SUMIF($B:$B,L454,$F:$F))</f>
        <v>0</v>
      </c>
      <c r="S454" s="8">
        <f t="shared" ref="S454:S517" si="62">SUMIF($B:$B,L454,$E:$E)+(SUMIF($B:$B,J454,$D:$D))</f>
        <v>0</v>
      </c>
      <c r="T454" s="3" t="e">
        <f t="shared" ref="T454:T517" si="63">IF(M454="","",(K454-S454)^2+(M454-R454)^2)</f>
        <v>#VALUE!</v>
      </c>
      <c r="V454" s="1" t="e">
        <f t="shared" ref="V454:V517" si="64">IF(O454="","",1/((M454-K454)/(R454-S454)))</f>
        <v>#VALUE!</v>
      </c>
    </row>
    <row r="455" spans="8:22" x14ac:dyDescent="0.3">
      <c r="H455" s="2" t="str">
        <f>IF(Planilha1!B452="","",Planilha1!B452)</f>
        <v>8:30p</v>
      </c>
      <c r="I455" s="2" t="str">
        <f>IF(Planilha1!C452="","",Planilha1!C452)</f>
        <v>Cleveland Cavaliers</v>
      </c>
      <c r="J455" s="2">
        <f>IF(Planilha1!D452="","",Planilha1!D452)</f>
        <v>113</v>
      </c>
      <c r="K455" s="10" t="str">
        <f>IF(Planilha1!E452="","",IF(Planilha1!E452=0,"",Planilha1!E452))</f>
        <v>Dallas Mavericks</v>
      </c>
      <c r="L455" s="10">
        <f>IF(Planilha1!F452="","",Planilha1!F452)</f>
        <v>110</v>
      </c>
      <c r="M455" s="10">
        <f>IF(Planilha1!G452="","",IF(Planilha1!G452=0,"",Planilha1!G452))</f>
        <v>110</v>
      </c>
      <c r="N455" s="5">
        <f t="shared" si="57"/>
        <v>1</v>
      </c>
      <c r="O455" s="5">
        <f t="shared" si="58"/>
        <v>0</v>
      </c>
      <c r="P455" s="5">
        <f t="shared" si="59"/>
        <v>0</v>
      </c>
      <c r="Q455" s="5">
        <f t="shared" si="60"/>
        <v>2</v>
      </c>
      <c r="R455" s="8">
        <f t="shared" si="61"/>
        <v>0</v>
      </c>
      <c r="S455" s="8">
        <f t="shared" si="62"/>
        <v>0</v>
      </c>
      <c r="T455" s="3" t="e">
        <f t="shared" si="63"/>
        <v>#VALUE!</v>
      </c>
      <c r="V455" s="1" t="e">
        <f t="shared" si="64"/>
        <v>#VALUE!</v>
      </c>
    </row>
    <row r="456" spans="8:22" x14ac:dyDescent="0.3">
      <c r="H456" s="2" t="str">
        <f>IF(Planilha1!B453="","",Planilha1!B453)</f>
        <v>7:30p</v>
      </c>
      <c r="I456" s="2" t="str">
        <f>IF(Planilha1!C453="","",Planilha1!C453)</f>
        <v>Detroit Pistons</v>
      </c>
      <c r="J456" s="2">
        <f>IF(Planilha1!D453="","",Planilha1!D453)</f>
        <v>122</v>
      </c>
      <c r="K456" s="10" t="str">
        <f>IF(Planilha1!E453="","",IF(Planilha1!E453=0,"",Planilha1!E453))</f>
        <v>Boston Celtics</v>
      </c>
      <c r="L456" s="10">
        <f>IF(Planilha1!F453="","",Planilha1!F453)</f>
        <v>128</v>
      </c>
      <c r="M456" s="10">
        <f>IF(Planilha1!G453="","",IF(Planilha1!G453=0,"",Planilha1!G453))</f>
        <v>128</v>
      </c>
      <c r="N456" s="5">
        <f t="shared" si="57"/>
        <v>1</v>
      </c>
      <c r="O456" s="5">
        <f t="shared" si="58"/>
        <v>0</v>
      </c>
      <c r="P456" s="5">
        <f t="shared" si="59"/>
        <v>0</v>
      </c>
      <c r="Q456" s="5">
        <f t="shared" si="60"/>
        <v>2</v>
      </c>
      <c r="R456" s="8">
        <f t="shared" si="61"/>
        <v>0</v>
      </c>
      <c r="S456" s="8">
        <f t="shared" si="62"/>
        <v>0</v>
      </c>
      <c r="T456" s="3" t="e">
        <f t="shared" si="63"/>
        <v>#VALUE!</v>
      </c>
      <c r="V456" s="1" t="e">
        <f t="shared" si="64"/>
        <v>#VALUE!</v>
      </c>
    </row>
    <row r="457" spans="8:22" x14ac:dyDescent="0.3">
      <c r="H457" s="2" t="str">
        <f>IF(Planilha1!B454="","",Planilha1!B454)</f>
        <v>8:00p</v>
      </c>
      <c r="I457" s="2" t="str">
        <f>IF(Planilha1!C454="","",Planilha1!C454)</f>
        <v>Indiana Pacers</v>
      </c>
      <c r="J457" s="2">
        <f>IF(Planilha1!D454="","",Planilha1!D454)</f>
        <v>120</v>
      </c>
      <c r="K457" s="10" t="str">
        <f>IF(Planilha1!E454="","",IF(Planilha1!E454=0,"",Planilha1!E454))</f>
        <v>Chicago Bulls</v>
      </c>
      <c r="L457" s="10">
        <f>IF(Planilha1!F454="","",Planilha1!F454)</f>
        <v>104</v>
      </c>
      <c r="M457" s="10">
        <f>IF(Planilha1!G454="","",IF(Planilha1!G454=0,"",Planilha1!G454))</f>
        <v>104</v>
      </c>
      <c r="N457" s="5">
        <f t="shared" si="57"/>
        <v>1</v>
      </c>
      <c r="O457" s="5">
        <f t="shared" si="58"/>
        <v>0</v>
      </c>
      <c r="P457" s="5">
        <f t="shared" si="59"/>
        <v>0</v>
      </c>
      <c r="Q457" s="5">
        <f t="shared" si="60"/>
        <v>2</v>
      </c>
      <c r="R457" s="8">
        <f t="shared" si="61"/>
        <v>0</v>
      </c>
      <c r="S457" s="8">
        <f t="shared" si="62"/>
        <v>0</v>
      </c>
      <c r="T457" s="3" t="e">
        <f t="shared" si="63"/>
        <v>#VALUE!</v>
      </c>
      <c r="V457" s="1" t="e">
        <f t="shared" si="64"/>
        <v>#VALUE!</v>
      </c>
    </row>
    <row r="458" spans="8:22" x14ac:dyDescent="0.3">
      <c r="H458" s="2" t="str">
        <f>IF(Planilha1!B455="","",Planilha1!B455)</f>
        <v>8:00p</v>
      </c>
      <c r="I458" s="2" t="str">
        <f>IF(Planilha1!C455="","",Planilha1!C455)</f>
        <v>Dallas Mavericks</v>
      </c>
      <c r="J458" s="2">
        <f>IF(Planilha1!D455="","",Planilha1!D455)</f>
        <v>110</v>
      </c>
      <c r="K458" s="10" t="str">
        <f>IF(Planilha1!E455="","",IF(Planilha1!E455=0,"",Planilha1!E455))</f>
        <v>Minnesota Timberwolves</v>
      </c>
      <c r="L458" s="10">
        <f>IF(Planilha1!F455="","",Planilha1!F455)</f>
        <v>118</v>
      </c>
      <c r="M458" s="10">
        <f>IF(Planilha1!G455="","",IF(Planilha1!G455=0,"",Planilha1!G455))</f>
        <v>118</v>
      </c>
      <c r="N458" s="5">
        <f t="shared" si="57"/>
        <v>1</v>
      </c>
      <c r="O458" s="5">
        <f t="shared" si="58"/>
        <v>0</v>
      </c>
      <c r="P458" s="5">
        <f t="shared" si="59"/>
        <v>0</v>
      </c>
      <c r="Q458" s="5">
        <f t="shared" si="60"/>
        <v>2</v>
      </c>
      <c r="R458" s="8">
        <f t="shared" si="61"/>
        <v>0</v>
      </c>
      <c r="S458" s="8">
        <f t="shared" si="62"/>
        <v>0</v>
      </c>
      <c r="T458" s="3" t="e">
        <f t="shared" si="63"/>
        <v>#VALUE!</v>
      </c>
      <c r="V458" s="1" t="e">
        <f t="shared" si="64"/>
        <v>#VALUE!</v>
      </c>
    </row>
    <row r="459" spans="8:22" x14ac:dyDescent="0.3">
      <c r="H459" s="2" t="str">
        <f>IF(Planilha1!B456="","",Planilha1!B456)</f>
        <v>8:00p</v>
      </c>
      <c r="I459" s="2" t="str">
        <f>IF(Planilha1!C456="","",Planilha1!C456)</f>
        <v>Utah Jazz</v>
      </c>
      <c r="J459" s="2">
        <f>IF(Planilha1!D456="","",Planilha1!D456)</f>
        <v>105</v>
      </c>
      <c r="K459" s="10" t="str">
        <f>IF(Planilha1!E456="","",IF(Planilha1!E456=0,"",Planilha1!E456))</f>
        <v>New Orleans Pelicans</v>
      </c>
      <c r="L459" s="10">
        <f>IF(Planilha1!F456="","",Planilha1!F456)</f>
        <v>112</v>
      </c>
      <c r="M459" s="10">
        <f>IF(Planilha1!G456="","",IF(Planilha1!G456=0,"",Planilha1!G456))</f>
        <v>112</v>
      </c>
      <c r="N459" s="5">
        <f t="shared" si="57"/>
        <v>1</v>
      </c>
      <c r="O459" s="5">
        <f t="shared" si="58"/>
        <v>0</v>
      </c>
      <c r="P459" s="5">
        <f t="shared" si="59"/>
        <v>0</v>
      </c>
      <c r="Q459" s="5">
        <f t="shared" si="60"/>
        <v>2</v>
      </c>
      <c r="R459" s="8">
        <f t="shared" si="61"/>
        <v>0</v>
      </c>
      <c r="S459" s="8">
        <f t="shared" si="62"/>
        <v>0</v>
      </c>
      <c r="T459" s="3" t="e">
        <f t="shared" si="63"/>
        <v>#VALUE!</v>
      </c>
      <c r="V459" s="1" t="e">
        <f t="shared" si="64"/>
        <v>#VALUE!</v>
      </c>
    </row>
    <row r="460" spans="8:22" x14ac:dyDescent="0.3">
      <c r="H460" s="2" t="str">
        <f>IF(Planilha1!B457="","",Planilha1!B457)</f>
        <v>9:00p</v>
      </c>
      <c r="I460" s="2" t="str">
        <f>IF(Planilha1!C457="","",Planilha1!C457)</f>
        <v>Memphis Grizzlies</v>
      </c>
      <c r="J460" s="2">
        <f>IF(Planilha1!D457="","",Planilha1!D457)</f>
        <v>105</v>
      </c>
      <c r="K460" s="10" t="str">
        <f>IF(Planilha1!E457="","",IF(Planilha1!E457=0,"",Planilha1!E457))</f>
        <v>Denver Nuggets</v>
      </c>
      <c r="L460" s="10">
        <f>IF(Planilha1!F457="","",Planilha1!F457)</f>
        <v>142</v>
      </c>
      <c r="M460" s="10">
        <f>IF(Planilha1!G457="","",IF(Planilha1!G457=0,"",Planilha1!G457))</f>
        <v>142</v>
      </c>
      <c r="N460" s="5">
        <f t="shared" si="57"/>
        <v>1</v>
      </c>
      <c r="O460" s="5">
        <f t="shared" si="58"/>
        <v>0</v>
      </c>
      <c r="P460" s="5">
        <f t="shared" si="59"/>
        <v>0</v>
      </c>
      <c r="Q460" s="5">
        <f t="shared" si="60"/>
        <v>2</v>
      </c>
      <c r="R460" s="8">
        <f t="shared" si="61"/>
        <v>0</v>
      </c>
      <c r="S460" s="8">
        <f t="shared" si="62"/>
        <v>0</v>
      </c>
      <c r="T460" s="3" t="e">
        <f t="shared" si="63"/>
        <v>#VALUE!</v>
      </c>
      <c r="V460" s="1" t="e">
        <f t="shared" si="64"/>
        <v>#VALUE!</v>
      </c>
    </row>
    <row r="461" spans="8:22" x14ac:dyDescent="0.3">
      <c r="H461" s="2" t="str">
        <f>IF(Planilha1!B458="","",Planilha1!B458)</f>
        <v>10:00p</v>
      </c>
      <c r="I461" s="2" t="str">
        <f>IF(Planilha1!C458="","",Planilha1!C458)</f>
        <v>Miami Heat</v>
      </c>
      <c r="J461" s="2">
        <f>IF(Planilha1!D458="","",Planilha1!D458)</f>
        <v>114</v>
      </c>
      <c r="K461" s="10" t="str">
        <f>IF(Planilha1!E458="","",IF(Planilha1!E458=0,"",Planilha1!E458))</f>
        <v>Golden State Warriors</v>
      </c>
      <c r="L461" s="10">
        <f>IF(Planilha1!F458="","",Planilha1!F458)</f>
        <v>102</v>
      </c>
      <c r="M461" s="10">
        <f>IF(Planilha1!G458="","",IF(Planilha1!G458=0,"",Planilha1!G458))</f>
        <v>102</v>
      </c>
      <c r="N461" s="5">
        <f t="shared" si="57"/>
        <v>1</v>
      </c>
      <c r="O461" s="5">
        <f t="shared" si="58"/>
        <v>0</v>
      </c>
      <c r="P461" s="5">
        <f t="shared" si="59"/>
        <v>0</v>
      </c>
      <c r="Q461" s="5">
        <f t="shared" si="60"/>
        <v>2</v>
      </c>
      <c r="R461" s="8">
        <f t="shared" si="61"/>
        <v>0</v>
      </c>
      <c r="S461" s="8">
        <f t="shared" si="62"/>
        <v>0</v>
      </c>
      <c r="T461" s="3" t="e">
        <f t="shared" si="63"/>
        <v>#VALUE!</v>
      </c>
      <c r="V461" s="1" t="e">
        <f t="shared" si="64"/>
        <v>#VALUE!</v>
      </c>
    </row>
    <row r="462" spans="8:22" x14ac:dyDescent="0.3">
      <c r="H462" s="2" t="str">
        <f>IF(Planilha1!B459="","",Planilha1!B459)</f>
        <v>10:00p</v>
      </c>
      <c r="I462" s="2" t="str">
        <f>IF(Planilha1!C459="","",Planilha1!C459)</f>
        <v>San Antonio Spurs</v>
      </c>
      <c r="J462" s="2">
        <f>IF(Planilha1!D459="","",Planilha1!D459)</f>
        <v>118</v>
      </c>
      <c r="K462" s="10" t="str">
        <f>IF(Planilha1!E459="","",IF(Planilha1!E459=0,"",Planilha1!E459))</f>
        <v>Portland Trail Blazers</v>
      </c>
      <c r="L462" s="10">
        <f>IF(Planilha1!F459="","",Planilha1!F459)</f>
        <v>105</v>
      </c>
      <c r="M462" s="10">
        <f>IF(Planilha1!G459="","",IF(Planilha1!G459=0,"",Planilha1!G459))</f>
        <v>105</v>
      </c>
      <c r="N462" s="5">
        <f t="shared" si="57"/>
        <v>1</v>
      </c>
      <c r="O462" s="5">
        <f t="shared" si="58"/>
        <v>0</v>
      </c>
      <c r="P462" s="5">
        <f t="shared" si="59"/>
        <v>0</v>
      </c>
      <c r="Q462" s="5">
        <f t="shared" si="60"/>
        <v>2</v>
      </c>
      <c r="R462" s="8">
        <f t="shared" si="61"/>
        <v>0</v>
      </c>
      <c r="S462" s="8">
        <f t="shared" si="62"/>
        <v>0</v>
      </c>
      <c r="T462" s="3" t="e">
        <f t="shared" si="63"/>
        <v>#VALUE!</v>
      </c>
      <c r="V462" s="1" t="e">
        <f t="shared" si="64"/>
        <v>#VALUE!</v>
      </c>
    </row>
    <row r="463" spans="8:22" x14ac:dyDescent="0.3">
      <c r="H463" s="2" t="str">
        <f>IF(Planilha1!B460="","",Planilha1!B460)</f>
        <v>10:30p</v>
      </c>
      <c r="I463" s="2" t="str">
        <f>IF(Planilha1!C460="","",Planilha1!C460)</f>
        <v>Charlotte Hornets</v>
      </c>
      <c r="J463" s="2">
        <f>IF(Planilha1!D460="","",Planilha1!D460)</f>
        <v>112</v>
      </c>
      <c r="K463" s="10" t="str">
        <f>IF(Planilha1!E460="","",IF(Planilha1!E460=0,"",Planilha1!E460))</f>
        <v>Los Angeles Lakers</v>
      </c>
      <c r="L463" s="10">
        <f>IF(Planilha1!F460="","",Planilha1!F460)</f>
        <v>133</v>
      </c>
      <c r="M463" s="10">
        <f>IF(Planilha1!G460="","",IF(Planilha1!G460=0,"",Planilha1!G460))</f>
        <v>133</v>
      </c>
      <c r="N463" s="5">
        <f t="shared" si="57"/>
        <v>1</v>
      </c>
      <c r="O463" s="5">
        <f t="shared" si="58"/>
        <v>0</v>
      </c>
      <c r="P463" s="5">
        <f t="shared" si="59"/>
        <v>0</v>
      </c>
      <c r="Q463" s="5">
        <f t="shared" si="60"/>
        <v>2</v>
      </c>
      <c r="R463" s="8">
        <f t="shared" si="61"/>
        <v>0</v>
      </c>
      <c r="S463" s="8">
        <f t="shared" si="62"/>
        <v>0</v>
      </c>
      <c r="T463" s="3" t="e">
        <f t="shared" si="63"/>
        <v>#VALUE!</v>
      </c>
      <c r="V463" s="1" t="e">
        <f t="shared" si="64"/>
        <v>#VALUE!</v>
      </c>
    </row>
    <row r="464" spans="8:22" x14ac:dyDescent="0.3">
      <c r="H464" s="2" t="str">
        <f>IF(Planilha1!B461="","",Planilha1!B461)</f>
        <v>7:00p</v>
      </c>
      <c r="I464" s="2" t="str">
        <f>IF(Planilha1!C461="","",Planilha1!C461)</f>
        <v>New York Knicks</v>
      </c>
      <c r="J464" s="2">
        <f>IF(Planilha1!D461="","",Planilha1!D461)</f>
        <v>108</v>
      </c>
      <c r="K464" s="10" t="str">
        <f>IF(Planilha1!E461="","",IF(Planilha1!E461=0,"",Planilha1!E461))</f>
        <v>Orlando Magic</v>
      </c>
      <c r="L464" s="10">
        <f>IF(Planilha1!F461="","",Planilha1!F461)</f>
        <v>117</v>
      </c>
      <c r="M464" s="10">
        <f>IF(Planilha1!G461="","",IF(Planilha1!G461=0,"",Planilha1!G461))</f>
        <v>117</v>
      </c>
      <c r="N464" s="5">
        <f t="shared" si="57"/>
        <v>1</v>
      </c>
      <c r="O464" s="5">
        <f t="shared" si="58"/>
        <v>0</v>
      </c>
      <c r="P464" s="5">
        <f t="shared" si="59"/>
        <v>0</v>
      </c>
      <c r="Q464" s="5">
        <f t="shared" si="60"/>
        <v>2</v>
      </c>
      <c r="R464" s="8">
        <f t="shared" si="61"/>
        <v>0</v>
      </c>
      <c r="S464" s="8">
        <f t="shared" si="62"/>
        <v>0</v>
      </c>
      <c r="T464" s="3" t="e">
        <f t="shared" si="63"/>
        <v>#VALUE!</v>
      </c>
      <c r="V464" s="1" t="e">
        <f t="shared" si="64"/>
        <v>#VALUE!</v>
      </c>
    </row>
    <row r="465" spans="8:22" x14ac:dyDescent="0.3">
      <c r="H465" s="2" t="str">
        <f>IF(Planilha1!B462="","",Planilha1!B462)</f>
        <v>7:00p</v>
      </c>
      <c r="I465" s="2" t="str">
        <f>IF(Planilha1!C462="","",Planilha1!C462)</f>
        <v>Brooklyn Nets</v>
      </c>
      <c r="J465" s="2">
        <f>IF(Planilha1!D462="","",Planilha1!D462)</f>
        <v>104</v>
      </c>
      <c r="K465" s="10" t="str">
        <f>IF(Planilha1!E462="","",IF(Planilha1!E462=0,"",Planilha1!E462))</f>
        <v>Washington Wizards</v>
      </c>
      <c r="L465" s="10">
        <f>IF(Planilha1!F462="","",Planilha1!F462)</f>
        <v>110</v>
      </c>
      <c r="M465" s="10">
        <f>IF(Planilha1!G462="","",IF(Planilha1!G462=0,"",Planilha1!G462))</f>
        <v>110</v>
      </c>
      <c r="N465" s="5">
        <f t="shared" si="57"/>
        <v>1</v>
      </c>
      <c r="O465" s="5">
        <f t="shared" si="58"/>
        <v>0</v>
      </c>
      <c r="P465" s="5">
        <f t="shared" si="59"/>
        <v>0</v>
      </c>
      <c r="Q465" s="5">
        <f t="shared" si="60"/>
        <v>2</v>
      </c>
      <c r="R465" s="8">
        <f t="shared" si="61"/>
        <v>0</v>
      </c>
      <c r="S465" s="8">
        <f t="shared" si="62"/>
        <v>0</v>
      </c>
      <c r="T465" s="3" t="e">
        <f t="shared" si="63"/>
        <v>#VALUE!</v>
      </c>
      <c r="V465" s="1" t="e">
        <f t="shared" si="64"/>
        <v>#VALUE!</v>
      </c>
    </row>
    <row r="466" spans="8:22" x14ac:dyDescent="0.3">
      <c r="H466" s="2" t="str">
        <f>IF(Planilha1!B463="","",Planilha1!B463)</f>
        <v>7:30p</v>
      </c>
      <c r="I466" s="2" t="str">
        <f>IF(Planilha1!C463="","",Planilha1!C463)</f>
        <v>Sacramento Kings</v>
      </c>
      <c r="J466" s="2">
        <f>IF(Planilha1!D463="","",Planilha1!D463)</f>
        <v>117</v>
      </c>
      <c r="K466" s="10" t="str">
        <f>IF(Planilha1!E463="","",IF(Planilha1!E463=0,"",Planilha1!E463))</f>
        <v>Atlanta Hawks</v>
      </c>
      <c r="L466" s="10">
        <f>IF(Planilha1!F463="","",Planilha1!F463)</f>
        <v>110</v>
      </c>
      <c r="M466" s="10">
        <f>IF(Planilha1!G463="","",IF(Planilha1!G463=0,"",Planilha1!G463))</f>
        <v>110</v>
      </c>
      <c r="N466" s="5">
        <f t="shared" si="57"/>
        <v>1</v>
      </c>
      <c r="O466" s="5">
        <f t="shared" si="58"/>
        <v>0</v>
      </c>
      <c r="P466" s="5">
        <f t="shared" si="59"/>
        <v>0</v>
      </c>
      <c r="Q466" s="5">
        <f t="shared" si="60"/>
        <v>2</v>
      </c>
      <c r="R466" s="8">
        <f t="shared" si="61"/>
        <v>0</v>
      </c>
      <c r="S466" s="8">
        <f t="shared" si="62"/>
        <v>0</v>
      </c>
      <c r="T466" s="3" t="e">
        <f t="shared" si="63"/>
        <v>#VALUE!</v>
      </c>
      <c r="V466" s="1" t="e">
        <f t="shared" si="64"/>
        <v>#VALUE!</v>
      </c>
    </row>
    <row r="467" spans="8:22" x14ac:dyDescent="0.3">
      <c r="H467" s="2" t="str">
        <f>IF(Planilha1!B464="","",Planilha1!B464)</f>
        <v>7:30p</v>
      </c>
      <c r="I467" s="2" t="str">
        <f>IF(Planilha1!C464="","",Planilha1!C464)</f>
        <v>Toronto Raptors</v>
      </c>
      <c r="J467" s="2">
        <f>IF(Planilha1!D464="","",Planilha1!D464)</f>
        <v>118</v>
      </c>
      <c r="K467" s="10" t="str">
        <f>IF(Planilha1!E464="","",IF(Planilha1!E464=0,"",Planilha1!E464))</f>
        <v>Boston Celtics</v>
      </c>
      <c r="L467" s="10">
        <f>IF(Planilha1!F464="","",Planilha1!F464)</f>
        <v>120</v>
      </c>
      <c r="M467" s="10">
        <f>IF(Planilha1!G464="","",IF(Planilha1!G464=0,"",Planilha1!G464))</f>
        <v>120</v>
      </c>
      <c r="N467" s="5">
        <f t="shared" si="57"/>
        <v>1</v>
      </c>
      <c r="O467" s="5">
        <f t="shared" si="58"/>
        <v>0</v>
      </c>
      <c r="P467" s="5">
        <f t="shared" si="59"/>
        <v>0</v>
      </c>
      <c r="Q467" s="5">
        <f t="shared" si="60"/>
        <v>2</v>
      </c>
      <c r="R467" s="8">
        <f t="shared" si="61"/>
        <v>0</v>
      </c>
      <c r="S467" s="8">
        <f t="shared" si="62"/>
        <v>0</v>
      </c>
      <c r="T467" s="3" t="e">
        <f t="shared" si="63"/>
        <v>#VALUE!</v>
      </c>
      <c r="V467" s="1" t="e">
        <f t="shared" si="64"/>
        <v>#VALUE!</v>
      </c>
    </row>
    <row r="468" spans="8:22" x14ac:dyDescent="0.3">
      <c r="H468" s="2" t="str">
        <f>IF(Planilha1!B465="","",Planilha1!B465)</f>
        <v>7:30p</v>
      </c>
      <c r="I468" s="2" t="str">
        <f>IF(Planilha1!C465="","",Planilha1!C465)</f>
        <v>Milwaukee Bucks</v>
      </c>
      <c r="J468" s="2">
        <f>IF(Planilha1!D465="","",Planilha1!D465)</f>
        <v>119</v>
      </c>
      <c r="K468" s="10" t="str">
        <f>IF(Planilha1!E465="","",IF(Planilha1!E465=0,"",Planilha1!E465))</f>
        <v>Cleveland Cavaliers</v>
      </c>
      <c r="L468" s="10">
        <f>IF(Planilha1!F465="","",Planilha1!F465)</f>
        <v>111</v>
      </c>
      <c r="M468" s="10">
        <f>IF(Planilha1!G465="","",IF(Planilha1!G465=0,"",Planilha1!G465))</f>
        <v>111</v>
      </c>
      <c r="N468" s="5">
        <f t="shared" si="57"/>
        <v>1</v>
      </c>
      <c r="O468" s="5">
        <f t="shared" si="58"/>
        <v>0</v>
      </c>
      <c r="P468" s="5">
        <f t="shared" si="59"/>
        <v>0</v>
      </c>
      <c r="Q468" s="5">
        <f t="shared" si="60"/>
        <v>2</v>
      </c>
      <c r="R468" s="8">
        <f t="shared" si="61"/>
        <v>0</v>
      </c>
      <c r="S468" s="8">
        <f t="shared" si="62"/>
        <v>0</v>
      </c>
      <c r="T468" s="3" t="e">
        <f t="shared" si="63"/>
        <v>#VALUE!</v>
      </c>
      <c r="V468" s="1" t="e">
        <f t="shared" si="64"/>
        <v>#VALUE!</v>
      </c>
    </row>
    <row r="469" spans="8:22" x14ac:dyDescent="0.3">
      <c r="H469" s="2" t="str">
        <f>IF(Planilha1!B466="","",Planilha1!B466)</f>
        <v>8:00p</v>
      </c>
      <c r="I469" s="2" t="str">
        <f>IF(Planilha1!C466="","",Planilha1!C466)</f>
        <v>Philadelphia 76ers</v>
      </c>
      <c r="J469" s="2">
        <f>IF(Planilha1!D466="","",Planilha1!D466)</f>
        <v>131</v>
      </c>
      <c r="K469" s="10" t="str">
        <f>IF(Planilha1!E466="","",IF(Planilha1!E466=0,"",Planilha1!E466))</f>
        <v>Houston Rockets</v>
      </c>
      <c r="L469" s="10">
        <f>IF(Planilha1!F466="","",Planilha1!F466)</f>
        <v>127</v>
      </c>
      <c r="M469" s="10">
        <f>IF(Planilha1!G466="","",IF(Planilha1!G466=0,"",Planilha1!G466))</f>
        <v>127</v>
      </c>
      <c r="N469" s="5">
        <f t="shared" si="57"/>
        <v>1</v>
      </c>
      <c r="O469" s="5">
        <f t="shared" si="58"/>
        <v>0</v>
      </c>
      <c r="P469" s="5">
        <f t="shared" si="59"/>
        <v>0</v>
      </c>
      <c r="Q469" s="5">
        <f t="shared" si="60"/>
        <v>2</v>
      </c>
      <c r="R469" s="8">
        <f t="shared" si="61"/>
        <v>0</v>
      </c>
      <c r="S469" s="8">
        <f t="shared" si="62"/>
        <v>0</v>
      </c>
      <c r="T469" s="3" t="e">
        <f t="shared" si="63"/>
        <v>#VALUE!</v>
      </c>
      <c r="V469" s="1" t="e">
        <f t="shared" si="64"/>
        <v>#VALUE!</v>
      </c>
    </row>
    <row r="470" spans="8:22" x14ac:dyDescent="0.3">
      <c r="H470" s="2" t="str">
        <f>IF(Planilha1!B467="","",Planilha1!B467)</f>
        <v>9:00p</v>
      </c>
      <c r="I470" s="2" t="str">
        <f>IF(Planilha1!C467="","",Planilha1!C467)</f>
        <v>Oklahoma City Thunder</v>
      </c>
      <c r="J470" s="2">
        <f>IF(Planilha1!D467="","",Planilha1!D467)</f>
        <v>119</v>
      </c>
      <c r="K470" s="10" t="str">
        <f>IF(Planilha1!E467="","",IF(Planilha1!E467=0,"",Planilha1!E467))</f>
        <v>Denver Nuggets</v>
      </c>
      <c r="L470" s="10">
        <f>IF(Planilha1!F467="","",Planilha1!F467)</f>
        <v>93</v>
      </c>
      <c r="M470" s="10">
        <f>IF(Planilha1!G467="","",IF(Planilha1!G467=0,"",Planilha1!G467))</f>
        <v>93</v>
      </c>
      <c r="N470" s="5">
        <f t="shared" si="57"/>
        <v>1</v>
      </c>
      <c r="O470" s="5">
        <f t="shared" si="58"/>
        <v>0</v>
      </c>
      <c r="P470" s="5">
        <f t="shared" si="59"/>
        <v>0</v>
      </c>
      <c r="Q470" s="5">
        <f t="shared" si="60"/>
        <v>2</v>
      </c>
      <c r="R470" s="8">
        <f t="shared" si="61"/>
        <v>0</v>
      </c>
      <c r="S470" s="8">
        <f t="shared" si="62"/>
        <v>0</v>
      </c>
      <c r="T470" s="3" t="e">
        <f t="shared" si="63"/>
        <v>#VALUE!</v>
      </c>
      <c r="V470" s="1" t="e">
        <f t="shared" si="64"/>
        <v>#VALUE!</v>
      </c>
    </row>
    <row r="471" spans="8:22" x14ac:dyDescent="0.3">
      <c r="H471" s="2" t="str">
        <f>IF(Planilha1!B468="","",Planilha1!B468)</f>
        <v>9:00p</v>
      </c>
      <c r="I471" s="2" t="str">
        <f>IF(Planilha1!C468="","",Planilha1!C468)</f>
        <v>Charlotte Hornets</v>
      </c>
      <c r="J471" s="2">
        <f>IF(Planilha1!D468="","",Planilha1!D468)</f>
        <v>119</v>
      </c>
      <c r="K471" s="10" t="str">
        <f>IF(Planilha1!E468="","",IF(Planilha1!E468=0,"",Planilha1!E468))</f>
        <v>Phoenix Suns</v>
      </c>
      <c r="L471" s="10">
        <f>IF(Planilha1!F468="","",Planilha1!F468)</f>
        <v>133</v>
      </c>
      <c r="M471" s="10">
        <f>IF(Planilha1!G468="","",IF(Planilha1!G468=0,"",Planilha1!G468))</f>
        <v>133</v>
      </c>
      <c r="N471" s="5">
        <f t="shared" si="57"/>
        <v>1</v>
      </c>
      <c r="O471" s="5">
        <f t="shared" si="58"/>
        <v>0</v>
      </c>
      <c r="P471" s="5">
        <f t="shared" si="59"/>
        <v>0</v>
      </c>
      <c r="Q471" s="5">
        <f t="shared" si="60"/>
        <v>2</v>
      </c>
      <c r="R471" s="8">
        <f t="shared" si="61"/>
        <v>0</v>
      </c>
      <c r="S471" s="8">
        <f t="shared" si="62"/>
        <v>0</v>
      </c>
      <c r="T471" s="3" t="e">
        <f t="shared" si="63"/>
        <v>#VALUE!</v>
      </c>
      <c r="V471" s="1" t="e">
        <f t="shared" si="64"/>
        <v>#VALUE!</v>
      </c>
    </row>
    <row r="472" spans="8:22" x14ac:dyDescent="0.3">
      <c r="H472" s="2" t="str">
        <f>IF(Planilha1!B469="","",Planilha1!B469)</f>
        <v>10:00p</v>
      </c>
      <c r="I472" s="2" t="str">
        <f>IF(Planilha1!C469="","",Planilha1!C469)</f>
        <v>San Antonio Spurs</v>
      </c>
      <c r="J472" s="2">
        <f>IF(Planilha1!D469="","",Planilha1!D469)</f>
        <v>128</v>
      </c>
      <c r="K472" s="10" t="str">
        <f>IF(Planilha1!E469="","",IF(Planilha1!E469=0,"",Planilha1!E469))</f>
        <v>Portland Trail Blazers</v>
      </c>
      <c r="L472" s="10">
        <f>IF(Planilha1!F469="","",Planilha1!F469)</f>
        <v>134</v>
      </c>
      <c r="M472" s="10">
        <f>IF(Planilha1!G469="","",IF(Planilha1!G469=0,"",Planilha1!G469))</f>
        <v>134</v>
      </c>
      <c r="N472" s="5">
        <f t="shared" si="57"/>
        <v>1</v>
      </c>
      <c r="O472" s="5">
        <f t="shared" si="58"/>
        <v>0</v>
      </c>
      <c r="P472" s="5">
        <f t="shared" si="59"/>
        <v>0</v>
      </c>
      <c r="Q472" s="5">
        <f t="shared" si="60"/>
        <v>2</v>
      </c>
      <c r="R472" s="8">
        <f t="shared" si="61"/>
        <v>0</v>
      </c>
      <c r="S472" s="8">
        <f t="shared" si="62"/>
        <v>0</v>
      </c>
      <c r="T472" s="3" t="e">
        <f t="shared" si="63"/>
        <v>#VALUE!</v>
      </c>
      <c r="V472" s="1" t="e">
        <f t="shared" si="64"/>
        <v>#VALUE!</v>
      </c>
    </row>
    <row r="473" spans="8:22" x14ac:dyDescent="0.3">
      <c r="H473" s="2" t="str">
        <f>IF(Planilha1!B470="","",Planilha1!B470)</f>
        <v>10:30p</v>
      </c>
      <c r="I473" s="2" t="str">
        <f>IF(Planilha1!C470="","",Planilha1!C470)</f>
        <v>Memphis Grizzlies</v>
      </c>
      <c r="J473" s="2">
        <f>IF(Planilha1!D470="","",Planilha1!D470)</f>
        <v>106</v>
      </c>
      <c r="K473" s="10" t="str">
        <f>IF(Planilha1!E470="","",IF(Planilha1!E470=0,"",Planilha1!E470))</f>
        <v>Los Angeles Clippers</v>
      </c>
      <c r="L473" s="10">
        <f>IF(Planilha1!F470="","",Planilha1!F470)</f>
        <v>117</v>
      </c>
      <c r="M473" s="10">
        <f>IF(Planilha1!G470="","",IF(Planilha1!G470=0,"",Planilha1!G470))</f>
        <v>117</v>
      </c>
      <c r="N473" s="5">
        <f t="shared" si="57"/>
        <v>1</v>
      </c>
      <c r="O473" s="5">
        <f t="shared" si="58"/>
        <v>0</v>
      </c>
      <c r="P473" s="5">
        <f t="shared" si="59"/>
        <v>0</v>
      </c>
      <c r="Q473" s="5">
        <f t="shared" si="60"/>
        <v>2</v>
      </c>
      <c r="R473" s="8">
        <f t="shared" si="61"/>
        <v>0</v>
      </c>
      <c r="S473" s="8">
        <f t="shared" si="62"/>
        <v>0</v>
      </c>
      <c r="T473" s="3" t="e">
        <f t="shared" si="63"/>
        <v>#VALUE!</v>
      </c>
      <c r="V473" s="1" t="e">
        <f t="shared" si="64"/>
        <v>#VALUE!</v>
      </c>
    </row>
    <row r="474" spans="8:22" x14ac:dyDescent="0.3">
      <c r="H474" s="2" t="str">
        <f>IF(Planilha1!B471="","",Planilha1!B471)</f>
        <v>5:00p</v>
      </c>
      <c r="I474" s="2" t="str">
        <f>IF(Planilha1!C471="","",Planilha1!C471)</f>
        <v>Miami Heat</v>
      </c>
      <c r="J474" s="2">
        <f>IF(Planilha1!D471="","",Planilha1!D471)</f>
        <v>109</v>
      </c>
      <c r="K474" s="10" t="str">
        <f>IF(Planilha1!E471="","",IF(Planilha1!E471=0,"",Planilha1!E471))</f>
        <v>Utah Jazz</v>
      </c>
      <c r="L474" s="10">
        <f>IF(Planilha1!F471="","",Planilha1!F471)</f>
        <v>117</v>
      </c>
      <c r="M474" s="10">
        <f>IF(Planilha1!G471="","",IF(Planilha1!G471=0,"",Planilha1!G471))</f>
        <v>117</v>
      </c>
      <c r="N474" s="5">
        <f t="shared" si="57"/>
        <v>1</v>
      </c>
      <c r="O474" s="5">
        <f t="shared" si="58"/>
        <v>0</v>
      </c>
      <c r="P474" s="5">
        <f t="shared" si="59"/>
        <v>0</v>
      </c>
      <c r="Q474" s="5">
        <f t="shared" si="60"/>
        <v>2</v>
      </c>
      <c r="R474" s="8">
        <f t="shared" si="61"/>
        <v>0</v>
      </c>
      <c r="S474" s="8">
        <f t="shared" si="62"/>
        <v>0</v>
      </c>
      <c r="T474" s="3" t="e">
        <f t="shared" si="63"/>
        <v>#VALUE!</v>
      </c>
      <c r="V474" s="1" t="e">
        <f t="shared" si="64"/>
        <v>#VALUE!</v>
      </c>
    </row>
    <row r="475" spans="8:22" x14ac:dyDescent="0.3">
      <c r="H475" s="2" t="str">
        <f>IF(Planilha1!B472="","",Planilha1!B472)</f>
        <v>6:00p</v>
      </c>
      <c r="I475" s="2" t="str">
        <f>IF(Planilha1!C472="","",Planilha1!C472)</f>
        <v>Toronto Raptors</v>
      </c>
      <c r="J475" s="2">
        <f>IF(Planilha1!D472="","",Planilha1!D472)</f>
        <v>127</v>
      </c>
      <c r="K475" s="10" t="str">
        <f>IF(Planilha1!E472="","",IF(Planilha1!E472=0,"",Planilha1!E472))</f>
        <v>Detroit Pistons</v>
      </c>
      <c r="L475" s="10">
        <f>IF(Planilha1!F472="","",Planilha1!F472)</f>
        <v>129</v>
      </c>
      <c r="M475" s="10">
        <f>IF(Planilha1!G472="","",IF(Planilha1!G472=0,"",Planilha1!G472))</f>
        <v>129</v>
      </c>
      <c r="N475" s="5">
        <f t="shared" si="57"/>
        <v>1</v>
      </c>
      <c r="O475" s="5">
        <f t="shared" si="58"/>
        <v>0</v>
      </c>
      <c r="P475" s="5">
        <f t="shared" si="59"/>
        <v>0</v>
      </c>
      <c r="Q475" s="5">
        <f t="shared" si="60"/>
        <v>2</v>
      </c>
      <c r="R475" s="8">
        <f t="shared" si="61"/>
        <v>0</v>
      </c>
      <c r="S475" s="8">
        <f t="shared" si="62"/>
        <v>0</v>
      </c>
      <c r="T475" s="3" t="e">
        <f t="shared" si="63"/>
        <v>#VALUE!</v>
      </c>
      <c r="V475" s="1" t="e">
        <f t="shared" si="64"/>
        <v>#VALUE!</v>
      </c>
    </row>
    <row r="476" spans="8:22" x14ac:dyDescent="0.3">
      <c r="H476" s="2" t="str">
        <f>IF(Planilha1!B473="","",Planilha1!B473)</f>
        <v>7:00p</v>
      </c>
      <c r="I476" s="2" t="str">
        <f>IF(Planilha1!C473="","",Planilha1!C473)</f>
        <v>New York Knicks</v>
      </c>
      <c r="J476" s="2">
        <f>IF(Planilha1!D473="","",Planilha1!D473)</f>
        <v>126</v>
      </c>
      <c r="K476" s="10" t="str">
        <f>IF(Planilha1!E473="","",IF(Planilha1!E473=0,"",Planilha1!E473))</f>
        <v>Indiana Pacers</v>
      </c>
      <c r="L476" s="10">
        <f>IF(Planilha1!F473="","",Planilha1!F473)</f>
        <v>140</v>
      </c>
      <c r="M476" s="10">
        <f>IF(Planilha1!G473="","",IF(Planilha1!G473=0,"",Planilha1!G473))</f>
        <v>140</v>
      </c>
      <c r="N476" s="5">
        <f t="shared" si="57"/>
        <v>1</v>
      </c>
      <c r="O476" s="5">
        <f t="shared" si="58"/>
        <v>0</v>
      </c>
      <c r="P476" s="5">
        <f t="shared" si="59"/>
        <v>0</v>
      </c>
      <c r="Q476" s="5">
        <f t="shared" si="60"/>
        <v>2</v>
      </c>
      <c r="R476" s="8">
        <f t="shared" si="61"/>
        <v>0</v>
      </c>
      <c r="S476" s="8">
        <f t="shared" si="62"/>
        <v>0</v>
      </c>
      <c r="T476" s="3" t="e">
        <f t="shared" si="63"/>
        <v>#VALUE!</v>
      </c>
      <c r="V476" s="1" t="e">
        <f t="shared" si="64"/>
        <v>#VALUE!</v>
      </c>
    </row>
    <row r="477" spans="8:22" x14ac:dyDescent="0.3">
      <c r="H477" s="2" t="str">
        <f>IF(Planilha1!B474="","",Planilha1!B474)</f>
        <v>8:00p</v>
      </c>
      <c r="I477" s="2" t="str">
        <f>IF(Planilha1!C474="","",Planilha1!C474)</f>
        <v>Philadelphia 76ers</v>
      </c>
      <c r="J477" s="2">
        <f>IF(Planilha1!D474="","",Planilha1!D474)</f>
        <v>92</v>
      </c>
      <c r="K477" s="10" t="str">
        <f>IF(Planilha1!E474="","",IF(Planilha1!E474=0,"",Planilha1!E474))</f>
        <v>Chicago Bulls</v>
      </c>
      <c r="L477" s="10">
        <f>IF(Planilha1!F474="","",Planilha1!F474)</f>
        <v>105</v>
      </c>
      <c r="M477" s="10">
        <f>IF(Planilha1!G474="","",IF(Planilha1!G474=0,"",Planilha1!G474))</f>
        <v>105</v>
      </c>
      <c r="N477" s="5">
        <f t="shared" si="57"/>
        <v>1</v>
      </c>
      <c r="O477" s="5">
        <f t="shared" si="58"/>
        <v>0</v>
      </c>
      <c r="P477" s="5">
        <f t="shared" si="59"/>
        <v>0</v>
      </c>
      <c r="Q477" s="5">
        <f t="shared" si="60"/>
        <v>2</v>
      </c>
      <c r="R477" s="8">
        <f t="shared" si="61"/>
        <v>0</v>
      </c>
      <c r="S477" s="8">
        <f t="shared" si="62"/>
        <v>0</v>
      </c>
      <c r="T477" s="3" t="e">
        <f t="shared" si="63"/>
        <v>#VALUE!</v>
      </c>
      <c r="V477" s="1" t="e">
        <f t="shared" si="64"/>
        <v>#VALUE!</v>
      </c>
    </row>
    <row r="478" spans="8:22" x14ac:dyDescent="0.3">
      <c r="H478" s="2" t="str">
        <f>IF(Planilha1!B475="","",Planilha1!B475)</f>
        <v>8:00p</v>
      </c>
      <c r="I478" s="2" t="str">
        <f>IF(Planilha1!C475="","",Planilha1!C475)</f>
        <v>Los Angeles Lakers</v>
      </c>
      <c r="J478" s="2">
        <f>IF(Planilha1!D475="","",Planilha1!D475)</f>
        <v>106</v>
      </c>
      <c r="K478" s="10" t="str">
        <f>IF(Planilha1!E475="","",IF(Planilha1!E475=0,"",Planilha1!E475))</f>
        <v>Minnesota Timberwolves</v>
      </c>
      <c r="L478" s="10">
        <f>IF(Planilha1!F475="","",Planilha1!F475)</f>
        <v>108</v>
      </c>
      <c r="M478" s="10">
        <f>IF(Planilha1!G475="","",IF(Planilha1!G475=0,"",Planilha1!G475))</f>
        <v>108</v>
      </c>
      <c r="N478" s="5">
        <f t="shared" si="57"/>
        <v>1</v>
      </c>
      <c r="O478" s="5">
        <f t="shared" si="58"/>
        <v>0</v>
      </c>
      <c r="P478" s="5">
        <f t="shared" si="59"/>
        <v>0</v>
      </c>
      <c r="Q478" s="5">
        <f t="shared" si="60"/>
        <v>2</v>
      </c>
      <c r="R478" s="8">
        <f t="shared" si="61"/>
        <v>0</v>
      </c>
      <c r="S478" s="8">
        <f t="shared" si="62"/>
        <v>0</v>
      </c>
      <c r="T478" s="3" t="e">
        <f t="shared" si="63"/>
        <v>#VALUE!</v>
      </c>
      <c r="V478" s="1" t="e">
        <f t="shared" si="64"/>
        <v>#VALUE!</v>
      </c>
    </row>
    <row r="479" spans="8:22" x14ac:dyDescent="0.3">
      <c r="H479" s="2" t="str">
        <f>IF(Planilha1!B476="","",Planilha1!B476)</f>
        <v>8:30p</v>
      </c>
      <c r="I479" s="2" t="str">
        <f>IF(Planilha1!C476="","",Planilha1!C476)</f>
        <v>Dallas Mavericks</v>
      </c>
      <c r="J479" s="2">
        <f>IF(Planilha1!D476="","",Planilha1!D476)</f>
        <v>132</v>
      </c>
      <c r="K479" s="10" t="str">
        <f>IF(Planilha1!E476="","",IF(Planilha1!E476=0,"",Planilha1!E476))</f>
        <v>Golden State Warriors</v>
      </c>
      <c r="L479" s="10">
        <f>IF(Planilha1!F476="","",Planilha1!F476)</f>
        <v>122</v>
      </c>
      <c r="M479" s="10">
        <f>IF(Planilha1!G476="","",IF(Planilha1!G476=0,"",Planilha1!G476))</f>
        <v>122</v>
      </c>
      <c r="N479" s="5">
        <f t="shared" si="57"/>
        <v>1</v>
      </c>
      <c r="O479" s="5">
        <f t="shared" si="58"/>
        <v>0</v>
      </c>
      <c r="P479" s="5">
        <f t="shared" si="59"/>
        <v>0</v>
      </c>
      <c r="Q479" s="5">
        <f t="shared" si="60"/>
        <v>2</v>
      </c>
      <c r="R479" s="8">
        <f t="shared" si="61"/>
        <v>0</v>
      </c>
      <c r="S479" s="8">
        <f t="shared" si="62"/>
        <v>0</v>
      </c>
      <c r="T479" s="3" t="e">
        <f t="shared" si="63"/>
        <v>#VALUE!</v>
      </c>
      <c r="V479" s="1" t="e">
        <f t="shared" si="64"/>
        <v>#VALUE!</v>
      </c>
    </row>
    <row r="480" spans="8:22" x14ac:dyDescent="0.3">
      <c r="H480" s="2" t="str">
        <f>IF(Planilha1!B477="","",Planilha1!B477)</f>
        <v>3:00p</v>
      </c>
      <c r="I480" s="2" t="str">
        <f>IF(Planilha1!C477="","",Planilha1!C477)</f>
        <v>Atlanta Hawks</v>
      </c>
      <c r="J480" s="2">
        <f>IF(Planilha1!D477="","",Planilha1!D477)</f>
        <v>130</v>
      </c>
      <c r="K480" s="10" t="str">
        <f>IF(Planilha1!E477="","",IF(Planilha1!E477=0,"",Planilha1!E477))</f>
        <v>Washington Wizards</v>
      </c>
      <c r="L480" s="10">
        <f>IF(Planilha1!F477="","",Planilha1!F477)</f>
        <v>126</v>
      </c>
      <c r="M480" s="10">
        <f>IF(Planilha1!G477="","",IF(Planilha1!G477=0,"",Planilha1!G477))</f>
        <v>126</v>
      </c>
      <c r="N480" s="5">
        <f t="shared" si="57"/>
        <v>1</v>
      </c>
      <c r="O480" s="5">
        <f t="shared" si="58"/>
        <v>0</v>
      </c>
      <c r="P480" s="5">
        <f t="shared" si="59"/>
        <v>0</v>
      </c>
      <c r="Q480" s="5">
        <f t="shared" si="60"/>
        <v>2</v>
      </c>
      <c r="R480" s="8">
        <f t="shared" si="61"/>
        <v>0</v>
      </c>
      <c r="S480" s="8">
        <f t="shared" si="62"/>
        <v>0</v>
      </c>
      <c r="T480" s="3" t="e">
        <f t="shared" si="63"/>
        <v>#VALUE!</v>
      </c>
      <c r="V480" s="1" t="e">
        <f t="shared" si="64"/>
        <v>#VALUE!</v>
      </c>
    </row>
    <row r="481" spans="8:22" x14ac:dyDescent="0.3">
      <c r="H481" s="2" t="str">
        <f>IF(Planilha1!B478="","",Planilha1!B478)</f>
        <v>7:00p</v>
      </c>
      <c r="I481" s="2" t="str">
        <f>IF(Planilha1!C478="","",Planilha1!C478)</f>
        <v>Los Angeles Lakers</v>
      </c>
      <c r="J481" s="2">
        <f>IF(Planilha1!D478="","",Planilha1!D478)</f>
        <v>109</v>
      </c>
      <c r="K481" s="10" t="str">
        <f>IF(Planilha1!E478="","",IF(Planilha1!E478=0,"",Planilha1!E478))</f>
        <v>New Orleans Pelicans</v>
      </c>
      <c r="L481" s="10">
        <f>IF(Planilha1!F478="","",Planilha1!F478)</f>
        <v>129</v>
      </c>
      <c r="M481" s="10">
        <f>IF(Planilha1!G478="","",IF(Planilha1!G478=0,"",Planilha1!G478))</f>
        <v>129</v>
      </c>
      <c r="N481" s="5">
        <f t="shared" si="57"/>
        <v>1</v>
      </c>
      <c r="O481" s="5">
        <f t="shared" si="58"/>
        <v>0</v>
      </c>
      <c r="P481" s="5">
        <f t="shared" si="59"/>
        <v>0</v>
      </c>
      <c r="Q481" s="5">
        <f t="shared" si="60"/>
        <v>2</v>
      </c>
      <c r="R481" s="8">
        <f t="shared" si="61"/>
        <v>0</v>
      </c>
      <c r="S481" s="8">
        <f t="shared" si="62"/>
        <v>0</v>
      </c>
      <c r="T481" s="3" t="e">
        <f t="shared" si="63"/>
        <v>#VALUE!</v>
      </c>
      <c r="V481" s="1" t="e">
        <f t="shared" si="64"/>
        <v>#VALUE!</v>
      </c>
    </row>
    <row r="482" spans="8:22" x14ac:dyDescent="0.3">
      <c r="H482" s="2" t="str">
        <f>IF(Planilha1!B479="","",Planilha1!B479)</f>
        <v>7:00p</v>
      </c>
      <c r="I482" s="2" t="str">
        <f>IF(Planilha1!C479="","",Planilha1!C479)</f>
        <v>Brooklyn Nets</v>
      </c>
      <c r="J482" s="2">
        <f>IF(Planilha1!D479="","",Planilha1!D479)</f>
        <v>108</v>
      </c>
      <c r="K482" s="10" t="str">
        <f>IF(Planilha1!E479="","",IF(Planilha1!E479=0,"",Planilha1!E479))</f>
        <v>Oklahoma City Thunder</v>
      </c>
      <c r="L482" s="10">
        <f>IF(Planilha1!F479="","",Planilha1!F479)</f>
        <v>124</v>
      </c>
      <c r="M482" s="10">
        <f>IF(Planilha1!G479="","",IF(Planilha1!G479=0,"",Planilha1!G479))</f>
        <v>124</v>
      </c>
      <c r="N482" s="5">
        <f t="shared" si="57"/>
        <v>1</v>
      </c>
      <c r="O482" s="5">
        <f t="shared" si="58"/>
        <v>0</v>
      </c>
      <c r="P482" s="5">
        <f t="shared" si="59"/>
        <v>0</v>
      </c>
      <c r="Q482" s="5">
        <f t="shared" si="60"/>
        <v>2</v>
      </c>
      <c r="R482" s="8">
        <f t="shared" si="61"/>
        <v>0</v>
      </c>
      <c r="S482" s="8">
        <f t="shared" si="62"/>
        <v>0</v>
      </c>
      <c r="T482" s="3" t="e">
        <f t="shared" si="63"/>
        <v>#VALUE!</v>
      </c>
      <c r="V482" s="1" t="e">
        <f t="shared" si="64"/>
        <v>#VALUE!</v>
      </c>
    </row>
    <row r="483" spans="8:22" x14ac:dyDescent="0.3">
      <c r="H483" s="2" t="str">
        <f>IF(Planilha1!B480="","",Planilha1!B480)</f>
        <v>7:00p</v>
      </c>
      <c r="I483" s="2" t="str">
        <f>IF(Planilha1!C480="","",Planilha1!C480)</f>
        <v>Boston Celtics</v>
      </c>
      <c r="J483" s="2">
        <f>IF(Planilha1!D480="","",Planilha1!D480)</f>
        <v>134</v>
      </c>
      <c r="K483" s="10" t="str">
        <f>IF(Planilha1!E480="","",IF(Planilha1!E480=0,"",Planilha1!E480))</f>
        <v>San Antonio Spurs</v>
      </c>
      <c r="L483" s="10">
        <f>IF(Planilha1!F480="","",Planilha1!F480)</f>
        <v>101</v>
      </c>
      <c r="M483" s="10">
        <f>IF(Planilha1!G480="","",IF(Planilha1!G480=0,"",Planilha1!G480))</f>
        <v>101</v>
      </c>
      <c r="N483" s="5">
        <f t="shared" si="57"/>
        <v>1</v>
      </c>
      <c r="O483" s="5">
        <f t="shared" si="58"/>
        <v>0</v>
      </c>
      <c r="P483" s="5">
        <f t="shared" si="59"/>
        <v>0</v>
      </c>
      <c r="Q483" s="5">
        <f t="shared" si="60"/>
        <v>2</v>
      </c>
      <c r="R483" s="8">
        <f t="shared" si="61"/>
        <v>0</v>
      </c>
      <c r="S483" s="8">
        <f t="shared" si="62"/>
        <v>0</v>
      </c>
      <c r="T483" s="3" t="e">
        <f t="shared" si="63"/>
        <v>#VALUE!</v>
      </c>
      <c r="V483" s="1" t="e">
        <f t="shared" si="64"/>
        <v>#VALUE!</v>
      </c>
    </row>
    <row r="484" spans="8:22" x14ac:dyDescent="0.3">
      <c r="H484" s="2" t="str">
        <f>IF(Planilha1!B481="","",Planilha1!B481)</f>
        <v>8:00p</v>
      </c>
      <c r="I484" s="2" t="str">
        <f>IF(Planilha1!C481="","",Planilha1!C481)</f>
        <v>Sacramento Kings</v>
      </c>
      <c r="J484" s="2">
        <f>IF(Planilha1!D481="","",Planilha1!D481)</f>
        <v>123</v>
      </c>
      <c r="K484" s="10" t="str">
        <f>IF(Planilha1!E481="","",IF(Planilha1!E481=0,"",Planilha1!E481))</f>
        <v>Memphis Grizzlies</v>
      </c>
      <c r="L484" s="10">
        <f>IF(Planilha1!F481="","",Planilha1!F481)</f>
        <v>92</v>
      </c>
      <c r="M484" s="10">
        <f>IF(Planilha1!G481="","",IF(Planilha1!G481=0,"",Planilha1!G481))</f>
        <v>92</v>
      </c>
      <c r="N484" s="5">
        <f t="shared" si="57"/>
        <v>1</v>
      </c>
      <c r="O484" s="5">
        <f t="shared" si="58"/>
        <v>0</v>
      </c>
      <c r="P484" s="5">
        <f t="shared" si="59"/>
        <v>0</v>
      </c>
      <c r="Q484" s="5">
        <f t="shared" si="60"/>
        <v>2</v>
      </c>
      <c r="R484" s="8">
        <f t="shared" si="61"/>
        <v>0</v>
      </c>
      <c r="S484" s="8">
        <f t="shared" si="62"/>
        <v>0</v>
      </c>
      <c r="T484" s="3" t="e">
        <f t="shared" si="63"/>
        <v>#VALUE!</v>
      </c>
      <c r="V484" s="1" t="e">
        <f t="shared" si="64"/>
        <v>#VALUE!</v>
      </c>
    </row>
    <row r="485" spans="8:22" x14ac:dyDescent="0.3">
      <c r="H485" s="2" t="str">
        <f>IF(Planilha1!B482="","",Planilha1!B482)</f>
        <v>8:00p</v>
      </c>
      <c r="I485" s="2" t="str">
        <f>IF(Planilha1!C482="","",Planilha1!C482)</f>
        <v>Orlando Magic</v>
      </c>
      <c r="J485" s="2">
        <f>IF(Planilha1!D482="","",Planilha1!D482)</f>
        <v>107</v>
      </c>
      <c r="K485" s="10" t="str">
        <f>IF(Planilha1!E482="","",IF(Planilha1!E482=0,"",Planilha1!E482))</f>
        <v>Phoenix Suns</v>
      </c>
      <c r="L485" s="10">
        <f>IF(Planilha1!F482="","",Planilha1!F482)</f>
        <v>112</v>
      </c>
      <c r="M485" s="10">
        <f>IF(Planilha1!G482="","",IF(Planilha1!G482=0,"",Planilha1!G482))</f>
        <v>112</v>
      </c>
      <c r="N485" s="5">
        <f t="shared" si="57"/>
        <v>1</v>
      </c>
      <c r="O485" s="5">
        <f t="shared" si="58"/>
        <v>0</v>
      </c>
      <c r="P485" s="5">
        <f t="shared" si="59"/>
        <v>0</v>
      </c>
      <c r="Q485" s="5">
        <f t="shared" si="60"/>
        <v>2</v>
      </c>
      <c r="R485" s="8">
        <f t="shared" si="61"/>
        <v>0</v>
      </c>
      <c r="S485" s="8">
        <f t="shared" si="62"/>
        <v>0</v>
      </c>
      <c r="T485" s="3" t="e">
        <f t="shared" si="63"/>
        <v>#VALUE!</v>
      </c>
      <c r="V485" s="1" t="e">
        <f t="shared" si="64"/>
        <v>#VALUE!</v>
      </c>
    </row>
    <row r="486" spans="8:22" x14ac:dyDescent="0.3">
      <c r="H486" s="2" t="str">
        <f>IF(Planilha1!B483="","",Planilha1!B483)</f>
        <v>3:00p</v>
      </c>
      <c r="I486" s="2" t="str">
        <f>IF(Planilha1!C483="","",Planilha1!C483)</f>
        <v>Minnesota Timberwolves</v>
      </c>
      <c r="J486" s="2">
        <f>IF(Planilha1!D483="","",Planilha1!D483)</f>
        <v>106</v>
      </c>
      <c r="K486" s="10" t="str">
        <f>IF(Planilha1!E483="","",IF(Planilha1!E483=0,"",Planilha1!E483))</f>
        <v>New York Knicks</v>
      </c>
      <c r="L486" s="10">
        <f>IF(Planilha1!F483="","",Planilha1!F483)</f>
        <v>112</v>
      </c>
      <c r="M486" s="10">
        <f>IF(Planilha1!G483="","",IF(Planilha1!G483=0,"",Planilha1!G483))</f>
        <v>112</v>
      </c>
      <c r="N486" s="5">
        <f t="shared" si="57"/>
        <v>1</v>
      </c>
      <c r="O486" s="5">
        <f t="shared" si="58"/>
        <v>0</v>
      </c>
      <c r="P486" s="5">
        <f t="shared" si="59"/>
        <v>0</v>
      </c>
      <c r="Q486" s="5">
        <f t="shared" si="60"/>
        <v>2</v>
      </c>
      <c r="R486" s="8">
        <f t="shared" si="61"/>
        <v>0</v>
      </c>
      <c r="S486" s="8">
        <f t="shared" si="62"/>
        <v>0</v>
      </c>
      <c r="T486" s="3" t="e">
        <f t="shared" si="63"/>
        <v>#VALUE!</v>
      </c>
      <c r="V486" s="1" t="e">
        <f t="shared" si="64"/>
        <v>#VALUE!</v>
      </c>
    </row>
    <row r="487" spans="8:22" x14ac:dyDescent="0.3">
      <c r="H487" s="2" t="str">
        <f>IF(Planilha1!B484="","",Planilha1!B484)</f>
        <v>7:30p</v>
      </c>
      <c r="I487" s="2" t="str">
        <f>IF(Planilha1!C484="","",Planilha1!C484)</f>
        <v>Cleveland Cavaliers</v>
      </c>
      <c r="J487" s="2">
        <f>IF(Planilha1!D484="","",Planilha1!D484)</f>
        <v>121</v>
      </c>
      <c r="K487" s="10" t="str">
        <f>IF(Planilha1!E484="","",IF(Planilha1!E484=0,"",Planilha1!E484))</f>
        <v>Toronto Raptors</v>
      </c>
      <c r="L487" s="10">
        <f>IF(Planilha1!F484="","",Planilha1!F484)</f>
        <v>124</v>
      </c>
      <c r="M487" s="10">
        <f>IF(Planilha1!G484="","",IF(Planilha1!G484=0,"",Planilha1!G484))</f>
        <v>124</v>
      </c>
      <c r="N487" s="5">
        <f t="shared" si="57"/>
        <v>1</v>
      </c>
      <c r="O487" s="5">
        <f t="shared" si="58"/>
        <v>0</v>
      </c>
      <c r="P487" s="5">
        <f t="shared" si="59"/>
        <v>0</v>
      </c>
      <c r="Q487" s="5">
        <f t="shared" si="60"/>
        <v>2</v>
      </c>
      <c r="R487" s="8">
        <f t="shared" si="61"/>
        <v>0</v>
      </c>
      <c r="S487" s="8">
        <f t="shared" si="62"/>
        <v>0</v>
      </c>
      <c r="T487" s="3" t="e">
        <f t="shared" si="63"/>
        <v>#VALUE!</v>
      </c>
      <c r="V487" s="1" t="e">
        <f t="shared" si="64"/>
        <v>#VALUE!</v>
      </c>
    </row>
    <row r="488" spans="8:22" x14ac:dyDescent="0.3">
      <c r="H488" s="2" t="str">
        <f>IF(Planilha1!B485="","",Planilha1!B485)</f>
        <v>8:00p</v>
      </c>
      <c r="I488" s="2" t="str">
        <f>IF(Planilha1!C485="","",Planilha1!C485)</f>
        <v>Detroit Pistons</v>
      </c>
      <c r="J488" s="2">
        <f>IF(Planilha1!D485="","",Planilha1!D485)</f>
        <v>113</v>
      </c>
      <c r="K488" s="10" t="str">
        <f>IF(Planilha1!E485="","",IF(Planilha1!E485=0,"",Planilha1!E485))</f>
        <v>Houston Rockets</v>
      </c>
      <c r="L488" s="10">
        <f>IF(Planilha1!F485="","",Planilha1!F485)</f>
        <v>136</v>
      </c>
      <c r="M488" s="10">
        <f>IF(Planilha1!G485="","",IF(Planilha1!G485=0,"",Planilha1!G485))</f>
        <v>136</v>
      </c>
      <c r="N488" s="5">
        <f t="shared" si="57"/>
        <v>1</v>
      </c>
      <c r="O488" s="5">
        <f t="shared" si="58"/>
        <v>0</v>
      </c>
      <c r="P488" s="5">
        <f t="shared" si="59"/>
        <v>0</v>
      </c>
      <c r="Q488" s="5">
        <f t="shared" si="60"/>
        <v>2</v>
      </c>
      <c r="R488" s="8">
        <f t="shared" si="61"/>
        <v>0</v>
      </c>
      <c r="S488" s="8">
        <f t="shared" si="62"/>
        <v>0</v>
      </c>
      <c r="T488" s="3" t="e">
        <f t="shared" si="63"/>
        <v>#VALUE!</v>
      </c>
      <c r="V488" s="1" t="e">
        <f t="shared" si="64"/>
        <v>#VALUE!</v>
      </c>
    </row>
    <row r="489" spans="8:22" x14ac:dyDescent="0.3">
      <c r="H489" s="2" t="str">
        <f>IF(Planilha1!B486="","",Planilha1!B486)</f>
        <v>8:00p</v>
      </c>
      <c r="I489" s="2" t="str">
        <f>IF(Planilha1!C486="","",Planilha1!C486)</f>
        <v>Indiana Pacers</v>
      </c>
      <c r="J489" s="2">
        <f>IF(Planilha1!D486="","",Planilha1!D486)</f>
        <v>122</v>
      </c>
      <c r="K489" s="10" t="str">
        <f>IF(Planilha1!E486="","",IF(Planilha1!E486=0,"",Planilha1!E486))</f>
        <v>Milwaukee Bucks</v>
      </c>
      <c r="L489" s="10">
        <f>IF(Planilha1!F486="","",Planilha1!F486)</f>
        <v>113</v>
      </c>
      <c r="M489" s="10">
        <f>IF(Planilha1!G486="","",IF(Planilha1!G486=0,"",Planilha1!G486))</f>
        <v>113</v>
      </c>
      <c r="N489" s="5">
        <f t="shared" si="57"/>
        <v>1</v>
      </c>
      <c r="O489" s="5">
        <f t="shared" si="58"/>
        <v>0</v>
      </c>
      <c r="P489" s="5">
        <f t="shared" si="59"/>
        <v>0</v>
      </c>
      <c r="Q489" s="5">
        <f t="shared" si="60"/>
        <v>2</v>
      </c>
      <c r="R489" s="8">
        <f t="shared" si="61"/>
        <v>0</v>
      </c>
      <c r="S489" s="8">
        <f t="shared" si="62"/>
        <v>0</v>
      </c>
      <c r="T489" s="3" t="e">
        <f t="shared" si="63"/>
        <v>#VALUE!</v>
      </c>
      <c r="V489" s="1" t="e">
        <f t="shared" si="64"/>
        <v>#VALUE!</v>
      </c>
    </row>
    <row r="490" spans="8:22" x14ac:dyDescent="0.3">
      <c r="H490" s="2" t="str">
        <f>IF(Planilha1!B487="","",Planilha1!B487)</f>
        <v>9:00p</v>
      </c>
      <c r="I490" s="2" t="str">
        <f>IF(Planilha1!C487="","",Planilha1!C487)</f>
        <v>Charlotte Hornets</v>
      </c>
      <c r="J490" s="2">
        <f>IF(Planilha1!D487="","",Planilha1!D487)</f>
        <v>93</v>
      </c>
      <c r="K490" s="10" t="str">
        <f>IF(Planilha1!E487="","",IF(Planilha1!E487=0,"",Planilha1!E487))</f>
        <v>Denver Nuggets</v>
      </c>
      <c r="L490" s="10">
        <f>IF(Planilha1!F487="","",Planilha1!F487)</f>
        <v>111</v>
      </c>
      <c r="M490" s="10">
        <f>IF(Planilha1!G487="","",IF(Planilha1!G487=0,"",Planilha1!G487))</f>
        <v>111</v>
      </c>
      <c r="N490" s="5">
        <f t="shared" si="57"/>
        <v>1</v>
      </c>
      <c r="O490" s="5">
        <f t="shared" si="58"/>
        <v>0</v>
      </c>
      <c r="P490" s="5">
        <f t="shared" si="59"/>
        <v>0</v>
      </c>
      <c r="Q490" s="5">
        <f t="shared" si="60"/>
        <v>2</v>
      </c>
      <c r="R490" s="8">
        <f t="shared" si="61"/>
        <v>0</v>
      </c>
      <c r="S490" s="8">
        <f t="shared" si="62"/>
        <v>0</v>
      </c>
      <c r="T490" s="3" t="e">
        <f t="shared" si="63"/>
        <v>#VALUE!</v>
      </c>
      <c r="V490" s="1" t="e">
        <f t="shared" si="64"/>
        <v>#VALUE!</v>
      </c>
    </row>
    <row r="491" spans="8:22" x14ac:dyDescent="0.3">
      <c r="H491" s="2" t="str">
        <f>IF(Planilha1!B488="","",Planilha1!B488)</f>
        <v>9:00p</v>
      </c>
      <c r="I491" s="2" t="str">
        <f>IF(Planilha1!C488="","",Planilha1!C488)</f>
        <v>Portland Trail Blazers</v>
      </c>
      <c r="J491" s="2">
        <f>IF(Planilha1!D488="","",Planilha1!D488)</f>
        <v>88</v>
      </c>
      <c r="K491" s="10" t="str">
        <f>IF(Planilha1!E488="","",IF(Planilha1!E488=0,"",Planilha1!E488))</f>
        <v>Phoenix Suns</v>
      </c>
      <c r="L491" s="10">
        <f>IF(Planilha1!F488="","",Planilha1!F488)</f>
        <v>109</v>
      </c>
      <c r="M491" s="10">
        <f>IF(Planilha1!G488="","",IF(Planilha1!G488=0,"",Planilha1!G488))</f>
        <v>109</v>
      </c>
      <c r="N491" s="5">
        <f t="shared" si="57"/>
        <v>1</v>
      </c>
      <c r="O491" s="5">
        <f t="shared" si="58"/>
        <v>0</v>
      </c>
      <c r="P491" s="5">
        <f t="shared" si="59"/>
        <v>0</v>
      </c>
      <c r="Q491" s="5">
        <f t="shared" si="60"/>
        <v>2</v>
      </c>
      <c r="R491" s="8">
        <f t="shared" si="61"/>
        <v>0</v>
      </c>
      <c r="S491" s="8">
        <f t="shared" si="62"/>
        <v>0</v>
      </c>
      <c r="T491" s="3" t="e">
        <f t="shared" si="63"/>
        <v>#VALUE!</v>
      </c>
      <c r="V491" s="1" t="e">
        <f t="shared" si="64"/>
        <v>#VALUE!</v>
      </c>
    </row>
    <row r="492" spans="8:22" x14ac:dyDescent="0.3">
      <c r="H492" s="2" t="str">
        <f>IF(Planilha1!B489="","",Planilha1!B489)</f>
        <v>9:00p</v>
      </c>
      <c r="I492" s="2" t="str">
        <f>IF(Planilha1!C489="","",Planilha1!C489)</f>
        <v>Dallas Mavericks</v>
      </c>
      <c r="J492" s="2">
        <f>IF(Planilha1!D489="","",Planilha1!D489)</f>
        <v>90</v>
      </c>
      <c r="K492" s="10" t="str">
        <f>IF(Planilha1!E489="","",IF(Planilha1!E489=0,"",Planilha1!E489))</f>
        <v>Utah Jazz</v>
      </c>
      <c r="L492" s="10">
        <f>IF(Planilha1!F489="","",Planilha1!F489)</f>
        <v>127</v>
      </c>
      <c r="M492" s="10">
        <f>IF(Planilha1!G489="","",IF(Planilha1!G489=0,"",Planilha1!G489))</f>
        <v>127</v>
      </c>
      <c r="N492" s="5">
        <f t="shared" si="57"/>
        <v>1</v>
      </c>
      <c r="O492" s="5">
        <f t="shared" si="58"/>
        <v>0</v>
      </c>
      <c r="P492" s="5">
        <f t="shared" si="59"/>
        <v>0</v>
      </c>
      <c r="Q492" s="5">
        <f t="shared" si="60"/>
        <v>2</v>
      </c>
      <c r="R492" s="8">
        <f t="shared" si="61"/>
        <v>0</v>
      </c>
      <c r="S492" s="8">
        <f t="shared" si="62"/>
        <v>0</v>
      </c>
      <c r="T492" s="3" t="e">
        <f t="shared" si="63"/>
        <v>#VALUE!</v>
      </c>
      <c r="V492" s="1" t="e">
        <f t="shared" si="64"/>
        <v>#VALUE!</v>
      </c>
    </row>
    <row r="493" spans="8:22" x14ac:dyDescent="0.3">
      <c r="H493" s="2" t="str">
        <f>IF(Planilha1!B490="","",Planilha1!B490)</f>
        <v>10:30p</v>
      </c>
      <c r="I493" s="2" t="str">
        <f>IF(Planilha1!C490="","",Planilha1!C490)</f>
        <v>Miami Heat</v>
      </c>
      <c r="J493" s="2">
        <f>IF(Planilha1!D490="","",Planilha1!D490)</f>
        <v>104</v>
      </c>
      <c r="K493" s="10" t="str">
        <f>IF(Planilha1!E490="","",IF(Planilha1!E490=0,"",Planilha1!E490))</f>
        <v>Los Angeles Clippers</v>
      </c>
      <c r="L493" s="10">
        <f>IF(Planilha1!F490="","",Planilha1!F490)</f>
        <v>121</v>
      </c>
      <c r="M493" s="10">
        <f>IF(Planilha1!G490="","",IF(Planilha1!G490=0,"",Planilha1!G490))</f>
        <v>121</v>
      </c>
      <c r="N493" s="5">
        <f t="shared" si="57"/>
        <v>1</v>
      </c>
      <c r="O493" s="5">
        <f t="shared" si="58"/>
        <v>0</v>
      </c>
      <c r="P493" s="5">
        <f t="shared" si="59"/>
        <v>0</v>
      </c>
      <c r="Q493" s="5">
        <f t="shared" si="60"/>
        <v>2</v>
      </c>
      <c r="R493" s="8">
        <f t="shared" si="61"/>
        <v>0</v>
      </c>
      <c r="S493" s="8">
        <f t="shared" si="62"/>
        <v>0</v>
      </c>
      <c r="T493" s="3" t="e">
        <f t="shared" si="63"/>
        <v>#VALUE!</v>
      </c>
      <c r="V493" s="1" t="e">
        <f t="shared" si="64"/>
        <v>#VALUE!</v>
      </c>
    </row>
    <row r="494" spans="8:22" x14ac:dyDescent="0.3">
      <c r="H494" s="2" t="str">
        <f>IF(Planilha1!B491="","",Planilha1!B491)</f>
        <v>7:00p</v>
      </c>
      <c r="I494" s="2" t="str">
        <f>IF(Planilha1!C491="","",Planilha1!C491)</f>
        <v>Chicago Bulls</v>
      </c>
      <c r="J494" s="2">
        <f>IF(Planilha1!D491="","",Planilha1!D491)</f>
        <v>97</v>
      </c>
      <c r="K494" s="10" t="str">
        <f>IF(Planilha1!E491="","",IF(Planilha1!E491=0,"",Planilha1!E491))</f>
        <v>Philadelphia 76ers</v>
      </c>
      <c r="L494" s="10">
        <f>IF(Planilha1!F491="","",Planilha1!F491)</f>
        <v>110</v>
      </c>
      <c r="M494" s="10">
        <f>IF(Planilha1!G491="","",IF(Planilha1!G491=0,"",Planilha1!G491))</f>
        <v>110</v>
      </c>
      <c r="N494" s="5">
        <f t="shared" si="57"/>
        <v>1</v>
      </c>
      <c r="O494" s="5">
        <f t="shared" si="58"/>
        <v>0</v>
      </c>
      <c r="P494" s="5">
        <f t="shared" si="59"/>
        <v>0</v>
      </c>
      <c r="Q494" s="5">
        <f t="shared" si="60"/>
        <v>2</v>
      </c>
      <c r="R494" s="8">
        <f t="shared" si="61"/>
        <v>0</v>
      </c>
      <c r="S494" s="8">
        <f t="shared" si="62"/>
        <v>0</v>
      </c>
      <c r="T494" s="3" t="e">
        <f t="shared" si="63"/>
        <v>#VALUE!</v>
      </c>
      <c r="V494" s="1" t="e">
        <f t="shared" si="64"/>
        <v>#VALUE!</v>
      </c>
    </row>
    <row r="495" spans="8:22" x14ac:dyDescent="0.3">
      <c r="H495" s="2" t="str">
        <f>IF(Planilha1!B492="","",Planilha1!B492)</f>
        <v>8:00p</v>
      </c>
      <c r="I495" s="2" t="str">
        <f>IF(Planilha1!C492="","",Planilha1!C492)</f>
        <v>San Antonio Spurs</v>
      </c>
      <c r="J495" s="2">
        <f>IF(Planilha1!D492="","",Planilha1!D492)</f>
        <v>98</v>
      </c>
      <c r="K495" s="10" t="str">
        <f>IF(Planilha1!E492="","",IF(Planilha1!E492=0,"",Planilha1!E492))</f>
        <v>Memphis Grizzlies</v>
      </c>
      <c r="L495" s="10">
        <f>IF(Planilha1!F492="","",Planilha1!F492)</f>
        <v>106</v>
      </c>
      <c r="M495" s="10">
        <f>IF(Planilha1!G492="","",IF(Planilha1!G492=0,"",Planilha1!G492))</f>
        <v>106</v>
      </c>
      <c r="N495" s="5">
        <f t="shared" si="57"/>
        <v>1</v>
      </c>
      <c r="O495" s="5">
        <f t="shared" si="58"/>
        <v>0</v>
      </c>
      <c r="P495" s="5">
        <f t="shared" si="59"/>
        <v>0</v>
      </c>
      <c r="Q495" s="5">
        <f t="shared" si="60"/>
        <v>2</v>
      </c>
      <c r="R495" s="8">
        <f t="shared" si="61"/>
        <v>0</v>
      </c>
      <c r="S495" s="8">
        <f t="shared" si="62"/>
        <v>0</v>
      </c>
      <c r="T495" s="3" t="e">
        <f t="shared" si="63"/>
        <v>#VALUE!</v>
      </c>
      <c r="V495" s="1" t="e">
        <f t="shared" si="64"/>
        <v>#VALUE!</v>
      </c>
    </row>
    <row r="496" spans="8:22" x14ac:dyDescent="0.3">
      <c r="H496" s="2" t="str">
        <f>IF(Planilha1!B493="","",Planilha1!B493)</f>
        <v>8:00p</v>
      </c>
      <c r="I496" s="2" t="str">
        <f>IF(Planilha1!C493="","",Planilha1!C493)</f>
        <v>Brooklyn Nets</v>
      </c>
      <c r="J496" s="2">
        <f>IF(Planilha1!D493="","",Planilha1!D493)</f>
        <v>85</v>
      </c>
      <c r="K496" s="10" t="str">
        <f>IF(Planilha1!E493="","",IF(Planilha1!E493=0,"",Planilha1!E493))</f>
        <v>New Orleans Pelicans</v>
      </c>
      <c r="L496" s="10">
        <f>IF(Planilha1!F493="","",Planilha1!F493)</f>
        <v>112</v>
      </c>
      <c r="M496" s="10">
        <f>IF(Planilha1!G493="","",IF(Planilha1!G493=0,"",Planilha1!G493))</f>
        <v>112</v>
      </c>
      <c r="N496" s="5">
        <f t="shared" si="57"/>
        <v>1</v>
      </c>
      <c r="O496" s="5">
        <f t="shared" si="58"/>
        <v>0</v>
      </c>
      <c r="P496" s="5">
        <f t="shared" si="59"/>
        <v>0</v>
      </c>
      <c r="Q496" s="5">
        <f t="shared" si="60"/>
        <v>2</v>
      </c>
      <c r="R496" s="8">
        <f t="shared" si="61"/>
        <v>0</v>
      </c>
      <c r="S496" s="8">
        <f t="shared" si="62"/>
        <v>0</v>
      </c>
      <c r="T496" s="3" t="e">
        <f t="shared" si="63"/>
        <v>#VALUE!</v>
      </c>
      <c r="V496" s="1" t="e">
        <f t="shared" si="64"/>
        <v>#VALUE!</v>
      </c>
    </row>
    <row r="497" spans="8:22" x14ac:dyDescent="0.3">
      <c r="H497" s="2" t="str">
        <f>IF(Planilha1!B494="","",Planilha1!B494)</f>
        <v>8:00p</v>
      </c>
      <c r="I497" s="2" t="str">
        <f>IF(Planilha1!C494="","",Planilha1!C494)</f>
        <v>Boston Celtics</v>
      </c>
      <c r="J497" s="2">
        <f>IF(Planilha1!D494="","",Planilha1!D494)</f>
        <v>123</v>
      </c>
      <c r="K497" s="10" t="str">
        <f>IF(Planilha1!E494="","",IF(Planilha1!E494=0,"",Planilha1!E494))</f>
        <v>Oklahoma City Thunder</v>
      </c>
      <c r="L497" s="10">
        <f>IF(Planilha1!F494="","",Planilha1!F494)</f>
        <v>127</v>
      </c>
      <c r="M497" s="10">
        <f>IF(Planilha1!G494="","",IF(Planilha1!G494=0,"",Planilha1!G494))</f>
        <v>127</v>
      </c>
      <c r="N497" s="5">
        <f t="shared" si="57"/>
        <v>1</v>
      </c>
      <c r="O497" s="5">
        <f t="shared" si="58"/>
        <v>0</v>
      </c>
      <c r="P497" s="5">
        <f t="shared" si="59"/>
        <v>0</v>
      </c>
      <c r="Q497" s="5">
        <f t="shared" si="60"/>
        <v>2</v>
      </c>
      <c r="R497" s="8">
        <f t="shared" si="61"/>
        <v>0</v>
      </c>
      <c r="S497" s="8">
        <f t="shared" si="62"/>
        <v>0</v>
      </c>
      <c r="T497" s="3" t="e">
        <f t="shared" si="63"/>
        <v>#VALUE!</v>
      </c>
      <c r="V497" s="1" t="e">
        <f t="shared" si="64"/>
        <v>#VALUE!</v>
      </c>
    </row>
    <row r="498" spans="8:22" x14ac:dyDescent="0.3">
      <c r="H498" s="2" t="str">
        <f>IF(Planilha1!B495="","",Planilha1!B495)</f>
        <v>10:00p</v>
      </c>
      <c r="I498" s="2" t="str">
        <f>IF(Planilha1!C495="","",Planilha1!C495)</f>
        <v>Orlando Magic</v>
      </c>
      <c r="J498" s="2">
        <f>IF(Planilha1!D495="","",Planilha1!D495)</f>
        <v>115</v>
      </c>
      <c r="K498" s="10" t="str">
        <f>IF(Planilha1!E495="","",IF(Planilha1!E495=0,"",Planilha1!E495))</f>
        <v>Golden State Warriors</v>
      </c>
      <c r="L498" s="10">
        <f>IF(Planilha1!F495="","",Planilha1!F495)</f>
        <v>121</v>
      </c>
      <c r="M498" s="10">
        <f>IF(Planilha1!G495="","",IF(Planilha1!G495=0,"",Planilha1!G495))</f>
        <v>121</v>
      </c>
      <c r="N498" s="5">
        <f t="shared" si="57"/>
        <v>1</v>
      </c>
      <c r="O498" s="5">
        <f t="shared" si="58"/>
        <v>0</v>
      </c>
      <c r="P498" s="5">
        <f t="shared" si="59"/>
        <v>0</v>
      </c>
      <c r="Q498" s="5">
        <f t="shared" si="60"/>
        <v>2</v>
      </c>
      <c r="R498" s="8">
        <f t="shared" si="61"/>
        <v>0</v>
      </c>
      <c r="S498" s="8">
        <f t="shared" si="62"/>
        <v>0</v>
      </c>
      <c r="T498" s="3" t="e">
        <f t="shared" si="63"/>
        <v>#VALUE!</v>
      </c>
      <c r="V498" s="1" t="e">
        <f t="shared" si="64"/>
        <v>#VALUE!</v>
      </c>
    </row>
    <row r="499" spans="8:22" x14ac:dyDescent="0.3">
      <c r="H499" s="2" t="str">
        <f>IF(Planilha1!B496="","",Planilha1!B496)</f>
        <v>10:00p</v>
      </c>
      <c r="I499" s="2" t="str">
        <f>IF(Planilha1!C496="","",Planilha1!C496)</f>
        <v>Charlotte Hornets</v>
      </c>
      <c r="J499" s="2">
        <f>IF(Planilha1!D496="","",Planilha1!D496)</f>
        <v>111</v>
      </c>
      <c r="K499" s="10" t="str">
        <f>IF(Planilha1!E496="","",IF(Planilha1!E496=0,"",Planilha1!E496))</f>
        <v>Sacramento Kings</v>
      </c>
      <c r="L499" s="10">
        <f>IF(Planilha1!F496="","",Planilha1!F496)</f>
        <v>104</v>
      </c>
      <c r="M499" s="10">
        <f>IF(Planilha1!G496="","",IF(Planilha1!G496=0,"",Planilha1!G496))</f>
        <v>104</v>
      </c>
      <c r="N499" s="5">
        <f t="shared" si="57"/>
        <v>1</v>
      </c>
      <c r="O499" s="5">
        <f t="shared" si="58"/>
        <v>0</v>
      </c>
      <c r="P499" s="5">
        <f t="shared" si="59"/>
        <v>0</v>
      </c>
      <c r="Q499" s="5">
        <f t="shared" si="60"/>
        <v>2</v>
      </c>
      <c r="R499" s="8">
        <f t="shared" si="61"/>
        <v>0</v>
      </c>
      <c r="S499" s="8">
        <f t="shared" si="62"/>
        <v>0</v>
      </c>
      <c r="T499" s="3" t="e">
        <f t="shared" si="63"/>
        <v>#VALUE!</v>
      </c>
      <c r="V499" s="1" t="e">
        <f t="shared" si="64"/>
        <v>#VALUE!</v>
      </c>
    </row>
    <row r="500" spans="8:22" x14ac:dyDescent="0.3">
      <c r="H500" s="2" t="str">
        <f>IF(Planilha1!B497="","",Planilha1!B497)</f>
        <v>7:00p</v>
      </c>
      <c r="I500" s="2" t="str">
        <f>IF(Planilha1!C497="","",Planilha1!C497)</f>
        <v>Washington Wizards</v>
      </c>
      <c r="J500" s="2">
        <f>IF(Planilha1!D497="","",Planilha1!D497)</f>
        <v>101</v>
      </c>
      <c r="K500" s="10" t="str">
        <f>IF(Planilha1!E497="","",IF(Planilha1!E497=0,"",Planilha1!E497))</f>
        <v>Cleveland Cavaliers</v>
      </c>
      <c r="L500" s="10">
        <f>IF(Planilha1!F497="","",Planilha1!F497)</f>
        <v>140</v>
      </c>
      <c r="M500" s="10">
        <f>IF(Planilha1!G497="","",IF(Planilha1!G497=0,"",Planilha1!G497))</f>
        <v>140</v>
      </c>
      <c r="N500" s="5">
        <f t="shared" si="57"/>
        <v>1</v>
      </c>
      <c r="O500" s="5">
        <f t="shared" si="58"/>
        <v>0</v>
      </c>
      <c r="P500" s="5">
        <f t="shared" si="59"/>
        <v>0</v>
      </c>
      <c r="Q500" s="5">
        <f t="shared" si="60"/>
        <v>2</v>
      </c>
      <c r="R500" s="8">
        <f t="shared" si="61"/>
        <v>0</v>
      </c>
      <c r="S500" s="8">
        <f t="shared" si="62"/>
        <v>0</v>
      </c>
      <c r="T500" s="3" t="e">
        <f t="shared" si="63"/>
        <v>#VALUE!</v>
      </c>
      <c r="V500" s="1" t="e">
        <f t="shared" si="64"/>
        <v>#VALUE!</v>
      </c>
    </row>
    <row r="501" spans="8:22" x14ac:dyDescent="0.3">
      <c r="H501" s="2" t="str">
        <f>IF(Planilha1!B498="","",Planilha1!B498)</f>
        <v>7:00p</v>
      </c>
      <c r="I501" s="2" t="str">
        <f>IF(Planilha1!C498="","",Planilha1!C498)</f>
        <v>Milwaukee Bucks</v>
      </c>
      <c r="J501" s="2">
        <f>IF(Planilha1!D498="","",Planilha1!D498)</f>
        <v>130</v>
      </c>
      <c r="K501" s="10" t="str">
        <f>IF(Planilha1!E498="","",IF(Planilha1!E498=0,"",Planilha1!E498))</f>
        <v>Indiana Pacers</v>
      </c>
      <c r="L501" s="10">
        <f>IF(Planilha1!F498="","",Planilha1!F498)</f>
        <v>142</v>
      </c>
      <c r="M501" s="10">
        <f>IF(Planilha1!G498="","",IF(Planilha1!G498=0,"",Planilha1!G498))</f>
        <v>142</v>
      </c>
      <c r="N501" s="5">
        <f t="shared" si="57"/>
        <v>1</v>
      </c>
      <c r="O501" s="5">
        <f t="shared" si="58"/>
        <v>0</v>
      </c>
      <c r="P501" s="5">
        <f t="shared" si="59"/>
        <v>0</v>
      </c>
      <c r="Q501" s="5">
        <f t="shared" si="60"/>
        <v>2</v>
      </c>
      <c r="R501" s="8">
        <f t="shared" si="61"/>
        <v>0</v>
      </c>
      <c r="S501" s="8">
        <f t="shared" si="62"/>
        <v>0</v>
      </c>
      <c r="T501" s="3" t="e">
        <f t="shared" si="63"/>
        <v>#VALUE!</v>
      </c>
      <c r="V501" s="1" t="e">
        <f t="shared" si="64"/>
        <v>#VALUE!</v>
      </c>
    </row>
    <row r="502" spans="8:22" x14ac:dyDescent="0.3">
      <c r="H502" s="2" t="str">
        <f>IF(Planilha1!B499="","",Planilha1!B499)</f>
        <v>7:30p</v>
      </c>
      <c r="I502" s="2" t="str">
        <f>IF(Planilha1!C499="","",Planilha1!C499)</f>
        <v>Oklahoma City Thunder</v>
      </c>
      <c r="J502" s="2">
        <f>IF(Planilha1!D499="","",Planilha1!D499)</f>
        <v>138</v>
      </c>
      <c r="K502" s="10" t="str">
        <f>IF(Planilha1!E499="","",IF(Planilha1!E499=0,"",Planilha1!E499))</f>
        <v>Atlanta Hawks</v>
      </c>
      <c r="L502" s="10">
        <f>IF(Planilha1!F499="","",Planilha1!F499)</f>
        <v>141</v>
      </c>
      <c r="M502" s="10">
        <f>IF(Planilha1!G499="","",IF(Planilha1!G499=0,"",Planilha1!G499))</f>
        <v>141</v>
      </c>
      <c r="N502" s="5">
        <f t="shared" si="57"/>
        <v>1</v>
      </c>
      <c r="O502" s="5">
        <f t="shared" si="58"/>
        <v>0</v>
      </c>
      <c r="P502" s="5">
        <f t="shared" si="59"/>
        <v>0</v>
      </c>
      <c r="Q502" s="5">
        <f t="shared" si="60"/>
        <v>2</v>
      </c>
      <c r="R502" s="8">
        <f t="shared" si="61"/>
        <v>0</v>
      </c>
      <c r="S502" s="8">
        <f t="shared" si="62"/>
        <v>0</v>
      </c>
      <c r="T502" s="3" t="e">
        <f t="shared" si="63"/>
        <v>#VALUE!</v>
      </c>
      <c r="V502" s="1" t="e">
        <f t="shared" si="64"/>
        <v>#VALUE!</v>
      </c>
    </row>
    <row r="503" spans="8:22" x14ac:dyDescent="0.3">
      <c r="H503" s="2" t="str">
        <f>IF(Planilha1!B500="","",Planilha1!B500)</f>
        <v>8:00p</v>
      </c>
      <c r="I503" s="2" t="str">
        <f>IF(Planilha1!C500="","",Planilha1!C500)</f>
        <v>Brooklyn Nets</v>
      </c>
      <c r="J503" s="2">
        <f>IF(Planilha1!D500="","",Planilha1!D500)</f>
        <v>101</v>
      </c>
      <c r="K503" s="10" t="str">
        <f>IF(Planilha1!E500="","",IF(Planilha1!E500=0,"",Planilha1!E500))</f>
        <v>Houston Rockets</v>
      </c>
      <c r="L503" s="10">
        <f>IF(Planilha1!F500="","",Planilha1!F500)</f>
        <v>112</v>
      </c>
      <c r="M503" s="10">
        <f>IF(Planilha1!G500="","",IF(Planilha1!G500=0,"",Planilha1!G500))</f>
        <v>112</v>
      </c>
      <c r="N503" s="5">
        <f t="shared" si="57"/>
        <v>1</v>
      </c>
      <c r="O503" s="5">
        <f t="shared" si="58"/>
        <v>0</v>
      </c>
      <c r="P503" s="5">
        <f t="shared" si="59"/>
        <v>0</v>
      </c>
      <c r="Q503" s="5">
        <f t="shared" si="60"/>
        <v>2</v>
      </c>
      <c r="R503" s="8">
        <f t="shared" si="61"/>
        <v>0</v>
      </c>
      <c r="S503" s="8">
        <f t="shared" si="62"/>
        <v>0</v>
      </c>
      <c r="T503" s="3" t="e">
        <f t="shared" si="63"/>
        <v>#VALUE!</v>
      </c>
      <c r="V503" s="1" t="e">
        <f t="shared" si="64"/>
        <v>#VALUE!</v>
      </c>
    </row>
    <row r="504" spans="8:22" x14ac:dyDescent="0.3">
      <c r="H504" s="2" t="str">
        <f>IF(Planilha1!B501="","",Planilha1!B501)</f>
        <v>8:00p</v>
      </c>
      <c r="I504" s="2" t="str">
        <f>IF(Planilha1!C501="","",Planilha1!C501)</f>
        <v>Toronto Raptors</v>
      </c>
      <c r="J504" s="2">
        <f>IF(Planilha1!D501="","",Planilha1!D501)</f>
        <v>116</v>
      </c>
      <c r="K504" s="10" t="str">
        <f>IF(Planilha1!E501="","",IF(Planilha1!E501=0,"",Planilha1!E501))</f>
        <v>Memphis Grizzlies</v>
      </c>
      <c r="L504" s="10">
        <f>IF(Planilha1!F501="","",Planilha1!F501)</f>
        <v>111</v>
      </c>
      <c r="M504" s="10">
        <f>IF(Planilha1!G501="","",IF(Planilha1!G501=0,"",Planilha1!G501))</f>
        <v>111</v>
      </c>
      <c r="N504" s="5">
        <f t="shared" si="57"/>
        <v>1</v>
      </c>
      <c r="O504" s="5">
        <f t="shared" si="58"/>
        <v>0</v>
      </c>
      <c r="P504" s="5">
        <f t="shared" si="59"/>
        <v>0</v>
      </c>
      <c r="Q504" s="5">
        <f t="shared" si="60"/>
        <v>2</v>
      </c>
      <c r="R504" s="8">
        <f t="shared" si="61"/>
        <v>0</v>
      </c>
      <c r="S504" s="8">
        <f t="shared" si="62"/>
        <v>0</v>
      </c>
      <c r="T504" s="3" t="e">
        <f t="shared" si="63"/>
        <v>#VALUE!</v>
      </c>
      <c r="V504" s="1" t="e">
        <f t="shared" si="64"/>
        <v>#VALUE!</v>
      </c>
    </row>
    <row r="505" spans="8:22" x14ac:dyDescent="0.3">
      <c r="H505" s="2" t="str">
        <f>IF(Planilha1!B502="","",Planilha1!B502)</f>
        <v>8:00p</v>
      </c>
      <c r="I505" s="2" t="str">
        <f>IF(Planilha1!C502="","",Planilha1!C502)</f>
        <v>New Orleans Pelicans</v>
      </c>
      <c r="J505" s="2">
        <f>IF(Planilha1!D502="","",Planilha1!D502)</f>
        <v>117</v>
      </c>
      <c r="K505" s="10" t="str">
        <f>IF(Planilha1!E502="","",IF(Planilha1!E502=0,"",Planilha1!E502))</f>
        <v>Minnesota Timberwolves</v>
      </c>
      <c r="L505" s="10">
        <f>IF(Planilha1!F502="","",Planilha1!F502)</f>
        <v>106</v>
      </c>
      <c r="M505" s="10">
        <f>IF(Planilha1!G502="","",IF(Planilha1!G502=0,"",Planilha1!G502))</f>
        <v>106</v>
      </c>
      <c r="N505" s="5">
        <f t="shared" si="57"/>
        <v>1</v>
      </c>
      <c r="O505" s="5">
        <f t="shared" si="58"/>
        <v>0</v>
      </c>
      <c r="P505" s="5">
        <f t="shared" si="59"/>
        <v>0</v>
      </c>
      <c r="Q505" s="5">
        <f t="shared" si="60"/>
        <v>2</v>
      </c>
      <c r="R505" s="8">
        <f t="shared" si="61"/>
        <v>0</v>
      </c>
      <c r="S505" s="8">
        <f t="shared" si="62"/>
        <v>0</v>
      </c>
      <c r="T505" s="3" t="e">
        <f t="shared" si="63"/>
        <v>#VALUE!</v>
      </c>
      <c r="V505" s="1" t="e">
        <f t="shared" si="64"/>
        <v>#VALUE!</v>
      </c>
    </row>
    <row r="506" spans="8:22" x14ac:dyDescent="0.3">
      <c r="H506" s="2" t="str">
        <f>IF(Planilha1!B503="","",Planilha1!B503)</f>
        <v>8:30p</v>
      </c>
      <c r="I506" s="2" t="str">
        <f>IF(Planilha1!C503="","",Planilha1!C503)</f>
        <v>Portland Trail Blazers</v>
      </c>
      <c r="J506" s="2">
        <f>IF(Planilha1!D503="","",Planilha1!D503)</f>
        <v>97</v>
      </c>
      <c r="K506" s="10" t="str">
        <f>IF(Planilha1!E503="","",IF(Planilha1!E503=0,"",Planilha1!E503))</f>
        <v>Dallas Mavericks</v>
      </c>
      <c r="L506" s="10">
        <f>IF(Planilha1!F503="","",Planilha1!F503)</f>
        <v>126</v>
      </c>
      <c r="M506" s="10">
        <f>IF(Planilha1!G503="","",IF(Planilha1!G503=0,"",Planilha1!G503))</f>
        <v>126</v>
      </c>
      <c r="N506" s="5">
        <f t="shared" si="57"/>
        <v>1</v>
      </c>
      <c r="O506" s="5">
        <f t="shared" si="58"/>
        <v>0</v>
      </c>
      <c r="P506" s="5">
        <f t="shared" si="59"/>
        <v>0</v>
      </c>
      <c r="Q506" s="5">
        <f t="shared" si="60"/>
        <v>2</v>
      </c>
      <c r="R506" s="8">
        <f t="shared" si="61"/>
        <v>0</v>
      </c>
      <c r="S506" s="8">
        <f t="shared" si="62"/>
        <v>0</v>
      </c>
      <c r="T506" s="3" t="e">
        <f t="shared" si="63"/>
        <v>#VALUE!</v>
      </c>
      <c r="V506" s="1" t="e">
        <f t="shared" si="64"/>
        <v>#VALUE!</v>
      </c>
    </row>
    <row r="507" spans="8:22" x14ac:dyDescent="0.3">
      <c r="H507" s="2" t="str">
        <f>IF(Planilha1!B504="","",Planilha1!B504)</f>
        <v>8:30p</v>
      </c>
      <c r="I507" s="2" t="str">
        <f>IF(Planilha1!C504="","",Planilha1!C504)</f>
        <v>Chicago Bulls</v>
      </c>
      <c r="J507" s="2">
        <f>IF(Planilha1!D504="","",Planilha1!D504)</f>
        <v>100</v>
      </c>
      <c r="K507" s="10" t="str">
        <f>IF(Planilha1!E504="","",IF(Planilha1!E504=0,"",Planilha1!E504))</f>
        <v>New York Knicks</v>
      </c>
      <c r="L507" s="10">
        <f>IF(Planilha1!F504="","",Planilha1!F504)</f>
        <v>116</v>
      </c>
      <c r="M507" s="10">
        <f>IF(Planilha1!G504="","",IF(Planilha1!G504=0,"",Planilha1!G504))</f>
        <v>116</v>
      </c>
      <c r="N507" s="5">
        <f t="shared" si="57"/>
        <v>1</v>
      </c>
      <c r="O507" s="5">
        <f t="shared" si="58"/>
        <v>0</v>
      </c>
      <c r="P507" s="5">
        <f t="shared" si="59"/>
        <v>0</v>
      </c>
      <c r="Q507" s="5">
        <f t="shared" si="60"/>
        <v>2</v>
      </c>
      <c r="R507" s="8">
        <f t="shared" si="61"/>
        <v>0</v>
      </c>
      <c r="S507" s="8">
        <f t="shared" si="62"/>
        <v>0</v>
      </c>
      <c r="T507" s="3" t="e">
        <f t="shared" si="63"/>
        <v>#VALUE!</v>
      </c>
      <c r="V507" s="1" t="e">
        <f t="shared" si="64"/>
        <v>#VALUE!</v>
      </c>
    </row>
    <row r="508" spans="8:22" x14ac:dyDescent="0.3">
      <c r="H508" s="2" t="str">
        <f>IF(Planilha1!B505="","",Planilha1!B505)</f>
        <v>9:00p</v>
      </c>
      <c r="I508" s="2" t="str">
        <f>IF(Planilha1!C505="","",Planilha1!C505)</f>
        <v>Los Angeles Clippers</v>
      </c>
      <c r="J508" s="2">
        <f>IF(Planilha1!D505="","",Planilha1!D505)</f>
        <v>131</v>
      </c>
      <c r="K508" s="10" t="str">
        <f>IF(Planilha1!E505="","",IF(Planilha1!E505=0,"",Planilha1!E505))</f>
        <v>Phoenix Suns</v>
      </c>
      <c r="L508" s="10">
        <f>IF(Planilha1!F505="","",Planilha1!F505)</f>
        <v>122</v>
      </c>
      <c r="M508" s="10">
        <f>IF(Planilha1!G505="","",IF(Planilha1!G505=0,"",Planilha1!G505))</f>
        <v>122</v>
      </c>
      <c r="N508" s="5">
        <f t="shared" si="57"/>
        <v>1</v>
      </c>
      <c r="O508" s="5">
        <f t="shared" si="58"/>
        <v>0</v>
      </c>
      <c r="P508" s="5">
        <f t="shared" si="59"/>
        <v>0</v>
      </c>
      <c r="Q508" s="5">
        <f t="shared" si="60"/>
        <v>2</v>
      </c>
      <c r="R508" s="8">
        <f t="shared" si="61"/>
        <v>0</v>
      </c>
      <c r="S508" s="8">
        <f t="shared" si="62"/>
        <v>0</v>
      </c>
      <c r="T508" s="3" t="e">
        <f t="shared" si="63"/>
        <v>#VALUE!</v>
      </c>
      <c r="V508" s="1" t="e">
        <f t="shared" si="64"/>
        <v>#VALUE!</v>
      </c>
    </row>
    <row r="509" spans="8:22" x14ac:dyDescent="0.3">
      <c r="H509" s="2" t="str">
        <f>IF(Planilha1!B506="","",Planilha1!B506)</f>
        <v>9:00p</v>
      </c>
      <c r="I509" s="2" t="str">
        <f>IF(Planilha1!C506="","",Planilha1!C506)</f>
        <v>Detroit Pistons</v>
      </c>
      <c r="J509" s="2">
        <f>IF(Planilha1!D506="","",Planilha1!D506)</f>
        <v>148</v>
      </c>
      <c r="K509" s="10" t="str">
        <f>IF(Planilha1!E506="","",IF(Planilha1!E506=0,"",Planilha1!E506))</f>
        <v>Utah Jazz</v>
      </c>
      <c r="L509" s="10">
        <f>IF(Planilha1!F506="","",Planilha1!F506)</f>
        <v>154</v>
      </c>
      <c r="M509" s="10">
        <f>IF(Planilha1!G506="","",IF(Planilha1!G506=0,"",Planilha1!G506))</f>
        <v>154</v>
      </c>
      <c r="N509" s="5">
        <f t="shared" si="57"/>
        <v>1</v>
      </c>
      <c r="O509" s="5">
        <f t="shared" si="58"/>
        <v>0</v>
      </c>
      <c r="P509" s="5">
        <f t="shared" si="59"/>
        <v>0</v>
      </c>
      <c r="Q509" s="5">
        <f t="shared" si="60"/>
        <v>2</v>
      </c>
      <c r="R509" s="8">
        <f t="shared" si="61"/>
        <v>0</v>
      </c>
      <c r="S509" s="8">
        <f t="shared" si="62"/>
        <v>0</v>
      </c>
      <c r="T509" s="3" t="e">
        <f t="shared" si="63"/>
        <v>#VALUE!</v>
      </c>
      <c r="V509" s="1" t="e">
        <f t="shared" si="64"/>
        <v>#VALUE!</v>
      </c>
    </row>
    <row r="510" spans="8:22" x14ac:dyDescent="0.3">
      <c r="H510" s="2" t="str">
        <f>IF(Planilha1!B507="","",Planilha1!B507)</f>
        <v>10:00p</v>
      </c>
      <c r="I510" s="2" t="str">
        <f>IF(Planilha1!C507="","",Planilha1!C507)</f>
        <v>Miami Heat</v>
      </c>
      <c r="J510" s="2">
        <f>IF(Planilha1!D507="","",Planilha1!D507)</f>
        <v>110</v>
      </c>
      <c r="K510" s="10" t="str">
        <f>IF(Planilha1!E507="","",IF(Planilha1!E507=0,"",Planilha1!E507))</f>
        <v>Los Angeles Lakers</v>
      </c>
      <c r="L510" s="10">
        <f>IF(Planilha1!F507="","",Planilha1!F507)</f>
        <v>96</v>
      </c>
      <c r="M510" s="10">
        <f>IF(Planilha1!G507="","",IF(Planilha1!G507=0,"",Planilha1!G507))</f>
        <v>96</v>
      </c>
      <c r="N510" s="5">
        <f t="shared" si="57"/>
        <v>1</v>
      </c>
      <c r="O510" s="5">
        <f t="shared" si="58"/>
        <v>0</v>
      </c>
      <c r="P510" s="5">
        <f t="shared" si="59"/>
        <v>0</v>
      </c>
      <c r="Q510" s="5">
        <f t="shared" si="60"/>
        <v>2</v>
      </c>
      <c r="R510" s="8">
        <f t="shared" si="61"/>
        <v>0</v>
      </c>
      <c r="S510" s="8">
        <f t="shared" si="62"/>
        <v>0</v>
      </c>
      <c r="T510" s="3" t="e">
        <f t="shared" si="63"/>
        <v>#VALUE!</v>
      </c>
      <c r="V510" s="1" t="e">
        <f t="shared" si="64"/>
        <v>#VALUE!</v>
      </c>
    </row>
    <row r="511" spans="8:22" x14ac:dyDescent="0.3">
      <c r="H511" s="2" t="str">
        <f>IF(Planilha1!B508="","",Planilha1!B508)</f>
        <v>10:00p</v>
      </c>
      <c r="I511" s="2" t="str">
        <f>IF(Planilha1!C508="","",Planilha1!C508)</f>
        <v>Orlando Magic</v>
      </c>
      <c r="J511" s="2">
        <f>IF(Planilha1!D508="","",Planilha1!D508)</f>
        <v>135</v>
      </c>
      <c r="K511" s="10" t="str">
        <f>IF(Planilha1!E508="","",IF(Planilha1!E508=0,"",Planilha1!E508))</f>
        <v>Sacramento Kings</v>
      </c>
      <c r="L511" s="10">
        <f>IF(Planilha1!F508="","",Planilha1!F508)</f>
        <v>138</v>
      </c>
      <c r="M511" s="10">
        <f>IF(Planilha1!G508="","",IF(Planilha1!G508=0,"",Planilha1!G508))</f>
        <v>138</v>
      </c>
      <c r="N511" s="5">
        <f t="shared" si="57"/>
        <v>1</v>
      </c>
      <c r="O511" s="5">
        <f t="shared" si="58"/>
        <v>0</v>
      </c>
      <c r="P511" s="5">
        <f t="shared" si="59"/>
        <v>0</v>
      </c>
      <c r="Q511" s="5">
        <f t="shared" si="60"/>
        <v>2</v>
      </c>
      <c r="R511" s="8">
        <f t="shared" si="61"/>
        <v>0</v>
      </c>
      <c r="S511" s="8">
        <f t="shared" si="62"/>
        <v>0</v>
      </c>
      <c r="T511" s="3" t="e">
        <f t="shared" si="63"/>
        <v>#VALUE!</v>
      </c>
      <c r="V511" s="1" t="e">
        <f t="shared" si="64"/>
        <v>#VALUE!</v>
      </c>
    </row>
    <row r="512" spans="8:22" x14ac:dyDescent="0.3">
      <c r="H512" s="2" t="str">
        <f>IF(Planilha1!B509="","",Planilha1!B509)</f>
        <v>7:30p</v>
      </c>
      <c r="I512" s="2" t="str">
        <f>IF(Planilha1!C509="","",Planilha1!C509)</f>
        <v>Milwaukee Bucks</v>
      </c>
      <c r="J512" s="2">
        <f>IF(Planilha1!D509="","",Planilha1!D509)</f>
        <v>125</v>
      </c>
      <c r="K512" s="10" t="str">
        <f>IF(Planilha1!E509="","",IF(Planilha1!E509=0,"",Planilha1!E509))</f>
        <v>San Antonio Spurs</v>
      </c>
      <c r="L512" s="10">
        <f>IF(Planilha1!F509="","",Planilha1!F509)</f>
        <v>121</v>
      </c>
      <c r="M512" s="10">
        <f>IF(Planilha1!G509="","",IF(Planilha1!G509=0,"",Planilha1!G509))</f>
        <v>121</v>
      </c>
      <c r="N512" s="5">
        <f t="shared" si="57"/>
        <v>1</v>
      </c>
      <c r="O512" s="5">
        <f t="shared" si="58"/>
        <v>0</v>
      </c>
      <c r="P512" s="5">
        <f t="shared" si="59"/>
        <v>0</v>
      </c>
      <c r="Q512" s="5">
        <f t="shared" si="60"/>
        <v>2</v>
      </c>
      <c r="R512" s="8">
        <f t="shared" si="61"/>
        <v>0</v>
      </c>
      <c r="S512" s="8">
        <f t="shared" si="62"/>
        <v>0</v>
      </c>
      <c r="T512" s="3" t="e">
        <f t="shared" si="63"/>
        <v>#VALUE!</v>
      </c>
      <c r="V512" s="1" t="e">
        <f t="shared" si="64"/>
        <v>#VALUE!</v>
      </c>
    </row>
    <row r="513" spans="8:22" x14ac:dyDescent="0.3">
      <c r="H513" s="2" t="str">
        <f>IF(Planilha1!B510="","",Planilha1!B510)</f>
        <v>10:00p</v>
      </c>
      <c r="I513" s="2" t="str">
        <f>IF(Planilha1!C510="","",Planilha1!C510)</f>
        <v>Denver Nuggets</v>
      </c>
      <c r="J513" s="2">
        <f>IF(Planilha1!D510="","",Planilha1!D510)</f>
        <v>130</v>
      </c>
      <c r="K513" s="10" t="str">
        <f>IF(Planilha1!E510="","",IF(Planilha1!E510=0,"",Planilha1!E510))</f>
        <v>Golden State Warriors</v>
      </c>
      <c r="L513" s="10">
        <f>IF(Planilha1!F510="","",Planilha1!F510)</f>
        <v>127</v>
      </c>
      <c r="M513" s="10">
        <f>IF(Planilha1!G510="","",IF(Planilha1!G510=0,"",Planilha1!G510))</f>
        <v>127</v>
      </c>
      <c r="N513" s="5">
        <f t="shared" si="57"/>
        <v>1</v>
      </c>
      <c r="O513" s="5">
        <f t="shared" si="58"/>
        <v>0</v>
      </c>
      <c r="P513" s="5">
        <f t="shared" si="59"/>
        <v>0</v>
      </c>
      <c r="Q513" s="5">
        <f t="shared" si="60"/>
        <v>2</v>
      </c>
      <c r="R513" s="8">
        <f t="shared" si="61"/>
        <v>0</v>
      </c>
      <c r="S513" s="8">
        <f t="shared" si="62"/>
        <v>0</v>
      </c>
      <c r="T513" s="3" t="e">
        <f t="shared" si="63"/>
        <v>#VALUE!</v>
      </c>
      <c r="V513" s="1" t="e">
        <f t="shared" si="64"/>
        <v>#VALUE!</v>
      </c>
    </row>
    <row r="514" spans="8:22" x14ac:dyDescent="0.3">
      <c r="H514" s="2" t="str">
        <f>IF(Planilha1!B511="","",Planilha1!B511)</f>
        <v>7:00p</v>
      </c>
      <c r="I514" s="2" t="str">
        <f>IF(Planilha1!C511="","",Planilha1!C511)</f>
        <v>Utah Jazz</v>
      </c>
      <c r="J514" s="2">
        <f>IF(Planilha1!D511="","",Planilha1!D511)</f>
        <v>97</v>
      </c>
      <c r="K514" s="10" t="str">
        <f>IF(Planilha1!E511="","",IF(Planilha1!E511=0,"",Planilha1!E511))</f>
        <v>Boston Celtics</v>
      </c>
      <c r="L514" s="10">
        <f>IF(Planilha1!F511="","",Planilha1!F511)</f>
        <v>126</v>
      </c>
      <c r="M514" s="10">
        <f>IF(Planilha1!G511="","",IF(Planilha1!G511=0,"",Planilha1!G511))</f>
        <v>126</v>
      </c>
      <c r="N514" s="5">
        <f t="shared" si="57"/>
        <v>1</v>
      </c>
      <c r="O514" s="5">
        <f t="shared" si="58"/>
        <v>0</v>
      </c>
      <c r="P514" s="5">
        <f t="shared" si="59"/>
        <v>0</v>
      </c>
      <c r="Q514" s="5">
        <f t="shared" si="60"/>
        <v>2</v>
      </c>
      <c r="R514" s="8">
        <f t="shared" si="61"/>
        <v>0</v>
      </c>
      <c r="S514" s="8">
        <f t="shared" si="62"/>
        <v>0</v>
      </c>
      <c r="T514" s="3" t="e">
        <f t="shared" si="63"/>
        <v>#VALUE!</v>
      </c>
      <c r="V514" s="1" t="e">
        <f t="shared" si="64"/>
        <v>#VALUE!</v>
      </c>
    </row>
    <row r="515" spans="8:22" x14ac:dyDescent="0.3">
      <c r="H515" s="2" t="str">
        <f>IF(Planilha1!B512="","",Planilha1!B512)</f>
        <v>7:00p</v>
      </c>
      <c r="I515" s="2" t="str">
        <f>IF(Planilha1!C512="","",Planilha1!C512)</f>
        <v>Atlanta Hawks</v>
      </c>
      <c r="J515" s="2">
        <f>IF(Planilha1!D512="","",Planilha1!D512)</f>
        <v>116</v>
      </c>
      <c r="K515" s="10" t="str">
        <f>IF(Planilha1!E512="","",IF(Planilha1!E512=0,"",Planilha1!E512))</f>
        <v>Indiana Pacers</v>
      </c>
      <c r="L515" s="10">
        <f>IF(Planilha1!F512="","",Planilha1!F512)</f>
        <v>150</v>
      </c>
      <c r="M515" s="10">
        <f>IF(Planilha1!G512="","",IF(Planilha1!G512=0,"",Planilha1!G512))</f>
        <v>150</v>
      </c>
      <c r="N515" s="5">
        <f t="shared" si="57"/>
        <v>1</v>
      </c>
      <c r="O515" s="5">
        <f t="shared" si="58"/>
        <v>0</v>
      </c>
      <c r="P515" s="5">
        <f t="shared" si="59"/>
        <v>0</v>
      </c>
      <c r="Q515" s="5">
        <f t="shared" si="60"/>
        <v>2</v>
      </c>
      <c r="R515" s="8">
        <f t="shared" si="61"/>
        <v>0</v>
      </c>
      <c r="S515" s="8">
        <f t="shared" si="62"/>
        <v>0</v>
      </c>
      <c r="T515" s="3" t="e">
        <f t="shared" si="63"/>
        <v>#VALUE!</v>
      </c>
      <c r="V515" s="1" t="e">
        <f t="shared" si="64"/>
        <v>#VALUE!</v>
      </c>
    </row>
    <row r="516" spans="8:22" x14ac:dyDescent="0.3">
      <c r="H516" s="2" t="str">
        <f>IF(Planilha1!B513="","",Planilha1!B513)</f>
        <v>7:30p</v>
      </c>
      <c r="I516" s="2" t="str">
        <f>IF(Planilha1!C513="","",Planilha1!C513)</f>
        <v>Oklahoma City Thunder</v>
      </c>
      <c r="J516" s="2">
        <f>IF(Planilha1!D513="","",Planilha1!D513)</f>
        <v>115</v>
      </c>
      <c r="K516" s="10" t="str">
        <f>IF(Planilha1!E513="","",IF(Planilha1!E513=0,"",Planilha1!E513))</f>
        <v>Brooklyn Nets</v>
      </c>
      <c r="L516" s="10">
        <f>IF(Planilha1!F513="","",Planilha1!F513)</f>
        <v>124</v>
      </c>
      <c r="M516" s="10">
        <f>IF(Planilha1!G513="","",IF(Planilha1!G513=0,"",Planilha1!G513))</f>
        <v>124</v>
      </c>
      <c r="N516" s="5">
        <f t="shared" si="57"/>
        <v>1</v>
      </c>
      <c r="O516" s="5">
        <f t="shared" si="58"/>
        <v>0</v>
      </c>
      <c r="P516" s="5">
        <f t="shared" si="59"/>
        <v>0</v>
      </c>
      <c r="Q516" s="5">
        <f t="shared" si="60"/>
        <v>2</v>
      </c>
      <c r="R516" s="8">
        <f t="shared" si="61"/>
        <v>0</v>
      </c>
      <c r="S516" s="8">
        <f t="shared" si="62"/>
        <v>0</v>
      </c>
      <c r="T516" s="3" t="e">
        <f t="shared" si="63"/>
        <v>#VALUE!</v>
      </c>
      <c r="V516" s="1" t="e">
        <f t="shared" si="64"/>
        <v>#VALUE!</v>
      </c>
    </row>
    <row r="517" spans="8:22" x14ac:dyDescent="0.3">
      <c r="H517" s="2" t="str">
        <f>IF(Planilha1!B514="","",Planilha1!B514)</f>
        <v>7:30p</v>
      </c>
      <c r="I517" s="2" t="str">
        <f>IF(Planilha1!C514="","",Planilha1!C514)</f>
        <v>Washington Wizards</v>
      </c>
      <c r="J517" s="2">
        <f>IF(Planilha1!D514="","",Planilha1!D514)</f>
        <v>90</v>
      </c>
      <c r="K517" s="10" t="str">
        <f>IF(Planilha1!E514="","",IF(Planilha1!E514=0,"",Planilha1!E514))</f>
        <v>Cleveland Cavaliers</v>
      </c>
      <c r="L517" s="10">
        <f>IF(Planilha1!F514="","",Planilha1!F514)</f>
        <v>114</v>
      </c>
      <c r="M517" s="10">
        <f>IF(Planilha1!G514="","",IF(Planilha1!G514=0,"",Planilha1!G514))</f>
        <v>114</v>
      </c>
      <c r="N517" s="5">
        <f t="shared" si="57"/>
        <v>1</v>
      </c>
      <c r="O517" s="5">
        <f t="shared" si="58"/>
        <v>0</v>
      </c>
      <c r="P517" s="5">
        <f t="shared" si="59"/>
        <v>0</v>
      </c>
      <c r="Q517" s="5">
        <f t="shared" si="60"/>
        <v>2</v>
      </c>
      <c r="R517" s="8">
        <f t="shared" si="61"/>
        <v>0</v>
      </c>
      <c r="S517" s="8">
        <f t="shared" si="62"/>
        <v>0</v>
      </c>
      <c r="T517" s="3" t="e">
        <f t="shared" si="63"/>
        <v>#VALUE!</v>
      </c>
      <c r="V517" s="1" t="e">
        <f t="shared" si="64"/>
        <v>#VALUE!</v>
      </c>
    </row>
    <row r="518" spans="8:22" x14ac:dyDescent="0.3">
      <c r="H518" s="2" t="str">
        <f>IF(Planilha1!B515="","",Planilha1!B515)</f>
        <v>7:30p</v>
      </c>
      <c r="I518" s="2" t="str">
        <f>IF(Planilha1!C515="","",Planilha1!C515)</f>
        <v>New York Knicks</v>
      </c>
      <c r="J518" s="2">
        <f>IF(Planilha1!D515="","",Planilha1!D515)</f>
        <v>128</v>
      </c>
      <c r="K518" s="10" t="str">
        <f>IF(Planilha1!E515="","",IF(Planilha1!E515=0,"",Planilha1!E515))</f>
        <v>Philadelphia 76ers</v>
      </c>
      <c r="L518" s="10">
        <f>IF(Planilha1!F515="","",Planilha1!F515)</f>
        <v>92</v>
      </c>
      <c r="M518" s="10">
        <f>IF(Planilha1!G515="","",IF(Planilha1!G515=0,"",Planilha1!G515))</f>
        <v>92</v>
      </c>
      <c r="N518" s="5">
        <f t="shared" ref="N518:N581" si="65">IF(K518="","",IF(K518&gt;M518,100%,0%))</f>
        <v>1</v>
      </c>
      <c r="O518" s="5">
        <f t="shared" ref="O518:O581" si="66">IF(K518="","",IF(K518&lt;M518,100%,0%))</f>
        <v>0</v>
      </c>
      <c r="P518" s="5">
        <f t="shared" ref="P518:P581" si="67">IF(M518="",IF(R518&gt;S518,2,0),IF(K518&lt;M518,2,0))</f>
        <v>0</v>
      </c>
      <c r="Q518" s="5">
        <f t="shared" ref="Q518:Q581" si="68">IF(M518="",IF(R518&gt;S518,0,2),IF(K518&gt;M518,2,0))</f>
        <v>2</v>
      </c>
      <c r="R518" s="8">
        <f t="shared" ref="R518:R581" si="69">SUMIF($B:$B,J518,$C:$C)+(SUMIF($B:$B,L518,$F:$F))</f>
        <v>0</v>
      </c>
      <c r="S518" s="8">
        <f t="shared" ref="S518:S581" si="70">SUMIF($B:$B,L518,$E:$E)+(SUMIF($B:$B,J518,$D:$D))</f>
        <v>0</v>
      </c>
      <c r="T518" s="3" t="e">
        <f t="shared" ref="T518:T581" si="71">IF(M518="","",(K518-S518)^2+(M518-R518)^2)</f>
        <v>#VALUE!</v>
      </c>
      <c r="V518" s="1" t="e">
        <f t="shared" ref="V518:V581" si="72">IF(O518="","",1/((M518-K518)/(R518-S518)))</f>
        <v>#VALUE!</v>
      </c>
    </row>
    <row r="519" spans="8:22" x14ac:dyDescent="0.3">
      <c r="H519" s="2" t="str">
        <f>IF(Planilha1!B516="","",Planilha1!B516)</f>
        <v>8:00p</v>
      </c>
      <c r="I519" s="2" t="str">
        <f>IF(Planilha1!C516="","",Planilha1!C516)</f>
        <v>Charlotte Hornets</v>
      </c>
      <c r="J519" s="2">
        <f>IF(Planilha1!D516="","",Planilha1!D516)</f>
        <v>91</v>
      </c>
      <c r="K519" s="10" t="str">
        <f>IF(Planilha1!E516="","",IF(Planilha1!E516=0,"",Planilha1!E516))</f>
        <v>Chicago Bulls</v>
      </c>
      <c r="L519" s="10">
        <f>IF(Planilha1!F516="","",Planilha1!F516)</f>
        <v>104</v>
      </c>
      <c r="M519" s="10">
        <f>IF(Planilha1!G516="","",IF(Planilha1!G516=0,"",Planilha1!G516))</f>
        <v>104</v>
      </c>
      <c r="N519" s="5">
        <f t="shared" si="65"/>
        <v>1</v>
      </c>
      <c r="O519" s="5">
        <f t="shared" si="66"/>
        <v>0</v>
      </c>
      <c r="P519" s="5">
        <f t="shared" si="67"/>
        <v>0</v>
      </c>
      <c r="Q519" s="5">
        <f t="shared" si="68"/>
        <v>2</v>
      </c>
      <c r="R519" s="8">
        <f t="shared" si="69"/>
        <v>0</v>
      </c>
      <c r="S519" s="8">
        <f t="shared" si="70"/>
        <v>0</v>
      </c>
      <c r="T519" s="3" t="e">
        <f t="shared" si="71"/>
        <v>#VALUE!</v>
      </c>
      <c r="V519" s="1" t="e">
        <f t="shared" si="72"/>
        <v>#VALUE!</v>
      </c>
    </row>
    <row r="520" spans="8:22" x14ac:dyDescent="0.3">
      <c r="H520" s="2" t="str">
        <f>IF(Planilha1!B517="","",Planilha1!B517)</f>
        <v>8:00p</v>
      </c>
      <c r="I520" s="2" t="str">
        <f>IF(Planilha1!C517="","",Planilha1!C517)</f>
        <v>Minnesota Timberwolves</v>
      </c>
      <c r="J520" s="2">
        <f>IF(Planilha1!D517="","",Planilha1!D517)</f>
        <v>122</v>
      </c>
      <c r="K520" s="10" t="str">
        <f>IF(Planilha1!E517="","",IF(Planilha1!E517=0,"",Planilha1!E517))</f>
        <v>Houston Rockets</v>
      </c>
      <c r="L520" s="10">
        <f>IF(Planilha1!F517="","",Planilha1!F517)</f>
        <v>95</v>
      </c>
      <c r="M520" s="10">
        <f>IF(Planilha1!G517="","",IF(Planilha1!G517=0,"",Planilha1!G517))</f>
        <v>95</v>
      </c>
      <c r="N520" s="5">
        <f t="shared" si="65"/>
        <v>1</v>
      </c>
      <c r="O520" s="5">
        <f t="shared" si="66"/>
        <v>0</v>
      </c>
      <c r="P520" s="5">
        <f t="shared" si="67"/>
        <v>0</v>
      </c>
      <c r="Q520" s="5">
        <f t="shared" si="68"/>
        <v>2</v>
      </c>
      <c r="R520" s="8">
        <f t="shared" si="69"/>
        <v>0</v>
      </c>
      <c r="S520" s="8">
        <f t="shared" si="70"/>
        <v>0</v>
      </c>
      <c r="T520" s="3" t="e">
        <f t="shared" si="71"/>
        <v>#VALUE!</v>
      </c>
      <c r="V520" s="1" t="e">
        <f t="shared" si="72"/>
        <v>#VALUE!</v>
      </c>
    </row>
    <row r="521" spans="8:22" x14ac:dyDescent="0.3">
      <c r="H521" s="2" t="str">
        <f>IF(Planilha1!B518="","",Planilha1!B518)</f>
        <v>8:00p</v>
      </c>
      <c r="I521" s="2" t="str">
        <f>IF(Planilha1!C518="","",Planilha1!C518)</f>
        <v>Los Angeles Clippers</v>
      </c>
      <c r="J521" s="2">
        <f>IF(Planilha1!D518="","",Planilha1!D518)</f>
        <v>111</v>
      </c>
      <c r="K521" s="10" t="str">
        <f>IF(Planilha1!E518="","",IF(Planilha1!E518=0,"",Planilha1!E518))</f>
        <v>New Orleans Pelicans</v>
      </c>
      <c r="L521" s="10">
        <f>IF(Planilha1!F518="","",Planilha1!F518)</f>
        <v>95</v>
      </c>
      <c r="M521" s="10">
        <f>IF(Planilha1!G518="","",IF(Planilha1!G518=0,"",Planilha1!G518))</f>
        <v>95</v>
      </c>
      <c r="N521" s="5">
        <f t="shared" si="65"/>
        <v>1</v>
      </c>
      <c r="O521" s="5">
        <f t="shared" si="66"/>
        <v>0</v>
      </c>
      <c r="P521" s="5">
        <f t="shared" si="67"/>
        <v>0</v>
      </c>
      <c r="Q521" s="5">
        <f t="shared" si="68"/>
        <v>2</v>
      </c>
      <c r="R521" s="8">
        <f t="shared" si="69"/>
        <v>0</v>
      </c>
      <c r="S521" s="8">
        <f t="shared" si="70"/>
        <v>0</v>
      </c>
      <c r="T521" s="3" t="e">
        <f t="shared" si="71"/>
        <v>#VALUE!</v>
      </c>
      <c r="V521" s="1" t="e">
        <f t="shared" si="72"/>
        <v>#VALUE!</v>
      </c>
    </row>
    <row r="522" spans="8:22" x14ac:dyDescent="0.3">
      <c r="H522" s="2" t="str">
        <f>IF(Planilha1!B519="","",Planilha1!B519)</f>
        <v>8:30p</v>
      </c>
      <c r="I522" s="2" t="str">
        <f>IF(Planilha1!C519="","",Planilha1!C519)</f>
        <v>Portland Trail Blazers</v>
      </c>
      <c r="J522" s="2">
        <f>IF(Planilha1!D519="","",Planilha1!D519)</f>
        <v>103</v>
      </c>
      <c r="K522" s="10" t="str">
        <f>IF(Planilha1!E519="","",IF(Planilha1!E519=0,"",Planilha1!E519))</f>
        <v>Dallas Mavericks</v>
      </c>
      <c r="L522" s="10">
        <f>IF(Planilha1!F519="","",Planilha1!F519)</f>
        <v>139</v>
      </c>
      <c r="M522" s="10">
        <f>IF(Planilha1!G519="","",IF(Planilha1!G519=0,"",Planilha1!G519))</f>
        <v>139</v>
      </c>
      <c r="N522" s="5">
        <f t="shared" si="65"/>
        <v>1</v>
      </c>
      <c r="O522" s="5">
        <f t="shared" si="66"/>
        <v>0</v>
      </c>
      <c r="P522" s="5">
        <f t="shared" si="67"/>
        <v>0</v>
      </c>
      <c r="Q522" s="5">
        <f t="shared" si="68"/>
        <v>2</v>
      </c>
      <c r="R522" s="8">
        <f t="shared" si="69"/>
        <v>0</v>
      </c>
      <c r="S522" s="8">
        <f t="shared" si="70"/>
        <v>0</v>
      </c>
      <c r="T522" s="3" t="e">
        <f t="shared" si="71"/>
        <v>#VALUE!</v>
      </c>
      <c r="V522" s="1" t="e">
        <f t="shared" si="72"/>
        <v>#VALUE!</v>
      </c>
    </row>
    <row r="523" spans="8:22" x14ac:dyDescent="0.3">
      <c r="H523" s="2" t="str">
        <f>IF(Planilha1!B520="","",Planilha1!B520)</f>
        <v>9:00p</v>
      </c>
      <c r="I523" s="2" t="str">
        <f>IF(Planilha1!C520="","",Planilha1!C520)</f>
        <v>Orlando Magic</v>
      </c>
      <c r="J523" s="2">
        <f>IF(Planilha1!D520="","",Planilha1!D520)</f>
        <v>122</v>
      </c>
      <c r="K523" s="10" t="str">
        <f>IF(Planilha1!E520="","",IF(Planilha1!E520=0,"",Planilha1!E520))</f>
        <v>Denver Nuggets</v>
      </c>
      <c r="L523" s="10">
        <f>IF(Planilha1!F520="","",Planilha1!F520)</f>
        <v>120</v>
      </c>
      <c r="M523" s="10">
        <f>IF(Planilha1!G520="","",IF(Planilha1!G520=0,"",Planilha1!G520))</f>
        <v>120</v>
      </c>
      <c r="N523" s="5">
        <f t="shared" si="65"/>
        <v>1</v>
      </c>
      <c r="O523" s="5">
        <f t="shared" si="66"/>
        <v>0</v>
      </c>
      <c r="P523" s="5">
        <f t="shared" si="67"/>
        <v>0</v>
      </c>
      <c r="Q523" s="5">
        <f t="shared" si="68"/>
        <v>2</v>
      </c>
      <c r="R523" s="8">
        <f t="shared" si="69"/>
        <v>0</v>
      </c>
      <c r="S523" s="8">
        <f t="shared" si="70"/>
        <v>0</v>
      </c>
      <c r="T523" s="3" t="e">
        <f t="shared" si="71"/>
        <v>#VALUE!</v>
      </c>
      <c r="V523" s="1" t="e">
        <f t="shared" si="72"/>
        <v>#VALUE!</v>
      </c>
    </row>
    <row r="524" spans="8:22" x14ac:dyDescent="0.3">
      <c r="H524" s="2" t="str">
        <f>IF(Planilha1!B521="","",Planilha1!B521)</f>
        <v>9:00p</v>
      </c>
      <c r="I524" s="2" t="str">
        <f>IF(Planilha1!C521="","",Planilha1!C521)</f>
        <v>Miami Heat</v>
      </c>
      <c r="J524" s="2">
        <f>IF(Planilha1!D521="","",Planilha1!D521)</f>
        <v>97</v>
      </c>
      <c r="K524" s="10" t="str">
        <f>IF(Planilha1!E521="","",IF(Planilha1!E521=0,"",Planilha1!E521))</f>
        <v>Phoenix Suns</v>
      </c>
      <c r="L524" s="10">
        <f>IF(Planilha1!F521="","",Planilha1!F521)</f>
        <v>113</v>
      </c>
      <c r="M524" s="10">
        <f>IF(Planilha1!G521="","",IF(Planilha1!G521=0,"",Planilha1!G521))</f>
        <v>113</v>
      </c>
      <c r="N524" s="5">
        <f t="shared" si="65"/>
        <v>1</v>
      </c>
      <c r="O524" s="5">
        <f t="shared" si="66"/>
        <v>0</v>
      </c>
      <c r="P524" s="5">
        <f t="shared" si="67"/>
        <v>0</v>
      </c>
      <c r="Q524" s="5">
        <f t="shared" si="68"/>
        <v>2</v>
      </c>
      <c r="R524" s="8">
        <f t="shared" si="69"/>
        <v>0</v>
      </c>
      <c r="S524" s="8">
        <f t="shared" si="70"/>
        <v>0</v>
      </c>
      <c r="T524" s="3" t="e">
        <f t="shared" si="71"/>
        <v>#VALUE!</v>
      </c>
      <c r="V524" s="1" t="e">
        <f t="shared" si="72"/>
        <v>#VALUE!</v>
      </c>
    </row>
    <row r="525" spans="8:22" x14ac:dyDescent="0.3">
      <c r="H525" s="2" t="str">
        <f>IF(Planilha1!B522="","",Planilha1!B522)</f>
        <v>10:00p</v>
      </c>
      <c r="I525" s="2" t="str">
        <f>IF(Planilha1!C522="","",Planilha1!C522)</f>
        <v>Detroit Pistons</v>
      </c>
      <c r="J525" s="2">
        <f>IF(Planilha1!D522="","",Planilha1!D522)</f>
        <v>109</v>
      </c>
      <c r="K525" s="10" t="str">
        <f>IF(Planilha1!E522="","",IF(Planilha1!E522=0,"",Planilha1!E522))</f>
        <v>Golden State Warriors</v>
      </c>
      <c r="L525" s="10">
        <f>IF(Planilha1!F522="","",Planilha1!F522)</f>
        <v>113</v>
      </c>
      <c r="M525" s="10">
        <f>IF(Planilha1!G522="","",IF(Planilha1!G522=0,"",Planilha1!G522))</f>
        <v>113</v>
      </c>
      <c r="N525" s="5">
        <f t="shared" si="65"/>
        <v>1</v>
      </c>
      <c r="O525" s="5">
        <f t="shared" si="66"/>
        <v>0</v>
      </c>
      <c r="P525" s="5">
        <f t="shared" si="67"/>
        <v>0</v>
      </c>
      <c r="Q525" s="5">
        <f t="shared" si="68"/>
        <v>2</v>
      </c>
      <c r="R525" s="8">
        <f t="shared" si="69"/>
        <v>0</v>
      </c>
      <c r="S525" s="8">
        <f t="shared" si="70"/>
        <v>0</v>
      </c>
      <c r="T525" s="3" t="e">
        <f t="shared" si="71"/>
        <v>#VALUE!</v>
      </c>
      <c r="V525" s="1" t="e">
        <f t="shared" si="72"/>
        <v>#VALUE!</v>
      </c>
    </row>
    <row r="526" spans="8:22" x14ac:dyDescent="0.3">
      <c r="H526" s="2" t="str">
        <f>IF(Planilha1!B523="","",Planilha1!B523)</f>
        <v>10:00p</v>
      </c>
      <c r="I526" s="2" t="str">
        <f>IF(Planilha1!C523="","",Planilha1!C523)</f>
        <v>Memphis Grizzlies</v>
      </c>
      <c r="J526" s="2">
        <f>IF(Planilha1!D523="","",Planilha1!D523)</f>
        <v>127</v>
      </c>
      <c r="K526" s="10" t="str">
        <f>IF(Planilha1!E523="","",IF(Planilha1!E523=0,"",Planilha1!E523))</f>
        <v>Los Angeles Lakers</v>
      </c>
      <c r="L526" s="10">
        <f>IF(Planilha1!F523="","",Planilha1!F523)</f>
        <v>113</v>
      </c>
      <c r="M526" s="10">
        <f>IF(Planilha1!G523="","",IF(Planilha1!G523=0,"",Planilha1!G523))</f>
        <v>113</v>
      </c>
      <c r="N526" s="5">
        <f t="shared" si="65"/>
        <v>1</v>
      </c>
      <c r="O526" s="5">
        <f t="shared" si="66"/>
        <v>0</v>
      </c>
      <c r="P526" s="5">
        <f t="shared" si="67"/>
        <v>0</v>
      </c>
      <c r="Q526" s="5">
        <f t="shared" si="68"/>
        <v>2</v>
      </c>
      <c r="R526" s="8">
        <f t="shared" si="69"/>
        <v>0</v>
      </c>
      <c r="S526" s="8">
        <f t="shared" si="70"/>
        <v>0</v>
      </c>
      <c r="T526" s="3" t="e">
        <f t="shared" si="71"/>
        <v>#VALUE!</v>
      </c>
      <c r="V526" s="1" t="e">
        <f t="shared" si="72"/>
        <v>#VALUE!</v>
      </c>
    </row>
    <row r="527" spans="8:22" x14ac:dyDescent="0.3">
      <c r="H527" s="2" t="str">
        <f>IF(Planilha1!B524="","",Planilha1!B524)</f>
        <v>10:00p</v>
      </c>
      <c r="I527" s="2" t="str">
        <f>IF(Planilha1!C524="","",Planilha1!C524)</f>
        <v>Toronto Raptors</v>
      </c>
      <c r="J527" s="2">
        <f>IF(Planilha1!D524="","",Planilha1!D524)</f>
        <v>130</v>
      </c>
      <c r="K527" s="10" t="str">
        <f>IF(Planilha1!E524="","",IF(Planilha1!E524=0,"",Planilha1!E524))</f>
        <v>Sacramento Kings</v>
      </c>
      <c r="L527" s="10">
        <f>IF(Planilha1!F524="","",Planilha1!F524)</f>
        <v>135</v>
      </c>
      <c r="M527" s="10">
        <f>IF(Planilha1!G524="","",IF(Planilha1!G524=0,"",Planilha1!G524))</f>
        <v>135</v>
      </c>
      <c r="N527" s="5">
        <f t="shared" si="65"/>
        <v>1</v>
      </c>
      <c r="O527" s="5">
        <f t="shared" si="66"/>
        <v>0</v>
      </c>
      <c r="P527" s="5">
        <f t="shared" si="67"/>
        <v>0</v>
      </c>
      <c r="Q527" s="5">
        <f t="shared" si="68"/>
        <v>2</v>
      </c>
      <c r="R527" s="8">
        <f t="shared" si="69"/>
        <v>0</v>
      </c>
      <c r="S527" s="8">
        <f t="shared" si="70"/>
        <v>0</v>
      </c>
      <c r="T527" s="3" t="e">
        <f t="shared" si="71"/>
        <v>#VALUE!</v>
      </c>
      <c r="V527" s="1" t="e">
        <f t="shared" si="72"/>
        <v>#VALUE!</v>
      </c>
    </row>
    <row r="528" spans="8:22" x14ac:dyDescent="0.3">
      <c r="H528" s="2" t="str">
        <f>IF(Planilha1!B525="","",Planilha1!B525)</f>
        <v>7:00p</v>
      </c>
      <c r="I528" s="2" t="str">
        <f>IF(Planilha1!C525="","",Planilha1!C525)</f>
        <v>Boston Celtics</v>
      </c>
      <c r="J528" s="2">
        <f>IF(Planilha1!D525="","",Planilha1!D525)</f>
        <v>118</v>
      </c>
      <c r="K528" s="10" t="str">
        <f>IF(Planilha1!E525="","",IF(Planilha1!E525=0,"",Planilha1!E525))</f>
        <v>Indiana Pacers</v>
      </c>
      <c r="L528" s="10">
        <f>IF(Planilha1!F525="","",Planilha1!F525)</f>
        <v>101</v>
      </c>
      <c r="M528" s="10">
        <f>IF(Planilha1!G525="","",IF(Planilha1!G525=0,"",Planilha1!G525))</f>
        <v>101</v>
      </c>
      <c r="N528" s="5">
        <f t="shared" si="65"/>
        <v>1</v>
      </c>
      <c r="O528" s="5">
        <f t="shared" si="66"/>
        <v>0</v>
      </c>
      <c r="P528" s="5">
        <f t="shared" si="67"/>
        <v>0</v>
      </c>
      <c r="Q528" s="5">
        <f t="shared" si="68"/>
        <v>2</v>
      </c>
      <c r="R528" s="8">
        <f t="shared" si="69"/>
        <v>0</v>
      </c>
      <c r="S528" s="8">
        <f t="shared" si="70"/>
        <v>0</v>
      </c>
      <c r="T528" s="3" t="e">
        <f t="shared" si="71"/>
        <v>#VALUE!</v>
      </c>
      <c r="V528" s="1" t="e">
        <f t="shared" si="72"/>
        <v>#VALUE!</v>
      </c>
    </row>
    <row r="529" spans="8:22" x14ac:dyDescent="0.3">
      <c r="H529" s="2" t="str">
        <f>IF(Planilha1!B526="","",Planilha1!B526)</f>
        <v>7:00p</v>
      </c>
      <c r="I529" s="2" t="str">
        <f>IF(Planilha1!C526="","",Planilha1!C526)</f>
        <v>New York Knicks</v>
      </c>
      <c r="J529" s="2">
        <f>IF(Planilha1!D526="","",Planilha1!D526)</f>
        <v>121</v>
      </c>
      <c r="K529" s="10" t="str">
        <f>IF(Planilha1!E526="","",IF(Planilha1!E526=0,"",Planilha1!E526))</f>
        <v>Washington Wizards</v>
      </c>
      <c r="L529" s="10">
        <f>IF(Planilha1!F526="","",Planilha1!F526)</f>
        <v>105</v>
      </c>
      <c r="M529" s="10">
        <f>IF(Planilha1!G526="","",IF(Planilha1!G526=0,"",Planilha1!G526))</f>
        <v>105</v>
      </c>
      <c r="N529" s="5">
        <f t="shared" si="65"/>
        <v>1</v>
      </c>
      <c r="O529" s="5">
        <f t="shared" si="66"/>
        <v>0</v>
      </c>
      <c r="P529" s="5">
        <f t="shared" si="67"/>
        <v>0</v>
      </c>
      <c r="Q529" s="5">
        <f t="shared" si="68"/>
        <v>2</v>
      </c>
      <c r="R529" s="8">
        <f t="shared" si="69"/>
        <v>0</v>
      </c>
      <c r="S529" s="8">
        <f t="shared" si="70"/>
        <v>0</v>
      </c>
      <c r="T529" s="3" t="e">
        <f t="shared" si="71"/>
        <v>#VALUE!</v>
      </c>
      <c r="V529" s="1" t="e">
        <f t="shared" si="72"/>
        <v>#VALUE!</v>
      </c>
    </row>
    <row r="530" spans="8:22" x14ac:dyDescent="0.3">
      <c r="H530" s="2" t="str">
        <f>IF(Planilha1!B527="","",Planilha1!B527)</f>
        <v>7:30p</v>
      </c>
      <c r="I530" s="2" t="str">
        <f>IF(Planilha1!C527="","",Planilha1!C527)</f>
        <v>Utah Jazz</v>
      </c>
      <c r="J530" s="2">
        <f>IF(Planilha1!D527="","",Planilha1!D527)</f>
        <v>120</v>
      </c>
      <c r="K530" s="10" t="str">
        <f>IF(Planilha1!E527="","",IF(Planilha1!E527=0,"",Planilha1!E527))</f>
        <v>Philadelphia 76ers</v>
      </c>
      <c r="L530" s="10">
        <f>IF(Planilha1!F527="","",Planilha1!F527)</f>
        <v>109</v>
      </c>
      <c r="M530" s="10">
        <f>IF(Planilha1!G527="","",IF(Planilha1!G527=0,"",Planilha1!G527))</f>
        <v>109</v>
      </c>
      <c r="N530" s="5">
        <f t="shared" si="65"/>
        <v>1</v>
      </c>
      <c r="O530" s="5">
        <f t="shared" si="66"/>
        <v>0</v>
      </c>
      <c r="P530" s="5">
        <f t="shared" si="67"/>
        <v>0</v>
      </c>
      <c r="Q530" s="5">
        <f t="shared" si="68"/>
        <v>2</v>
      </c>
      <c r="R530" s="8">
        <f t="shared" si="69"/>
        <v>0</v>
      </c>
      <c r="S530" s="8">
        <f t="shared" si="70"/>
        <v>0</v>
      </c>
      <c r="T530" s="3" t="e">
        <f t="shared" si="71"/>
        <v>#VALUE!</v>
      </c>
      <c r="V530" s="1" t="e">
        <f t="shared" si="72"/>
        <v>#VALUE!</v>
      </c>
    </row>
    <row r="531" spans="8:22" x14ac:dyDescent="0.3">
      <c r="H531" s="2" t="str">
        <f>IF(Planilha1!B528="","",Planilha1!B528)</f>
        <v>8:00p</v>
      </c>
      <c r="I531" s="2" t="str">
        <f>IF(Planilha1!C528="","",Planilha1!C528)</f>
        <v>Milwaukee Bucks</v>
      </c>
      <c r="J531" s="2">
        <f>IF(Planilha1!D528="","",Planilha1!D528)</f>
        <v>108</v>
      </c>
      <c r="K531" s="10" t="str">
        <f>IF(Planilha1!E528="","",IF(Planilha1!E528=0,"",Planilha1!E528))</f>
        <v>Houston Rockets</v>
      </c>
      <c r="L531" s="10">
        <f>IF(Planilha1!F528="","",Planilha1!F528)</f>
        <v>112</v>
      </c>
      <c r="M531" s="10">
        <f>IF(Planilha1!G528="","",IF(Planilha1!G528=0,"",Planilha1!G528))</f>
        <v>112</v>
      </c>
      <c r="N531" s="5">
        <f t="shared" si="65"/>
        <v>1</v>
      </c>
      <c r="O531" s="5">
        <f t="shared" si="66"/>
        <v>0</v>
      </c>
      <c r="P531" s="5">
        <f t="shared" si="67"/>
        <v>0</v>
      </c>
      <c r="Q531" s="5">
        <f t="shared" si="68"/>
        <v>2</v>
      </c>
      <c r="R531" s="8">
        <f t="shared" si="69"/>
        <v>0</v>
      </c>
      <c r="S531" s="8">
        <f t="shared" si="70"/>
        <v>0</v>
      </c>
      <c r="T531" s="3" t="e">
        <f t="shared" si="71"/>
        <v>#VALUE!</v>
      </c>
      <c r="V531" s="1" t="e">
        <f t="shared" si="72"/>
        <v>#VALUE!</v>
      </c>
    </row>
    <row r="532" spans="8:22" x14ac:dyDescent="0.3">
      <c r="H532" s="2" t="str">
        <f>IF(Planilha1!B529="","",Planilha1!B529)</f>
        <v>1:00p</v>
      </c>
      <c r="I532" s="2" t="str">
        <f>IF(Planilha1!C529="","",Planilha1!C529)</f>
        <v>San Antonio Spurs</v>
      </c>
      <c r="J532" s="2">
        <f>IF(Planilha1!D529="","",Planilha1!D529)</f>
        <v>115</v>
      </c>
      <c r="K532" s="10" t="str">
        <f>IF(Planilha1!E529="","",IF(Planilha1!E529=0,"",Planilha1!E529))</f>
        <v>Cleveland Cavaliers</v>
      </c>
      <c r="L532" s="10">
        <f>IF(Planilha1!F529="","",Planilha1!F529)</f>
        <v>117</v>
      </c>
      <c r="M532" s="10">
        <f>IF(Planilha1!G529="","",IF(Planilha1!G529=0,"",Planilha1!G529))</f>
        <v>117</v>
      </c>
      <c r="N532" s="5">
        <f t="shared" si="65"/>
        <v>1</v>
      </c>
      <c r="O532" s="5">
        <f t="shared" si="66"/>
        <v>0</v>
      </c>
      <c r="P532" s="5">
        <f t="shared" si="67"/>
        <v>0</v>
      </c>
      <c r="Q532" s="5">
        <f t="shared" si="68"/>
        <v>2</v>
      </c>
      <c r="R532" s="8">
        <f t="shared" si="69"/>
        <v>0</v>
      </c>
      <c r="S532" s="8">
        <f t="shared" si="70"/>
        <v>0</v>
      </c>
      <c r="T532" s="3" t="e">
        <f t="shared" si="71"/>
        <v>#VALUE!</v>
      </c>
      <c r="V532" s="1" t="e">
        <f t="shared" si="72"/>
        <v>#VALUE!</v>
      </c>
    </row>
    <row r="533" spans="8:22" x14ac:dyDescent="0.3">
      <c r="H533" s="2" t="str">
        <f>IF(Planilha1!B530="","",Planilha1!B530)</f>
        <v>3:00p</v>
      </c>
      <c r="I533" s="2" t="str">
        <f>IF(Planilha1!C530="","",Planilha1!C530)</f>
        <v>Portland Trail Blazers</v>
      </c>
      <c r="J533" s="2">
        <f>IF(Planilha1!D530="","",Planilha1!D530)</f>
        <v>134</v>
      </c>
      <c r="K533" s="10" t="str">
        <f>IF(Planilha1!E530="","",IF(Planilha1!E530=0,"",Planilha1!E530))</f>
        <v>Brooklyn Nets</v>
      </c>
      <c r="L533" s="10">
        <f>IF(Planilha1!F530="","",Planilha1!F530)</f>
        <v>127</v>
      </c>
      <c r="M533" s="10">
        <f>IF(Planilha1!G530="","",IF(Planilha1!G530=0,"",Planilha1!G530))</f>
        <v>127</v>
      </c>
      <c r="N533" s="5">
        <f t="shared" si="65"/>
        <v>1</v>
      </c>
      <c r="O533" s="5">
        <f t="shared" si="66"/>
        <v>0</v>
      </c>
      <c r="P533" s="5">
        <f t="shared" si="67"/>
        <v>0</v>
      </c>
      <c r="Q533" s="5">
        <f t="shared" si="68"/>
        <v>2</v>
      </c>
      <c r="R533" s="8">
        <f t="shared" si="69"/>
        <v>0</v>
      </c>
      <c r="S533" s="8">
        <f t="shared" si="70"/>
        <v>0</v>
      </c>
      <c r="T533" s="3" t="e">
        <f t="shared" si="71"/>
        <v>#VALUE!</v>
      </c>
      <c r="V533" s="1" t="e">
        <f t="shared" si="72"/>
        <v>#VALUE!</v>
      </c>
    </row>
    <row r="534" spans="8:22" x14ac:dyDescent="0.3">
      <c r="H534" s="2" t="str">
        <f>IF(Planilha1!B531="","",Planilha1!B531)</f>
        <v>6:00p</v>
      </c>
      <c r="I534" s="2" t="str">
        <f>IF(Planilha1!C531="","",Planilha1!C531)</f>
        <v>Atlanta Hawks</v>
      </c>
      <c r="J534" s="2">
        <f>IF(Planilha1!D531="","",Planilha1!D531)</f>
        <v>110</v>
      </c>
      <c r="K534" s="10" t="str">
        <f>IF(Planilha1!E531="","",IF(Planilha1!E531=0,"",Planilha1!E531))</f>
        <v>Orlando Magic</v>
      </c>
      <c r="L534" s="10">
        <f>IF(Planilha1!F531="","",Planilha1!F531)</f>
        <v>117</v>
      </c>
      <c r="M534" s="10">
        <f>IF(Planilha1!G531="","",IF(Planilha1!G531=0,"",Planilha1!G531))</f>
        <v>117</v>
      </c>
      <c r="N534" s="5">
        <f t="shared" si="65"/>
        <v>1</v>
      </c>
      <c r="O534" s="5">
        <f t="shared" si="66"/>
        <v>0</v>
      </c>
      <c r="P534" s="5">
        <f t="shared" si="67"/>
        <v>0</v>
      </c>
      <c r="Q534" s="5">
        <f t="shared" si="68"/>
        <v>2</v>
      </c>
      <c r="R534" s="8">
        <f t="shared" si="69"/>
        <v>0</v>
      </c>
      <c r="S534" s="8">
        <f t="shared" si="70"/>
        <v>0</v>
      </c>
      <c r="T534" s="3" t="e">
        <f t="shared" si="71"/>
        <v>#VALUE!</v>
      </c>
      <c r="V534" s="1" t="e">
        <f t="shared" si="72"/>
        <v>#VALUE!</v>
      </c>
    </row>
    <row r="535" spans="8:22" x14ac:dyDescent="0.3">
      <c r="H535" s="2" t="str">
        <f>IF(Planilha1!B532="","",Planilha1!B532)</f>
        <v>6:00p</v>
      </c>
      <c r="I535" s="2" t="str">
        <f>IF(Planilha1!C532="","",Planilha1!C532)</f>
        <v>New Orleans Pelicans</v>
      </c>
      <c r="J535" s="2">
        <f>IF(Planilha1!D532="","",Planilha1!D532)</f>
        <v>133</v>
      </c>
      <c r="K535" s="10" t="str">
        <f>IF(Planilha1!E532="","",IF(Planilha1!E532=0,"",Planilha1!E532))</f>
        <v>Sacramento Kings</v>
      </c>
      <c r="L535" s="10">
        <f>IF(Planilha1!F532="","",Planilha1!F532)</f>
        <v>100</v>
      </c>
      <c r="M535" s="10">
        <f>IF(Planilha1!G532="","",IF(Planilha1!G532=0,"",Planilha1!G532))</f>
        <v>100</v>
      </c>
      <c r="N535" s="5">
        <f t="shared" si="65"/>
        <v>1</v>
      </c>
      <c r="O535" s="5">
        <f t="shared" si="66"/>
        <v>0</v>
      </c>
      <c r="P535" s="5">
        <f t="shared" si="67"/>
        <v>0</v>
      </c>
      <c r="Q535" s="5">
        <f t="shared" si="68"/>
        <v>2</v>
      </c>
      <c r="R535" s="8">
        <f t="shared" si="69"/>
        <v>0</v>
      </c>
      <c r="S535" s="8">
        <f t="shared" si="70"/>
        <v>0</v>
      </c>
      <c r="T535" s="3" t="e">
        <f t="shared" si="71"/>
        <v>#VALUE!</v>
      </c>
      <c r="V535" s="1" t="e">
        <f t="shared" si="72"/>
        <v>#VALUE!</v>
      </c>
    </row>
    <row r="536" spans="8:22" x14ac:dyDescent="0.3">
      <c r="H536" s="2" t="str">
        <f>IF(Planilha1!B533="","",Planilha1!B533)</f>
        <v>7:30p</v>
      </c>
      <c r="I536" s="2" t="str">
        <f>IF(Planilha1!C533="","",Planilha1!C533)</f>
        <v>Minnesota Timberwolves</v>
      </c>
      <c r="J536" s="2">
        <f>IF(Planilha1!D533="","",Planilha1!D533)</f>
        <v>108</v>
      </c>
      <c r="K536" s="10" t="str">
        <f>IF(Planilha1!E533="","",IF(Planilha1!E533=0,"",Planilha1!E533))</f>
        <v>Dallas Mavericks</v>
      </c>
      <c r="L536" s="10">
        <f>IF(Planilha1!F533="","",Planilha1!F533)</f>
        <v>115</v>
      </c>
      <c r="M536" s="10">
        <f>IF(Planilha1!G533="","",IF(Planilha1!G533=0,"",Planilha1!G533))</f>
        <v>115</v>
      </c>
      <c r="N536" s="5">
        <f t="shared" si="65"/>
        <v>1</v>
      </c>
      <c r="O536" s="5">
        <f t="shared" si="66"/>
        <v>0</v>
      </c>
      <c r="P536" s="5">
        <f t="shared" si="67"/>
        <v>0</v>
      </c>
      <c r="Q536" s="5">
        <f t="shared" si="68"/>
        <v>2</v>
      </c>
      <c r="R536" s="8">
        <f t="shared" si="69"/>
        <v>0</v>
      </c>
      <c r="S536" s="8">
        <f t="shared" si="70"/>
        <v>0</v>
      </c>
      <c r="T536" s="3" t="e">
        <f t="shared" si="71"/>
        <v>#VALUE!</v>
      </c>
      <c r="V536" s="1" t="e">
        <f t="shared" si="72"/>
        <v>#VALUE!</v>
      </c>
    </row>
    <row r="537" spans="8:22" x14ac:dyDescent="0.3">
      <c r="H537" s="2" t="str">
        <f>IF(Planilha1!B534="","",Planilha1!B534)</f>
        <v>8:00p</v>
      </c>
      <c r="I537" s="2" t="str">
        <f>IF(Planilha1!C534="","",Planilha1!C534)</f>
        <v>Detroit Pistons</v>
      </c>
      <c r="J537" s="2">
        <f>IF(Planilha1!D534="","",Planilha1!D534)</f>
        <v>114</v>
      </c>
      <c r="K537" s="10" t="str">
        <f>IF(Planilha1!E534="","",IF(Planilha1!E534=0,"",Planilha1!E534))</f>
        <v>Denver Nuggets</v>
      </c>
      <c r="L537" s="10">
        <f>IF(Planilha1!F534="","",Planilha1!F534)</f>
        <v>131</v>
      </c>
      <c r="M537" s="10">
        <f>IF(Planilha1!G534="","",IF(Planilha1!G534=0,"",Planilha1!G534))</f>
        <v>131</v>
      </c>
      <c r="N537" s="5">
        <f t="shared" si="65"/>
        <v>1</v>
      </c>
      <c r="O537" s="5">
        <f t="shared" si="66"/>
        <v>0</v>
      </c>
      <c r="P537" s="5">
        <f t="shared" si="67"/>
        <v>0</v>
      </c>
      <c r="Q537" s="5">
        <f t="shared" si="68"/>
        <v>2</v>
      </c>
      <c r="R537" s="8">
        <f t="shared" si="69"/>
        <v>0</v>
      </c>
      <c r="S537" s="8">
        <f t="shared" si="70"/>
        <v>0</v>
      </c>
      <c r="T537" s="3" t="e">
        <f t="shared" si="71"/>
        <v>#VALUE!</v>
      </c>
      <c r="V537" s="1" t="e">
        <f t="shared" si="72"/>
        <v>#VALUE!</v>
      </c>
    </row>
    <row r="538" spans="8:22" x14ac:dyDescent="0.3">
      <c r="H538" s="2" t="str">
        <f>IF(Planilha1!B535="","",Planilha1!B535)</f>
        <v>8:00p</v>
      </c>
      <c r="I538" s="2" t="str">
        <f>IF(Planilha1!C535="","",Planilha1!C535)</f>
        <v>Memphis Grizzlies</v>
      </c>
      <c r="J538" s="2">
        <f>IF(Planilha1!D535="","",Planilha1!D535)</f>
        <v>121</v>
      </c>
      <c r="K538" s="10" t="str">
        <f>IF(Planilha1!E535="","",IF(Planilha1!E535=0,"",Planilha1!E535))</f>
        <v>Phoenix Suns</v>
      </c>
      <c r="L538" s="10">
        <f>IF(Planilha1!F535="","",Planilha1!F535)</f>
        <v>115</v>
      </c>
      <c r="M538" s="10">
        <f>IF(Planilha1!G535="","",IF(Planilha1!G535=0,"",Planilha1!G535))</f>
        <v>115</v>
      </c>
      <c r="N538" s="5">
        <f t="shared" si="65"/>
        <v>1</v>
      </c>
      <c r="O538" s="5">
        <f t="shared" si="66"/>
        <v>0</v>
      </c>
      <c r="P538" s="5">
        <f t="shared" si="67"/>
        <v>0</v>
      </c>
      <c r="Q538" s="5">
        <f t="shared" si="68"/>
        <v>2</v>
      </c>
      <c r="R538" s="8">
        <f t="shared" si="69"/>
        <v>0</v>
      </c>
      <c r="S538" s="8">
        <f t="shared" si="70"/>
        <v>0</v>
      </c>
      <c r="T538" s="3" t="e">
        <f t="shared" si="71"/>
        <v>#VALUE!</v>
      </c>
      <c r="V538" s="1" t="e">
        <f t="shared" si="72"/>
        <v>#VALUE!</v>
      </c>
    </row>
    <row r="539" spans="8:22" x14ac:dyDescent="0.3">
      <c r="H539" s="2" t="str">
        <f>IF(Planilha1!B536="","",Planilha1!B536)</f>
        <v>8:30p</v>
      </c>
      <c r="I539" s="2" t="str">
        <f>IF(Planilha1!C536="","",Planilha1!C536)</f>
        <v>Toronto Raptors</v>
      </c>
      <c r="J539" s="2">
        <f>IF(Planilha1!D536="","",Planilha1!D536)</f>
        <v>133</v>
      </c>
      <c r="K539" s="10" t="str">
        <f>IF(Planilha1!E536="","",IF(Planilha1!E536=0,"",Planilha1!E536))</f>
        <v>Golden State Warriors</v>
      </c>
      <c r="L539" s="10">
        <f>IF(Planilha1!F536="","",Planilha1!F536)</f>
        <v>118</v>
      </c>
      <c r="M539" s="10">
        <f>IF(Planilha1!G536="","",IF(Planilha1!G536=0,"",Planilha1!G536))</f>
        <v>118</v>
      </c>
      <c r="N539" s="5">
        <f t="shared" si="65"/>
        <v>1</v>
      </c>
      <c r="O539" s="5">
        <f t="shared" si="66"/>
        <v>0</v>
      </c>
      <c r="P539" s="5">
        <f t="shared" si="67"/>
        <v>0</v>
      </c>
      <c r="Q539" s="5">
        <f t="shared" si="68"/>
        <v>2</v>
      </c>
      <c r="R539" s="8">
        <f t="shared" si="69"/>
        <v>0</v>
      </c>
      <c r="S539" s="8">
        <f t="shared" si="70"/>
        <v>0</v>
      </c>
      <c r="T539" s="3" t="e">
        <f t="shared" si="71"/>
        <v>#VALUE!</v>
      </c>
      <c r="V539" s="1" t="e">
        <f t="shared" si="72"/>
        <v>#VALUE!</v>
      </c>
    </row>
    <row r="540" spans="8:22" x14ac:dyDescent="0.3">
      <c r="H540" s="2" t="str">
        <f>IF(Planilha1!B537="","",Planilha1!B537)</f>
        <v>9:30p</v>
      </c>
      <c r="I540" s="2" t="str">
        <f>IF(Planilha1!C537="","",Planilha1!C537)</f>
        <v>Los Angeles Clippers</v>
      </c>
      <c r="J540" s="2">
        <f>IF(Planilha1!D537="","",Planilha1!D537)</f>
        <v>103</v>
      </c>
      <c r="K540" s="10" t="str">
        <f>IF(Planilha1!E537="","",IF(Planilha1!E537=0,"",Planilha1!E537))</f>
        <v>Los Angeles Lakers</v>
      </c>
      <c r="L540" s="10">
        <f>IF(Planilha1!F537="","",Planilha1!F537)</f>
        <v>106</v>
      </c>
      <c r="M540" s="10">
        <f>IF(Planilha1!G537="","",IF(Planilha1!G537=0,"",Planilha1!G537))</f>
        <v>106</v>
      </c>
      <c r="N540" s="5">
        <f t="shared" si="65"/>
        <v>1</v>
      </c>
      <c r="O540" s="5">
        <f t="shared" si="66"/>
        <v>0</v>
      </c>
      <c r="P540" s="5">
        <f t="shared" si="67"/>
        <v>0</v>
      </c>
      <c r="Q540" s="5">
        <f t="shared" si="68"/>
        <v>2</v>
      </c>
      <c r="R540" s="8">
        <f t="shared" si="69"/>
        <v>0</v>
      </c>
      <c r="S540" s="8">
        <f t="shared" si="70"/>
        <v>0</v>
      </c>
      <c r="T540" s="3" t="e">
        <f t="shared" si="71"/>
        <v>#VALUE!</v>
      </c>
      <c r="V540" s="1" t="e">
        <f t="shared" si="72"/>
        <v>#VALUE!</v>
      </c>
    </row>
    <row r="541" spans="8:22" x14ac:dyDescent="0.3">
      <c r="H541" s="2" t="str">
        <f>IF(Planilha1!B538="","",Planilha1!B538)</f>
        <v>7:00p</v>
      </c>
      <c r="I541" s="2" t="str">
        <f>IF(Planilha1!C538="","",Planilha1!C538)</f>
        <v>Chicago Bulls</v>
      </c>
      <c r="J541" s="2">
        <f>IF(Planilha1!D538="","",Planilha1!D538)</f>
        <v>119</v>
      </c>
      <c r="K541" s="10" t="str">
        <f>IF(Planilha1!E538="","",IF(Planilha1!E538=0,"",Planilha1!E538))</f>
        <v>Charlotte Hornets</v>
      </c>
      <c r="L541" s="10">
        <f>IF(Planilha1!F538="","",Planilha1!F538)</f>
        <v>112</v>
      </c>
      <c r="M541" s="10">
        <f>IF(Planilha1!G538="","",IF(Planilha1!G538=0,"",Planilha1!G538))</f>
        <v>112</v>
      </c>
      <c r="N541" s="5">
        <f t="shared" si="65"/>
        <v>1</v>
      </c>
      <c r="O541" s="5">
        <f t="shared" si="66"/>
        <v>0</v>
      </c>
      <c r="P541" s="5">
        <f t="shared" si="67"/>
        <v>0</v>
      </c>
      <c r="Q541" s="5">
        <f t="shared" si="68"/>
        <v>2</v>
      </c>
      <c r="R541" s="8">
        <f t="shared" si="69"/>
        <v>0</v>
      </c>
      <c r="S541" s="8">
        <f t="shared" si="70"/>
        <v>0</v>
      </c>
      <c r="T541" s="3" t="e">
        <f t="shared" si="71"/>
        <v>#VALUE!</v>
      </c>
      <c r="V541" s="1" t="e">
        <f t="shared" si="72"/>
        <v>#VALUE!</v>
      </c>
    </row>
    <row r="542" spans="8:22" x14ac:dyDescent="0.3">
      <c r="H542" s="2" t="str">
        <f>IF(Planilha1!B539="","",Planilha1!B539)</f>
        <v>7:00p</v>
      </c>
      <c r="I542" s="2" t="str">
        <f>IF(Planilha1!C539="","",Planilha1!C539)</f>
        <v>Boston Celtics</v>
      </c>
      <c r="J542" s="2">
        <f>IF(Planilha1!D539="","",Planilha1!D539)</f>
        <v>131</v>
      </c>
      <c r="K542" s="10" t="str">
        <f>IF(Planilha1!E539="","",IF(Planilha1!E539=0,"",Planilha1!E539))</f>
        <v>Indiana Pacers</v>
      </c>
      <c r="L542" s="10">
        <f>IF(Planilha1!F539="","",Planilha1!F539)</f>
        <v>133</v>
      </c>
      <c r="M542" s="10">
        <f>IF(Planilha1!G539="","",IF(Planilha1!G539=0,"",Planilha1!G539))</f>
        <v>133</v>
      </c>
      <c r="N542" s="5">
        <f t="shared" si="65"/>
        <v>1</v>
      </c>
      <c r="O542" s="5">
        <f t="shared" si="66"/>
        <v>0</v>
      </c>
      <c r="P542" s="5">
        <f t="shared" si="67"/>
        <v>0</v>
      </c>
      <c r="Q542" s="5">
        <f t="shared" si="68"/>
        <v>2</v>
      </c>
      <c r="R542" s="8">
        <f t="shared" si="69"/>
        <v>0</v>
      </c>
      <c r="S542" s="8">
        <f t="shared" si="70"/>
        <v>0</v>
      </c>
      <c r="T542" s="3" t="e">
        <f t="shared" si="71"/>
        <v>#VALUE!</v>
      </c>
      <c r="V542" s="1" t="e">
        <f t="shared" si="72"/>
        <v>#VALUE!</v>
      </c>
    </row>
    <row r="543" spans="8:22" x14ac:dyDescent="0.3">
      <c r="H543" s="2" t="str">
        <f>IF(Planilha1!B540="","",Planilha1!B540)</f>
        <v>7:00p</v>
      </c>
      <c r="I543" s="2" t="str">
        <f>IF(Planilha1!C540="","",Planilha1!C540)</f>
        <v>Oklahoma City Thunder</v>
      </c>
      <c r="J543" s="2">
        <f>IF(Planilha1!D540="","",Planilha1!D540)</f>
        <v>136</v>
      </c>
      <c r="K543" s="10" t="str">
        <f>IF(Planilha1!E540="","",IF(Planilha1!E540=0,"",Planilha1!E540))</f>
        <v>Washington Wizards</v>
      </c>
      <c r="L543" s="10">
        <f>IF(Planilha1!F540="","",Planilha1!F540)</f>
        <v>128</v>
      </c>
      <c r="M543" s="10">
        <f>IF(Planilha1!G540="","",IF(Planilha1!G540=0,"",Planilha1!G540))</f>
        <v>128</v>
      </c>
      <c r="N543" s="5">
        <f t="shared" si="65"/>
        <v>1</v>
      </c>
      <c r="O543" s="5">
        <f t="shared" si="66"/>
        <v>0</v>
      </c>
      <c r="P543" s="5">
        <f t="shared" si="67"/>
        <v>0</v>
      </c>
      <c r="Q543" s="5">
        <f t="shared" si="68"/>
        <v>2</v>
      </c>
      <c r="R543" s="8">
        <f t="shared" si="69"/>
        <v>0</v>
      </c>
      <c r="S543" s="8">
        <f t="shared" si="70"/>
        <v>0</v>
      </c>
      <c r="T543" s="3" t="e">
        <f t="shared" si="71"/>
        <v>#VALUE!</v>
      </c>
      <c r="V543" s="1" t="e">
        <f t="shared" si="72"/>
        <v>#VALUE!</v>
      </c>
    </row>
    <row r="544" spans="8:22" x14ac:dyDescent="0.3">
      <c r="H544" s="2" t="str">
        <f>IF(Planilha1!B541="","",Planilha1!B541)</f>
        <v>7:30p</v>
      </c>
      <c r="I544" s="2" t="str">
        <f>IF(Planilha1!C541="","",Planilha1!C541)</f>
        <v>Houston Rockets</v>
      </c>
      <c r="J544" s="2">
        <f>IF(Planilha1!D541="","",Planilha1!D541)</f>
        <v>113</v>
      </c>
      <c r="K544" s="10" t="str">
        <f>IF(Planilha1!E541="","",IF(Planilha1!E541=0,"",Planilha1!E541))</f>
        <v>Miami Heat</v>
      </c>
      <c r="L544" s="10">
        <f>IF(Planilha1!F541="","",Planilha1!F541)</f>
        <v>120</v>
      </c>
      <c r="M544" s="10">
        <f>IF(Planilha1!G541="","",IF(Planilha1!G541=0,"",Planilha1!G541))</f>
        <v>120</v>
      </c>
      <c r="N544" s="5">
        <f t="shared" si="65"/>
        <v>1</v>
      </c>
      <c r="O544" s="5">
        <f t="shared" si="66"/>
        <v>0</v>
      </c>
      <c r="P544" s="5">
        <f t="shared" si="67"/>
        <v>0</v>
      </c>
      <c r="Q544" s="5">
        <f t="shared" si="68"/>
        <v>2</v>
      </c>
      <c r="R544" s="8">
        <f t="shared" si="69"/>
        <v>0</v>
      </c>
      <c r="S544" s="8">
        <f t="shared" si="70"/>
        <v>0</v>
      </c>
      <c r="T544" s="3" t="e">
        <f t="shared" si="71"/>
        <v>#VALUE!</v>
      </c>
      <c r="V544" s="1" t="e">
        <f t="shared" si="72"/>
        <v>#VALUE!</v>
      </c>
    </row>
    <row r="545" spans="8:22" x14ac:dyDescent="0.3">
      <c r="H545" s="2" t="str">
        <f>IF(Planilha1!B542="","",Planilha1!B542)</f>
        <v>8:00p</v>
      </c>
      <c r="I545" s="2" t="str">
        <f>IF(Planilha1!C542="","",Planilha1!C542)</f>
        <v>Utah Jazz</v>
      </c>
      <c r="J545" s="2">
        <f>IF(Planilha1!D542="","",Planilha1!D542)</f>
        <v>132</v>
      </c>
      <c r="K545" s="10" t="str">
        <f>IF(Planilha1!E542="","",IF(Planilha1!E542=0,"",Planilha1!E542))</f>
        <v>Milwaukee Bucks</v>
      </c>
      <c r="L545" s="10">
        <f>IF(Planilha1!F542="","",Planilha1!F542)</f>
        <v>116</v>
      </c>
      <c r="M545" s="10">
        <f>IF(Planilha1!G542="","",IF(Planilha1!G542=0,"",Planilha1!G542))</f>
        <v>116</v>
      </c>
      <c r="N545" s="5">
        <f t="shared" si="65"/>
        <v>1</v>
      </c>
      <c r="O545" s="5">
        <f t="shared" si="66"/>
        <v>0</v>
      </c>
      <c r="P545" s="5">
        <f t="shared" si="67"/>
        <v>0</v>
      </c>
      <c r="Q545" s="5">
        <f t="shared" si="68"/>
        <v>2</v>
      </c>
      <c r="R545" s="8">
        <f t="shared" si="69"/>
        <v>0</v>
      </c>
      <c r="S545" s="8">
        <f t="shared" si="70"/>
        <v>0</v>
      </c>
      <c r="T545" s="3" t="e">
        <f t="shared" si="71"/>
        <v>#VALUE!</v>
      </c>
      <c r="V545" s="1" t="e">
        <f t="shared" si="72"/>
        <v>#VALUE!</v>
      </c>
    </row>
    <row r="546" spans="8:22" x14ac:dyDescent="0.3">
      <c r="H546" s="2" t="str">
        <f>IF(Planilha1!B543="","",Planilha1!B543)</f>
        <v>10:30p</v>
      </c>
      <c r="I546" s="2" t="str">
        <f>IF(Planilha1!C543="","",Planilha1!C543)</f>
        <v>Phoenix Suns</v>
      </c>
      <c r="J546" s="2">
        <f>IF(Planilha1!D543="","",Planilha1!D543)</f>
        <v>111</v>
      </c>
      <c r="K546" s="10" t="str">
        <f>IF(Planilha1!E543="","",IF(Planilha1!E543=0,"",Planilha1!E543))</f>
        <v>Los Angeles Clippers</v>
      </c>
      <c r="L546" s="10">
        <f>IF(Planilha1!F543="","",Planilha1!F543)</f>
        <v>138</v>
      </c>
      <c r="M546" s="10">
        <f>IF(Planilha1!G543="","",IF(Planilha1!G543=0,"",Planilha1!G543))</f>
        <v>138</v>
      </c>
      <c r="N546" s="5">
        <f t="shared" si="65"/>
        <v>1</v>
      </c>
      <c r="O546" s="5">
        <f t="shared" si="66"/>
        <v>0</v>
      </c>
      <c r="P546" s="5">
        <f t="shared" si="67"/>
        <v>0</v>
      </c>
      <c r="Q546" s="5">
        <f t="shared" si="68"/>
        <v>2</v>
      </c>
      <c r="R546" s="8">
        <f t="shared" si="69"/>
        <v>0</v>
      </c>
      <c r="S546" s="8">
        <f t="shared" si="70"/>
        <v>0</v>
      </c>
      <c r="T546" s="3" t="e">
        <f t="shared" si="71"/>
        <v>#VALUE!</v>
      </c>
      <c r="V546" s="1" t="e">
        <f t="shared" si="72"/>
        <v>#VALUE!</v>
      </c>
    </row>
    <row r="547" spans="8:22" x14ac:dyDescent="0.3">
      <c r="H547" s="2" t="str">
        <f>IF(Planilha1!B544="","",Planilha1!B544)</f>
        <v>7:00p</v>
      </c>
      <c r="I547" s="2" t="str">
        <f>IF(Planilha1!C544="","",Planilha1!C544)</f>
        <v>Sacramento Kings</v>
      </c>
      <c r="J547" s="2">
        <f>IF(Planilha1!D544="","",Planilha1!D544)</f>
        <v>131</v>
      </c>
      <c r="K547" s="10" t="str">
        <f>IF(Planilha1!E544="","",IF(Planilha1!E544=0,"",Planilha1!E544))</f>
        <v>Detroit Pistons</v>
      </c>
      <c r="L547" s="10">
        <f>IF(Planilha1!F544="","",Planilha1!F544)</f>
        <v>110</v>
      </c>
      <c r="M547" s="10">
        <f>IF(Planilha1!G544="","",IF(Planilha1!G544=0,"",Planilha1!G544))</f>
        <v>110</v>
      </c>
      <c r="N547" s="5">
        <f t="shared" si="65"/>
        <v>1</v>
      </c>
      <c r="O547" s="5">
        <f t="shared" si="66"/>
        <v>0</v>
      </c>
      <c r="P547" s="5">
        <f t="shared" si="67"/>
        <v>0</v>
      </c>
      <c r="Q547" s="5">
        <f t="shared" si="68"/>
        <v>2</v>
      </c>
      <c r="R547" s="8">
        <f t="shared" si="69"/>
        <v>0</v>
      </c>
      <c r="S547" s="8">
        <f t="shared" si="70"/>
        <v>0</v>
      </c>
      <c r="T547" s="3" t="e">
        <f t="shared" si="71"/>
        <v>#VALUE!</v>
      </c>
      <c r="V547" s="1" t="e">
        <f t="shared" si="72"/>
        <v>#VALUE!</v>
      </c>
    </row>
    <row r="548" spans="8:22" x14ac:dyDescent="0.3">
      <c r="H548" s="2" t="str">
        <f>IF(Planilha1!B545="","",Planilha1!B545)</f>
        <v>7:00p</v>
      </c>
      <c r="I548" s="2" t="str">
        <f>IF(Planilha1!C545="","",Planilha1!C545)</f>
        <v>Minnesota Timberwolves</v>
      </c>
      <c r="J548" s="2">
        <f>IF(Planilha1!D545="","",Planilha1!D545)</f>
        <v>113</v>
      </c>
      <c r="K548" s="10" t="str">
        <f>IF(Planilha1!E545="","",IF(Planilha1!E545=0,"",Planilha1!E545))</f>
        <v>Orlando Magic</v>
      </c>
      <c r="L548" s="10">
        <f>IF(Planilha1!F545="","",Planilha1!F545)</f>
        <v>92</v>
      </c>
      <c r="M548" s="10">
        <f>IF(Planilha1!G545="","",IF(Planilha1!G545=0,"",Planilha1!G545))</f>
        <v>92</v>
      </c>
      <c r="N548" s="5">
        <f t="shared" si="65"/>
        <v>1</v>
      </c>
      <c r="O548" s="5">
        <f t="shared" si="66"/>
        <v>0</v>
      </c>
      <c r="P548" s="5">
        <f t="shared" si="67"/>
        <v>0</v>
      </c>
      <c r="Q548" s="5">
        <f t="shared" si="68"/>
        <v>2</v>
      </c>
      <c r="R548" s="8">
        <f t="shared" si="69"/>
        <v>0</v>
      </c>
      <c r="S548" s="8">
        <f t="shared" si="70"/>
        <v>0</v>
      </c>
      <c r="T548" s="3" t="e">
        <f t="shared" si="71"/>
        <v>#VALUE!</v>
      </c>
      <c r="V548" s="1" t="e">
        <f t="shared" si="72"/>
        <v>#VALUE!</v>
      </c>
    </row>
    <row r="549" spans="8:22" x14ac:dyDescent="0.3">
      <c r="H549" s="2" t="str">
        <f>IF(Planilha1!B546="","",Planilha1!B546)</f>
        <v>7:30p</v>
      </c>
      <c r="I549" s="2" t="str">
        <f>IF(Planilha1!C546="","",Planilha1!C546)</f>
        <v>Portland Trail Blazers</v>
      </c>
      <c r="J549" s="2">
        <f>IF(Planilha1!D546="","",Planilha1!D546)</f>
        <v>84</v>
      </c>
      <c r="K549" s="10" t="str">
        <f>IF(Planilha1!E546="","",IF(Planilha1!E546=0,"",Planilha1!E546))</f>
        <v>New York Knicks</v>
      </c>
      <c r="L549" s="10">
        <f>IF(Planilha1!F546="","",Planilha1!F546)</f>
        <v>112</v>
      </c>
      <c r="M549" s="10">
        <f>IF(Planilha1!G546="","",IF(Planilha1!G546=0,"",Planilha1!G546))</f>
        <v>112</v>
      </c>
      <c r="N549" s="5">
        <f t="shared" si="65"/>
        <v>1</v>
      </c>
      <c r="O549" s="5">
        <f t="shared" si="66"/>
        <v>0</v>
      </c>
      <c r="P549" s="5">
        <f t="shared" si="67"/>
        <v>0</v>
      </c>
      <c r="Q549" s="5">
        <f t="shared" si="68"/>
        <v>2</v>
      </c>
      <c r="R549" s="8">
        <f t="shared" si="69"/>
        <v>0</v>
      </c>
      <c r="S549" s="8">
        <f t="shared" si="70"/>
        <v>0</v>
      </c>
      <c r="T549" s="3" t="e">
        <f t="shared" si="71"/>
        <v>#VALUE!</v>
      </c>
      <c r="V549" s="1" t="e">
        <f t="shared" si="72"/>
        <v>#VALUE!</v>
      </c>
    </row>
    <row r="550" spans="8:22" x14ac:dyDescent="0.3">
      <c r="H550" s="2" t="str">
        <f>IF(Planilha1!B547="","",Planilha1!B547)</f>
        <v>8:30p</v>
      </c>
      <c r="I550" s="2" t="str">
        <f>IF(Planilha1!C547="","",Planilha1!C547)</f>
        <v>Memphis Grizzlies</v>
      </c>
      <c r="J550" s="2">
        <f>IF(Planilha1!D547="","",Planilha1!D547)</f>
        <v>120</v>
      </c>
      <c r="K550" s="10" t="str">
        <f>IF(Planilha1!E547="","",IF(Planilha1!E547=0,"",Planilha1!E547))</f>
        <v>Dallas Mavericks</v>
      </c>
      <c r="L550" s="10">
        <f>IF(Planilha1!F547="","",Planilha1!F547)</f>
        <v>103</v>
      </c>
      <c r="M550" s="10">
        <f>IF(Planilha1!G547="","",IF(Planilha1!G547=0,"",Planilha1!G547))</f>
        <v>103</v>
      </c>
      <c r="N550" s="5">
        <f t="shared" si="65"/>
        <v>1</v>
      </c>
      <c r="O550" s="5">
        <f t="shared" si="66"/>
        <v>0</v>
      </c>
      <c r="P550" s="5">
        <f t="shared" si="67"/>
        <v>0</v>
      </c>
      <c r="Q550" s="5">
        <f t="shared" si="68"/>
        <v>2</v>
      </c>
      <c r="R550" s="8">
        <f t="shared" si="69"/>
        <v>0</v>
      </c>
      <c r="S550" s="8">
        <f t="shared" si="70"/>
        <v>0</v>
      </c>
      <c r="T550" s="3" t="e">
        <f t="shared" si="71"/>
        <v>#VALUE!</v>
      </c>
      <c r="V550" s="1" t="e">
        <f t="shared" si="72"/>
        <v>#VALUE!</v>
      </c>
    </row>
    <row r="551" spans="8:22" x14ac:dyDescent="0.3">
      <c r="H551" s="2" t="str">
        <f>IF(Planilha1!B548="","",Planilha1!B548)</f>
        <v>10:30p</v>
      </c>
      <c r="I551" s="2" t="str">
        <f>IF(Planilha1!C548="","",Planilha1!C548)</f>
        <v>Toronto Raptors</v>
      </c>
      <c r="J551" s="2">
        <f>IF(Planilha1!D548="","",Planilha1!D548)</f>
        <v>131</v>
      </c>
      <c r="K551" s="10" t="str">
        <f>IF(Planilha1!E548="","",IF(Planilha1!E548=0,"",Planilha1!E548))</f>
        <v>Los Angeles Lakers</v>
      </c>
      <c r="L551" s="10">
        <f>IF(Planilha1!F548="","",Planilha1!F548)</f>
        <v>132</v>
      </c>
      <c r="M551" s="10">
        <f>IF(Planilha1!G548="","",IF(Planilha1!G548=0,"",Planilha1!G548))</f>
        <v>132</v>
      </c>
      <c r="N551" s="5">
        <f t="shared" si="65"/>
        <v>1</v>
      </c>
      <c r="O551" s="5">
        <f t="shared" si="66"/>
        <v>0</v>
      </c>
      <c r="P551" s="5">
        <f t="shared" si="67"/>
        <v>0</v>
      </c>
      <c r="Q551" s="5">
        <f t="shared" si="68"/>
        <v>2</v>
      </c>
      <c r="R551" s="8">
        <f t="shared" si="69"/>
        <v>0</v>
      </c>
      <c r="S551" s="8">
        <f t="shared" si="70"/>
        <v>0</v>
      </c>
      <c r="T551" s="3" t="e">
        <f t="shared" si="71"/>
        <v>#VALUE!</v>
      </c>
      <c r="V551" s="1" t="e">
        <f t="shared" si="72"/>
        <v>#VALUE!</v>
      </c>
    </row>
    <row r="552" spans="8:22" x14ac:dyDescent="0.3">
      <c r="H552" s="2" t="str">
        <f>IF(Planilha1!B549="","",Planilha1!B549)</f>
        <v>7:00p</v>
      </c>
      <c r="I552" s="2" t="str">
        <f>IF(Planilha1!C549="","",Planilha1!C549)</f>
        <v>Minnesota Timberwolves</v>
      </c>
      <c r="J552" s="2">
        <f>IF(Planilha1!D549="","",Planilha1!D549)</f>
        <v>120</v>
      </c>
      <c r="K552" s="10" t="str">
        <f>IF(Planilha1!E549="","",IF(Planilha1!E549=0,"",Planilha1!E549))</f>
        <v>Boston Celtics</v>
      </c>
      <c r="L552" s="10">
        <f>IF(Planilha1!F549="","",Planilha1!F549)</f>
        <v>127</v>
      </c>
      <c r="M552" s="10">
        <f>IF(Planilha1!G549="","",IF(Planilha1!G549=0,"",Planilha1!G549))</f>
        <v>127</v>
      </c>
      <c r="N552" s="5">
        <f t="shared" si="65"/>
        <v>1</v>
      </c>
      <c r="O552" s="5">
        <f t="shared" si="66"/>
        <v>0</v>
      </c>
      <c r="P552" s="5">
        <f t="shared" si="67"/>
        <v>0</v>
      </c>
      <c r="Q552" s="5">
        <f t="shared" si="68"/>
        <v>2</v>
      </c>
      <c r="R552" s="8">
        <f t="shared" si="69"/>
        <v>0</v>
      </c>
      <c r="S552" s="8">
        <f t="shared" si="70"/>
        <v>0</v>
      </c>
      <c r="T552" s="3" t="e">
        <f t="shared" si="71"/>
        <v>#VALUE!</v>
      </c>
      <c r="V552" s="1" t="e">
        <f t="shared" si="72"/>
        <v>#VALUE!</v>
      </c>
    </row>
    <row r="553" spans="8:22" x14ac:dyDescent="0.3">
      <c r="H553" s="2" t="str">
        <f>IF(Planilha1!B550="","",Planilha1!B550)</f>
        <v>7:00p</v>
      </c>
      <c r="I553" s="2" t="str">
        <f>IF(Planilha1!C550="","",Planilha1!C550)</f>
        <v>Sacramento Kings</v>
      </c>
      <c r="J553" s="2">
        <f>IF(Planilha1!D550="","",Planilha1!D550)</f>
        <v>123</v>
      </c>
      <c r="K553" s="10" t="str">
        <f>IF(Planilha1!E550="","",IF(Planilha1!E550=0,"",Planilha1!E550))</f>
        <v>Charlotte Hornets</v>
      </c>
      <c r="L553" s="10">
        <f>IF(Planilha1!F550="","",Planilha1!F550)</f>
        <v>98</v>
      </c>
      <c r="M553" s="10">
        <f>IF(Planilha1!G550="","",IF(Planilha1!G550=0,"",Planilha1!G550))</f>
        <v>98</v>
      </c>
      <c r="N553" s="5">
        <f t="shared" si="65"/>
        <v>1</v>
      </c>
      <c r="O553" s="5">
        <f t="shared" si="66"/>
        <v>0</v>
      </c>
      <c r="P553" s="5">
        <f t="shared" si="67"/>
        <v>0</v>
      </c>
      <c r="Q553" s="5">
        <f t="shared" si="68"/>
        <v>2</v>
      </c>
      <c r="R553" s="8">
        <f t="shared" si="69"/>
        <v>0</v>
      </c>
      <c r="S553" s="8">
        <f t="shared" si="70"/>
        <v>0</v>
      </c>
      <c r="T553" s="3" t="e">
        <f t="shared" si="71"/>
        <v>#VALUE!</v>
      </c>
      <c r="V553" s="1" t="e">
        <f t="shared" si="72"/>
        <v>#VALUE!</v>
      </c>
    </row>
    <row r="554" spans="8:22" x14ac:dyDescent="0.3">
      <c r="H554" s="2" t="str">
        <f>IF(Planilha1!B551="","",Planilha1!B551)</f>
        <v>7:00p</v>
      </c>
      <c r="I554" s="2" t="str">
        <f>IF(Planilha1!C551="","",Planilha1!C551)</f>
        <v>San Antonio Spurs</v>
      </c>
      <c r="J554" s="2">
        <f>IF(Planilha1!D551="","",Planilha1!D551)</f>
        <v>130</v>
      </c>
      <c r="K554" s="10" t="str">
        <f>IF(Planilha1!E551="","",IF(Planilha1!E551=0,"",Planilha1!E551))</f>
        <v>Detroit Pistons</v>
      </c>
      <c r="L554" s="10">
        <f>IF(Planilha1!F551="","",Planilha1!F551)</f>
        <v>108</v>
      </c>
      <c r="M554" s="10">
        <f>IF(Planilha1!G551="","",IF(Planilha1!G551=0,"",Planilha1!G551))</f>
        <v>108</v>
      </c>
      <c r="N554" s="5">
        <f t="shared" si="65"/>
        <v>1</v>
      </c>
      <c r="O554" s="5">
        <f t="shared" si="66"/>
        <v>0</v>
      </c>
      <c r="P554" s="5">
        <f t="shared" si="67"/>
        <v>0</v>
      </c>
      <c r="Q554" s="5">
        <f t="shared" si="68"/>
        <v>2</v>
      </c>
      <c r="R554" s="8">
        <f t="shared" si="69"/>
        <v>0</v>
      </c>
      <c r="S554" s="8">
        <f t="shared" si="70"/>
        <v>0</v>
      </c>
      <c r="T554" s="3" t="e">
        <f t="shared" si="71"/>
        <v>#VALUE!</v>
      </c>
      <c r="V554" s="1" t="e">
        <f t="shared" si="72"/>
        <v>#VALUE!</v>
      </c>
    </row>
    <row r="555" spans="8:22" x14ac:dyDescent="0.3">
      <c r="H555" s="2" t="str">
        <f>IF(Planilha1!B552="","",Planilha1!B552)</f>
        <v>7:00p</v>
      </c>
      <c r="I555" s="2" t="str">
        <f>IF(Planilha1!C552="","",Planilha1!C552)</f>
        <v>Washington Wizards</v>
      </c>
      <c r="J555" s="2">
        <f>IF(Planilha1!D552="","",Planilha1!D552)</f>
        <v>104</v>
      </c>
      <c r="K555" s="10" t="str">
        <f>IF(Planilha1!E552="","",IF(Planilha1!E552=0,"",Planilha1!E552))</f>
        <v>Indiana Pacers</v>
      </c>
      <c r="L555" s="10">
        <f>IF(Planilha1!F552="","",Planilha1!F552)</f>
        <v>112</v>
      </c>
      <c r="M555" s="10">
        <f>IF(Planilha1!G552="","",IF(Planilha1!G552=0,"",Planilha1!G552))</f>
        <v>112</v>
      </c>
      <c r="N555" s="5">
        <f t="shared" si="65"/>
        <v>1</v>
      </c>
      <c r="O555" s="5">
        <f t="shared" si="66"/>
        <v>0</v>
      </c>
      <c r="P555" s="5">
        <f t="shared" si="67"/>
        <v>0</v>
      </c>
      <c r="Q555" s="5">
        <f t="shared" si="68"/>
        <v>2</v>
      </c>
      <c r="R555" s="8">
        <f t="shared" si="69"/>
        <v>0</v>
      </c>
      <c r="S555" s="8">
        <f t="shared" si="70"/>
        <v>0</v>
      </c>
      <c r="T555" s="3" t="e">
        <f t="shared" si="71"/>
        <v>#VALUE!</v>
      </c>
      <c r="V555" s="1" t="e">
        <f t="shared" si="72"/>
        <v>#VALUE!</v>
      </c>
    </row>
    <row r="556" spans="8:22" x14ac:dyDescent="0.3">
      <c r="H556" s="2" t="str">
        <f>IF(Planilha1!B553="","",Planilha1!B553)</f>
        <v>7:30p</v>
      </c>
      <c r="I556" s="2" t="str">
        <f>IF(Planilha1!C553="","",Planilha1!C553)</f>
        <v>Philadelphia 76ers</v>
      </c>
      <c r="J556" s="2">
        <f>IF(Planilha1!D553="","",Planilha1!D553)</f>
        <v>132</v>
      </c>
      <c r="K556" s="10" t="str">
        <f>IF(Planilha1!E553="","",IF(Planilha1!E553=0,"",Planilha1!E553))</f>
        <v>Atlanta Hawks</v>
      </c>
      <c r="L556" s="10">
        <f>IF(Planilha1!F553="","",Planilha1!F553)</f>
        <v>139</v>
      </c>
      <c r="M556" s="10">
        <f>IF(Planilha1!G553="","",IF(Planilha1!G553=0,"",Planilha1!G553))</f>
        <v>139</v>
      </c>
      <c r="N556" s="5">
        <f t="shared" si="65"/>
        <v>1</v>
      </c>
      <c r="O556" s="5">
        <f t="shared" si="66"/>
        <v>0</v>
      </c>
      <c r="P556" s="5">
        <f t="shared" si="67"/>
        <v>0</v>
      </c>
      <c r="Q556" s="5">
        <f t="shared" si="68"/>
        <v>2</v>
      </c>
      <c r="R556" s="8">
        <f t="shared" si="69"/>
        <v>0</v>
      </c>
      <c r="S556" s="8">
        <f t="shared" si="70"/>
        <v>0</v>
      </c>
      <c r="T556" s="3" t="e">
        <f t="shared" si="71"/>
        <v>#VALUE!</v>
      </c>
      <c r="V556" s="1" t="e">
        <f t="shared" si="72"/>
        <v>#VALUE!</v>
      </c>
    </row>
    <row r="557" spans="8:22" x14ac:dyDescent="0.3">
      <c r="H557" s="2" t="str">
        <f>IF(Planilha1!B554="","",Planilha1!B554)</f>
        <v>7:30p</v>
      </c>
      <c r="I557" s="2" t="str">
        <f>IF(Planilha1!C554="","",Planilha1!C554)</f>
        <v>Oklahoma City Thunder</v>
      </c>
      <c r="J557" s="2">
        <f>IF(Planilha1!D554="","",Planilha1!D554)</f>
        <v>128</v>
      </c>
      <c r="K557" s="10" t="str">
        <f>IF(Planilha1!E554="","",IF(Planilha1!E554=0,"",Planilha1!E554))</f>
        <v>Miami Heat</v>
      </c>
      <c r="L557" s="10">
        <f>IF(Planilha1!F554="","",Planilha1!F554)</f>
        <v>120</v>
      </c>
      <c r="M557" s="10">
        <f>IF(Planilha1!G554="","",IF(Planilha1!G554=0,"",Planilha1!G554))</f>
        <v>120</v>
      </c>
      <c r="N557" s="5">
        <f t="shared" si="65"/>
        <v>1</v>
      </c>
      <c r="O557" s="5">
        <f t="shared" si="66"/>
        <v>0</v>
      </c>
      <c r="P557" s="5">
        <f t="shared" si="67"/>
        <v>0</v>
      </c>
      <c r="Q557" s="5">
        <f t="shared" si="68"/>
        <v>2</v>
      </c>
      <c r="R557" s="8">
        <f t="shared" si="69"/>
        <v>0</v>
      </c>
      <c r="S557" s="8">
        <f t="shared" si="70"/>
        <v>0</v>
      </c>
      <c r="T557" s="3" t="e">
        <f t="shared" si="71"/>
        <v>#VALUE!</v>
      </c>
      <c r="V557" s="1" t="e">
        <f t="shared" si="72"/>
        <v>#VALUE!</v>
      </c>
    </row>
    <row r="558" spans="8:22" x14ac:dyDescent="0.3">
      <c r="H558" s="2" t="str">
        <f>IF(Planilha1!B555="","",Planilha1!B555)</f>
        <v>8:00p</v>
      </c>
      <c r="I558" s="2" t="str">
        <f>IF(Planilha1!C555="","",Planilha1!C555)</f>
        <v>Houston Rockets</v>
      </c>
      <c r="J558" s="2">
        <f>IF(Planilha1!D555="","",Planilha1!D555)</f>
        <v>119</v>
      </c>
      <c r="K558" s="10" t="str">
        <f>IF(Planilha1!E555="","",IF(Planilha1!E555=0,"",Planilha1!E555))</f>
        <v>Chicago Bulls</v>
      </c>
      <c r="L558" s="10">
        <f>IF(Planilha1!F555="","",Planilha1!F555)</f>
        <v>124</v>
      </c>
      <c r="M558" s="10">
        <f>IF(Planilha1!G555="","",IF(Planilha1!G555=0,"",Planilha1!G555))</f>
        <v>124</v>
      </c>
      <c r="N558" s="5">
        <f t="shared" si="65"/>
        <v>1</v>
      </c>
      <c r="O558" s="5">
        <f t="shared" si="66"/>
        <v>0</v>
      </c>
      <c r="P558" s="5">
        <f t="shared" si="67"/>
        <v>0</v>
      </c>
      <c r="Q558" s="5">
        <f t="shared" si="68"/>
        <v>2</v>
      </c>
      <c r="R558" s="8">
        <f t="shared" si="69"/>
        <v>0</v>
      </c>
      <c r="S558" s="8">
        <f t="shared" si="70"/>
        <v>0</v>
      </c>
      <c r="T558" s="3" t="e">
        <f t="shared" si="71"/>
        <v>#VALUE!</v>
      </c>
      <c r="V558" s="1" t="e">
        <f t="shared" si="72"/>
        <v>#VALUE!</v>
      </c>
    </row>
    <row r="559" spans="8:22" x14ac:dyDescent="0.3">
      <c r="H559" s="2" t="str">
        <f>IF(Planilha1!B556="","",Planilha1!B556)</f>
        <v>8:30p</v>
      </c>
      <c r="I559" s="2" t="str">
        <f>IF(Planilha1!C556="","",Planilha1!C556)</f>
        <v>New Orleans Pelicans</v>
      </c>
      <c r="J559" s="2">
        <f>IF(Planilha1!D556="","",Planilha1!D556)</f>
        <v>141</v>
      </c>
      <c r="K559" s="10" t="str">
        <f>IF(Planilha1!E556="","",IF(Planilha1!E556=0,"",Planilha1!E556))</f>
        <v>Golden State Warriors</v>
      </c>
      <c r="L559" s="10">
        <f>IF(Planilha1!F556="","",Planilha1!F556)</f>
        <v>105</v>
      </c>
      <c r="M559" s="10">
        <f>IF(Planilha1!G556="","",IF(Planilha1!G556=0,"",Planilha1!G556))</f>
        <v>105</v>
      </c>
      <c r="N559" s="5">
        <f t="shared" si="65"/>
        <v>1</v>
      </c>
      <c r="O559" s="5">
        <f t="shared" si="66"/>
        <v>0</v>
      </c>
      <c r="P559" s="5">
        <f t="shared" si="67"/>
        <v>0</v>
      </c>
      <c r="Q559" s="5">
        <f t="shared" si="68"/>
        <v>2</v>
      </c>
      <c r="R559" s="8">
        <f t="shared" si="69"/>
        <v>0</v>
      </c>
      <c r="S559" s="8">
        <f t="shared" si="70"/>
        <v>0</v>
      </c>
      <c r="T559" s="3" t="e">
        <f t="shared" si="71"/>
        <v>#VALUE!</v>
      </c>
      <c r="V559" s="1" t="e">
        <f t="shared" si="72"/>
        <v>#VALUE!</v>
      </c>
    </row>
    <row r="560" spans="8:22" x14ac:dyDescent="0.3">
      <c r="H560" s="2" t="str">
        <f>IF(Planilha1!B557="","",Planilha1!B557)</f>
        <v>10:00p</v>
      </c>
      <c r="I560" s="2" t="str">
        <f>IF(Planilha1!C557="","",Planilha1!C557)</f>
        <v>Denver Nuggets</v>
      </c>
      <c r="J560" s="2">
        <f>IF(Planilha1!D557="","",Planilha1!D557)</f>
        <v>111</v>
      </c>
      <c r="K560" s="10" t="str">
        <f>IF(Planilha1!E557="","",IF(Planilha1!E557=0,"",Planilha1!E557))</f>
        <v>Utah Jazz</v>
      </c>
      <c r="L560" s="10">
        <f>IF(Planilha1!F557="","",Planilha1!F557)</f>
        <v>124</v>
      </c>
      <c r="M560" s="10">
        <f>IF(Planilha1!G557="","",IF(Planilha1!G557=0,"",Planilha1!G557))</f>
        <v>124</v>
      </c>
      <c r="N560" s="5">
        <f t="shared" si="65"/>
        <v>1</v>
      </c>
      <c r="O560" s="5">
        <f t="shared" si="66"/>
        <v>0</v>
      </c>
      <c r="P560" s="5">
        <f t="shared" si="67"/>
        <v>0</v>
      </c>
      <c r="Q560" s="5">
        <f t="shared" si="68"/>
        <v>2</v>
      </c>
      <c r="R560" s="8">
        <f t="shared" si="69"/>
        <v>0</v>
      </c>
      <c r="S560" s="8">
        <f t="shared" si="70"/>
        <v>0</v>
      </c>
      <c r="T560" s="3" t="e">
        <f t="shared" si="71"/>
        <v>#VALUE!</v>
      </c>
      <c r="V560" s="1" t="e">
        <f t="shared" si="72"/>
        <v>#VALUE!</v>
      </c>
    </row>
    <row r="561" spans="8:22" x14ac:dyDescent="0.3">
      <c r="H561" s="2" t="str">
        <f>IF(Planilha1!B558="","",Planilha1!B558)</f>
        <v>10:30p</v>
      </c>
      <c r="I561" s="2" t="str">
        <f>IF(Planilha1!C558="","",Planilha1!C558)</f>
        <v>Toronto Raptors</v>
      </c>
      <c r="J561" s="2">
        <f>IF(Planilha1!D558="","",Planilha1!D558)</f>
        <v>120</v>
      </c>
      <c r="K561" s="10" t="str">
        <f>IF(Planilha1!E558="","",IF(Planilha1!E558=0,"",Planilha1!E558))</f>
        <v>Los Angeles Clippers</v>
      </c>
      <c r="L561" s="10">
        <f>IF(Planilha1!F558="","",Planilha1!F558)</f>
        <v>126</v>
      </c>
      <c r="M561" s="10">
        <f>IF(Planilha1!G558="","",IF(Planilha1!G558=0,"",Planilha1!G558))</f>
        <v>126</v>
      </c>
      <c r="N561" s="5">
        <f t="shared" si="65"/>
        <v>1</v>
      </c>
      <c r="O561" s="5">
        <f t="shared" si="66"/>
        <v>0</v>
      </c>
      <c r="P561" s="5">
        <f t="shared" si="67"/>
        <v>0</v>
      </c>
      <c r="Q561" s="5">
        <f t="shared" si="68"/>
        <v>2</v>
      </c>
      <c r="R561" s="8">
        <f t="shared" si="69"/>
        <v>0</v>
      </c>
      <c r="S561" s="8">
        <f t="shared" si="70"/>
        <v>0</v>
      </c>
      <c r="T561" s="3" t="e">
        <f t="shared" si="71"/>
        <v>#VALUE!</v>
      </c>
      <c r="V561" s="1" t="e">
        <f t="shared" si="72"/>
        <v>#VALUE!</v>
      </c>
    </row>
    <row r="562" spans="8:22" x14ac:dyDescent="0.3">
      <c r="H562" s="2" t="str">
        <f>IF(Planilha1!B559="","",Planilha1!B559)</f>
        <v>2:00p</v>
      </c>
      <c r="I562" s="2" t="str">
        <f>IF(Planilha1!C559="","",Planilha1!C559)</f>
        <v>Brooklyn Nets</v>
      </c>
      <c r="J562" s="2">
        <f>IF(Planilha1!D559="","",Planilha1!D559)</f>
        <v>102</v>
      </c>
      <c r="K562" s="10" t="str">
        <f>IF(Planilha1!E559="","",IF(Planilha1!E559=0,"",Planilha1!E559))</f>
        <v>Cleveland Cavaliers</v>
      </c>
      <c r="L562" s="10">
        <f>IF(Planilha1!F559="","",Planilha1!F559)</f>
        <v>111</v>
      </c>
      <c r="M562" s="10">
        <f>IF(Planilha1!G559="","",IF(Planilha1!G559=0,"",Planilha1!G559))</f>
        <v>111</v>
      </c>
      <c r="N562" s="5">
        <f t="shared" si="65"/>
        <v>1</v>
      </c>
      <c r="O562" s="5">
        <f t="shared" si="66"/>
        <v>0</v>
      </c>
      <c r="P562" s="5">
        <f t="shared" si="67"/>
        <v>0</v>
      </c>
      <c r="Q562" s="5">
        <f t="shared" si="68"/>
        <v>2</v>
      </c>
      <c r="R562" s="8">
        <f t="shared" si="69"/>
        <v>0</v>
      </c>
      <c r="S562" s="8">
        <f t="shared" si="70"/>
        <v>0</v>
      </c>
      <c r="T562" s="3" t="e">
        <f t="shared" si="71"/>
        <v>#VALUE!</v>
      </c>
      <c r="V562" s="1" t="e">
        <f t="shared" si="72"/>
        <v>#VALUE!</v>
      </c>
    </row>
    <row r="563" spans="8:22" x14ac:dyDescent="0.3">
      <c r="H563" s="2" t="str">
        <f>IF(Planilha1!B560="","",Planilha1!B560)</f>
        <v>7:30p</v>
      </c>
      <c r="I563" s="2" t="str">
        <f>IF(Planilha1!C560="","",Planilha1!C560)</f>
        <v>Boston Celtics</v>
      </c>
      <c r="J563" s="2">
        <f>IF(Planilha1!D560="","",Planilha1!D560)</f>
        <v>102</v>
      </c>
      <c r="K563" s="10" t="str">
        <f>IF(Planilha1!E560="","",IF(Planilha1!E560=0,"",Planilha1!E560))</f>
        <v>Milwaukee Bucks</v>
      </c>
      <c r="L563" s="10">
        <f>IF(Planilha1!F560="","",Planilha1!F560)</f>
        <v>135</v>
      </c>
      <c r="M563" s="10">
        <f>IF(Planilha1!G560="","",IF(Planilha1!G560=0,"",Planilha1!G560))</f>
        <v>135</v>
      </c>
      <c r="N563" s="5">
        <f t="shared" si="65"/>
        <v>1</v>
      </c>
      <c r="O563" s="5">
        <f t="shared" si="66"/>
        <v>0</v>
      </c>
      <c r="P563" s="5">
        <f t="shared" si="67"/>
        <v>0</v>
      </c>
      <c r="Q563" s="5">
        <f t="shared" si="68"/>
        <v>2</v>
      </c>
      <c r="R563" s="8">
        <f t="shared" si="69"/>
        <v>0</v>
      </c>
      <c r="S563" s="8">
        <f t="shared" si="70"/>
        <v>0</v>
      </c>
      <c r="T563" s="3" t="e">
        <f t="shared" si="71"/>
        <v>#VALUE!</v>
      </c>
      <c r="V563" s="1" t="e">
        <f t="shared" si="72"/>
        <v>#VALUE!</v>
      </c>
    </row>
    <row r="564" spans="8:22" x14ac:dyDescent="0.3">
      <c r="H564" s="2" t="str">
        <f>IF(Planilha1!B561="","",Planilha1!B561)</f>
        <v>8:00p</v>
      </c>
      <c r="I564" s="2" t="str">
        <f>IF(Planilha1!C561="","",Planilha1!C561)</f>
        <v>Portland Trail Blazers</v>
      </c>
      <c r="J564" s="2">
        <f>IF(Planilha1!D561="","",Planilha1!D561)</f>
        <v>77</v>
      </c>
      <c r="K564" s="10" t="str">
        <f>IF(Planilha1!E561="","",IF(Planilha1!E561=0,"",Planilha1!E561))</f>
        <v>Oklahoma City Thunder</v>
      </c>
      <c r="L564" s="10">
        <f>IF(Planilha1!F561="","",Planilha1!F561)</f>
        <v>139</v>
      </c>
      <c r="M564" s="10">
        <f>IF(Planilha1!G561="","",IF(Planilha1!G561=0,"",Planilha1!G561))</f>
        <v>139</v>
      </c>
      <c r="N564" s="5">
        <f t="shared" si="65"/>
        <v>1</v>
      </c>
      <c r="O564" s="5">
        <f t="shared" si="66"/>
        <v>0</v>
      </c>
      <c r="P564" s="5">
        <f t="shared" si="67"/>
        <v>0</v>
      </c>
      <c r="Q564" s="5">
        <f t="shared" si="68"/>
        <v>2</v>
      </c>
      <c r="R564" s="8">
        <f t="shared" si="69"/>
        <v>0</v>
      </c>
      <c r="S564" s="8">
        <f t="shared" si="70"/>
        <v>0</v>
      </c>
      <c r="T564" s="3" t="e">
        <f t="shared" si="71"/>
        <v>#VALUE!</v>
      </c>
      <c r="V564" s="1" t="e">
        <f t="shared" si="72"/>
        <v>#VALUE!</v>
      </c>
    </row>
    <row r="565" spans="8:22" x14ac:dyDescent="0.3">
      <c r="H565" s="2" t="str">
        <f>IF(Planilha1!B562="","",Planilha1!B562)</f>
        <v>8:30p</v>
      </c>
      <c r="I565" s="2" t="str">
        <f>IF(Planilha1!C562="","",Planilha1!C562)</f>
        <v>New York Knicks</v>
      </c>
      <c r="J565" s="2">
        <f>IF(Planilha1!D562="","",Planilha1!D562)</f>
        <v>124</v>
      </c>
      <c r="K565" s="10" t="str">
        <f>IF(Planilha1!E562="","",IF(Planilha1!E562=0,"",Planilha1!E562))</f>
        <v>Dallas Mavericks</v>
      </c>
      <c r="L565" s="10">
        <f>IF(Planilha1!F562="","",Planilha1!F562)</f>
        <v>128</v>
      </c>
      <c r="M565" s="10">
        <f>IF(Planilha1!G562="","",IF(Planilha1!G562=0,"",Planilha1!G562))</f>
        <v>128</v>
      </c>
      <c r="N565" s="5">
        <f t="shared" si="65"/>
        <v>1</v>
      </c>
      <c r="O565" s="5">
        <f t="shared" si="66"/>
        <v>0</v>
      </c>
      <c r="P565" s="5">
        <f t="shared" si="67"/>
        <v>0</v>
      </c>
      <c r="Q565" s="5">
        <f t="shared" si="68"/>
        <v>2</v>
      </c>
      <c r="R565" s="8">
        <f t="shared" si="69"/>
        <v>0</v>
      </c>
      <c r="S565" s="8">
        <f t="shared" si="70"/>
        <v>0</v>
      </c>
      <c r="T565" s="3" t="e">
        <f t="shared" si="71"/>
        <v>#VALUE!</v>
      </c>
      <c r="V565" s="1" t="e">
        <f t="shared" si="72"/>
        <v>#VALUE!</v>
      </c>
    </row>
    <row r="566" spans="8:22" x14ac:dyDescent="0.3">
      <c r="H566" s="2" t="str">
        <f>IF(Planilha1!B563="","",Planilha1!B563)</f>
        <v>10:00p</v>
      </c>
      <c r="I566" s="2" t="str">
        <f>IF(Planilha1!C563="","",Planilha1!C563)</f>
        <v>Phoenix Suns</v>
      </c>
      <c r="J566" s="2">
        <f>IF(Planilha1!D563="","",Planilha1!D563)</f>
        <v>127</v>
      </c>
      <c r="K566" s="10" t="str">
        <f>IF(Planilha1!E563="","",IF(Planilha1!E563=0,"",Planilha1!E563))</f>
        <v>Los Angeles Lakers</v>
      </c>
      <c r="L566" s="10">
        <f>IF(Planilha1!F563="","",Planilha1!F563)</f>
        <v>109</v>
      </c>
      <c r="M566" s="10">
        <f>IF(Planilha1!G563="","",IF(Planilha1!G563=0,"",Planilha1!G563))</f>
        <v>109</v>
      </c>
      <c r="N566" s="5">
        <f t="shared" si="65"/>
        <v>1</v>
      </c>
      <c r="O566" s="5">
        <f t="shared" si="66"/>
        <v>0</v>
      </c>
      <c r="P566" s="5">
        <f t="shared" si="67"/>
        <v>0</v>
      </c>
      <c r="Q566" s="5">
        <f t="shared" si="68"/>
        <v>2</v>
      </c>
      <c r="R566" s="8">
        <f t="shared" si="69"/>
        <v>0</v>
      </c>
      <c r="S566" s="8">
        <f t="shared" si="70"/>
        <v>0</v>
      </c>
      <c r="T566" s="3" t="e">
        <f t="shared" si="71"/>
        <v>#VALUE!</v>
      </c>
      <c r="V566" s="1" t="e">
        <f t="shared" si="72"/>
        <v>#VALUE!</v>
      </c>
    </row>
    <row r="567" spans="8:22" x14ac:dyDescent="0.3">
      <c r="H567" s="2" t="str">
        <f>IF(Planilha1!B564="","",Planilha1!B564)</f>
        <v>7:30p</v>
      </c>
      <c r="I567" s="2" t="str">
        <f>IF(Planilha1!C564="","",Planilha1!C564)</f>
        <v>Indiana Pacers</v>
      </c>
      <c r="J567" s="2">
        <f>IF(Planilha1!D564="","",Planilha1!D564)</f>
        <v>126</v>
      </c>
      <c r="K567" s="10" t="str">
        <f>IF(Planilha1!E564="","",IF(Planilha1!E564=0,"",Planilha1!E564))</f>
        <v>Atlanta Hawks</v>
      </c>
      <c r="L567" s="10">
        <f>IF(Planilha1!F564="","",Planilha1!F564)</f>
        <v>108</v>
      </c>
      <c r="M567" s="10">
        <f>IF(Planilha1!G564="","",IF(Planilha1!G564=0,"",Planilha1!G564))</f>
        <v>108</v>
      </c>
      <c r="N567" s="5">
        <f t="shared" si="65"/>
        <v>1</v>
      </c>
      <c r="O567" s="5">
        <f t="shared" si="66"/>
        <v>0</v>
      </c>
      <c r="P567" s="5">
        <f t="shared" si="67"/>
        <v>0</v>
      </c>
      <c r="Q567" s="5">
        <f t="shared" si="68"/>
        <v>2</v>
      </c>
      <c r="R567" s="8">
        <f t="shared" si="69"/>
        <v>0</v>
      </c>
      <c r="S567" s="8">
        <f t="shared" si="70"/>
        <v>0</v>
      </c>
      <c r="T567" s="3" t="e">
        <f t="shared" si="71"/>
        <v>#VALUE!</v>
      </c>
      <c r="V567" s="1" t="e">
        <f t="shared" si="72"/>
        <v>#VALUE!</v>
      </c>
    </row>
    <row r="568" spans="8:22" x14ac:dyDescent="0.3">
      <c r="H568" s="2" t="str">
        <f>IF(Planilha1!B565="","",Planilha1!B565)</f>
        <v>7:30p</v>
      </c>
      <c r="I568" s="2" t="str">
        <f>IF(Planilha1!C565="","",Planilha1!C565)</f>
        <v>Houston Rockets</v>
      </c>
      <c r="J568" s="2">
        <f>IF(Planilha1!D565="","",Planilha1!D565)</f>
        <v>112</v>
      </c>
      <c r="K568" s="10" t="str">
        <f>IF(Planilha1!E565="","",IF(Planilha1!E565=0,"",Planilha1!E565))</f>
        <v>Detroit Pistons</v>
      </c>
      <c r="L568" s="10">
        <f>IF(Planilha1!F565="","",Planilha1!F565)</f>
        <v>110</v>
      </c>
      <c r="M568" s="10">
        <f>IF(Planilha1!G565="","",IF(Planilha1!G565=0,"",Planilha1!G565))</f>
        <v>110</v>
      </c>
      <c r="N568" s="5">
        <f t="shared" si="65"/>
        <v>1</v>
      </c>
      <c r="O568" s="5">
        <f t="shared" si="66"/>
        <v>0</v>
      </c>
      <c r="P568" s="5">
        <f t="shared" si="67"/>
        <v>0</v>
      </c>
      <c r="Q568" s="5">
        <f t="shared" si="68"/>
        <v>2</v>
      </c>
      <c r="R568" s="8">
        <f t="shared" si="69"/>
        <v>0</v>
      </c>
      <c r="S568" s="8">
        <f t="shared" si="70"/>
        <v>0</v>
      </c>
      <c r="T568" s="3" t="e">
        <f t="shared" si="71"/>
        <v>#VALUE!</v>
      </c>
      <c r="V568" s="1" t="e">
        <f t="shared" si="72"/>
        <v>#VALUE!</v>
      </c>
    </row>
    <row r="569" spans="8:22" x14ac:dyDescent="0.3">
      <c r="H569" s="2" t="str">
        <f>IF(Planilha1!B566="","",Planilha1!B566)</f>
        <v>7:30p</v>
      </c>
      <c r="I569" s="2" t="str">
        <f>IF(Planilha1!C566="","",Planilha1!C566)</f>
        <v>Sacramento Kings</v>
      </c>
      <c r="J569" s="2">
        <f>IF(Planilha1!D566="","",Planilha1!D566)</f>
        <v>93</v>
      </c>
      <c r="K569" s="10" t="str">
        <f>IF(Planilha1!E566="","",IF(Planilha1!E566=0,"",Planilha1!E566))</f>
        <v>Philadelphia 76ers</v>
      </c>
      <c r="L569" s="10">
        <f>IF(Planilha1!F566="","",Planilha1!F566)</f>
        <v>112</v>
      </c>
      <c r="M569" s="10">
        <f>IF(Planilha1!G566="","",IF(Planilha1!G566=0,"",Planilha1!G566))</f>
        <v>112</v>
      </c>
      <c r="N569" s="5">
        <f t="shared" si="65"/>
        <v>1</v>
      </c>
      <c r="O569" s="5">
        <f t="shared" si="66"/>
        <v>0</v>
      </c>
      <c r="P569" s="5">
        <f t="shared" si="67"/>
        <v>0</v>
      </c>
      <c r="Q569" s="5">
        <f t="shared" si="68"/>
        <v>2</v>
      </c>
      <c r="R569" s="8">
        <f t="shared" si="69"/>
        <v>0</v>
      </c>
      <c r="S569" s="8">
        <f t="shared" si="70"/>
        <v>0</v>
      </c>
      <c r="T569" s="3" t="e">
        <f t="shared" si="71"/>
        <v>#VALUE!</v>
      </c>
      <c r="V569" s="1" t="e">
        <f t="shared" si="72"/>
        <v>#VALUE!</v>
      </c>
    </row>
    <row r="570" spans="8:22" x14ac:dyDescent="0.3">
      <c r="H570" s="2" t="str">
        <f>IF(Planilha1!B567="","",Planilha1!B567)</f>
        <v>8:00p</v>
      </c>
      <c r="I570" s="2" t="str">
        <f>IF(Planilha1!C567="","",Planilha1!C567)</f>
        <v>Golden State Warriors</v>
      </c>
      <c r="J570" s="2">
        <f>IF(Planilha1!D567="","",Planilha1!D567)</f>
        <v>140</v>
      </c>
      <c r="K570" s="10" t="str">
        <f>IF(Planilha1!E567="","",IF(Planilha1!E567=0,"",Planilha1!E567))</f>
        <v>Chicago Bulls</v>
      </c>
      <c r="L570" s="10">
        <f>IF(Planilha1!F567="","",Planilha1!F567)</f>
        <v>131</v>
      </c>
      <c r="M570" s="10">
        <f>IF(Planilha1!G567="","",IF(Planilha1!G567=0,"",Planilha1!G567))</f>
        <v>131</v>
      </c>
      <c r="N570" s="5">
        <f t="shared" si="65"/>
        <v>1</v>
      </c>
      <c r="O570" s="5">
        <f t="shared" si="66"/>
        <v>0</v>
      </c>
      <c r="P570" s="5">
        <f t="shared" si="67"/>
        <v>0</v>
      </c>
      <c r="Q570" s="5">
        <f t="shared" si="68"/>
        <v>2</v>
      </c>
      <c r="R570" s="8">
        <f t="shared" si="69"/>
        <v>0</v>
      </c>
      <c r="S570" s="8">
        <f t="shared" si="70"/>
        <v>0</v>
      </c>
      <c r="T570" s="3" t="e">
        <f t="shared" si="71"/>
        <v>#VALUE!</v>
      </c>
      <c r="V570" s="1" t="e">
        <f t="shared" si="72"/>
        <v>#VALUE!</v>
      </c>
    </row>
    <row r="571" spans="8:22" x14ac:dyDescent="0.3">
      <c r="H571" s="2" t="str">
        <f>IF(Planilha1!B568="","",Planilha1!B568)</f>
        <v>8:00p</v>
      </c>
      <c r="I571" s="2" t="str">
        <f>IF(Planilha1!C568="","",Planilha1!C568)</f>
        <v>Los Angeles Clippers</v>
      </c>
      <c r="J571" s="2">
        <f>IF(Planilha1!D568="","",Planilha1!D568)</f>
        <v>128</v>
      </c>
      <c r="K571" s="10" t="str">
        <f>IF(Planilha1!E568="","",IF(Planilha1!E568=0,"",Planilha1!E568))</f>
        <v>Memphis Grizzlies</v>
      </c>
      <c r="L571" s="10">
        <f>IF(Planilha1!F568="","",Planilha1!F568)</f>
        <v>119</v>
      </c>
      <c r="M571" s="10">
        <f>IF(Planilha1!G568="","",IF(Planilha1!G568=0,"",Planilha1!G568))</f>
        <v>119</v>
      </c>
      <c r="N571" s="5">
        <f t="shared" si="65"/>
        <v>1</v>
      </c>
      <c r="O571" s="5">
        <f t="shared" si="66"/>
        <v>0</v>
      </c>
      <c r="P571" s="5">
        <f t="shared" si="67"/>
        <v>0</v>
      </c>
      <c r="Q571" s="5">
        <f t="shared" si="68"/>
        <v>2</v>
      </c>
      <c r="R571" s="8">
        <f t="shared" si="69"/>
        <v>0</v>
      </c>
      <c r="S571" s="8">
        <f t="shared" si="70"/>
        <v>0</v>
      </c>
      <c r="T571" s="3" t="e">
        <f t="shared" si="71"/>
        <v>#VALUE!</v>
      </c>
      <c r="V571" s="1" t="e">
        <f t="shared" si="72"/>
        <v>#VALUE!</v>
      </c>
    </row>
    <row r="572" spans="8:22" x14ac:dyDescent="0.3">
      <c r="H572" s="2" t="str">
        <f>IF(Planilha1!B569="","",Planilha1!B569)</f>
        <v>8:00p</v>
      </c>
      <c r="I572" s="2" t="str">
        <f>IF(Planilha1!C569="","",Planilha1!C569)</f>
        <v>Orlando Magic</v>
      </c>
      <c r="J572" s="2">
        <f>IF(Planilha1!D569="","",Planilha1!D569)</f>
        <v>96</v>
      </c>
      <c r="K572" s="10" t="str">
        <f>IF(Planilha1!E569="","",IF(Planilha1!E569=0,"",Planilha1!E569))</f>
        <v>Miami Heat</v>
      </c>
      <c r="L572" s="10">
        <f>IF(Planilha1!F569="","",Planilha1!F569)</f>
        <v>99</v>
      </c>
      <c r="M572" s="10">
        <f>IF(Planilha1!G569="","",IF(Planilha1!G569=0,"",Planilha1!G569))</f>
        <v>99</v>
      </c>
      <c r="N572" s="5">
        <f t="shared" si="65"/>
        <v>1</v>
      </c>
      <c r="O572" s="5">
        <f t="shared" si="66"/>
        <v>0</v>
      </c>
      <c r="P572" s="5">
        <f t="shared" si="67"/>
        <v>0</v>
      </c>
      <c r="Q572" s="5">
        <f t="shared" si="68"/>
        <v>2</v>
      </c>
      <c r="R572" s="8">
        <f t="shared" si="69"/>
        <v>0</v>
      </c>
      <c r="S572" s="8">
        <f t="shared" si="70"/>
        <v>0</v>
      </c>
      <c r="T572" s="3" t="e">
        <f t="shared" si="71"/>
        <v>#VALUE!</v>
      </c>
      <c r="V572" s="1" t="e">
        <f t="shared" si="72"/>
        <v>#VALUE!</v>
      </c>
    </row>
    <row r="573" spans="8:22" x14ac:dyDescent="0.3">
      <c r="H573" s="2" t="str">
        <f>IF(Planilha1!B570="","",Planilha1!B570)</f>
        <v>8:00p</v>
      </c>
      <c r="I573" s="2" t="str">
        <f>IF(Planilha1!C570="","",Planilha1!C570)</f>
        <v>Portland Trail Blazers</v>
      </c>
      <c r="J573" s="2">
        <f>IF(Planilha1!D570="","",Planilha1!D570)</f>
        <v>93</v>
      </c>
      <c r="K573" s="10" t="str">
        <f>IF(Planilha1!E570="","",IF(Planilha1!E570=0,"",Planilha1!E570))</f>
        <v>Minnesota Timberwolves</v>
      </c>
      <c r="L573" s="10">
        <f>IF(Planilha1!F570="","",Planilha1!F570)</f>
        <v>116</v>
      </c>
      <c r="M573" s="10">
        <f>IF(Planilha1!G570="","",IF(Planilha1!G570=0,"",Planilha1!G570))</f>
        <v>116</v>
      </c>
      <c r="N573" s="5">
        <f t="shared" si="65"/>
        <v>1</v>
      </c>
      <c r="O573" s="5">
        <f t="shared" si="66"/>
        <v>0</v>
      </c>
      <c r="P573" s="5">
        <f t="shared" si="67"/>
        <v>0</v>
      </c>
      <c r="Q573" s="5">
        <f t="shared" si="68"/>
        <v>2</v>
      </c>
      <c r="R573" s="8">
        <f t="shared" si="69"/>
        <v>0</v>
      </c>
      <c r="S573" s="8">
        <f t="shared" si="70"/>
        <v>0</v>
      </c>
      <c r="T573" s="3" t="e">
        <f t="shared" si="71"/>
        <v>#VALUE!</v>
      </c>
      <c r="V573" s="1" t="e">
        <f t="shared" si="72"/>
        <v>#VALUE!</v>
      </c>
    </row>
    <row r="574" spans="8:22" x14ac:dyDescent="0.3">
      <c r="H574" s="2" t="str">
        <f>IF(Planilha1!B571="","",Planilha1!B571)</f>
        <v>8:00p</v>
      </c>
      <c r="I574" s="2" t="str">
        <f>IF(Planilha1!C571="","",Planilha1!C571)</f>
        <v>Charlotte Hornets</v>
      </c>
      <c r="J574" s="2">
        <f>IF(Planilha1!D571="","",Planilha1!D571)</f>
        <v>99</v>
      </c>
      <c r="K574" s="10" t="str">
        <f>IF(Planilha1!E571="","",IF(Planilha1!E571=0,"",Planilha1!E571))</f>
        <v>San Antonio Spurs</v>
      </c>
      <c r="L574" s="10">
        <f>IF(Planilha1!F571="","",Planilha1!F571)</f>
        <v>135</v>
      </c>
      <c r="M574" s="10">
        <f>IF(Planilha1!G571="","",IF(Planilha1!G571=0,"",Planilha1!G571))</f>
        <v>135</v>
      </c>
      <c r="N574" s="5">
        <f t="shared" si="65"/>
        <v>1</v>
      </c>
      <c r="O574" s="5">
        <f t="shared" si="66"/>
        <v>0</v>
      </c>
      <c r="P574" s="5">
        <f t="shared" si="67"/>
        <v>0</v>
      </c>
      <c r="Q574" s="5">
        <f t="shared" si="68"/>
        <v>2</v>
      </c>
      <c r="R574" s="8">
        <f t="shared" si="69"/>
        <v>0</v>
      </c>
      <c r="S574" s="8">
        <f t="shared" si="70"/>
        <v>0</v>
      </c>
      <c r="T574" s="3" t="e">
        <f t="shared" si="71"/>
        <v>#VALUE!</v>
      </c>
      <c r="V574" s="1" t="e">
        <f t="shared" si="72"/>
        <v>#VALUE!</v>
      </c>
    </row>
    <row r="575" spans="8:22" x14ac:dyDescent="0.3">
      <c r="H575" s="2" t="str">
        <f>IF(Planilha1!B572="","",Planilha1!B572)</f>
        <v>9:30p</v>
      </c>
      <c r="I575" s="2" t="str">
        <f>IF(Planilha1!C572="","",Planilha1!C572)</f>
        <v>Toronto Raptors</v>
      </c>
      <c r="J575" s="2">
        <f>IF(Planilha1!D572="","",Planilha1!D572)</f>
        <v>113</v>
      </c>
      <c r="K575" s="10" t="str">
        <f>IF(Planilha1!E572="","",IF(Planilha1!E572=0,"",Planilha1!E572))</f>
        <v>Utah Jazz</v>
      </c>
      <c r="L575" s="10">
        <f>IF(Planilha1!F572="","",Planilha1!F572)</f>
        <v>145</v>
      </c>
      <c r="M575" s="10">
        <f>IF(Planilha1!G572="","",IF(Planilha1!G572=0,"",Planilha1!G572))</f>
        <v>145</v>
      </c>
      <c r="N575" s="5">
        <f t="shared" si="65"/>
        <v>1</v>
      </c>
      <c r="O575" s="5">
        <f t="shared" si="66"/>
        <v>0</v>
      </c>
      <c r="P575" s="5">
        <f t="shared" si="67"/>
        <v>0</v>
      </c>
      <c r="Q575" s="5">
        <f t="shared" si="68"/>
        <v>2</v>
      </c>
      <c r="R575" s="8">
        <f t="shared" si="69"/>
        <v>0</v>
      </c>
      <c r="S575" s="8">
        <f t="shared" si="70"/>
        <v>0</v>
      </c>
      <c r="T575" s="3" t="e">
        <f t="shared" si="71"/>
        <v>#VALUE!</v>
      </c>
      <c r="V575" s="1" t="e">
        <f t="shared" si="72"/>
        <v>#VALUE!</v>
      </c>
    </row>
    <row r="576" spans="8:22" x14ac:dyDescent="0.3">
      <c r="H576" s="2" t="str">
        <f>IF(Planilha1!B573="","",Planilha1!B573)</f>
        <v>10:00p</v>
      </c>
      <c r="I576" s="2" t="str">
        <f>IF(Planilha1!C573="","",Planilha1!C573)</f>
        <v>New Orleans Pelicans</v>
      </c>
      <c r="J576" s="2">
        <f>IF(Planilha1!D573="","",Planilha1!D573)</f>
        <v>113</v>
      </c>
      <c r="K576" s="10" t="str">
        <f>IF(Planilha1!E573="","",IF(Planilha1!E573=0,"",Planilha1!E573))</f>
        <v>Denver Nuggets</v>
      </c>
      <c r="L576" s="10">
        <f>IF(Planilha1!F573="","",Planilha1!F573)</f>
        <v>125</v>
      </c>
      <c r="M576" s="10">
        <f>IF(Planilha1!G573="","",IF(Planilha1!G573=0,"",Planilha1!G573))</f>
        <v>125</v>
      </c>
      <c r="N576" s="5">
        <f t="shared" si="65"/>
        <v>1</v>
      </c>
      <c r="O576" s="5">
        <f t="shared" si="66"/>
        <v>0</v>
      </c>
      <c r="P576" s="5">
        <f t="shared" si="67"/>
        <v>0</v>
      </c>
      <c r="Q576" s="5">
        <f t="shared" si="68"/>
        <v>2</v>
      </c>
      <c r="R576" s="8">
        <f t="shared" si="69"/>
        <v>0</v>
      </c>
      <c r="S576" s="8">
        <f t="shared" si="70"/>
        <v>0</v>
      </c>
      <c r="T576" s="3" t="e">
        <f t="shared" si="71"/>
        <v>#VALUE!</v>
      </c>
      <c r="V576" s="1" t="e">
        <f t="shared" si="72"/>
        <v>#VALUE!</v>
      </c>
    </row>
    <row r="577" spans="8:22" x14ac:dyDescent="0.3">
      <c r="H577" s="2" t="str">
        <f>IF(Planilha1!B574="","",Planilha1!B574)</f>
        <v>7:00p</v>
      </c>
      <c r="I577" s="2" t="str">
        <f>IF(Planilha1!C574="","",Planilha1!C574)</f>
        <v>Houston Rockets</v>
      </c>
      <c r="J577" s="2">
        <f>IF(Planilha1!D574="","",Planilha1!D574)</f>
        <v>113</v>
      </c>
      <c r="K577" s="10" t="str">
        <f>IF(Planilha1!E574="","",IF(Planilha1!E574=0,"",Planilha1!E574))</f>
        <v>Boston Celtics</v>
      </c>
      <c r="L577" s="10">
        <f>IF(Planilha1!F574="","",Planilha1!F574)</f>
        <v>145</v>
      </c>
      <c r="M577" s="10">
        <f>IF(Planilha1!G574="","",IF(Planilha1!G574=0,"",Planilha1!G574))</f>
        <v>145</v>
      </c>
      <c r="N577" s="5">
        <f t="shared" si="65"/>
        <v>1</v>
      </c>
      <c r="O577" s="5">
        <f t="shared" si="66"/>
        <v>0</v>
      </c>
      <c r="P577" s="5">
        <f t="shared" si="67"/>
        <v>0</v>
      </c>
      <c r="Q577" s="5">
        <f t="shared" si="68"/>
        <v>2</v>
      </c>
      <c r="R577" s="8">
        <f t="shared" si="69"/>
        <v>0</v>
      </c>
      <c r="S577" s="8">
        <f t="shared" si="70"/>
        <v>0</v>
      </c>
      <c r="T577" s="3" t="e">
        <f t="shared" si="71"/>
        <v>#VALUE!</v>
      </c>
      <c r="V577" s="1" t="e">
        <f t="shared" si="72"/>
        <v>#VALUE!</v>
      </c>
    </row>
    <row r="578" spans="8:22" x14ac:dyDescent="0.3">
      <c r="H578" s="2" t="str">
        <f>IF(Planilha1!B575="","",Planilha1!B575)</f>
        <v>7:30p</v>
      </c>
      <c r="I578" s="2" t="str">
        <f>IF(Planilha1!C575="","",Planilha1!C575)</f>
        <v>Washington Wizards</v>
      </c>
      <c r="J578" s="2">
        <f>IF(Planilha1!D575="","",Planilha1!D575)</f>
        <v>127</v>
      </c>
      <c r="K578" s="10" t="str">
        <f>IF(Planilha1!E575="","",IF(Planilha1!E575=0,"",Planilha1!E575))</f>
        <v>Atlanta Hawks</v>
      </c>
      <c r="L578" s="10">
        <f>IF(Planilha1!F575="","",Planilha1!F575)</f>
        <v>99</v>
      </c>
      <c r="M578" s="10">
        <f>IF(Planilha1!G575="","",IF(Planilha1!G575=0,"",Planilha1!G575))</f>
        <v>99</v>
      </c>
      <c r="N578" s="5">
        <f t="shared" si="65"/>
        <v>1</v>
      </c>
      <c r="O578" s="5">
        <f t="shared" si="66"/>
        <v>0</v>
      </c>
      <c r="P578" s="5">
        <f t="shared" si="67"/>
        <v>0</v>
      </c>
      <c r="Q578" s="5">
        <f t="shared" si="68"/>
        <v>2</v>
      </c>
      <c r="R578" s="8">
        <f t="shared" si="69"/>
        <v>0</v>
      </c>
      <c r="S578" s="8">
        <f t="shared" si="70"/>
        <v>0</v>
      </c>
      <c r="T578" s="3" t="e">
        <f t="shared" si="71"/>
        <v>#VALUE!</v>
      </c>
      <c r="V578" s="1" t="e">
        <f t="shared" si="72"/>
        <v>#VALUE!</v>
      </c>
    </row>
    <row r="579" spans="8:22" x14ac:dyDescent="0.3">
      <c r="H579" s="2" t="str">
        <f>IF(Planilha1!B576="","",Planilha1!B576)</f>
        <v>8:00p</v>
      </c>
      <c r="I579" s="2" t="str">
        <f>IF(Planilha1!C576="","",Planilha1!C576)</f>
        <v>New York Knicks</v>
      </c>
      <c r="J579" s="2">
        <f>IF(Planilha1!D576="","",Planilha1!D576)</f>
        <v>106</v>
      </c>
      <c r="K579" s="10" t="str">
        <f>IF(Planilha1!E576="","",IF(Planilha1!E576=0,"",Planilha1!E576))</f>
        <v>Memphis Grizzlies</v>
      </c>
      <c r="L579" s="10">
        <f>IF(Planilha1!F576="","",Planilha1!F576)</f>
        <v>94</v>
      </c>
      <c r="M579" s="10">
        <f>IF(Planilha1!G576="","",IF(Planilha1!G576=0,"",Planilha1!G576))</f>
        <v>94</v>
      </c>
      <c r="N579" s="5">
        <f t="shared" si="65"/>
        <v>1</v>
      </c>
      <c r="O579" s="5">
        <f t="shared" si="66"/>
        <v>0</v>
      </c>
      <c r="P579" s="5">
        <f t="shared" si="67"/>
        <v>0</v>
      </c>
      <c r="Q579" s="5">
        <f t="shared" si="68"/>
        <v>2</v>
      </c>
      <c r="R579" s="8">
        <f t="shared" si="69"/>
        <v>0</v>
      </c>
      <c r="S579" s="8">
        <f t="shared" si="70"/>
        <v>0</v>
      </c>
      <c r="T579" s="3" t="e">
        <f t="shared" si="71"/>
        <v>#VALUE!</v>
      </c>
      <c r="V579" s="1" t="e">
        <f t="shared" si="72"/>
        <v>#VALUE!</v>
      </c>
    </row>
    <row r="580" spans="8:22" x14ac:dyDescent="0.3">
      <c r="H580" s="2" t="str">
        <f>IF(Planilha1!B577="","",Planilha1!B577)</f>
        <v>8:00p</v>
      </c>
      <c r="I580" s="2" t="str">
        <f>IF(Planilha1!C577="","",Planilha1!C577)</f>
        <v>Golden State Warriors</v>
      </c>
      <c r="J580" s="2">
        <f>IF(Planilha1!D577="","",Planilha1!D577)</f>
        <v>118</v>
      </c>
      <c r="K580" s="10" t="str">
        <f>IF(Planilha1!E577="","",IF(Planilha1!E577=0,"",Planilha1!E577))</f>
        <v>Milwaukee Bucks</v>
      </c>
      <c r="L580" s="10">
        <f>IF(Planilha1!F577="","",Planilha1!F577)</f>
        <v>129</v>
      </c>
      <c r="M580" s="10">
        <f>IF(Planilha1!G577="","",IF(Planilha1!G577=0,"",Planilha1!G577))</f>
        <v>129</v>
      </c>
      <c r="N580" s="5">
        <f t="shared" si="65"/>
        <v>1</v>
      </c>
      <c r="O580" s="5">
        <f t="shared" si="66"/>
        <v>0</v>
      </c>
      <c r="P580" s="5">
        <f t="shared" si="67"/>
        <v>0</v>
      </c>
      <c r="Q580" s="5">
        <f t="shared" si="68"/>
        <v>2</v>
      </c>
      <c r="R580" s="8">
        <f t="shared" si="69"/>
        <v>0</v>
      </c>
      <c r="S580" s="8">
        <f t="shared" si="70"/>
        <v>0</v>
      </c>
      <c r="T580" s="3" t="e">
        <f t="shared" si="71"/>
        <v>#VALUE!</v>
      </c>
      <c r="V580" s="1" t="e">
        <f t="shared" si="72"/>
        <v>#VALUE!</v>
      </c>
    </row>
    <row r="581" spans="8:22" x14ac:dyDescent="0.3">
      <c r="H581" s="2" t="str">
        <f>IF(Planilha1!B578="","",Planilha1!B578)</f>
        <v>8:00p</v>
      </c>
      <c r="I581" s="2" t="str">
        <f>IF(Planilha1!C578="","",Planilha1!C578)</f>
        <v>Orlando Magic</v>
      </c>
      <c r="J581" s="2">
        <f>IF(Planilha1!D578="","",Planilha1!D578)</f>
        <v>100</v>
      </c>
      <c r="K581" s="10" t="str">
        <f>IF(Planilha1!E578="","",IF(Planilha1!E578=0,"",Planilha1!E578))</f>
        <v>Oklahoma City Thunder</v>
      </c>
      <c r="L581" s="10">
        <f>IF(Planilha1!F578="","",Planilha1!F578)</f>
        <v>112</v>
      </c>
      <c r="M581" s="10">
        <f>IF(Planilha1!G578="","",IF(Planilha1!G578=0,"",Planilha1!G578))</f>
        <v>112</v>
      </c>
      <c r="N581" s="5">
        <f t="shared" si="65"/>
        <v>1</v>
      </c>
      <c r="O581" s="5">
        <f t="shared" si="66"/>
        <v>0</v>
      </c>
      <c r="P581" s="5">
        <f t="shared" si="67"/>
        <v>0</v>
      </c>
      <c r="Q581" s="5">
        <f t="shared" si="68"/>
        <v>2</v>
      </c>
      <c r="R581" s="8">
        <f t="shared" si="69"/>
        <v>0</v>
      </c>
      <c r="S581" s="8">
        <f t="shared" si="70"/>
        <v>0</v>
      </c>
      <c r="T581" s="3" t="e">
        <f t="shared" si="71"/>
        <v>#VALUE!</v>
      </c>
      <c r="V581" s="1" t="e">
        <f t="shared" si="72"/>
        <v>#VALUE!</v>
      </c>
    </row>
    <row r="582" spans="8:22" x14ac:dyDescent="0.3">
      <c r="H582" s="2" t="str">
        <f>IF(Planilha1!B579="","",Planilha1!B579)</f>
        <v>8:30p</v>
      </c>
      <c r="I582" s="2" t="str">
        <f>IF(Planilha1!C579="","",Planilha1!C579)</f>
        <v>New Orleans Pelicans</v>
      </c>
      <c r="J582" s="2">
        <f>IF(Planilha1!D579="","",Planilha1!D579)</f>
        <v>118</v>
      </c>
      <c r="K582" s="10" t="str">
        <f>IF(Planilha1!E579="","",IF(Planilha1!E579=0,"",Planilha1!E579))</f>
        <v>Dallas Mavericks</v>
      </c>
      <c r="L582" s="10">
        <f>IF(Planilha1!F579="","",Planilha1!F579)</f>
        <v>108</v>
      </c>
      <c r="M582" s="10">
        <f>IF(Planilha1!G579="","",IF(Planilha1!G579=0,"",Planilha1!G579))</f>
        <v>108</v>
      </c>
      <c r="N582" s="5">
        <f t="shared" ref="N582:N645" si="73">IF(K582="","",IF(K582&gt;M582,100%,0%))</f>
        <v>1</v>
      </c>
      <c r="O582" s="5">
        <f t="shared" ref="O582:O645" si="74">IF(K582="","",IF(K582&lt;M582,100%,0%))</f>
        <v>0</v>
      </c>
      <c r="P582" s="5">
        <f t="shared" ref="P582:P645" si="75">IF(M582="",IF(R582&gt;S582,2,0),IF(K582&lt;M582,2,0))</f>
        <v>0</v>
      </c>
      <c r="Q582" s="5">
        <f t="shared" ref="Q582:Q645" si="76">IF(M582="",IF(R582&gt;S582,0,2),IF(K582&gt;M582,2,0))</f>
        <v>2</v>
      </c>
      <c r="R582" s="8">
        <f t="shared" ref="R582:R645" si="77">SUMIF($B:$B,J582,$C:$C)+(SUMIF($B:$B,L582,$F:$F))</f>
        <v>0</v>
      </c>
      <c r="S582" s="8">
        <f t="shared" ref="S582:S645" si="78">SUMIF($B:$B,L582,$E:$E)+(SUMIF($B:$B,J582,$D:$D))</f>
        <v>0</v>
      </c>
      <c r="T582" s="3" t="e">
        <f t="shared" ref="T582:T645" si="79">IF(M582="","",(K582-S582)^2+(M582-R582)^2)</f>
        <v>#VALUE!</v>
      </c>
      <c r="V582" s="1" t="e">
        <f t="shared" ref="V582:V645" si="80">IF(O582="","",1/((M582-K582)/(R582-S582)))</f>
        <v>#VALUE!</v>
      </c>
    </row>
    <row r="583" spans="8:22" x14ac:dyDescent="0.3">
      <c r="H583" s="2" t="str">
        <f>IF(Planilha1!B580="","",Planilha1!B580)</f>
        <v>8:30p</v>
      </c>
      <c r="I583" s="2" t="str">
        <f>IF(Planilha1!C580="","",Planilha1!C580)</f>
        <v>Chicago Bulls</v>
      </c>
      <c r="J583" s="2">
        <f>IF(Planilha1!D580="","",Planilha1!D580)</f>
        <v>122</v>
      </c>
      <c r="K583" s="10" t="str">
        <f>IF(Planilha1!E580="","",IF(Planilha1!E580=0,"",Planilha1!E580))</f>
        <v>San Antonio Spurs</v>
      </c>
      <c r="L583" s="10">
        <f>IF(Planilha1!F580="","",Planilha1!F580)</f>
        <v>116</v>
      </c>
      <c r="M583" s="10">
        <f>IF(Planilha1!G580="","",IF(Planilha1!G580=0,"",Planilha1!G580))</f>
        <v>116</v>
      </c>
      <c r="N583" s="5">
        <f t="shared" si="73"/>
        <v>1</v>
      </c>
      <c r="O583" s="5">
        <f t="shared" si="74"/>
        <v>0</v>
      </c>
      <c r="P583" s="5">
        <f t="shared" si="75"/>
        <v>0</v>
      </c>
      <c r="Q583" s="5">
        <f t="shared" si="76"/>
        <v>2</v>
      </c>
      <c r="R583" s="8">
        <f t="shared" si="77"/>
        <v>0</v>
      </c>
      <c r="S583" s="8">
        <f t="shared" si="78"/>
        <v>0</v>
      </c>
      <c r="T583" s="3" t="e">
        <f t="shared" si="79"/>
        <v>#VALUE!</v>
      </c>
      <c r="V583" s="1" t="e">
        <f t="shared" si="80"/>
        <v>#VALUE!</v>
      </c>
    </row>
    <row r="584" spans="8:22" x14ac:dyDescent="0.3">
      <c r="H584" s="2" t="str">
        <f>IF(Planilha1!B581="","",Planilha1!B581)</f>
        <v>9:30p</v>
      </c>
      <c r="I584" s="2" t="str">
        <f>IF(Planilha1!C581="","",Planilha1!C581)</f>
        <v>Los Angeles Lakers</v>
      </c>
      <c r="J584" s="2">
        <f>IF(Planilha1!D581="","",Planilha1!D581)</f>
        <v>125</v>
      </c>
      <c r="K584" s="10" t="str">
        <f>IF(Planilha1!E581="","",IF(Planilha1!E581=0,"",Planilha1!E581))</f>
        <v>Utah Jazz</v>
      </c>
      <c r="L584" s="10">
        <f>IF(Planilha1!F581="","",Planilha1!F581)</f>
        <v>132</v>
      </c>
      <c r="M584" s="10">
        <f>IF(Planilha1!G581="","",IF(Planilha1!G581=0,"",Planilha1!G581))</f>
        <v>132</v>
      </c>
      <c r="N584" s="5">
        <f t="shared" si="73"/>
        <v>1</v>
      </c>
      <c r="O584" s="5">
        <f t="shared" si="74"/>
        <v>0</v>
      </c>
      <c r="P584" s="5">
        <f t="shared" si="75"/>
        <v>0</v>
      </c>
      <c r="Q584" s="5">
        <f t="shared" si="76"/>
        <v>2</v>
      </c>
      <c r="R584" s="8">
        <f t="shared" si="77"/>
        <v>0</v>
      </c>
      <c r="S584" s="8">
        <f t="shared" si="78"/>
        <v>0</v>
      </c>
      <c r="T584" s="3" t="e">
        <f t="shared" si="79"/>
        <v>#VALUE!</v>
      </c>
      <c r="V584" s="1" t="e">
        <f t="shared" si="80"/>
        <v>#VALUE!</v>
      </c>
    </row>
    <row r="585" spans="8:22" x14ac:dyDescent="0.3">
      <c r="H585" s="2" t="str">
        <f>IF(Planilha1!B582="","",Planilha1!B582)</f>
        <v>3:30p</v>
      </c>
      <c r="I585" s="2" t="str">
        <f>IF(Planilha1!C582="","",Planilha1!C582)</f>
        <v>Indiana Pacers</v>
      </c>
      <c r="J585" s="2">
        <f>IF(Planilha1!D582="","",Planilha1!D582)</f>
        <v>109</v>
      </c>
      <c r="K585" s="10" t="str">
        <f>IF(Planilha1!E582="","",IF(Planilha1!E582=0,"",Planilha1!E582))</f>
        <v>Denver Nuggets</v>
      </c>
      <c r="L585" s="10">
        <f>IF(Planilha1!F582="","",Planilha1!F582)</f>
        <v>117</v>
      </c>
      <c r="M585" s="10">
        <f>IF(Planilha1!G582="","",IF(Planilha1!G582=0,"",Planilha1!G582))</f>
        <v>117</v>
      </c>
      <c r="N585" s="5">
        <f t="shared" si="73"/>
        <v>1</v>
      </c>
      <c r="O585" s="5">
        <f t="shared" si="74"/>
        <v>0</v>
      </c>
      <c r="P585" s="5">
        <f t="shared" si="75"/>
        <v>0</v>
      </c>
      <c r="Q585" s="5">
        <f t="shared" si="76"/>
        <v>2</v>
      </c>
      <c r="R585" s="8">
        <f t="shared" si="77"/>
        <v>0</v>
      </c>
      <c r="S585" s="8">
        <f t="shared" si="78"/>
        <v>0</v>
      </c>
      <c r="T585" s="3" t="e">
        <f t="shared" si="79"/>
        <v>#VALUE!</v>
      </c>
      <c r="V585" s="1" t="e">
        <f t="shared" si="80"/>
        <v>#VALUE!</v>
      </c>
    </row>
    <row r="586" spans="8:22" x14ac:dyDescent="0.3">
      <c r="H586" s="2" t="str">
        <f>IF(Planilha1!B583="","",Planilha1!B583)</f>
        <v>6:00p</v>
      </c>
      <c r="I586" s="2" t="str">
        <f>IF(Planilha1!C583="","",Planilha1!C583)</f>
        <v>Charlotte Hornets</v>
      </c>
      <c r="J586" s="2">
        <f>IF(Planilha1!D583="","",Planilha1!D583)</f>
        <v>87</v>
      </c>
      <c r="K586" s="10" t="str">
        <f>IF(Planilha1!E583="","",IF(Planilha1!E583=0,"",Planilha1!E583))</f>
        <v>Miami Heat</v>
      </c>
      <c r="L586" s="10">
        <f>IF(Planilha1!F583="","",Planilha1!F583)</f>
        <v>104</v>
      </c>
      <c r="M586" s="10">
        <f>IF(Planilha1!G583="","",IF(Planilha1!G583=0,"",Planilha1!G583))</f>
        <v>104</v>
      </c>
      <c r="N586" s="5">
        <f t="shared" si="73"/>
        <v>1</v>
      </c>
      <c r="O586" s="5">
        <f t="shared" si="74"/>
        <v>0</v>
      </c>
      <c r="P586" s="5">
        <f t="shared" si="75"/>
        <v>0</v>
      </c>
      <c r="Q586" s="5">
        <f t="shared" si="76"/>
        <v>2</v>
      </c>
      <c r="R586" s="8">
        <f t="shared" si="77"/>
        <v>0</v>
      </c>
      <c r="S586" s="8">
        <f t="shared" si="78"/>
        <v>0</v>
      </c>
      <c r="T586" s="3" t="e">
        <f t="shared" si="79"/>
        <v>#VALUE!</v>
      </c>
      <c r="V586" s="1" t="e">
        <f t="shared" si="80"/>
        <v>#VALUE!</v>
      </c>
    </row>
    <row r="587" spans="8:22" x14ac:dyDescent="0.3">
      <c r="H587" s="2" t="str">
        <f>IF(Planilha1!B584="","",Planilha1!B584)</f>
        <v>7:00p</v>
      </c>
      <c r="I587" s="2" t="str">
        <f>IF(Planilha1!C584="","",Planilha1!C584)</f>
        <v>Sacramento Kings</v>
      </c>
      <c r="J587" s="2">
        <f>IF(Planilha1!D584="","",Planilha1!D584)</f>
        <v>142</v>
      </c>
      <c r="K587" s="10" t="str">
        <f>IF(Planilha1!E584="","",IF(Planilha1!E584=0,"",Planilha1!E584))</f>
        <v>Milwaukee Bucks</v>
      </c>
      <c r="L587" s="10">
        <f>IF(Planilha1!F584="","",Planilha1!F584)</f>
        <v>143</v>
      </c>
      <c r="M587" s="10">
        <f>IF(Planilha1!G584="","",IF(Planilha1!G584=0,"",Planilha1!G584))</f>
        <v>143</v>
      </c>
      <c r="N587" s="5">
        <f t="shared" si="73"/>
        <v>1</v>
      </c>
      <c r="O587" s="5">
        <f t="shared" si="74"/>
        <v>0</v>
      </c>
      <c r="P587" s="5">
        <f t="shared" si="75"/>
        <v>0</v>
      </c>
      <c r="Q587" s="5">
        <f t="shared" si="76"/>
        <v>2</v>
      </c>
      <c r="R587" s="8">
        <f t="shared" si="77"/>
        <v>0</v>
      </c>
      <c r="S587" s="8">
        <f t="shared" si="78"/>
        <v>0</v>
      </c>
      <c r="T587" s="3" t="e">
        <f t="shared" si="79"/>
        <v>#VALUE!</v>
      </c>
      <c r="V587" s="1" t="e">
        <f t="shared" si="80"/>
        <v>#VALUE!</v>
      </c>
    </row>
    <row r="588" spans="8:22" x14ac:dyDescent="0.3">
      <c r="H588" s="2" t="str">
        <f>IF(Planilha1!B585="","",Planilha1!B585)</f>
        <v>7:00p</v>
      </c>
      <c r="I588" s="2" t="str">
        <f>IF(Planilha1!C585="","",Planilha1!C585)</f>
        <v>Los Angeles Clippers</v>
      </c>
      <c r="J588" s="2">
        <f>IF(Planilha1!D585="","",Planilha1!D585)</f>
        <v>105</v>
      </c>
      <c r="K588" s="10" t="str">
        <f>IF(Planilha1!E585="","",IF(Planilha1!E585=0,"",Planilha1!E585))</f>
        <v>Minnesota Timberwolves</v>
      </c>
      <c r="L588" s="10">
        <f>IF(Planilha1!F585="","",Planilha1!F585)</f>
        <v>109</v>
      </c>
      <c r="M588" s="10">
        <f>IF(Planilha1!G585="","",IF(Planilha1!G585=0,"",Planilha1!G585))</f>
        <v>109</v>
      </c>
      <c r="N588" s="5">
        <f t="shared" si="73"/>
        <v>1</v>
      </c>
      <c r="O588" s="5">
        <f t="shared" si="74"/>
        <v>0</v>
      </c>
      <c r="P588" s="5">
        <f t="shared" si="75"/>
        <v>0</v>
      </c>
      <c r="Q588" s="5">
        <f t="shared" si="76"/>
        <v>2</v>
      </c>
      <c r="R588" s="8">
        <f t="shared" si="77"/>
        <v>0</v>
      </c>
      <c r="S588" s="8">
        <f t="shared" si="78"/>
        <v>0</v>
      </c>
      <c r="T588" s="3" t="e">
        <f t="shared" si="79"/>
        <v>#VALUE!</v>
      </c>
      <c r="V588" s="1" t="e">
        <f t="shared" si="80"/>
        <v>#VALUE!</v>
      </c>
    </row>
    <row r="589" spans="8:22" x14ac:dyDescent="0.3">
      <c r="H589" s="2" t="str">
        <f>IF(Planilha1!B586="","",Planilha1!B586)</f>
        <v>9:00p</v>
      </c>
      <c r="I589" s="2" t="str">
        <f>IF(Planilha1!C586="","",Planilha1!C586)</f>
        <v>Phoenix Suns</v>
      </c>
      <c r="J589" s="2">
        <f>IF(Planilha1!D586="","",Planilha1!D586)</f>
        <v>127</v>
      </c>
      <c r="K589" s="10" t="str">
        <f>IF(Planilha1!E586="","",IF(Planilha1!E586=0,"",Planilha1!E586))</f>
        <v>Portland Trail Blazers</v>
      </c>
      <c r="L589" s="10">
        <f>IF(Planilha1!F586="","",Planilha1!F586)</f>
        <v>116</v>
      </c>
      <c r="M589" s="10">
        <f>IF(Planilha1!G586="","",IF(Planilha1!G586=0,"",Planilha1!G586))</f>
        <v>116</v>
      </c>
      <c r="N589" s="5">
        <f t="shared" si="73"/>
        <v>1</v>
      </c>
      <c r="O589" s="5">
        <f t="shared" si="74"/>
        <v>0</v>
      </c>
      <c r="P589" s="5">
        <f t="shared" si="75"/>
        <v>0</v>
      </c>
      <c r="Q589" s="5">
        <f t="shared" si="76"/>
        <v>2</v>
      </c>
      <c r="R589" s="8">
        <f t="shared" si="77"/>
        <v>0</v>
      </c>
      <c r="S589" s="8">
        <f t="shared" si="78"/>
        <v>0</v>
      </c>
      <c r="T589" s="3" t="e">
        <f t="shared" si="79"/>
        <v>#VALUE!</v>
      </c>
      <c r="V589" s="1" t="e">
        <f t="shared" si="80"/>
        <v>#VALUE!</v>
      </c>
    </row>
    <row r="590" spans="8:22" x14ac:dyDescent="0.3">
      <c r="H590" s="2" t="str">
        <f>IF(Planilha1!B587="","",Planilha1!B587)</f>
        <v>1:00p</v>
      </c>
      <c r="I590" s="2" t="str">
        <f>IF(Planilha1!C587="","",Planilha1!C587)</f>
        <v>Houston Rockets</v>
      </c>
      <c r="J590" s="2">
        <f>IF(Planilha1!D587="","",Planilha1!D587)</f>
        <v>115</v>
      </c>
      <c r="K590" s="10" t="str">
        <f>IF(Planilha1!E587="","",IF(Planilha1!E587=0,"",Planilha1!E587))</f>
        <v>Philadelphia 76ers</v>
      </c>
      <c r="L590" s="10">
        <f>IF(Planilha1!F587="","",Planilha1!F587)</f>
        <v>124</v>
      </c>
      <c r="M590" s="10">
        <f>IF(Planilha1!G587="","",IF(Planilha1!G587=0,"",Planilha1!G587))</f>
        <v>124</v>
      </c>
      <c r="N590" s="5">
        <f t="shared" si="73"/>
        <v>1</v>
      </c>
      <c r="O590" s="5">
        <f t="shared" si="74"/>
        <v>0</v>
      </c>
      <c r="P590" s="5">
        <f t="shared" si="75"/>
        <v>0</v>
      </c>
      <c r="Q590" s="5">
        <f t="shared" si="76"/>
        <v>2</v>
      </c>
      <c r="R590" s="8">
        <f t="shared" si="77"/>
        <v>0</v>
      </c>
      <c r="S590" s="8">
        <f t="shared" si="78"/>
        <v>0</v>
      </c>
      <c r="T590" s="3" t="e">
        <f t="shared" si="79"/>
        <v>#VALUE!</v>
      </c>
      <c r="V590" s="1" t="e">
        <f t="shared" si="80"/>
        <v>#VALUE!</v>
      </c>
    </row>
    <row r="591" spans="8:22" x14ac:dyDescent="0.3">
      <c r="H591" s="2" t="str">
        <f>IF(Planilha1!B588="","",Planilha1!B588)</f>
        <v>2:30p</v>
      </c>
      <c r="I591" s="2" t="str">
        <f>IF(Planilha1!C588="","",Planilha1!C588)</f>
        <v>New Orleans Pelicans</v>
      </c>
      <c r="J591" s="2">
        <f>IF(Planilha1!D588="","",Planilha1!D588)</f>
        <v>120</v>
      </c>
      <c r="K591" s="10" t="str">
        <f>IF(Planilha1!E588="","",IF(Planilha1!E588=0,"",Planilha1!E588))</f>
        <v>Dallas Mavericks</v>
      </c>
      <c r="L591" s="10">
        <f>IF(Planilha1!F588="","",Planilha1!F588)</f>
        <v>125</v>
      </c>
      <c r="M591" s="10">
        <f>IF(Planilha1!G588="","",IF(Planilha1!G588=0,"",Planilha1!G588))</f>
        <v>125</v>
      </c>
      <c r="N591" s="5">
        <f t="shared" si="73"/>
        <v>1</v>
      </c>
      <c r="O591" s="5">
        <f t="shared" si="74"/>
        <v>0</v>
      </c>
      <c r="P591" s="5">
        <f t="shared" si="75"/>
        <v>0</v>
      </c>
      <c r="Q591" s="5">
        <f t="shared" si="76"/>
        <v>2</v>
      </c>
      <c r="R591" s="8">
        <f t="shared" si="77"/>
        <v>0</v>
      </c>
      <c r="S591" s="8">
        <f t="shared" si="78"/>
        <v>0</v>
      </c>
      <c r="T591" s="3" t="e">
        <f t="shared" si="79"/>
        <v>#VALUE!</v>
      </c>
      <c r="V591" s="1" t="e">
        <f t="shared" si="80"/>
        <v>#VALUE!</v>
      </c>
    </row>
    <row r="592" spans="8:22" x14ac:dyDescent="0.3">
      <c r="H592" s="2" t="str">
        <f>IF(Planilha1!B589="","",Planilha1!B589)</f>
        <v>3:00p</v>
      </c>
      <c r="I592" s="2" t="str">
        <f>IF(Planilha1!C589="","",Planilha1!C589)</f>
        <v>Orlando Magic</v>
      </c>
      <c r="J592" s="2">
        <f>IF(Planilha1!D589="","",Planilha1!D589)</f>
        <v>98</v>
      </c>
      <c r="K592" s="10" t="str">
        <f>IF(Planilha1!E589="","",IF(Planilha1!E589=0,"",Planilha1!E589))</f>
        <v>New York Knicks</v>
      </c>
      <c r="L592" s="10">
        <f>IF(Planilha1!F589="","",Planilha1!F589)</f>
        <v>94</v>
      </c>
      <c r="M592" s="10">
        <f>IF(Planilha1!G589="","",IF(Planilha1!G589=0,"",Planilha1!G589))</f>
        <v>94</v>
      </c>
      <c r="N592" s="5">
        <f t="shared" si="73"/>
        <v>1</v>
      </c>
      <c r="O592" s="5">
        <f t="shared" si="74"/>
        <v>0</v>
      </c>
      <c r="P592" s="5">
        <f t="shared" si="75"/>
        <v>0</v>
      </c>
      <c r="Q592" s="5">
        <f t="shared" si="76"/>
        <v>2</v>
      </c>
      <c r="R592" s="8">
        <f t="shared" si="77"/>
        <v>0</v>
      </c>
      <c r="S592" s="8">
        <f t="shared" si="78"/>
        <v>0</v>
      </c>
      <c r="T592" s="3" t="e">
        <f t="shared" si="79"/>
        <v>#VALUE!</v>
      </c>
      <c r="V592" s="1" t="e">
        <f t="shared" si="80"/>
        <v>#VALUE!</v>
      </c>
    </row>
    <row r="593" spans="8:22" x14ac:dyDescent="0.3">
      <c r="H593" s="2" t="str">
        <f>IF(Planilha1!B590="","",Planilha1!B590)</f>
        <v>3:00p</v>
      </c>
      <c r="I593" s="2" t="str">
        <f>IF(Planilha1!C590="","",Planilha1!C590)</f>
        <v>Detroit Pistons</v>
      </c>
      <c r="J593" s="2">
        <f>IF(Planilha1!D590="","",Planilha1!D590)</f>
        <v>129</v>
      </c>
      <c r="K593" s="10" t="str">
        <f>IF(Planilha1!E590="","",IF(Planilha1!E590=0,"",Planilha1!E590))</f>
        <v>Washington Wizards</v>
      </c>
      <c r="L593" s="10">
        <f>IF(Planilha1!F590="","",Planilha1!F590)</f>
        <v>117</v>
      </c>
      <c r="M593" s="10">
        <f>IF(Planilha1!G590="","",IF(Planilha1!G590=0,"",Planilha1!G590))</f>
        <v>117</v>
      </c>
      <c r="N593" s="5">
        <f t="shared" si="73"/>
        <v>1</v>
      </c>
      <c r="O593" s="5">
        <f t="shared" si="74"/>
        <v>0</v>
      </c>
      <c r="P593" s="5">
        <f t="shared" si="75"/>
        <v>0</v>
      </c>
      <c r="Q593" s="5">
        <f t="shared" si="76"/>
        <v>2</v>
      </c>
      <c r="R593" s="8">
        <f t="shared" si="77"/>
        <v>0</v>
      </c>
      <c r="S593" s="8">
        <f t="shared" si="78"/>
        <v>0</v>
      </c>
      <c r="T593" s="3" t="e">
        <f t="shared" si="79"/>
        <v>#VALUE!</v>
      </c>
      <c r="V593" s="1" t="e">
        <f t="shared" si="80"/>
        <v>#VALUE!</v>
      </c>
    </row>
    <row r="594" spans="8:22" x14ac:dyDescent="0.3">
      <c r="H594" s="2" t="str">
        <f>IF(Planilha1!B591="","",Planilha1!B591)</f>
        <v>3:30p</v>
      </c>
      <c r="I594" s="2" t="str">
        <f>IF(Planilha1!C591="","",Planilha1!C591)</f>
        <v>San Antonio Spurs</v>
      </c>
      <c r="J594" s="2">
        <f>IF(Planilha1!D591="","",Planilha1!D591)</f>
        <v>99</v>
      </c>
      <c r="K594" s="10" t="str">
        <f>IF(Planilha1!E591="","",IF(Planilha1!E591=0,"",Planilha1!E591))</f>
        <v>Atlanta Hawks</v>
      </c>
      <c r="L594" s="10">
        <f>IF(Planilha1!F591="","",Planilha1!F591)</f>
        <v>109</v>
      </c>
      <c r="M594" s="10">
        <f>IF(Planilha1!G591="","",IF(Planilha1!G591=0,"",Planilha1!G591))</f>
        <v>109</v>
      </c>
      <c r="N594" s="5">
        <f t="shared" si="73"/>
        <v>1</v>
      </c>
      <c r="O594" s="5">
        <f t="shared" si="74"/>
        <v>0</v>
      </c>
      <c r="P594" s="5">
        <f t="shared" si="75"/>
        <v>0</v>
      </c>
      <c r="Q594" s="5">
        <f t="shared" si="76"/>
        <v>2</v>
      </c>
      <c r="R594" s="8">
        <f t="shared" si="77"/>
        <v>0</v>
      </c>
      <c r="S594" s="8">
        <f t="shared" si="78"/>
        <v>0</v>
      </c>
      <c r="T594" s="3" t="e">
        <f t="shared" si="79"/>
        <v>#VALUE!</v>
      </c>
      <c r="V594" s="1" t="e">
        <f t="shared" si="80"/>
        <v>#VALUE!</v>
      </c>
    </row>
    <row r="595" spans="8:22" x14ac:dyDescent="0.3">
      <c r="H595" s="2" t="str">
        <f>IF(Planilha1!B592="","",Planilha1!B592)</f>
        <v>6:00p</v>
      </c>
      <c r="I595" s="2" t="str">
        <f>IF(Planilha1!C592="","",Planilha1!C592)</f>
        <v>Golden State Warriors</v>
      </c>
      <c r="J595" s="2">
        <f>IF(Planilha1!D592="","",Planilha1!D592)</f>
        <v>107</v>
      </c>
      <c r="K595" s="10" t="str">
        <f>IF(Planilha1!E592="","",IF(Planilha1!E592=0,"",Planilha1!E592))</f>
        <v>Memphis Grizzlies</v>
      </c>
      <c r="L595" s="10">
        <f>IF(Planilha1!F592="","",Planilha1!F592)</f>
        <v>116</v>
      </c>
      <c r="M595" s="10">
        <f>IF(Planilha1!G592="","",IF(Planilha1!G592=0,"",Planilha1!G592))</f>
        <v>116</v>
      </c>
      <c r="N595" s="5">
        <f t="shared" si="73"/>
        <v>1</v>
      </c>
      <c r="O595" s="5">
        <f t="shared" si="74"/>
        <v>0</v>
      </c>
      <c r="P595" s="5">
        <f t="shared" si="75"/>
        <v>0</v>
      </c>
      <c r="Q595" s="5">
        <f t="shared" si="76"/>
        <v>2</v>
      </c>
      <c r="R595" s="8">
        <f t="shared" si="77"/>
        <v>0</v>
      </c>
      <c r="S595" s="8">
        <f t="shared" si="78"/>
        <v>0</v>
      </c>
      <c r="T595" s="3" t="e">
        <f t="shared" si="79"/>
        <v>#VALUE!</v>
      </c>
      <c r="V595" s="1" t="e">
        <f t="shared" si="80"/>
        <v>#VALUE!</v>
      </c>
    </row>
    <row r="596" spans="8:22" x14ac:dyDescent="0.3">
      <c r="H596" s="2" t="str">
        <f>IF(Planilha1!B593="","",Planilha1!B593)</f>
        <v>7:00p</v>
      </c>
      <c r="I596" s="2" t="str">
        <f>IF(Planilha1!C593="","",Planilha1!C593)</f>
        <v>Chicago Bulls</v>
      </c>
      <c r="J596" s="2">
        <f>IF(Planilha1!D593="","",Planilha1!D593)</f>
        <v>91</v>
      </c>
      <c r="K596" s="10" t="str">
        <f>IF(Planilha1!E593="","",IF(Planilha1!E593=0,"",Planilha1!E593))</f>
        <v>Cleveland Cavaliers</v>
      </c>
      <c r="L596" s="10">
        <f>IF(Planilha1!F593="","",Planilha1!F593)</f>
        <v>109</v>
      </c>
      <c r="M596" s="10">
        <f>IF(Planilha1!G593="","",IF(Planilha1!G593=0,"",Planilha1!G593))</f>
        <v>109</v>
      </c>
      <c r="N596" s="5">
        <f t="shared" si="73"/>
        <v>1</v>
      </c>
      <c r="O596" s="5">
        <f t="shared" si="74"/>
        <v>0</v>
      </c>
      <c r="P596" s="5">
        <f t="shared" si="75"/>
        <v>0</v>
      </c>
      <c r="Q596" s="5">
        <f t="shared" si="76"/>
        <v>2</v>
      </c>
      <c r="R596" s="8">
        <f t="shared" si="77"/>
        <v>0</v>
      </c>
      <c r="S596" s="8">
        <f t="shared" si="78"/>
        <v>0</v>
      </c>
      <c r="T596" s="3" t="e">
        <f t="shared" si="79"/>
        <v>#VALUE!</v>
      </c>
      <c r="V596" s="1" t="e">
        <f t="shared" si="80"/>
        <v>#VALUE!</v>
      </c>
    </row>
    <row r="597" spans="8:22" x14ac:dyDescent="0.3">
      <c r="H597" s="2" t="str">
        <f>IF(Planilha1!B594="","",Planilha1!B594)</f>
        <v>7:30p</v>
      </c>
      <c r="I597" s="2" t="str">
        <f>IF(Planilha1!C594="","",Planilha1!C594)</f>
        <v>Miami Heat</v>
      </c>
      <c r="J597" s="2">
        <f>IF(Planilha1!D594="","",Planilha1!D594)</f>
        <v>96</v>
      </c>
      <c r="K597" s="10" t="str">
        <f>IF(Planilha1!E594="","",IF(Planilha1!E594=0,"",Planilha1!E594))</f>
        <v>Brooklyn Nets</v>
      </c>
      <c r="L597" s="10">
        <f>IF(Planilha1!F594="","",Planilha1!F594)</f>
        <v>95</v>
      </c>
      <c r="M597" s="10">
        <f>IF(Planilha1!G594="","",IF(Planilha1!G594=0,"",Planilha1!G594))</f>
        <v>95</v>
      </c>
      <c r="N597" s="5">
        <f t="shared" si="73"/>
        <v>1</v>
      </c>
      <c r="O597" s="5">
        <f t="shared" si="74"/>
        <v>0</v>
      </c>
      <c r="P597" s="5">
        <f t="shared" si="75"/>
        <v>0</v>
      </c>
      <c r="Q597" s="5">
        <f t="shared" si="76"/>
        <v>2</v>
      </c>
      <c r="R597" s="8">
        <f t="shared" si="77"/>
        <v>0</v>
      </c>
      <c r="S597" s="8">
        <f t="shared" si="78"/>
        <v>0</v>
      </c>
      <c r="T597" s="3" t="e">
        <f t="shared" si="79"/>
        <v>#VALUE!</v>
      </c>
      <c r="V597" s="1" t="e">
        <f t="shared" si="80"/>
        <v>#VALUE!</v>
      </c>
    </row>
    <row r="598" spans="8:22" x14ac:dyDescent="0.3">
      <c r="H598" s="2" t="str">
        <f>IF(Planilha1!B595="","",Planilha1!B595)</f>
        <v>7:30p</v>
      </c>
      <c r="I598" s="2" t="str">
        <f>IF(Planilha1!C595="","",Planilha1!C595)</f>
        <v>Boston Celtics</v>
      </c>
      <c r="J598" s="2">
        <f>IF(Planilha1!D595="","",Planilha1!D595)</f>
        <v>105</v>
      </c>
      <c r="K598" s="10" t="str">
        <f>IF(Planilha1!E595="","",IF(Planilha1!E595=0,"",Planilha1!E595))</f>
        <v>Toronto Raptors</v>
      </c>
      <c r="L598" s="10">
        <f>IF(Planilha1!F595="","",Planilha1!F595)</f>
        <v>96</v>
      </c>
      <c r="M598" s="10">
        <f>IF(Planilha1!G595="","",IF(Planilha1!G595=0,"",Planilha1!G595))</f>
        <v>96</v>
      </c>
      <c r="N598" s="5">
        <f t="shared" si="73"/>
        <v>1</v>
      </c>
      <c r="O598" s="5">
        <f t="shared" si="74"/>
        <v>0</v>
      </c>
      <c r="P598" s="5">
        <f t="shared" si="75"/>
        <v>0</v>
      </c>
      <c r="Q598" s="5">
        <f t="shared" si="76"/>
        <v>2</v>
      </c>
      <c r="R598" s="8">
        <f t="shared" si="77"/>
        <v>0</v>
      </c>
      <c r="S598" s="8">
        <f t="shared" si="78"/>
        <v>0</v>
      </c>
      <c r="T598" s="3" t="e">
        <f t="shared" si="79"/>
        <v>#VALUE!</v>
      </c>
      <c r="V598" s="1" t="e">
        <f t="shared" si="80"/>
        <v>#VALUE!</v>
      </c>
    </row>
    <row r="599" spans="8:22" x14ac:dyDescent="0.3">
      <c r="H599" s="2" t="str">
        <f>IF(Planilha1!B596="","",Planilha1!B596)</f>
        <v>9:00p</v>
      </c>
      <c r="I599" s="2" t="str">
        <f>IF(Planilha1!C596="","",Planilha1!C596)</f>
        <v>Indiana Pacers</v>
      </c>
      <c r="J599" s="2">
        <f>IF(Planilha1!D596="","",Planilha1!D596)</f>
        <v>105</v>
      </c>
      <c r="K599" s="10" t="str">
        <f>IF(Planilha1!E596="","",IF(Planilha1!E596=0,"",Planilha1!E596))</f>
        <v>Utah Jazz</v>
      </c>
      <c r="L599" s="10">
        <f>IF(Planilha1!F596="","",Planilha1!F596)</f>
        <v>132</v>
      </c>
      <c r="M599" s="10">
        <f>IF(Planilha1!G596="","",IF(Planilha1!G596=0,"",Planilha1!G596))</f>
        <v>132</v>
      </c>
      <c r="N599" s="5">
        <f t="shared" si="73"/>
        <v>1</v>
      </c>
      <c r="O599" s="5">
        <f t="shared" si="74"/>
        <v>0</v>
      </c>
      <c r="P599" s="5">
        <f t="shared" si="75"/>
        <v>0</v>
      </c>
      <c r="Q599" s="5">
        <f t="shared" si="76"/>
        <v>2</v>
      </c>
      <c r="R599" s="8">
        <f t="shared" si="77"/>
        <v>0</v>
      </c>
      <c r="S599" s="8">
        <f t="shared" si="78"/>
        <v>0</v>
      </c>
      <c r="T599" s="3" t="e">
        <f t="shared" si="79"/>
        <v>#VALUE!</v>
      </c>
      <c r="V599" s="1" t="e">
        <f t="shared" si="80"/>
        <v>#VALUE!</v>
      </c>
    </row>
    <row r="600" spans="8:22" x14ac:dyDescent="0.3">
      <c r="H600" s="2" t="str">
        <f>IF(Planilha1!B597="","",Planilha1!B597)</f>
        <v>10:30p</v>
      </c>
      <c r="I600" s="2" t="str">
        <f>IF(Planilha1!C597="","",Planilha1!C597)</f>
        <v>Oklahoma City Thunder</v>
      </c>
      <c r="J600" s="2">
        <f>IF(Planilha1!D597="","",Planilha1!D597)</f>
        <v>105</v>
      </c>
      <c r="K600" s="10" t="str">
        <f>IF(Planilha1!E597="","",IF(Planilha1!E597=0,"",Planilha1!E597))</f>
        <v>Los Angeles Lakers</v>
      </c>
      <c r="L600" s="10">
        <f>IF(Planilha1!F597="","",Planilha1!F597)</f>
        <v>112</v>
      </c>
      <c r="M600" s="10">
        <f>IF(Planilha1!G597="","",IF(Planilha1!G597=0,"",Planilha1!G597))</f>
        <v>112</v>
      </c>
      <c r="N600" s="5">
        <f t="shared" si="73"/>
        <v>1</v>
      </c>
      <c r="O600" s="5">
        <f t="shared" si="74"/>
        <v>0</v>
      </c>
      <c r="P600" s="5">
        <f t="shared" si="75"/>
        <v>0</v>
      </c>
      <c r="Q600" s="5">
        <f t="shared" si="76"/>
        <v>2</v>
      </c>
      <c r="R600" s="8">
        <f t="shared" si="77"/>
        <v>0</v>
      </c>
      <c r="S600" s="8">
        <f t="shared" si="78"/>
        <v>0</v>
      </c>
      <c r="T600" s="3" t="e">
        <f t="shared" si="79"/>
        <v>#VALUE!</v>
      </c>
      <c r="V600" s="1" t="e">
        <f t="shared" si="80"/>
        <v>#VALUE!</v>
      </c>
    </row>
    <row r="601" spans="8:22" x14ac:dyDescent="0.3">
      <c r="H601" s="2" t="str">
        <f>IF(Planilha1!B598="","",Planilha1!B598)</f>
        <v>7:30p</v>
      </c>
      <c r="I601" s="2" t="str">
        <f>IF(Planilha1!C598="","",Planilha1!C598)</f>
        <v>Denver Nuggets</v>
      </c>
      <c r="J601" s="2">
        <f>IF(Planilha1!D598="","",Planilha1!D598)</f>
        <v>121</v>
      </c>
      <c r="K601" s="10" t="str">
        <f>IF(Planilha1!E598="","",IF(Planilha1!E598=0,"",Planilha1!E598))</f>
        <v>Philadelphia 76ers</v>
      </c>
      <c r="L601" s="10">
        <f>IF(Planilha1!F598="","",Planilha1!F598)</f>
        <v>126</v>
      </c>
      <c r="M601" s="10">
        <f>IF(Planilha1!G598="","",IF(Planilha1!G598=0,"",Planilha1!G598))</f>
        <v>126</v>
      </c>
      <c r="N601" s="5">
        <f t="shared" si="73"/>
        <v>1</v>
      </c>
      <c r="O601" s="5">
        <f t="shared" si="74"/>
        <v>0</v>
      </c>
      <c r="P601" s="5">
        <f t="shared" si="75"/>
        <v>0</v>
      </c>
      <c r="Q601" s="5">
        <f t="shared" si="76"/>
        <v>2</v>
      </c>
      <c r="R601" s="8">
        <f t="shared" si="77"/>
        <v>0</v>
      </c>
      <c r="S601" s="8">
        <f t="shared" si="78"/>
        <v>0</v>
      </c>
      <c r="T601" s="3" t="e">
        <f t="shared" si="79"/>
        <v>#VALUE!</v>
      </c>
      <c r="V601" s="1" t="e">
        <f t="shared" si="80"/>
        <v>#VALUE!</v>
      </c>
    </row>
    <row r="602" spans="8:22" x14ac:dyDescent="0.3">
      <c r="H602" s="2" t="str">
        <f>IF(Planilha1!B599="","",Planilha1!B599)</f>
        <v>9:00p</v>
      </c>
      <c r="I602" s="2" t="str">
        <f>IF(Planilha1!C599="","",Planilha1!C599)</f>
        <v>Sacramento Kings</v>
      </c>
      <c r="J602" s="2">
        <f>IF(Planilha1!D599="","",Planilha1!D599)</f>
        <v>117</v>
      </c>
      <c r="K602" s="10" t="str">
        <f>IF(Planilha1!E599="","",IF(Planilha1!E599=0,"",Planilha1!E599))</f>
        <v>Phoenix Suns</v>
      </c>
      <c r="L602" s="10">
        <f>IF(Planilha1!F599="","",Planilha1!F599)</f>
        <v>119</v>
      </c>
      <c r="M602" s="10">
        <f>IF(Planilha1!G599="","",IF(Planilha1!G599=0,"",Planilha1!G599))</f>
        <v>119</v>
      </c>
      <c r="N602" s="5">
        <f t="shared" si="73"/>
        <v>1</v>
      </c>
      <c r="O602" s="5">
        <f t="shared" si="74"/>
        <v>0</v>
      </c>
      <c r="P602" s="5">
        <f t="shared" si="75"/>
        <v>0</v>
      </c>
      <c r="Q602" s="5">
        <f t="shared" si="76"/>
        <v>2</v>
      </c>
      <c r="R602" s="8">
        <f t="shared" si="77"/>
        <v>0</v>
      </c>
      <c r="S602" s="8">
        <f t="shared" si="78"/>
        <v>0</v>
      </c>
      <c r="T602" s="3" t="e">
        <f t="shared" si="79"/>
        <v>#VALUE!</v>
      </c>
      <c r="V602" s="1" t="e">
        <f t="shared" si="80"/>
        <v>#VALUE!</v>
      </c>
    </row>
    <row r="603" spans="8:22" x14ac:dyDescent="0.3">
      <c r="H603" s="2" t="str">
        <f>IF(Planilha1!B600="","",Planilha1!B600)</f>
        <v>10:00p</v>
      </c>
      <c r="I603" s="2" t="str">
        <f>IF(Planilha1!C600="","",Planilha1!C600)</f>
        <v>Oklahoma City Thunder</v>
      </c>
      <c r="J603" s="2">
        <f>IF(Planilha1!D600="","",Planilha1!D600)</f>
        <v>117</v>
      </c>
      <c r="K603" s="10" t="str">
        <f>IF(Planilha1!E600="","",IF(Planilha1!E600=0,"",Planilha1!E600))</f>
        <v>Los Angeles Clippers</v>
      </c>
      <c r="L603" s="10">
        <f>IF(Planilha1!F600="","",Planilha1!F600)</f>
        <v>128</v>
      </c>
      <c r="M603" s="10">
        <f>IF(Planilha1!G600="","",IF(Planilha1!G600=0,"",Planilha1!G600))</f>
        <v>128</v>
      </c>
      <c r="N603" s="5">
        <f t="shared" si="73"/>
        <v>1</v>
      </c>
      <c r="O603" s="5">
        <f t="shared" si="74"/>
        <v>0</v>
      </c>
      <c r="P603" s="5">
        <f t="shared" si="75"/>
        <v>0</v>
      </c>
      <c r="Q603" s="5">
        <f t="shared" si="76"/>
        <v>2</v>
      </c>
      <c r="R603" s="8">
        <f t="shared" si="77"/>
        <v>0</v>
      </c>
      <c r="S603" s="8">
        <f t="shared" si="78"/>
        <v>0</v>
      </c>
      <c r="T603" s="3" t="e">
        <f t="shared" si="79"/>
        <v>#VALUE!</v>
      </c>
      <c r="V603" s="1" t="e">
        <f t="shared" si="80"/>
        <v>#VALUE!</v>
      </c>
    </row>
    <row r="604" spans="8:22" x14ac:dyDescent="0.3">
      <c r="H604" s="2" t="str">
        <f>IF(Planilha1!B601="","",Planilha1!B601)</f>
        <v>7:00p</v>
      </c>
      <c r="I604" s="2" t="str">
        <f>IF(Planilha1!C601="","",Planilha1!C601)</f>
        <v>Minnesota Timberwolves</v>
      </c>
      <c r="J604" s="2">
        <f>IF(Planilha1!D601="","",Planilha1!D601)</f>
        <v>124</v>
      </c>
      <c r="K604" s="10" t="str">
        <f>IF(Planilha1!E601="","",IF(Planilha1!E601=0,"",Planilha1!E601))</f>
        <v>Detroit Pistons</v>
      </c>
      <c r="L604" s="10">
        <f>IF(Planilha1!F601="","",Planilha1!F601)</f>
        <v>117</v>
      </c>
      <c r="M604" s="10">
        <f>IF(Planilha1!G601="","",IF(Planilha1!G601=0,"",Planilha1!G601))</f>
        <v>117</v>
      </c>
      <c r="N604" s="5">
        <f t="shared" si="73"/>
        <v>1</v>
      </c>
      <c r="O604" s="5">
        <f t="shared" si="74"/>
        <v>0</v>
      </c>
      <c r="P604" s="5">
        <f t="shared" si="75"/>
        <v>0</v>
      </c>
      <c r="Q604" s="5">
        <f t="shared" si="76"/>
        <v>2</v>
      </c>
      <c r="R604" s="8">
        <f t="shared" si="77"/>
        <v>0</v>
      </c>
      <c r="S604" s="8">
        <f t="shared" si="78"/>
        <v>0</v>
      </c>
      <c r="T604" s="3" t="e">
        <f t="shared" si="79"/>
        <v>#VALUE!</v>
      </c>
      <c r="V604" s="1" t="e">
        <f t="shared" si="80"/>
        <v>#VALUE!</v>
      </c>
    </row>
    <row r="605" spans="8:22" x14ac:dyDescent="0.3">
      <c r="H605" s="2" t="str">
        <f>IF(Planilha1!B602="","",Planilha1!B602)</f>
        <v>7:30p</v>
      </c>
      <c r="I605" s="2" t="str">
        <f>IF(Planilha1!C602="","",Planilha1!C602)</f>
        <v>Orlando Magic</v>
      </c>
      <c r="J605" s="2">
        <f>IF(Planilha1!D602="","",Planilha1!D602)</f>
        <v>104</v>
      </c>
      <c r="K605" s="10" t="str">
        <f>IF(Planilha1!E602="","",IF(Planilha1!E602=0,"",Planilha1!E602))</f>
        <v>Atlanta Hawks</v>
      </c>
      <c r="L605" s="10">
        <f>IF(Planilha1!F602="","",Planilha1!F602)</f>
        <v>106</v>
      </c>
      <c r="M605" s="10">
        <f>IF(Planilha1!G602="","",IF(Planilha1!G602=0,"",Planilha1!G602))</f>
        <v>106</v>
      </c>
      <c r="N605" s="5">
        <f t="shared" si="73"/>
        <v>1</v>
      </c>
      <c r="O605" s="5">
        <f t="shared" si="74"/>
        <v>0</v>
      </c>
      <c r="P605" s="5">
        <f t="shared" si="75"/>
        <v>0</v>
      </c>
      <c r="Q605" s="5">
        <f t="shared" si="76"/>
        <v>2</v>
      </c>
      <c r="R605" s="8">
        <f t="shared" si="77"/>
        <v>0</v>
      </c>
      <c r="S605" s="8">
        <f t="shared" si="78"/>
        <v>0</v>
      </c>
      <c r="T605" s="3" t="e">
        <f t="shared" si="79"/>
        <v>#VALUE!</v>
      </c>
      <c r="V605" s="1" t="e">
        <f t="shared" si="80"/>
        <v>#VALUE!</v>
      </c>
    </row>
    <row r="606" spans="8:22" x14ac:dyDescent="0.3">
      <c r="H606" s="2" t="str">
        <f>IF(Planilha1!B603="","",Planilha1!B603)</f>
        <v>7:30p</v>
      </c>
      <c r="I606" s="2" t="str">
        <f>IF(Planilha1!C603="","",Planilha1!C603)</f>
        <v>San Antonio Spurs</v>
      </c>
      <c r="J606" s="2">
        <f>IF(Planilha1!D603="","",Planilha1!D603)</f>
        <v>98</v>
      </c>
      <c r="K606" s="10" t="str">
        <f>IF(Planilha1!E603="","",IF(Planilha1!E603=0,"",Planilha1!E603))</f>
        <v>Boston Celtics</v>
      </c>
      <c r="L606" s="10">
        <f>IF(Planilha1!F603="","",Planilha1!F603)</f>
        <v>117</v>
      </c>
      <c r="M606" s="10">
        <f>IF(Planilha1!G603="","",IF(Planilha1!G603=0,"",Planilha1!G603))</f>
        <v>117</v>
      </c>
      <c r="N606" s="5">
        <f t="shared" si="73"/>
        <v>1</v>
      </c>
      <c r="O606" s="5">
        <f t="shared" si="74"/>
        <v>0</v>
      </c>
      <c r="P606" s="5">
        <f t="shared" si="75"/>
        <v>0</v>
      </c>
      <c r="Q606" s="5">
        <f t="shared" si="76"/>
        <v>2</v>
      </c>
      <c r="R606" s="8">
        <f t="shared" si="77"/>
        <v>0</v>
      </c>
      <c r="S606" s="8">
        <f t="shared" si="78"/>
        <v>0</v>
      </c>
      <c r="T606" s="3" t="e">
        <f t="shared" si="79"/>
        <v>#VALUE!</v>
      </c>
      <c r="V606" s="1" t="e">
        <f t="shared" si="80"/>
        <v>#VALUE!</v>
      </c>
    </row>
    <row r="607" spans="8:22" x14ac:dyDescent="0.3">
      <c r="H607" s="2" t="str">
        <f>IF(Planilha1!B604="","",Planilha1!B604)</f>
        <v>7:30p</v>
      </c>
      <c r="I607" s="2" t="str">
        <f>IF(Planilha1!C604="","",Planilha1!C604)</f>
        <v>Milwaukee Bucks</v>
      </c>
      <c r="J607" s="2">
        <f>IF(Planilha1!D604="","",Planilha1!D604)</f>
        <v>95</v>
      </c>
      <c r="K607" s="10" t="str">
        <f>IF(Planilha1!E604="","",IF(Planilha1!E604=0,"",Planilha1!E604))</f>
        <v>Cleveland Cavaliers</v>
      </c>
      <c r="L607" s="10">
        <f>IF(Planilha1!F604="","",Planilha1!F604)</f>
        <v>135</v>
      </c>
      <c r="M607" s="10">
        <f>IF(Planilha1!G604="","",IF(Planilha1!G604=0,"",Planilha1!G604))</f>
        <v>135</v>
      </c>
      <c r="N607" s="5">
        <f t="shared" si="73"/>
        <v>1</v>
      </c>
      <c r="O607" s="5">
        <f t="shared" si="74"/>
        <v>0</v>
      </c>
      <c r="P607" s="5">
        <f t="shared" si="75"/>
        <v>0</v>
      </c>
      <c r="Q607" s="5">
        <f t="shared" si="76"/>
        <v>2</v>
      </c>
      <c r="R607" s="8">
        <f t="shared" si="77"/>
        <v>0</v>
      </c>
      <c r="S607" s="8">
        <f t="shared" si="78"/>
        <v>0</v>
      </c>
      <c r="T607" s="3" t="e">
        <f t="shared" si="79"/>
        <v>#VALUE!</v>
      </c>
      <c r="V607" s="1" t="e">
        <f t="shared" si="80"/>
        <v>#VALUE!</v>
      </c>
    </row>
    <row r="608" spans="8:22" x14ac:dyDescent="0.3">
      <c r="H608" s="2" t="str">
        <f>IF(Planilha1!B605="","",Planilha1!B605)</f>
        <v>7:30p</v>
      </c>
      <c r="I608" s="2" t="str">
        <f>IF(Planilha1!C605="","",Planilha1!C605)</f>
        <v>Houston Rockets</v>
      </c>
      <c r="J608" s="2">
        <f>IF(Planilha1!D605="","",Planilha1!D605)</f>
        <v>94</v>
      </c>
      <c r="K608" s="10" t="str">
        <f>IF(Planilha1!E605="","",IF(Planilha1!E605=0,"",Planilha1!E605))</f>
        <v>New York Knicks</v>
      </c>
      <c r="L608" s="10">
        <f>IF(Planilha1!F605="","",Planilha1!F605)</f>
        <v>109</v>
      </c>
      <c r="M608" s="10">
        <f>IF(Planilha1!G605="","",IF(Planilha1!G605=0,"",Planilha1!G605))</f>
        <v>109</v>
      </c>
      <c r="N608" s="5">
        <f t="shared" si="73"/>
        <v>1</v>
      </c>
      <c r="O608" s="5">
        <f t="shared" si="74"/>
        <v>0</v>
      </c>
      <c r="P608" s="5">
        <f t="shared" si="75"/>
        <v>0</v>
      </c>
      <c r="Q608" s="5">
        <f t="shared" si="76"/>
        <v>2</v>
      </c>
      <c r="R608" s="8">
        <f t="shared" si="77"/>
        <v>0</v>
      </c>
      <c r="S608" s="8">
        <f t="shared" si="78"/>
        <v>0</v>
      </c>
      <c r="T608" s="3" t="e">
        <f t="shared" si="79"/>
        <v>#VALUE!</v>
      </c>
      <c r="V608" s="1" t="e">
        <f t="shared" si="80"/>
        <v>#VALUE!</v>
      </c>
    </row>
    <row r="609" spans="8:22" x14ac:dyDescent="0.3">
      <c r="H609" s="2" t="str">
        <f>IF(Planilha1!B606="","",Planilha1!B606)</f>
        <v>7:30p</v>
      </c>
      <c r="I609" s="2" t="str">
        <f>IF(Planilha1!C606="","",Planilha1!C606)</f>
        <v>Miami Heat</v>
      </c>
      <c r="J609" s="2">
        <f>IF(Planilha1!D606="","",Planilha1!D606)</f>
        <v>97</v>
      </c>
      <c r="K609" s="10" t="str">
        <f>IF(Planilha1!E606="","",IF(Planilha1!E606=0,"",Planilha1!E606))</f>
        <v>Toronto Raptors</v>
      </c>
      <c r="L609" s="10">
        <f>IF(Planilha1!F606="","",Planilha1!F606)</f>
        <v>121</v>
      </c>
      <c r="M609" s="10">
        <f>IF(Planilha1!G606="","",IF(Planilha1!G606=0,"",Planilha1!G606))</f>
        <v>121</v>
      </c>
      <c r="N609" s="5">
        <f t="shared" si="73"/>
        <v>1</v>
      </c>
      <c r="O609" s="5">
        <f t="shared" si="74"/>
        <v>0</v>
      </c>
      <c r="P609" s="5">
        <f t="shared" si="75"/>
        <v>0</v>
      </c>
      <c r="Q609" s="5">
        <f t="shared" si="76"/>
        <v>2</v>
      </c>
      <c r="R609" s="8">
        <f t="shared" si="77"/>
        <v>0</v>
      </c>
      <c r="S609" s="8">
        <f t="shared" si="78"/>
        <v>0</v>
      </c>
      <c r="T609" s="3" t="e">
        <f t="shared" si="79"/>
        <v>#VALUE!</v>
      </c>
      <c r="V609" s="1" t="e">
        <f t="shared" si="80"/>
        <v>#VALUE!</v>
      </c>
    </row>
    <row r="610" spans="8:22" x14ac:dyDescent="0.3">
      <c r="H610" s="2" t="str">
        <f>IF(Planilha1!B607="","",Planilha1!B607)</f>
        <v>8:00p</v>
      </c>
      <c r="I610" s="2" t="str">
        <f>IF(Planilha1!C607="","",Planilha1!C607)</f>
        <v>Charlotte Hornets</v>
      </c>
      <c r="J610" s="2">
        <f>IF(Planilha1!D607="","",Planilha1!D607)</f>
        <v>112</v>
      </c>
      <c r="K610" s="10" t="str">
        <f>IF(Planilha1!E607="","",IF(Planilha1!E607=0,"",Planilha1!E607))</f>
        <v>New Orleans Pelicans</v>
      </c>
      <c r="L610" s="10">
        <f>IF(Planilha1!F607="","",Planilha1!F607)</f>
        <v>132</v>
      </c>
      <c r="M610" s="10">
        <f>IF(Planilha1!G607="","",IF(Planilha1!G607=0,"",Planilha1!G607))</f>
        <v>132</v>
      </c>
      <c r="N610" s="5">
        <f t="shared" si="73"/>
        <v>1</v>
      </c>
      <c r="O610" s="5">
        <f t="shared" si="74"/>
        <v>0</v>
      </c>
      <c r="P610" s="5">
        <f t="shared" si="75"/>
        <v>0</v>
      </c>
      <c r="Q610" s="5">
        <f t="shared" si="76"/>
        <v>2</v>
      </c>
      <c r="R610" s="8">
        <f t="shared" si="77"/>
        <v>0</v>
      </c>
      <c r="S610" s="8">
        <f t="shared" si="78"/>
        <v>0</v>
      </c>
      <c r="T610" s="3" t="e">
        <f t="shared" si="79"/>
        <v>#VALUE!</v>
      </c>
      <c r="V610" s="1" t="e">
        <f t="shared" si="80"/>
        <v>#VALUE!</v>
      </c>
    </row>
    <row r="611" spans="8:22" x14ac:dyDescent="0.3">
      <c r="H611" s="2" t="str">
        <f>IF(Planilha1!B608="","",Planilha1!B608)</f>
        <v>8:30p</v>
      </c>
      <c r="I611" s="2" t="str">
        <f>IF(Planilha1!C608="","",Planilha1!C608)</f>
        <v>Dallas Mavericks</v>
      </c>
      <c r="J611" s="2">
        <f>IF(Planilha1!D608="","",Planilha1!D608)</f>
        <v>110</v>
      </c>
      <c r="K611" s="10" t="str">
        <f>IF(Planilha1!E608="","",IF(Planilha1!E608=0,"",Planilha1!E608))</f>
        <v>Los Angeles Lakers</v>
      </c>
      <c r="L611" s="10">
        <f>IF(Planilha1!F608="","",Planilha1!F608)</f>
        <v>127</v>
      </c>
      <c r="M611" s="10">
        <f>IF(Planilha1!G608="","",IF(Planilha1!G608=0,"",Planilha1!G608))</f>
        <v>127</v>
      </c>
      <c r="N611" s="5">
        <f t="shared" si="73"/>
        <v>1</v>
      </c>
      <c r="O611" s="5">
        <f t="shared" si="74"/>
        <v>0</v>
      </c>
      <c r="P611" s="5">
        <f t="shared" si="75"/>
        <v>0</v>
      </c>
      <c r="Q611" s="5">
        <f t="shared" si="76"/>
        <v>2</v>
      </c>
      <c r="R611" s="8">
        <f t="shared" si="77"/>
        <v>0</v>
      </c>
      <c r="S611" s="8">
        <f t="shared" si="78"/>
        <v>0</v>
      </c>
      <c r="T611" s="3" t="e">
        <f t="shared" si="79"/>
        <v>#VALUE!</v>
      </c>
      <c r="V611" s="1" t="e">
        <f t="shared" si="80"/>
        <v>#VALUE!</v>
      </c>
    </row>
    <row r="612" spans="8:22" x14ac:dyDescent="0.3">
      <c r="H612" s="2" t="str">
        <f>IF(Planilha1!B609="","",Planilha1!B609)</f>
        <v>10:00p</v>
      </c>
      <c r="I612" s="2" t="str">
        <f>IF(Planilha1!C609="","",Planilha1!C609)</f>
        <v>Brooklyn Nets</v>
      </c>
      <c r="J612" s="2">
        <f>IF(Planilha1!D609="","",Planilha1!D609)</f>
        <v>103</v>
      </c>
      <c r="K612" s="10" t="str">
        <f>IF(Planilha1!E609="","",IF(Planilha1!E609=0,"",Planilha1!E609))</f>
        <v>Portland Trail Blazers</v>
      </c>
      <c r="L612" s="10">
        <f>IF(Planilha1!F609="","",Planilha1!F609)</f>
        <v>105</v>
      </c>
      <c r="M612" s="10">
        <f>IF(Planilha1!G609="","",IF(Planilha1!G609=0,"",Planilha1!G609))</f>
        <v>105</v>
      </c>
      <c r="N612" s="5">
        <f t="shared" si="73"/>
        <v>1</v>
      </c>
      <c r="O612" s="5">
        <f t="shared" si="74"/>
        <v>0</v>
      </c>
      <c r="P612" s="5">
        <f t="shared" si="75"/>
        <v>0</v>
      </c>
      <c r="Q612" s="5">
        <f t="shared" si="76"/>
        <v>2</v>
      </c>
      <c r="R612" s="8">
        <f t="shared" si="77"/>
        <v>0</v>
      </c>
      <c r="S612" s="8">
        <f t="shared" si="78"/>
        <v>0</v>
      </c>
      <c r="T612" s="3" t="e">
        <f t="shared" si="79"/>
        <v>#VALUE!</v>
      </c>
      <c r="V612" s="1" t="e">
        <f t="shared" si="80"/>
        <v>#VALUE!</v>
      </c>
    </row>
    <row r="613" spans="8:22" x14ac:dyDescent="0.3">
      <c r="H613" s="2" t="str">
        <f>IF(Planilha1!B610="","",Planilha1!B610)</f>
        <v>7:30p</v>
      </c>
      <c r="I613" s="2" t="str">
        <f>IF(Planilha1!C610="","",Planilha1!C610)</f>
        <v>Washington Wizards</v>
      </c>
      <c r="J613" s="2">
        <f>IF(Planilha1!D610="","",Planilha1!D610)</f>
        <v>109</v>
      </c>
      <c r="K613" s="10" t="str">
        <f>IF(Planilha1!E610="","",IF(Planilha1!E610=0,"",Planilha1!E610))</f>
        <v>New York Knicks</v>
      </c>
      <c r="L613" s="10">
        <f>IF(Planilha1!F610="","",Planilha1!F610)</f>
        <v>113</v>
      </c>
      <c r="M613" s="10">
        <f>IF(Planilha1!G610="","",IF(Planilha1!G610=0,"",Planilha1!G610))</f>
        <v>113</v>
      </c>
      <c r="N613" s="5">
        <f t="shared" si="73"/>
        <v>1</v>
      </c>
      <c r="O613" s="5">
        <f t="shared" si="74"/>
        <v>0</v>
      </c>
      <c r="P613" s="5">
        <f t="shared" si="75"/>
        <v>0</v>
      </c>
      <c r="Q613" s="5">
        <f t="shared" si="76"/>
        <v>2</v>
      </c>
      <c r="R613" s="8">
        <f t="shared" si="77"/>
        <v>0</v>
      </c>
      <c r="S613" s="8">
        <f t="shared" si="78"/>
        <v>0</v>
      </c>
      <c r="T613" s="3" t="e">
        <f t="shared" si="79"/>
        <v>#VALUE!</v>
      </c>
      <c r="V613" s="1" t="e">
        <f t="shared" si="80"/>
        <v>#VALUE!</v>
      </c>
    </row>
    <row r="614" spans="8:22" x14ac:dyDescent="0.3">
      <c r="H614" s="2" t="str">
        <f>IF(Planilha1!B611="","",Planilha1!B611)</f>
        <v>7:30p</v>
      </c>
      <c r="I614" s="2" t="str">
        <f>IF(Planilha1!C611="","",Planilha1!C611)</f>
        <v>Chicago Bulls</v>
      </c>
      <c r="J614" s="2">
        <f>IF(Planilha1!D611="","",Planilha1!D611)</f>
        <v>116</v>
      </c>
      <c r="K614" s="10" t="str">
        <f>IF(Planilha1!E611="","",IF(Planilha1!E611=0,"",Planilha1!E611))</f>
        <v>Toronto Raptors</v>
      </c>
      <c r="L614" s="10">
        <f>IF(Planilha1!F611="","",Planilha1!F611)</f>
        <v>110</v>
      </c>
      <c r="M614" s="10">
        <f>IF(Planilha1!G611="","",IF(Planilha1!G611=0,"",Planilha1!G611))</f>
        <v>110</v>
      </c>
      <c r="N614" s="5">
        <f t="shared" si="73"/>
        <v>1</v>
      </c>
      <c r="O614" s="5">
        <f t="shared" si="74"/>
        <v>0</v>
      </c>
      <c r="P614" s="5">
        <f t="shared" si="75"/>
        <v>0</v>
      </c>
      <c r="Q614" s="5">
        <f t="shared" si="76"/>
        <v>2</v>
      </c>
      <c r="R614" s="8">
        <f t="shared" si="77"/>
        <v>0</v>
      </c>
      <c r="S614" s="8">
        <f t="shared" si="78"/>
        <v>0</v>
      </c>
      <c r="T614" s="3" t="e">
        <f t="shared" si="79"/>
        <v>#VALUE!</v>
      </c>
      <c r="V614" s="1" t="e">
        <f t="shared" si="80"/>
        <v>#VALUE!</v>
      </c>
    </row>
    <row r="615" spans="8:22" x14ac:dyDescent="0.3">
      <c r="H615" s="2" t="str">
        <f>IF(Planilha1!B612="","",Planilha1!B612)</f>
        <v>9:00p</v>
      </c>
      <c r="I615" s="2" t="str">
        <f>IF(Planilha1!C612="","",Planilha1!C612)</f>
        <v>Oklahoma City Thunder</v>
      </c>
      <c r="J615" s="2">
        <f>IF(Planilha1!D612="","",Planilha1!D612)</f>
        <v>134</v>
      </c>
      <c r="K615" s="10" t="str">
        <f>IF(Planilha1!E612="","",IF(Planilha1!E612=0,"",Planilha1!E612))</f>
        <v>Utah Jazz</v>
      </c>
      <c r="L615" s="10">
        <f>IF(Planilha1!F612="","",Planilha1!F612)</f>
        <v>129</v>
      </c>
      <c r="M615" s="10">
        <f>IF(Planilha1!G612="","",IF(Planilha1!G612=0,"",Planilha1!G612))</f>
        <v>129</v>
      </c>
      <c r="N615" s="5">
        <f t="shared" si="73"/>
        <v>1</v>
      </c>
      <c r="O615" s="5">
        <f t="shared" si="74"/>
        <v>0</v>
      </c>
      <c r="P615" s="5">
        <f t="shared" si="75"/>
        <v>0</v>
      </c>
      <c r="Q615" s="5">
        <f t="shared" si="76"/>
        <v>2</v>
      </c>
      <c r="R615" s="8">
        <f t="shared" si="77"/>
        <v>0</v>
      </c>
      <c r="S615" s="8">
        <f t="shared" si="78"/>
        <v>0</v>
      </c>
      <c r="T615" s="3" t="e">
        <f t="shared" si="79"/>
        <v>#VALUE!</v>
      </c>
      <c r="V615" s="1" t="e">
        <f t="shared" si="80"/>
        <v>#VALUE!</v>
      </c>
    </row>
    <row r="616" spans="8:22" x14ac:dyDescent="0.3">
      <c r="H616" s="2" t="str">
        <f>IF(Planilha1!B613="","",Planilha1!B613)</f>
        <v>10:00p</v>
      </c>
      <c r="I616" s="2" t="str">
        <f>IF(Planilha1!C613="","",Planilha1!C613)</f>
        <v>Memphis Grizzlies</v>
      </c>
      <c r="J616" s="2">
        <f>IF(Planilha1!D613="","",Planilha1!D613)</f>
        <v>103</v>
      </c>
      <c r="K616" s="10" t="str">
        <f>IF(Planilha1!E613="","",IF(Planilha1!E613=0,"",Planilha1!E613))</f>
        <v>Minnesota Timberwolves</v>
      </c>
      <c r="L616" s="10">
        <f>IF(Planilha1!F613="","",Planilha1!F613)</f>
        <v>118</v>
      </c>
      <c r="M616" s="10">
        <f>IF(Planilha1!G613="","",IF(Planilha1!G613=0,"",Planilha1!G613))</f>
        <v>118</v>
      </c>
      <c r="N616" s="5">
        <f t="shared" si="73"/>
        <v>1</v>
      </c>
      <c r="O616" s="5">
        <f t="shared" si="74"/>
        <v>0</v>
      </c>
      <c r="P616" s="5">
        <f t="shared" si="75"/>
        <v>0</v>
      </c>
      <c r="Q616" s="5">
        <f t="shared" si="76"/>
        <v>2</v>
      </c>
      <c r="R616" s="8">
        <f t="shared" si="77"/>
        <v>0</v>
      </c>
      <c r="S616" s="8">
        <f t="shared" si="78"/>
        <v>0</v>
      </c>
      <c r="T616" s="3" t="e">
        <f t="shared" si="79"/>
        <v>#VALUE!</v>
      </c>
      <c r="V616" s="1" t="e">
        <f t="shared" si="80"/>
        <v>#VALUE!</v>
      </c>
    </row>
    <row r="617" spans="8:22" x14ac:dyDescent="0.3">
      <c r="H617" s="2" t="str">
        <f>IF(Planilha1!B614="","",Planilha1!B614)</f>
        <v>10:00p</v>
      </c>
      <c r="I617" s="2" t="str">
        <f>IF(Planilha1!C614="","",Planilha1!C614)</f>
        <v>Indiana Pacers</v>
      </c>
      <c r="J617" s="2">
        <f>IF(Planilha1!D614="","",Planilha1!D614)</f>
        <v>126</v>
      </c>
      <c r="K617" s="10" t="str">
        <f>IF(Planilha1!E614="","",IF(Planilha1!E614=0,"",Planilha1!E614))</f>
        <v>Sacramento Kings</v>
      </c>
      <c r="L617" s="10">
        <f>IF(Planilha1!F614="","",Planilha1!F614)</f>
        <v>121</v>
      </c>
      <c r="M617" s="10">
        <f>IF(Planilha1!G614="","",IF(Planilha1!G614=0,"",Planilha1!G614))</f>
        <v>121</v>
      </c>
      <c r="N617" s="5">
        <f t="shared" si="73"/>
        <v>1</v>
      </c>
      <c r="O617" s="5">
        <f t="shared" si="74"/>
        <v>0</v>
      </c>
      <c r="P617" s="5">
        <f t="shared" si="75"/>
        <v>0</v>
      </c>
      <c r="Q617" s="5">
        <f t="shared" si="76"/>
        <v>2</v>
      </c>
      <c r="R617" s="8">
        <f t="shared" si="77"/>
        <v>0</v>
      </c>
      <c r="S617" s="8">
        <f t="shared" si="78"/>
        <v>0</v>
      </c>
      <c r="T617" s="3" t="e">
        <f t="shared" si="79"/>
        <v>#VALUE!</v>
      </c>
      <c r="V617" s="1" t="e">
        <f t="shared" si="80"/>
        <v>#VALUE!</v>
      </c>
    </row>
    <row r="618" spans="8:22" x14ac:dyDescent="0.3">
      <c r="H618" s="2" t="str">
        <f>IF(Planilha1!B615="","",Planilha1!B615)</f>
        <v>7:00p</v>
      </c>
      <c r="I618" s="2" t="str">
        <f>IF(Planilha1!C615="","",Planilha1!C615)</f>
        <v>San Antonio Spurs</v>
      </c>
      <c r="J618" s="2">
        <f>IF(Planilha1!D615="","",Planilha1!D615)</f>
        <v>120</v>
      </c>
      <c r="K618" s="10" t="str">
        <f>IF(Planilha1!E615="","",IF(Planilha1!E615=0,"",Planilha1!E615))</f>
        <v>Charlotte Hornets</v>
      </c>
      <c r="L618" s="10">
        <f>IF(Planilha1!F615="","",Planilha1!F615)</f>
        <v>124</v>
      </c>
      <c r="M618" s="10">
        <f>IF(Planilha1!G615="","",IF(Planilha1!G615=0,"",Planilha1!G615))</f>
        <v>124</v>
      </c>
      <c r="N618" s="5">
        <f t="shared" si="73"/>
        <v>1</v>
      </c>
      <c r="O618" s="5">
        <f t="shared" si="74"/>
        <v>0</v>
      </c>
      <c r="P618" s="5">
        <f t="shared" si="75"/>
        <v>0</v>
      </c>
      <c r="Q618" s="5">
        <f t="shared" si="76"/>
        <v>2</v>
      </c>
      <c r="R618" s="8">
        <f t="shared" si="77"/>
        <v>0</v>
      </c>
      <c r="S618" s="8">
        <f t="shared" si="78"/>
        <v>0</v>
      </c>
      <c r="T618" s="3" t="e">
        <f t="shared" si="79"/>
        <v>#VALUE!</v>
      </c>
      <c r="V618" s="1" t="e">
        <f t="shared" si="80"/>
        <v>#VALUE!</v>
      </c>
    </row>
    <row r="619" spans="8:22" x14ac:dyDescent="0.3">
      <c r="H619" s="2" t="str">
        <f>IF(Planilha1!B616="","",Planilha1!B616)</f>
        <v>7:00p</v>
      </c>
      <c r="I619" s="2" t="str">
        <f>IF(Planilha1!C616="","",Planilha1!C616)</f>
        <v>Philadelphia 76ers</v>
      </c>
      <c r="J619" s="2">
        <f>IF(Planilha1!D616="","",Planilha1!D616)</f>
        <v>124</v>
      </c>
      <c r="K619" s="10" t="str">
        <f>IF(Planilha1!E616="","",IF(Planilha1!E616=0,"",Planilha1!E616))</f>
        <v>Orlando Magic</v>
      </c>
      <c r="L619" s="10">
        <f>IF(Planilha1!F616="","",Planilha1!F616)</f>
        <v>109</v>
      </c>
      <c r="M619" s="10">
        <f>IF(Planilha1!G616="","",IF(Planilha1!G616=0,"",Planilha1!G616))</f>
        <v>109</v>
      </c>
      <c r="N619" s="5">
        <f t="shared" si="73"/>
        <v>1</v>
      </c>
      <c r="O619" s="5">
        <f t="shared" si="74"/>
        <v>0</v>
      </c>
      <c r="P619" s="5">
        <f t="shared" si="75"/>
        <v>0</v>
      </c>
      <c r="Q619" s="5">
        <f t="shared" si="76"/>
        <v>2</v>
      </c>
      <c r="R619" s="8">
        <f t="shared" si="77"/>
        <v>0</v>
      </c>
      <c r="S619" s="8">
        <f t="shared" si="78"/>
        <v>0</v>
      </c>
      <c r="T619" s="3" t="e">
        <f t="shared" si="79"/>
        <v>#VALUE!</v>
      </c>
      <c r="V619" s="1" t="e">
        <f t="shared" si="80"/>
        <v>#VALUE!</v>
      </c>
    </row>
    <row r="620" spans="8:22" x14ac:dyDescent="0.3">
      <c r="H620" s="2" t="str">
        <f>IF(Planilha1!B617="","",Planilha1!B617)</f>
        <v>7:30p</v>
      </c>
      <c r="I620" s="2" t="str">
        <f>IF(Planilha1!C617="","",Planilha1!C617)</f>
        <v>Denver Nuggets</v>
      </c>
      <c r="J620" s="2">
        <f>IF(Planilha1!D617="","",Planilha1!D617)</f>
        <v>102</v>
      </c>
      <c r="K620" s="10" t="str">
        <f>IF(Planilha1!E617="","",IF(Planilha1!E617=0,"",Planilha1!E617))</f>
        <v>Boston Celtics</v>
      </c>
      <c r="L620" s="10">
        <f>IF(Planilha1!F617="","",Planilha1!F617)</f>
        <v>100</v>
      </c>
      <c r="M620" s="10">
        <f>IF(Planilha1!G617="","",IF(Planilha1!G617=0,"",Planilha1!G617))</f>
        <v>100</v>
      </c>
      <c r="N620" s="5">
        <f t="shared" si="73"/>
        <v>1</v>
      </c>
      <c r="O620" s="5">
        <f t="shared" si="74"/>
        <v>0</v>
      </c>
      <c r="P620" s="5">
        <f t="shared" si="75"/>
        <v>0</v>
      </c>
      <c r="Q620" s="5">
        <f t="shared" si="76"/>
        <v>2</v>
      </c>
      <c r="R620" s="8">
        <f t="shared" si="77"/>
        <v>0</v>
      </c>
      <c r="S620" s="8">
        <f t="shared" si="78"/>
        <v>0</v>
      </c>
      <c r="T620" s="3" t="e">
        <f t="shared" si="79"/>
        <v>#VALUE!</v>
      </c>
      <c r="V620" s="1" t="e">
        <f t="shared" si="80"/>
        <v>#VALUE!</v>
      </c>
    </row>
    <row r="621" spans="8:22" x14ac:dyDescent="0.3">
      <c r="H621" s="2" t="str">
        <f>IF(Planilha1!B618="","",Planilha1!B618)</f>
        <v>8:00p</v>
      </c>
      <c r="I621" s="2" t="str">
        <f>IF(Planilha1!C618="","",Planilha1!C618)</f>
        <v>Atlanta Hawks</v>
      </c>
      <c r="J621" s="2">
        <f>IF(Planilha1!D618="","",Planilha1!D618)</f>
        <v>109</v>
      </c>
      <c r="K621" s="10" t="str">
        <f>IF(Planilha1!E618="","",IF(Planilha1!E618=0,"",Planilha1!E618))</f>
        <v>Miami Heat</v>
      </c>
      <c r="L621" s="10">
        <f>IF(Planilha1!F618="","",Planilha1!F618)</f>
        <v>108</v>
      </c>
      <c r="M621" s="10">
        <f>IF(Planilha1!G618="","",IF(Planilha1!G618=0,"",Planilha1!G618))</f>
        <v>108</v>
      </c>
      <c r="N621" s="5">
        <f t="shared" si="73"/>
        <v>1</v>
      </c>
      <c r="O621" s="5">
        <f t="shared" si="74"/>
        <v>0</v>
      </c>
      <c r="P621" s="5">
        <f t="shared" si="75"/>
        <v>0</v>
      </c>
      <c r="Q621" s="5">
        <f t="shared" si="76"/>
        <v>2</v>
      </c>
      <c r="R621" s="8">
        <f t="shared" si="77"/>
        <v>0</v>
      </c>
      <c r="S621" s="8">
        <f t="shared" si="78"/>
        <v>0</v>
      </c>
      <c r="T621" s="3" t="e">
        <f t="shared" si="79"/>
        <v>#VALUE!</v>
      </c>
      <c r="V621" s="1" t="e">
        <f t="shared" si="80"/>
        <v>#VALUE!</v>
      </c>
    </row>
    <row r="622" spans="8:22" x14ac:dyDescent="0.3">
      <c r="H622" s="2" t="str">
        <f>IF(Planilha1!B619="","",Planilha1!B619)</f>
        <v>8:00p</v>
      </c>
      <c r="I622" s="2" t="str">
        <f>IF(Planilha1!C619="","",Planilha1!C619)</f>
        <v>Phoenix Suns</v>
      </c>
      <c r="J622" s="2">
        <f>IF(Planilha1!D619="","",Planilha1!D619)</f>
        <v>123</v>
      </c>
      <c r="K622" s="10" t="str">
        <f>IF(Planilha1!E619="","",IF(Planilha1!E619=0,"",Planilha1!E619))</f>
        <v>New Orleans Pelicans</v>
      </c>
      <c r="L622" s="10">
        <f>IF(Planilha1!F619="","",Planilha1!F619)</f>
        <v>109</v>
      </c>
      <c r="M622" s="10">
        <f>IF(Planilha1!G619="","",IF(Planilha1!G619=0,"",Planilha1!G619))</f>
        <v>109</v>
      </c>
      <c r="N622" s="5">
        <f t="shared" si="73"/>
        <v>1</v>
      </c>
      <c r="O622" s="5">
        <f t="shared" si="74"/>
        <v>0</v>
      </c>
      <c r="P622" s="5">
        <f t="shared" si="75"/>
        <v>0</v>
      </c>
      <c r="Q622" s="5">
        <f t="shared" si="76"/>
        <v>2</v>
      </c>
      <c r="R622" s="8">
        <f t="shared" si="77"/>
        <v>0</v>
      </c>
      <c r="S622" s="8">
        <f t="shared" si="78"/>
        <v>0</v>
      </c>
      <c r="T622" s="3" t="e">
        <f t="shared" si="79"/>
        <v>#VALUE!</v>
      </c>
      <c r="V622" s="1" t="e">
        <f t="shared" si="80"/>
        <v>#VALUE!</v>
      </c>
    </row>
    <row r="623" spans="8:22" x14ac:dyDescent="0.3">
      <c r="H623" s="2" t="str">
        <f>IF(Planilha1!B620="","",Planilha1!B620)</f>
        <v>10:00p</v>
      </c>
      <c r="I623" s="2" t="str">
        <f>IF(Planilha1!C620="","",Planilha1!C620)</f>
        <v>Indiana Pacers</v>
      </c>
      <c r="J623" s="2">
        <f>IF(Planilha1!D620="","",Planilha1!D620)</f>
        <v>115</v>
      </c>
      <c r="K623" s="10" t="str">
        <f>IF(Planilha1!E620="","",IF(Planilha1!E620=0,"",Planilha1!E620))</f>
        <v>Portland Trail Blazers</v>
      </c>
      <c r="L623" s="10">
        <f>IF(Planilha1!F620="","",Planilha1!F620)</f>
        <v>118</v>
      </c>
      <c r="M623" s="10">
        <f>IF(Planilha1!G620="","",IF(Planilha1!G620=0,"",Planilha1!G620))</f>
        <v>118</v>
      </c>
      <c r="N623" s="5">
        <f t="shared" si="73"/>
        <v>1</v>
      </c>
      <c r="O623" s="5">
        <f t="shared" si="74"/>
        <v>0</v>
      </c>
      <c r="P623" s="5">
        <f t="shared" si="75"/>
        <v>0</v>
      </c>
      <c r="Q623" s="5">
        <f t="shared" si="76"/>
        <v>2</v>
      </c>
      <c r="R623" s="8">
        <f t="shared" si="77"/>
        <v>0</v>
      </c>
      <c r="S623" s="8">
        <f t="shared" si="78"/>
        <v>0</v>
      </c>
      <c r="T623" s="3" t="e">
        <f t="shared" si="79"/>
        <v>#VALUE!</v>
      </c>
      <c r="V623" s="1" t="e">
        <f t="shared" si="80"/>
        <v>#VALUE!</v>
      </c>
    </row>
    <row r="624" spans="8:22" x14ac:dyDescent="0.3">
      <c r="H624" s="2" t="str">
        <f>IF(Planilha1!B621="","",Planilha1!B621)</f>
        <v>10:30p</v>
      </c>
      <c r="I624" s="2" t="str">
        <f>IF(Planilha1!C621="","",Planilha1!C621)</f>
        <v>Brooklyn Nets</v>
      </c>
      <c r="J624" s="2">
        <f>IF(Planilha1!D621="","",Planilha1!D621)</f>
        <v>130</v>
      </c>
      <c r="K624" s="10" t="str">
        <f>IF(Planilha1!E621="","",IF(Planilha1!E621=0,"",Planilha1!E621))</f>
        <v>Los Angeles Lakers</v>
      </c>
      <c r="L624" s="10">
        <f>IF(Planilha1!F621="","",Planilha1!F621)</f>
        <v>112</v>
      </c>
      <c r="M624" s="10">
        <f>IF(Planilha1!G621="","",IF(Planilha1!G621=0,"",Planilha1!G621))</f>
        <v>112</v>
      </c>
      <c r="N624" s="5">
        <f t="shared" si="73"/>
        <v>1</v>
      </c>
      <c r="O624" s="5">
        <f t="shared" si="74"/>
        <v>0</v>
      </c>
      <c r="P624" s="5">
        <f t="shared" si="75"/>
        <v>0</v>
      </c>
      <c r="Q624" s="5">
        <f t="shared" si="76"/>
        <v>2</v>
      </c>
      <c r="R624" s="8">
        <f t="shared" si="77"/>
        <v>0</v>
      </c>
      <c r="S624" s="8">
        <f t="shared" si="78"/>
        <v>0</v>
      </c>
      <c r="T624" s="3" t="e">
        <f t="shared" si="79"/>
        <v>#VALUE!</v>
      </c>
      <c r="V624" s="1" t="e">
        <f t="shared" si="80"/>
        <v>#VALUE!</v>
      </c>
    </row>
    <row r="625" spans="8:22" x14ac:dyDescent="0.3">
      <c r="H625" s="2" t="str">
        <f>IF(Planilha1!B622="","",Planilha1!B622)</f>
        <v>3:00p</v>
      </c>
      <c r="I625" s="2" t="str">
        <f>IF(Planilha1!C622="","",Planilha1!C622)</f>
        <v>Milwaukee Bucks</v>
      </c>
      <c r="J625" s="2">
        <f>IF(Planilha1!D622="","",Planilha1!D622)</f>
        <v>141</v>
      </c>
      <c r="K625" s="10" t="str">
        <f>IF(Planilha1!E622="","",IF(Planilha1!E622=0,"",Planilha1!E622))</f>
        <v>Detroit Pistons</v>
      </c>
      <c r="L625" s="10">
        <f>IF(Planilha1!F622="","",Planilha1!F622)</f>
        <v>135</v>
      </c>
      <c r="M625" s="10">
        <f>IF(Planilha1!G622="","",IF(Planilha1!G622=0,"",Planilha1!G622))</f>
        <v>135</v>
      </c>
      <c r="N625" s="5">
        <f t="shared" si="73"/>
        <v>1</v>
      </c>
      <c r="O625" s="5">
        <f t="shared" si="74"/>
        <v>0</v>
      </c>
      <c r="P625" s="5">
        <f t="shared" si="75"/>
        <v>0</v>
      </c>
      <c r="Q625" s="5">
        <f t="shared" si="76"/>
        <v>2</v>
      </c>
      <c r="R625" s="8">
        <f t="shared" si="77"/>
        <v>0</v>
      </c>
      <c r="S625" s="8">
        <f t="shared" si="78"/>
        <v>0</v>
      </c>
      <c r="T625" s="3" t="e">
        <f t="shared" si="79"/>
        <v>#VALUE!</v>
      </c>
      <c r="V625" s="1" t="e">
        <f t="shared" si="80"/>
        <v>#VALUE!</v>
      </c>
    </row>
    <row r="626" spans="8:22" x14ac:dyDescent="0.3">
      <c r="H626" s="2" t="str">
        <f>IF(Planilha1!B623="","",Planilha1!B623)</f>
        <v>7:00p</v>
      </c>
      <c r="I626" s="2" t="str">
        <f>IF(Planilha1!C623="","",Planilha1!C623)</f>
        <v>Philadelphia 76ers</v>
      </c>
      <c r="J626" s="2">
        <f>IF(Planilha1!D623="","",Planilha1!D623)</f>
        <v>97</v>
      </c>
      <c r="K626" s="10" t="str">
        <f>IF(Planilha1!E623="","",IF(Planilha1!E623=0,"",Planilha1!E623))</f>
        <v>Charlotte Hornets</v>
      </c>
      <c r="L626" s="10">
        <f>IF(Planilha1!F623="","",Planilha1!F623)</f>
        <v>89</v>
      </c>
      <c r="M626" s="10">
        <f>IF(Planilha1!G623="","",IF(Planilha1!G623=0,"",Planilha1!G623))</f>
        <v>89</v>
      </c>
      <c r="N626" s="5">
        <f t="shared" si="73"/>
        <v>1</v>
      </c>
      <c r="O626" s="5">
        <f t="shared" si="74"/>
        <v>0</v>
      </c>
      <c r="P626" s="5">
        <f t="shared" si="75"/>
        <v>0</v>
      </c>
      <c r="Q626" s="5">
        <f t="shared" si="76"/>
        <v>2</v>
      </c>
      <c r="R626" s="8">
        <f t="shared" si="77"/>
        <v>0</v>
      </c>
      <c r="S626" s="8">
        <f t="shared" si="78"/>
        <v>0</v>
      </c>
      <c r="T626" s="3" t="e">
        <f t="shared" si="79"/>
        <v>#VALUE!</v>
      </c>
      <c r="V626" s="1" t="e">
        <f t="shared" si="80"/>
        <v>#VALUE!</v>
      </c>
    </row>
    <row r="627" spans="8:22" x14ac:dyDescent="0.3">
      <c r="H627" s="2" t="str">
        <f>IF(Planilha1!B624="","",Planilha1!B624)</f>
        <v>7:00p</v>
      </c>
      <c r="I627" s="2" t="str">
        <f>IF(Planilha1!C624="","",Planilha1!C624)</f>
        <v>San Antonio Spurs</v>
      </c>
      <c r="J627" s="2">
        <f>IF(Planilha1!D624="","",Planilha1!D624)</f>
        <v>131</v>
      </c>
      <c r="K627" s="10" t="str">
        <f>IF(Planilha1!E624="","",IF(Planilha1!E624=0,"",Planilha1!E624))</f>
        <v>Washington Wizards</v>
      </c>
      <c r="L627" s="10">
        <f>IF(Planilha1!F624="","",Planilha1!F624)</f>
        <v>127</v>
      </c>
      <c r="M627" s="10">
        <f>IF(Planilha1!G624="","",IF(Planilha1!G624=0,"",Planilha1!G624))</f>
        <v>127</v>
      </c>
      <c r="N627" s="5">
        <f t="shared" si="73"/>
        <v>1</v>
      </c>
      <c r="O627" s="5">
        <f t="shared" si="74"/>
        <v>0</v>
      </c>
      <c r="P627" s="5">
        <f t="shared" si="75"/>
        <v>0</v>
      </c>
      <c r="Q627" s="5">
        <f t="shared" si="76"/>
        <v>2</v>
      </c>
      <c r="R627" s="8">
        <f t="shared" si="77"/>
        <v>0</v>
      </c>
      <c r="S627" s="8">
        <f t="shared" si="78"/>
        <v>0</v>
      </c>
      <c r="T627" s="3" t="e">
        <f t="shared" si="79"/>
        <v>#VALUE!</v>
      </c>
      <c r="V627" s="1" t="e">
        <f t="shared" si="80"/>
        <v>#VALUE!</v>
      </c>
    </row>
    <row r="628" spans="8:22" x14ac:dyDescent="0.3">
      <c r="H628" s="2" t="str">
        <f>IF(Planilha1!B625="","",Planilha1!B625)</f>
        <v>7:30p</v>
      </c>
      <c r="I628" s="2" t="str">
        <f>IF(Planilha1!C625="","",Planilha1!C625)</f>
        <v>Cleveland Cavaliers</v>
      </c>
      <c r="J628" s="2">
        <f>IF(Planilha1!D625="","",Planilha1!D625)</f>
        <v>116</v>
      </c>
      <c r="K628" s="10" t="str">
        <f>IF(Planilha1!E625="","",IF(Planilha1!E625=0,"",Planilha1!E625))</f>
        <v>Atlanta Hawks</v>
      </c>
      <c r="L628" s="10">
        <f>IF(Planilha1!F625="","",Planilha1!F625)</f>
        <v>95</v>
      </c>
      <c r="M628" s="10">
        <f>IF(Planilha1!G625="","",IF(Planilha1!G625=0,"",Planilha1!G625))</f>
        <v>95</v>
      </c>
      <c r="N628" s="5">
        <f t="shared" si="73"/>
        <v>1</v>
      </c>
      <c r="O628" s="5">
        <f t="shared" si="74"/>
        <v>0</v>
      </c>
      <c r="P628" s="5">
        <f t="shared" si="75"/>
        <v>0</v>
      </c>
      <c r="Q628" s="5">
        <f t="shared" si="76"/>
        <v>2</v>
      </c>
      <c r="R628" s="8">
        <f t="shared" si="77"/>
        <v>0</v>
      </c>
      <c r="S628" s="8">
        <f t="shared" si="78"/>
        <v>0</v>
      </c>
      <c r="T628" s="3" t="e">
        <f t="shared" si="79"/>
        <v>#VALUE!</v>
      </c>
      <c r="V628" s="1" t="e">
        <f t="shared" si="80"/>
        <v>#VALUE!</v>
      </c>
    </row>
    <row r="629" spans="8:22" x14ac:dyDescent="0.3">
      <c r="H629" s="2" t="str">
        <f>IF(Planilha1!B626="","",Planilha1!B626)</f>
        <v>7:30p</v>
      </c>
      <c r="I629" s="2" t="str">
        <f>IF(Planilha1!C626="","",Planilha1!C626)</f>
        <v>Toronto Raptors</v>
      </c>
      <c r="J629" s="2">
        <f>IF(Planilha1!D626="","",Planilha1!D626)</f>
        <v>100</v>
      </c>
      <c r="K629" s="10" t="str">
        <f>IF(Planilha1!E626="","",IF(Planilha1!E626=0,"",Planilha1!E626))</f>
        <v>New York Knicks</v>
      </c>
      <c r="L629" s="10">
        <f>IF(Planilha1!F626="","",Planilha1!F626)</f>
        <v>126</v>
      </c>
      <c r="M629" s="10">
        <f>IF(Planilha1!G626="","",IF(Planilha1!G626=0,"",Planilha1!G626))</f>
        <v>126</v>
      </c>
      <c r="N629" s="5">
        <f t="shared" si="73"/>
        <v>1</v>
      </c>
      <c r="O629" s="5">
        <f t="shared" si="74"/>
        <v>0</v>
      </c>
      <c r="P629" s="5">
        <f t="shared" si="75"/>
        <v>0</v>
      </c>
      <c r="Q629" s="5">
        <f t="shared" si="76"/>
        <v>2</v>
      </c>
      <c r="R629" s="8">
        <f t="shared" si="77"/>
        <v>0</v>
      </c>
      <c r="S629" s="8">
        <f t="shared" si="78"/>
        <v>0</v>
      </c>
      <c r="T629" s="3" t="e">
        <f t="shared" si="79"/>
        <v>#VALUE!</v>
      </c>
      <c r="V629" s="1" t="e">
        <f t="shared" si="80"/>
        <v>#VALUE!</v>
      </c>
    </row>
    <row r="630" spans="8:22" x14ac:dyDescent="0.3">
      <c r="H630" s="2" t="str">
        <f>IF(Planilha1!B627="","",Planilha1!B627)</f>
        <v>8:00p</v>
      </c>
      <c r="I630" s="2" t="str">
        <f>IF(Planilha1!C627="","",Planilha1!C627)</f>
        <v>Memphis Grizzlies</v>
      </c>
      <c r="J630" s="2">
        <f>IF(Planilha1!D627="","",Planilha1!D627)</f>
        <v>96</v>
      </c>
      <c r="K630" s="10" t="str">
        <f>IF(Planilha1!E627="","",IF(Planilha1!E627=0,"",Planilha1!E627))</f>
        <v>Chicago Bulls</v>
      </c>
      <c r="L630" s="10">
        <f>IF(Planilha1!F627="","",Planilha1!F627)</f>
        <v>125</v>
      </c>
      <c r="M630" s="10">
        <f>IF(Planilha1!G627="","",IF(Planilha1!G627=0,"",Planilha1!G627))</f>
        <v>125</v>
      </c>
      <c r="N630" s="5">
        <f t="shared" si="73"/>
        <v>1</v>
      </c>
      <c r="O630" s="5">
        <f t="shared" si="74"/>
        <v>0</v>
      </c>
      <c r="P630" s="5">
        <f t="shared" si="75"/>
        <v>0</v>
      </c>
      <c r="Q630" s="5">
        <f t="shared" si="76"/>
        <v>2</v>
      </c>
      <c r="R630" s="8">
        <f t="shared" si="77"/>
        <v>0</v>
      </c>
      <c r="S630" s="8">
        <f t="shared" si="78"/>
        <v>0</v>
      </c>
      <c r="T630" s="3" t="e">
        <f t="shared" si="79"/>
        <v>#VALUE!</v>
      </c>
      <c r="V630" s="1" t="e">
        <f t="shared" si="80"/>
        <v>#VALUE!</v>
      </c>
    </row>
    <row r="631" spans="8:22" x14ac:dyDescent="0.3">
      <c r="H631" s="2" t="str">
        <f>IF(Planilha1!B628="","",Planilha1!B628)</f>
        <v>8:00p</v>
      </c>
      <c r="I631" s="2" t="str">
        <f>IF(Planilha1!C628="","",Planilha1!C628)</f>
        <v>Utah Jazz</v>
      </c>
      <c r="J631" s="2">
        <f>IF(Planilha1!D628="","",Planilha1!D628)</f>
        <v>126</v>
      </c>
      <c r="K631" s="10" t="str">
        <f>IF(Planilha1!E628="","",IF(Planilha1!E628=0,"",Planilha1!E628))</f>
        <v>Houston Rockets</v>
      </c>
      <c r="L631" s="10">
        <f>IF(Planilha1!F628="","",Planilha1!F628)</f>
        <v>127</v>
      </c>
      <c r="M631" s="10">
        <f>IF(Planilha1!G628="","",IF(Planilha1!G628=0,"",Planilha1!G628))</f>
        <v>127</v>
      </c>
      <c r="N631" s="5">
        <f t="shared" si="73"/>
        <v>1</v>
      </c>
      <c r="O631" s="5">
        <f t="shared" si="74"/>
        <v>0</v>
      </c>
      <c r="P631" s="5">
        <f t="shared" si="75"/>
        <v>0</v>
      </c>
      <c r="Q631" s="5">
        <f t="shared" si="76"/>
        <v>2</v>
      </c>
      <c r="R631" s="8">
        <f t="shared" si="77"/>
        <v>0</v>
      </c>
      <c r="S631" s="8">
        <f t="shared" si="78"/>
        <v>0</v>
      </c>
      <c r="T631" s="3" t="e">
        <f t="shared" si="79"/>
        <v>#VALUE!</v>
      </c>
      <c r="V631" s="1" t="e">
        <f t="shared" si="80"/>
        <v>#VALUE!</v>
      </c>
    </row>
    <row r="632" spans="8:22" x14ac:dyDescent="0.3">
      <c r="H632" s="2" t="str">
        <f>IF(Planilha1!B629="","",Planilha1!B629)</f>
        <v>8:00p</v>
      </c>
      <c r="I632" s="2" t="str">
        <f>IF(Planilha1!C629="","",Planilha1!C629)</f>
        <v>Oklahoma City Thunder</v>
      </c>
      <c r="J632" s="2">
        <f>IF(Planilha1!D629="","",Planilha1!D629)</f>
        <v>102</v>
      </c>
      <c r="K632" s="10" t="str">
        <f>IF(Planilha1!E629="","",IF(Planilha1!E629=0,"",Planilha1!E629))</f>
        <v>Minnesota Timberwolves</v>
      </c>
      <c r="L632" s="10">
        <f>IF(Planilha1!F629="","",Planilha1!F629)</f>
        <v>97</v>
      </c>
      <c r="M632" s="10">
        <f>IF(Planilha1!G629="","",IF(Planilha1!G629=0,"",Planilha1!G629))</f>
        <v>97</v>
      </c>
      <c r="N632" s="5">
        <f t="shared" si="73"/>
        <v>1</v>
      </c>
      <c r="O632" s="5">
        <f t="shared" si="74"/>
        <v>0</v>
      </c>
      <c r="P632" s="5">
        <f t="shared" si="75"/>
        <v>0</v>
      </c>
      <c r="Q632" s="5">
        <f t="shared" si="76"/>
        <v>2</v>
      </c>
      <c r="R632" s="8">
        <f t="shared" si="77"/>
        <v>0</v>
      </c>
      <c r="S632" s="8">
        <f t="shared" si="78"/>
        <v>0</v>
      </c>
      <c r="T632" s="3" t="e">
        <f t="shared" si="79"/>
        <v>#VALUE!</v>
      </c>
      <c r="V632" s="1" t="e">
        <f t="shared" si="80"/>
        <v>#VALUE!</v>
      </c>
    </row>
    <row r="633" spans="8:22" x14ac:dyDescent="0.3">
      <c r="H633" s="2" t="str">
        <f>IF(Planilha1!B630="","",Planilha1!B630)</f>
        <v>3:30p</v>
      </c>
      <c r="I633" s="2" t="str">
        <f>IF(Planilha1!C630="","",Planilha1!C630)</f>
        <v>Brooklyn Nets</v>
      </c>
      <c r="J633" s="2">
        <f>IF(Planilha1!D630="","",Planilha1!D630)</f>
        <v>114</v>
      </c>
      <c r="K633" s="10" t="str">
        <f>IF(Planilha1!E630="","",IF(Planilha1!E630=0,"",Planilha1!E630))</f>
        <v>Los Angeles Clippers</v>
      </c>
      <c r="L633" s="10">
        <f>IF(Planilha1!F630="","",Planilha1!F630)</f>
        <v>125</v>
      </c>
      <c r="M633" s="10">
        <f>IF(Planilha1!G630="","",IF(Planilha1!G630=0,"",Planilha1!G630))</f>
        <v>125</v>
      </c>
      <c r="N633" s="5">
        <f t="shared" si="73"/>
        <v>1</v>
      </c>
      <c r="O633" s="5">
        <f t="shared" si="74"/>
        <v>0</v>
      </c>
      <c r="P633" s="5">
        <f t="shared" si="75"/>
        <v>0</v>
      </c>
      <c r="Q633" s="5">
        <f t="shared" si="76"/>
        <v>2</v>
      </c>
      <c r="R633" s="8">
        <f t="shared" si="77"/>
        <v>0</v>
      </c>
      <c r="S633" s="8">
        <f t="shared" si="78"/>
        <v>0</v>
      </c>
      <c r="T633" s="3" t="e">
        <f t="shared" si="79"/>
        <v>#VALUE!</v>
      </c>
      <c r="V633" s="1" t="e">
        <f t="shared" si="80"/>
        <v>#VALUE!</v>
      </c>
    </row>
    <row r="634" spans="8:22" x14ac:dyDescent="0.3">
      <c r="H634" s="2" t="str">
        <f>IF(Planilha1!B631="","",Planilha1!B631)</f>
        <v>6:00p</v>
      </c>
      <c r="I634" s="2" t="str">
        <f>IF(Planilha1!C631="","",Planilha1!C631)</f>
        <v>Miami Heat</v>
      </c>
      <c r="J634" s="2">
        <f>IF(Planilha1!D631="","",Planilha1!D631)</f>
        <v>87</v>
      </c>
      <c r="K634" s="10" t="str">
        <f>IF(Planilha1!E631="","",IF(Planilha1!E631=0,"",Planilha1!E631))</f>
        <v>Orlando Magic</v>
      </c>
      <c r="L634" s="10">
        <f>IF(Planilha1!F631="","",Planilha1!F631)</f>
        <v>105</v>
      </c>
      <c r="M634" s="10">
        <f>IF(Planilha1!G631="","",IF(Planilha1!G631=0,"",Planilha1!G631))</f>
        <v>105</v>
      </c>
      <c r="N634" s="5">
        <f t="shared" si="73"/>
        <v>1</v>
      </c>
      <c r="O634" s="5">
        <f t="shared" si="74"/>
        <v>0</v>
      </c>
      <c r="P634" s="5">
        <f t="shared" si="75"/>
        <v>0</v>
      </c>
      <c r="Q634" s="5">
        <f t="shared" si="76"/>
        <v>2</v>
      </c>
      <c r="R634" s="8">
        <f t="shared" si="77"/>
        <v>0</v>
      </c>
      <c r="S634" s="8">
        <f t="shared" si="78"/>
        <v>0</v>
      </c>
      <c r="T634" s="3" t="e">
        <f t="shared" si="79"/>
        <v>#VALUE!</v>
      </c>
      <c r="V634" s="1" t="e">
        <f t="shared" si="80"/>
        <v>#VALUE!</v>
      </c>
    </row>
    <row r="635" spans="8:22" x14ac:dyDescent="0.3">
      <c r="H635" s="2" t="str">
        <f>IF(Planilha1!B632="","",Planilha1!B632)</f>
        <v>6:00p</v>
      </c>
      <c r="I635" s="2" t="str">
        <f>IF(Planilha1!C632="","",Planilha1!C632)</f>
        <v>Denver Nuggets</v>
      </c>
      <c r="J635" s="2">
        <f>IF(Planilha1!D632="","",Planilha1!D632)</f>
        <v>113</v>
      </c>
      <c r="K635" s="10" t="str">
        <f>IF(Planilha1!E632="","",IF(Planilha1!E632=0,"",Planilha1!E632))</f>
        <v>Washington Wizards</v>
      </c>
      <c r="L635" s="10">
        <f>IF(Planilha1!F632="","",Planilha1!F632)</f>
        <v>104</v>
      </c>
      <c r="M635" s="10">
        <f>IF(Planilha1!G632="","",IF(Planilha1!G632=0,"",Planilha1!G632))</f>
        <v>104</v>
      </c>
      <c r="N635" s="5">
        <f t="shared" si="73"/>
        <v>1</v>
      </c>
      <c r="O635" s="5">
        <f t="shared" si="74"/>
        <v>0</v>
      </c>
      <c r="P635" s="5">
        <f t="shared" si="75"/>
        <v>0</v>
      </c>
      <c r="Q635" s="5">
        <f t="shared" si="76"/>
        <v>2</v>
      </c>
      <c r="R635" s="8">
        <f t="shared" si="77"/>
        <v>0</v>
      </c>
      <c r="S635" s="8">
        <f t="shared" si="78"/>
        <v>0</v>
      </c>
      <c r="T635" s="3" t="e">
        <f t="shared" si="79"/>
        <v>#VALUE!</v>
      </c>
      <c r="V635" s="1" t="e">
        <f t="shared" si="80"/>
        <v>#VALUE!</v>
      </c>
    </row>
    <row r="636" spans="8:22" x14ac:dyDescent="0.3">
      <c r="H636" s="2" t="str">
        <f>IF(Planilha1!B633="","",Planilha1!B633)</f>
        <v>7:00p</v>
      </c>
      <c r="I636" s="2" t="str">
        <f>IF(Planilha1!C633="","",Planilha1!C633)</f>
        <v>Boston Celtics</v>
      </c>
      <c r="J636" s="2">
        <f>IF(Planilha1!D633="","",Planilha1!D633)</f>
        <v>116</v>
      </c>
      <c r="K636" s="10" t="str">
        <f>IF(Planilha1!E633="","",IF(Planilha1!E633=0,"",Planilha1!E633))</f>
        <v>Houston Rockets</v>
      </c>
      <c r="L636" s="10">
        <f>IF(Planilha1!F633="","",Planilha1!F633)</f>
        <v>107</v>
      </c>
      <c r="M636" s="10">
        <f>IF(Planilha1!G633="","",IF(Planilha1!G633=0,"",Planilha1!G633))</f>
        <v>107</v>
      </c>
      <c r="N636" s="5">
        <f t="shared" si="73"/>
        <v>1</v>
      </c>
      <c r="O636" s="5">
        <f t="shared" si="74"/>
        <v>0</v>
      </c>
      <c r="P636" s="5">
        <f t="shared" si="75"/>
        <v>0</v>
      </c>
      <c r="Q636" s="5">
        <f t="shared" si="76"/>
        <v>2</v>
      </c>
      <c r="R636" s="8">
        <f t="shared" si="77"/>
        <v>0</v>
      </c>
      <c r="S636" s="8">
        <f t="shared" si="78"/>
        <v>0</v>
      </c>
      <c r="T636" s="3" t="e">
        <f t="shared" si="79"/>
        <v>#VALUE!</v>
      </c>
      <c r="V636" s="1" t="e">
        <f t="shared" si="80"/>
        <v>#VALUE!</v>
      </c>
    </row>
    <row r="637" spans="8:22" x14ac:dyDescent="0.3">
      <c r="H637" s="2" t="str">
        <f>IF(Planilha1!B634="","",Planilha1!B634)</f>
        <v>8:00p</v>
      </c>
      <c r="I637" s="2" t="str">
        <f>IF(Planilha1!C634="","",Planilha1!C634)</f>
        <v>Indiana Pacers</v>
      </c>
      <c r="J637" s="2">
        <f>IF(Planilha1!D634="","",Planilha1!D634)</f>
        <v>110</v>
      </c>
      <c r="K637" s="10" t="str">
        <f>IF(Planilha1!E634="","",IF(Planilha1!E634=0,"",Planilha1!E634))</f>
        <v>Phoenix Suns</v>
      </c>
      <c r="L637" s="10">
        <f>IF(Planilha1!F634="","",Planilha1!F634)</f>
        <v>117</v>
      </c>
      <c r="M637" s="10">
        <f>IF(Planilha1!G634="","",IF(Planilha1!G634=0,"",Planilha1!G634))</f>
        <v>117</v>
      </c>
      <c r="N637" s="5">
        <f t="shared" si="73"/>
        <v>1</v>
      </c>
      <c r="O637" s="5">
        <f t="shared" si="74"/>
        <v>0</v>
      </c>
      <c r="P637" s="5">
        <f t="shared" si="75"/>
        <v>0</v>
      </c>
      <c r="Q637" s="5">
        <f t="shared" si="76"/>
        <v>2</v>
      </c>
      <c r="R637" s="8">
        <f t="shared" si="77"/>
        <v>0</v>
      </c>
      <c r="S637" s="8">
        <f t="shared" si="78"/>
        <v>0</v>
      </c>
      <c r="T637" s="3" t="e">
        <f t="shared" si="79"/>
        <v>#VALUE!</v>
      </c>
      <c r="V637" s="1" t="e">
        <f t="shared" si="80"/>
        <v>#VALUE!</v>
      </c>
    </row>
    <row r="638" spans="8:22" x14ac:dyDescent="0.3">
      <c r="H638" s="2" t="str">
        <f>IF(Planilha1!B635="","",Planilha1!B635)</f>
        <v>10:00p</v>
      </c>
      <c r="I638" s="2" t="str">
        <f>IF(Planilha1!C635="","",Planilha1!C635)</f>
        <v>Portland Trail Blazers</v>
      </c>
      <c r="J638" s="2">
        <f>IF(Planilha1!D635="","",Planilha1!D635)</f>
        <v>110</v>
      </c>
      <c r="K638" s="10" t="str">
        <f>IF(Planilha1!E635="","",IF(Planilha1!E635=0,"",Planilha1!E635))</f>
        <v>Los Angeles Lakers</v>
      </c>
      <c r="L638" s="10">
        <f>IF(Planilha1!F635="","",Planilha1!F635)</f>
        <v>134</v>
      </c>
      <c r="M638" s="10">
        <f>IF(Planilha1!G635="","",IF(Planilha1!G635=0,"",Planilha1!G635))</f>
        <v>134</v>
      </c>
      <c r="N638" s="5">
        <f t="shared" si="73"/>
        <v>1</v>
      </c>
      <c r="O638" s="5">
        <f t="shared" si="74"/>
        <v>0</v>
      </c>
      <c r="P638" s="5">
        <f t="shared" si="75"/>
        <v>0</v>
      </c>
      <c r="Q638" s="5">
        <f t="shared" si="76"/>
        <v>2</v>
      </c>
      <c r="R638" s="8">
        <f t="shared" si="77"/>
        <v>0</v>
      </c>
      <c r="S638" s="8">
        <f t="shared" si="78"/>
        <v>0</v>
      </c>
      <c r="T638" s="3" t="e">
        <f t="shared" si="79"/>
        <v>#VALUE!</v>
      </c>
      <c r="V638" s="1" t="e">
        <f t="shared" si="80"/>
        <v>#VALUE!</v>
      </c>
    </row>
    <row r="639" spans="8:22" x14ac:dyDescent="0.3">
      <c r="H639" s="2" t="str">
        <f>IF(Planilha1!B636="","",Planilha1!B636)</f>
        <v>7:00p</v>
      </c>
      <c r="I639" s="2" t="str">
        <f>IF(Planilha1!C636="","",Planilha1!C636)</f>
        <v>Milwaukee Bucks</v>
      </c>
      <c r="J639" s="2">
        <f>IF(Planilha1!D636="","",Planilha1!D636)</f>
        <v>122</v>
      </c>
      <c r="K639" s="10" t="str">
        <f>IF(Planilha1!E636="","",IF(Planilha1!E636=0,"",Planilha1!E636))</f>
        <v>Detroit Pistons</v>
      </c>
      <c r="L639" s="10">
        <f>IF(Planilha1!F636="","",Planilha1!F636)</f>
        <v>113</v>
      </c>
      <c r="M639" s="10">
        <f>IF(Planilha1!G636="","",IF(Planilha1!G636=0,"",Planilha1!G636))</f>
        <v>113</v>
      </c>
      <c r="N639" s="5">
        <f t="shared" si="73"/>
        <v>1</v>
      </c>
      <c r="O639" s="5">
        <f t="shared" si="74"/>
        <v>0</v>
      </c>
      <c r="P639" s="5">
        <f t="shared" si="75"/>
        <v>0</v>
      </c>
      <c r="Q639" s="5">
        <f t="shared" si="76"/>
        <v>2</v>
      </c>
      <c r="R639" s="8">
        <f t="shared" si="77"/>
        <v>0</v>
      </c>
      <c r="S639" s="8">
        <f t="shared" si="78"/>
        <v>0</v>
      </c>
      <c r="T639" s="3" t="e">
        <f t="shared" si="79"/>
        <v>#VALUE!</v>
      </c>
      <c r="V639" s="1" t="e">
        <f t="shared" si="80"/>
        <v>#VALUE!</v>
      </c>
    </row>
    <row r="640" spans="8:22" x14ac:dyDescent="0.3">
      <c r="H640" s="2" t="str">
        <f>IF(Planilha1!B637="","",Planilha1!B637)</f>
        <v>7:00p</v>
      </c>
      <c r="I640" s="2" t="str">
        <f>IF(Planilha1!C637="","",Planilha1!C637)</f>
        <v>Cleveland Cavaliers</v>
      </c>
      <c r="J640" s="2">
        <f>IF(Planilha1!D637="","",Planilha1!D637)</f>
        <v>126</v>
      </c>
      <c r="K640" s="10" t="str">
        <f>IF(Planilha1!E637="","",IF(Planilha1!E637=0,"",Planilha1!E637))</f>
        <v>Orlando Magic</v>
      </c>
      <c r="L640" s="10">
        <f>IF(Planilha1!F637="","",Planilha1!F637)</f>
        <v>99</v>
      </c>
      <c r="M640" s="10">
        <f>IF(Planilha1!G637="","",IF(Planilha1!G637=0,"",Planilha1!G637))</f>
        <v>99</v>
      </c>
      <c r="N640" s="5">
        <f t="shared" si="73"/>
        <v>1</v>
      </c>
      <c r="O640" s="5">
        <f t="shared" si="74"/>
        <v>0</v>
      </c>
      <c r="P640" s="5">
        <f t="shared" si="75"/>
        <v>0</v>
      </c>
      <c r="Q640" s="5">
        <f t="shared" si="76"/>
        <v>2</v>
      </c>
      <c r="R640" s="8">
        <f t="shared" si="77"/>
        <v>0</v>
      </c>
      <c r="S640" s="8">
        <f t="shared" si="78"/>
        <v>0</v>
      </c>
      <c r="T640" s="3" t="e">
        <f t="shared" si="79"/>
        <v>#VALUE!</v>
      </c>
      <c r="V640" s="1" t="e">
        <f t="shared" si="80"/>
        <v>#VALUE!</v>
      </c>
    </row>
    <row r="641" spans="8:22" x14ac:dyDescent="0.3">
      <c r="H641" s="2" t="str">
        <f>IF(Planilha1!B638="","",Planilha1!B638)</f>
        <v>7:00p</v>
      </c>
      <c r="I641" s="2" t="str">
        <f>IF(Planilha1!C638="","",Planilha1!C638)</f>
        <v>San Antonio Spurs</v>
      </c>
      <c r="J641" s="2">
        <f>IF(Planilha1!D638="","",Planilha1!D638)</f>
        <v>123</v>
      </c>
      <c r="K641" s="10" t="str">
        <f>IF(Planilha1!E638="","",IF(Planilha1!E638=0,"",Planilha1!E638))</f>
        <v>Philadelphia 76ers</v>
      </c>
      <c r="L641" s="10">
        <f>IF(Planilha1!F638="","",Planilha1!F638)</f>
        <v>133</v>
      </c>
      <c r="M641" s="10">
        <f>IF(Planilha1!G638="","",IF(Planilha1!G638=0,"",Planilha1!G638))</f>
        <v>133</v>
      </c>
      <c r="N641" s="5">
        <f t="shared" si="73"/>
        <v>1</v>
      </c>
      <c r="O641" s="5">
        <f t="shared" si="74"/>
        <v>0</v>
      </c>
      <c r="P641" s="5">
        <f t="shared" si="75"/>
        <v>0</v>
      </c>
      <c r="Q641" s="5">
        <f t="shared" si="76"/>
        <v>2</v>
      </c>
      <c r="R641" s="8">
        <f t="shared" si="77"/>
        <v>0</v>
      </c>
      <c r="S641" s="8">
        <f t="shared" si="78"/>
        <v>0</v>
      </c>
      <c r="T641" s="3" t="e">
        <f t="shared" si="79"/>
        <v>#VALUE!</v>
      </c>
      <c r="V641" s="1" t="e">
        <f t="shared" si="80"/>
        <v>#VALUE!</v>
      </c>
    </row>
    <row r="642" spans="8:22" x14ac:dyDescent="0.3">
      <c r="H642" s="2" t="str">
        <f>IF(Planilha1!B639="","",Planilha1!B639)</f>
        <v>7:30p</v>
      </c>
      <c r="I642" s="2" t="str">
        <f>IF(Planilha1!C639="","",Planilha1!C639)</f>
        <v>Memphis Grizzlies</v>
      </c>
      <c r="J642" s="2">
        <f>IF(Planilha1!D639="","",Planilha1!D639)</f>
        <v>108</v>
      </c>
      <c r="K642" s="10" t="str">
        <f>IF(Planilha1!E639="","",IF(Planilha1!E639=0,"",Planilha1!E639))</f>
        <v>Toronto Raptors</v>
      </c>
      <c r="L642" s="10">
        <f>IF(Planilha1!F639="","",Planilha1!F639)</f>
        <v>100</v>
      </c>
      <c r="M642" s="10">
        <f>IF(Planilha1!G639="","",IF(Planilha1!G639=0,"",Planilha1!G639))</f>
        <v>100</v>
      </c>
      <c r="N642" s="5">
        <f t="shared" si="73"/>
        <v>1</v>
      </c>
      <c r="O642" s="5">
        <f t="shared" si="74"/>
        <v>0</v>
      </c>
      <c r="P642" s="5">
        <f t="shared" si="75"/>
        <v>0</v>
      </c>
      <c r="Q642" s="5">
        <f t="shared" si="76"/>
        <v>2</v>
      </c>
      <c r="R642" s="8">
        <f t="shared" si="77"/>
        <v>0</v>
      </c>
      <c r="S642" s="8">
        <f t="shared" si="78"/>
        <v>0</v>
      </c>
      <c r="T642" s="3" t="e">
        <f t="shared" si="79"/>
        <v>#VALUE!</v>
      </c>
      <c r="V642" s="1" t="e">
        <f t="shared" si="80"/>
        <v>#VALUE!</v>
      </c>
    </row>
    <row r="643" spans="8:22" x14ac:dyDescent="0.3">
      <c r="H643" s="2" t="str">
        <f>IF(Planilha1!B640="","",Planilha1!B640)</f>
        <v>8:00p</v>
      </c>
      <c r="I643" s="2" t="str">
        <f>IF(Planilha1!C640="","",Planilha1!C640)</f>
        <v>Charlotte Hornets</v>
      </c>
      <c r="J643" s="2">
        <f>IF(Planilha1!D640="","",Planilha1!D640)</f>
        <v>128</v>
      </c>
      <c r="K643" s="10" t="str">
        <f>IF(Planilha1!E640="","",IF(Planilha1!E640=0,"",Planilha1!E640))</f>
        <v>Minnesota Timberwolves</v>
      </c>
      <c r="L643" s="10">
        <f>IF(Planilha1!F640="","",Planilha1!F640)</f>
        <v>125</v>
      </c>
      <c r="M643" s="10">
        <f>IF(Planilha1!G640="","",IF(Planilha1!G640=0,"",Planilha1!G640))</f>
        <v>125</v>
      </c>
      <c r="N643" s="5">
        <f t="shared" si="73"/>
        <v>1</v>
      </c>
      <c r="O643" s="5">
        <f t="shared" si="74"/>
        <v>0</v>
      </c>
      <c r="P643" s="5">
        <f t="shared" si="75"/>
        <v>0</v>
      </c>
      <c r="Q643" s="5">
        <f t="shared" si="76"/>
        <v>2</v>
      </c>
      <c r="R643" s="8">
        <f t="shared" si="77"/>
        <v>0</v>
      </c>
      <c r="S643" s="8">
        <f t="shared" si="78"/>
        <v>0</v>
      </c>
      <c r="T643" s="3" t="e">
        <f t="shared" si="79"/>
        <v>#VALUE!</v>
      </c>
      <c r="V643" s="1" t="e">
        <f t="shared" si="80"/>
        <v>#VALUE!</v>
      </c>
    </row>
    <row r="644" spans="8:22" x14ac:dyDescent="0.3">
      <c r="H644" s="2" t="str">
        <f>IF(Planilha1!B641="","",Planilha1!B641)</f>
        <v>8:30p</v>
      </c>
      <c r="I644" s="2" t="str">
        <f>IF(Planilha1!C641="","",Planilha1!C641)</f>
        <v>Boston Celtics</v>
      </c>
      <c r="J644" s="2">
        <f>IF(Planilha1!D641="","",Planilha1!D641)</f>
        <v>119</v>
      </c>
      <c r="K644" s="10" t="str">
        <f>IF(Planilha1!E641="","",IF(Planilha1!E641=0,"",Planilha1!E641))</f>
        <v>Dallas Mavericks</v>
      </c>
      <c r="L644" s="10">
        <f>IF(Planilha1!F641="","",Planilha1!F641)</f>
        <v>110</v>
      </c>
      <c r="M644" s="10">
        <f>IF(Planilha1!G641="","",IF(Planilha1!G641=0,"",Planilha1!G641))</f>
        <v>110</v>
      </c>
      <c r="N644" s="5">
        <f t="shared" si="73"/>
        <v>1</v>
      </c>
      <c r="O644" s="5">
        <f t="shared" si="74"/>
        <v>0</v>
      </c>
      <c r="P644" s="5">
        <f t="shared" si="75"/>
        <v>0</v>
      </c>
      <c r="Q644" s="5">
        <f t="shared" si="76"/>
        <v>2</v>
      </c>
      <c r="R644" s="8">
        <f t="shared" si="77"/>
        <v>0</v>
      </c>
      <c r="S644" s="8">
        <f t="shared" si="78"/>
        <v>0</v>
      </c>
      <c r="T644" s="3" t="e">
        <f t="shared" si="79"/>
        <v>#VALUE!</v>
      </c>
      <c r="V644" s="1" t="e">
        <f t="shared" si="80"/>
        <v>#VALUE!</v>
      </c>
    </row>
    <row r="645" spans="8:22" x14ac:dyDescent="0.3">
      <c r="H645" s="2" t="str">
        <f>IF(Planilha1!B642="","",Planilha1!B642)</f>
        <v>9:00p</v>
      </c>
      <c r="I645" s="2" t="str">
        <f>IF(Planilha1!C642="","",Planilha1!C642)</f>
        <v>Chicago Bulls</v>
      </c>
      <c r="J645" s="2">
        <f>IF(Planilha1!D642="","",Planilha1!D642)</f>
        <v>113</v>
      </c>
      <c r="K645" s="10" t="str">
        <f>IF(Planilha1!E642="","",IF(Planilha1!E642=0,"",Planilha1!E642))</f>
        <v>Phoenix Suns</v>
      </c>
      <c r="L645" s="10">
        <f>IF(Planilha1!F642="","",Planilha1!F642)</f>
        <v>115</v>
      </c>
      <c r="M645" s="10">
        <f>IF(Planilha1!G642="","",IF(Planilha1!G642=0,"",Planilha1!G642))</f>
        <v>115</v>
      </c>
      <c r="N645" s="5">
        <f t="shared" si="73"/>
        <v>1</v>
      </c>
      <c r="O645" s="5">
        <f t="shared" si="74"/>
        <v>0</v>
      </c>
      <c r="P645" s="5">
        <f t="shared" si="75"/>
        <v>0</v>
      </c>
      <c r="Q645" s="5">
        <f t="shared" si="76"/>
        <v>2</v>
      </c>
      <c r="R645" s="8">
        <f t="shared" si="77"/>
        <v>0</v>
      </c>
      <c r="S645" s="8">
        <f t="shared" si="78"/>
        <v>0</v>
      </c>
      <c r="T645" s="3" t="e">
        <f t="shared" si="79"/>
        <v>#VALUE!</v>
      </c>
      <c r="V645" s="1" t="e">
        <f t="shared" si="80"/>
        <v>#VALUE!</v>
      </c>
    </row>
    <row r="646" spans="8:22" x14ac:dyDescent="0.3">
      <c r="H646" s="2" t="str">
        <f>IF(Planilha1!B643="","",Planilha1!B643)</f>
        <v>10:00p</v>
      </c>
      <c r="I646" s="2" t="str">
        <f>IF(Planilha1!C643="","",Planilha1!C643)</f>
        <v>Atlanta Hawks</v>
      </c>
      <c r="J646" s="2">
        <f>IF(Planilha1!D643="","",Planilha1!D643)</f>
        <v>107</v>
      </c>
      <c r="K646" s="10" t="str">
        <f>IF(Planilha1!E643="","",IF(Planilha1!E643=0,"",Planilha1!E643))</f>
        <v>Sacramento Kings</v>
      </c>
      <c r="L646" s="10">
        <f>IF(Planilha1!F643="","",Planilha1!F643)</f>
        <v>122</v>
      </c>
      <c r="M646" s="10">
        <f>IF(Planilha1!G643="","",IF(Planilha1!G643=0,"",Planilha1!G643))</f>
        <v>122</v>
      </c>
      <c r="N646" s="5">
        <f t="shared" ref="N646:N709" si="81">IF(K646="","",IF(K646&gt;M646,100%,0%))</f>
        <v>1</v>
      </c>
      <c r="O646" s="5">
        <f t="shared" ref="O646:O709" si="82">IF(K646="","",IF(K646&lt;M646,100%,0%))</f>
        <v>0</v>
      </c>
      <c r="P646" s="5">
        <f t="shared" ref="P646:P709" si="83">IF(M646="",IF(R646&gt;S646,2,0),IF(K646&lt;M646,2,0))</f>
        <v>0</v>
      </c>
      <c r="Q646" s="5">
        <f t="shared" ref="Q646:Q709" si="84">IF(M646="",IF(R646&gt;S646,0,2),IF(K646&gt;M646,2,0))</f>
        <v>2</v>
      </c>
      <c r="R646" s="8">
        <f t="shared" ref="R646:R709" si="85">SUMIF($B:$B,J646,$C:$C)+(SUMIF($B:$B,L646,$F:$F))</f>
        <v>0</v>
      </c>
      <c r="S646" s="8">
        <f t="shared" ref="S646:S709" si="86">SUMIF($B:$B,L646,$E:$E)+(SUMIF($B:$B,J646,$D:$D))</f>
        <v>0</v>
      </c>
      <c r="T646" s="3" t="e">
        <f t="shared" ref="T646:T709" si="87">IF(M646="","",(K646-S646)^2+(M646-R646)^2)</f>
        <v>#VALUE!</v>
      </c>
      <c r="V646" s="1" t="e">
        <f t="shared" ref="V646:V709" si="88">IF(O646="","",1/((M646-K646)/(R646-S646)))</f>
        <v>#VALUE!</v>
      </c>
    </row>
    <row r="647" spans="8:22" x14ac:dyDescent="0.3">
      <c r="H647" s="2" t="str">
        <f>IF(Planilha1!B644="","",Planilha1!B644)</f>
        <v>7:00p</v>
      </c>
      <c r="I647" s="2" t="str">
        <f>IF(Planilha1!C644="","",Planilha1!C644)</f>
        <v>Denver Nuggets</v>
      </c>
      <c r="J647" s="2">
        <f>IF(Planilha1!D644="","",Planilha1!D644)</f>
        <v>114</v>
      </c>
      <c r="K647" s="10" t="str">
        <f>IF(Planilha1!E644="","",IF(Planilha1!E644=0,"",Planilha1!E644))</f>
        <v>Indiana Pacers</v>
      </c>
      <c r="L647" s="10">
        <f>IF(Planilha1!F644="","",Planilha1!F644)</f>
        <v>109</v>
      </c>
      <c r="M647" s="10">
        <f>IF(Planilha1!G644="","",IF(Planilha1!G644=0,"",Planilha1!G644))</f>
        <v>109</v>
      </c>
      <c r="N647" s="5">
        <f t="shared" si="81"/>
        <v>1</v>
      </c>
      <c r="O647" s="5">
        <f t="shared" si="82"/>
        <v>0</v>
      </c>
      <c r="P647" s="5">
        <f t="shared" si="83"/>
        <v>0</v>
      </c>
      <c r="Q647" s="5">
        <f t="shared" si="84"/>
        <v>2</v>
      </c>
      <c r="R647" s="8">
        <f t="shared" si="85"/>
        <v>0</v>
      </c>
      <c r="S647" s="8">
        <f t="shared" si="86"/>
        <v>0</v>
      </c>
      <c r="T647" s="3" t="e">
        <f t="shared" si="87"/>
        <v>#VALUE!</v>
      </c>
      <c r="V647" s="1" t="e">
        <f t="shared" si="88"/>
        <v>#VALUE!</v>
      </c>
    </row>
    <row r="648" spans="8:22" x14ac:dyDescent="0.3">
      <c r="H648" s="2" t="str">
        <f>IF(Planilha1!B645="","",Planilha1!B645)</f>
        <v>7:30p</v>
      </c>
      <c r="I648" s="2" t="str">
        <f>IF(Planilha1!C645="","",Planilha1!C645)</f>
        <v>New York Knicks</v>
      </c>
      <c r="J648" s="2">
        <f>IF(Planilha1!D645="","",Planilha1!D645)</f>
        <v>108</v>
      </c>
      <c r="K648" s="10" t="str">
        <f>IF(Planilha1!E645="","",IF(Planilha1!E645=0,"",Planilha1!E645))</f>
        <v>Brooklyn Nets</v>
      </c>
      <c r="L648" s="10">
        <f>IF(Planilha1!F645="","",Planilha1!F645)</f>
        <v>103</v>
      </c>
      <c r="M648" s="10">
        <f>IF(Planilha1!G645="","",IF(Planilha1!G645=0,"",Planilha1!G645))</f>
        <v>103</v>
      </c>
      <c r="N648" s="5">
        <f t="shared" si="81"/>
        <v>1</v>
      </c>
      <c r="O648" s="5">
        <f t="shared" si="82"/>
        <v>0</v>
      </c>
      <c r="P648" s="5">
        <f t="shared" si="83"/>
        <v>0</v>
      </c>
      <c r="Q648" s="5">
        <f t="shared" si="84"/>
        <v>2</v>
      </c>
      <c r="R648" s="8">
        <f t="shared" si="85"/>
        <v>0</v>
      </c>
      <c r="S648" s="8">
        <f t="shared" si="86"/>
        <v>0</v>
      </c>
      <c r="T648" s="3" t="e">
        <f t="shared" si="87"/>
        <v>#VALUE!</v>
      </c>
      <c r="V648" s="1" t="e">
        <f t="shared" si="88"/>
        <v>#VALUE!</v>
      </c>
    </row>
    <row r="649" spans="8:22" x14ac:dyDescent="0.3">
      <c r="H649" s="2" t="str">
        <f>IF(Planilha1!B646="","",Planilha1!B646)</f>
        <v>8:00p</v>
      </c>
      <c r="I649" s="2" t="str">
        <f>IF(Planilha1!C646="","",Planilha1!C646)</f>
        <v>Utah Jazz</v>
      </c>
      <c r="J649" s="2">
        <f>IF(Planilha1!D646="","",Planilha1!D646)</f>
        <v>124</v>
      </c>
      <c r="K649" s="10" t="str">
        <f>IF(Planilha1!E646="","",IF(Planilha1!E646=0,"",Planilha1!E646))</f>
        <v>New Orleans Pelicans</v>
      </c>
      <c r="L649" s="10">
        <f>IF(Planilha1!F646="","",Planilha1!F646)</f>
        <v>153</v>
      </c>
      <c r="M649" s="10">
        <f>IF(Planilha1!G646="","",IF(Planilha1!G646=0,"",Planilha1!G646))</f>
        <v>153</v>
      </c>
      <c r="N649" s="5">
        <f t="shared" si="81"/>
        <v>1</v>
      </c>
      <c r="O649" s="5">
        <f t="shared" si="82"/>
        <v>0</v>
      </c>
      <c r="P649" s="5">
        <f t="shared" si="83"/>
        <v>0</v>
      </c>
      <c r="Q649" s="5">
        <f t="shared" si="84"/>
        <v>2</v>
      </c>
      <c r="R649" s="8">
        <f t="shared" si="85"/>
        <v>0</v>
      </c>
      <c r="S649" s="8">
        <f t="shared" si="86"/>
        <v>0</v>
      </c>
      <c r="T649" s="3" t="e">
        <f t="shared" si="87"/>
        <v>#VALUE!</v>
      </c>
      <c r="V649" s="1" t="e">
        <f t="shared" si="88"/>
        <v>#VALUE!</v>
      </c>
    </row>
    <row r="650" spans="8:22" x14ac:dyDescent="0.3">
      <c r="H650" s="2" t="str">
        <f>IF(Planilha1!B647="","",Planilha1!B647)</f>
        <v>8:00p</v>
      </c>
      <c r="I650" s="2" t="str">
        <f>IF(Planilha1!C647="","",Planilha1!C647)</f>
        <v>Portland Trail Blazers</v>
      </c>
      <c r="J650" s="2">
        <f>IF(Planilha1!D647="","",Planilha1!D647)</f>
        <v>109</v>
      </c>
      <c r="K650" s="10" t="str">
        <f>IF(Planilha1!E647="","",IF(Planilha1!E647=0,"",Planilha1!E647))</f>
        <v>Oklahoma City Thunder</v>
      </c>
      <c r="L650" s="10">
        <f>IF(Planilha1!F647="","",Planilha1!F647)</f>
        <v>111</v>
      </c>
      <c r="M650" s="10">
        <f>IF(Planilha1!G647="","",IF(Planilha1!G647=0,"",Planilha1!G647))</f>
        <v>111</v>
      </c>
      <c r="N650" s="5">
        <f t="shared" si="81"/>
        <v>1</v>
      </c>
      <c r="O650" s="5">
        <f t="shared" si="82"/>
        <v>0</v>
      </c>
      <c r="P650" s="5">
        <f t="shared" si="83"/>
        <v>0</v>
      </c>
      <c r="Q650" s="5">
        <f t="shared" si="84"/>
        <v>2</v>
      </c>
      <c r="R650" s="8">
        <f t="shared" si="85"/>
        <v>0</v>
      </c>
      <c r="S650" s="8">
        <f t="shared" si="86"/>
        <v>0</v>
      </c>
      <c r="T650" s="3" t="e">
        <f t="shared" si="87"/>
        <v>#VALUE!</v>
      </c>
      <c r="V650" s="1" t="e">
        <f t="shared" si="88"/>
        <v>#VALUE!</v>
      </c>
    </row>
    <row r="651" spans="8:22" x14ac:dyDescent="0.3">
      <c r="H651" s="2" t="str">
        <f>IF(Planilha1!B648="","",Planilha1!B648)</f>
        <v>10:00p</v>
      </c>
      <c r="I651" s="2" t="str">
        <f>IF(Planilha1!C648="","",Planilha1!C648)</f>
        <v>Los Angeles Lakers</v>
      </c>
      <c r="J651" s="2">
        <f>IF(Planilha1!D648="","",Planilha1!D648)</f>
        <v>116</v>
      </c>
      <c r="K651" s="10" t="str">
        <f>IF(Planilha1!E648="","",IF(Planilha1!E648=0,"",Planilha1!E648))</f>
        <v>Los Angeles Clippers</v>
      </c>
      <c r="L651" s="10">
        <f>IF(Planilha1!F648="","",Planilha1!F648)</f>
        <v>127</v>
      </c>
      <c r="M651" s="10">
        <f>IF(Planilha1!G648="","",IF(Planilha1!G648=0,"",Planilha1!G648))</f>
        <v>127</v>
      </c>
      <c r="N651" s="5">
        <f t="shared" si="81"/>
        <v>1</v>
      </c>
      <c r="O651" s="5">
        <f t="shared" si="82"/>
        <v>0</v>
      </c>
      <c r="P651" s="5">
        <f t="shared" si="83"/>
        <v>0</v>
      </c>
      <c r="Q651" s="5">
        <f t="shared" si="84"/>
        <v>2</v>
      </c>
      <c r="R651" s="8">
        <f t="shared" si="85"/>
        <v>0</v>
      </c>
      <c r="S651" s="8">
        <f t="shared" si="86"/>
        <v>0</v>
      </c>
      <c r="T651" s="3" t="e">
        <f t="shared" si="87"/>
        <v>#VALUE!</v>
      </c>
      <c r="V651" s="1" t="e">
        <f t="shared" si="88"/>
        <v>#VALUE!</v>
      </c>
    </row>
    <row r="652" spans="8:22" x14ac:dyDescent="0.3">
      <c r="H652" s="2" t="str">
        <f>IF(Planilha1!B649="","",Planilha1!B649)</f>
        <v>7:00p</v>
      </c>
      <c r="I652" s="2" t="str">
        <f>IF(Planilha1!C649="","",Planilha1!C649)</f>
        <v>Charlotte Hornets</v>
      </c>
      <c r="J652" s="2">
        <f>IF(Planilha1!D649="","",Planilha1!D649)</f>
        <v>106</v>
      </c>
      <c r="K652" s="10" t="str">
        <f>IF(Planilha1!E649="","",IF(Planilha1!E649=0,"",Planilha1!E649))</f>
        <v>Detroit Pistons</v>
      </c>
      <c r="L652" s="10">
        <f>IF(Planilha1!F649="","",Planilha1!F649)</f>
        <v>113</v>
      </c>
      <c r="M652" s="10">
        <f>IF(Planilha1!G649="","",IF(Planilha1!G649=0,"",Planilha1!G649))</f>
        <v>113</v>
      </c>
      <c r="N652" s="5">
        <f t="shared" si="81"/>
        <v>1</v>
      </c>
      <c r="O652" s="5">
        <f t="shared" si="82"/>
        <v>0</v>
      </c>
      <c r="P652" s="5">
        <f t="shared" si="83"/>
        <v>0</v>
      </c>
      <c r="Q652" s="5">
        <f t="shared" si="84"/>
        <v>2</v>
      </c>
      <c r="R652" s="8">
        <f t="shared" si="85"/>
        <v>0</v>
      </c>
      <c r="S652" s="8">
        <f t="shared" si="86"/>
        <v>0</v>
      </c>
      <c r="T652" s="3" t="e">
        <f t="shared" si="87"/>
        <v>#VALUE!</v>
      </c>
      <c r="V652" s="1" t="e">
        <f t="shared" si="88"/>
        <v>#VALUE!</v>
      </c>
    </row>
    <row r="653" spans="8:22" x14ac:dyDescent="0.3">
      <c r="H653" s="2" t="str">
        <f>IF(Planilha1!B650="","",Planilha1!B650)</f>
        <v>7:00p</v>
      </c>
      <c r="I653" s="2" t="str">
        <f>IF(Planilha1!C650="","",Planilha1!C650)</f>
        <v>Minnesota Timberwolves</v>
      </c>
      <c r="J653" s="2">
        <f>IF(Planilha1!D650="","",Planilha1!D650)</f>
        <v>118</v>
      </c>
      <c r="K653" s="10" t="str">
        <f>IF(Planilha1!E650="","",IF(Planilha1!E650=0,"",Planilha1!E650))</f>
        <v>Washington Wizards</v>
      </c>
      <c r="L653" s="10">
        <f>IF(Planilha1!F650="","",Planilha1!F650)</f>
        <v>107</v>
      </c>
      <c r="M653" s="10">
        <f>IF(Planilha1!G650="","",IF(Planilha1!G650=0,"",Planilha1!G650))</f>
        <v>107</v>
      </c>
      <c r="N653" s="5">
        <f t="shared" si="81"/>
        <v>1</v>
      </c>
      <c r="O653" s="5">
        <f t="shared" si="82"/>
        <v>0</v>
      </c>
      <c r="P653" s="5">
        <f t="shared" si="83"/>
        <v>0</v>
      </c>
      <c r="Q653" s="5">
        <f t="shared" si="84"/>
        <v>2</v>
      </c>
      <c r="R653" s="8">
        <f t="shared" si="85"/>
        <v>0</v>
      </c>
      <c r="S653" s="8">
        <f t="shared" si="86"/>
        <v>0</v>
      </c>
      <c r="T653" s="3" t="e">
        <f t="shared" si="87"/>
        <v>#VALUE!</v>
      </c>
      <c r="V653" s="1" t="e">
        <f t="shared" si="88"/>
        <v>#VALUE!</v>
      </c>
    </row>
    <row r="654" spans="8:22" x14ac:dyDescent="0.3">
      <c r="H654" s="2" t="str">
        <f>IF(Planilha1!B651="","",Planilha1!B651)</f>
        <v>7:30p</v>
      </c>
      <c r="I654" s="2" t="str">
        <f>IF(Planilha1!C651="","",Planilha1!C651)</f>
        <v>Memphis Grizzlies</v>
      </c>
      <c r="J654" s="2">
        <f>IF(Planilha1!D651="","",Planilha1!D651)</f>
        <v>105</v>
      </c>
      <c r="K654" s="10" t="str">
        <f>IF(Planilha1!E651="","",IF(Planilha1!E651=0,"",Planilha1!E651))</f>
        <v>Miami Heat</v>
      </c>
      <c r="L654" s="10">
        <f>IF(Planilha1!F651="","",Planilha1!F651)</f>
        <v>96</v>
      </c>
      <c r="M654" s="10">
        <f>IF(Planilha1!G651="","",IF(Planilha1!G651=0,"",Planilha1!G651))</f>
        <v>96</v>
      </c>
      <c r="N654" s="5">
        <f t="shared" si="81"/>
        <v>1</v>
      </c>
      <c r="O654" s="5">
        <f t="shared" si="82"/>
        <v>0</v>
      </c>
      <c r="P654" s="5">
        <f t="shared" si="83"/>
        <v>0</v>
      </c>
      <c r="Q654" s="5">
        <f t="shared" si="84"/>
        <v>2</v>
      </c>
      <c r="R654" s="8">
        <f t="shared" si="85"/>
        <v>0</v>
      </c>
      <c r="S654" s="8">
        <f t="shared" si="86"/>
        <v>0</v>
      </c>
      <c r="T654" s="3" t="e">
        <f t="shared" si="87"/>
        <v>#VALUE!</v>
      </c>
      <c r="V654" s="1" t="e">
        <f t="shared" si="88"/>
        <v>#VALUE!</v>
      </c>
    </row>
    <row r="655" spans="8:22" x14ac:dyDescent="0.3">
      <c r="H655" s="2" t="str">
        <f>IF(Planilha1!B652="","",Planilha1!B652)</f>
        <v>8:00p</v>
      </c>
      <c r="I655" s="2" t="str">
        <f>IF(Planilha1!C652="","",Planilha1!C652)</f>
        <v>Portland Trail Blazers</v>
      </c>
      <c r="J655" s="2">
        <f>IF(Planilha1!D652="","",Planilha1!D652)</f>
        <v>137</v>
      </c>
      <c r="K655" s="10" t="str">
        <f>IF(Planilha1!E652="","",IF(Planilha1!E652=0,"",Planilha1!E652))</f>
        <v>Houston Rockets</v>
      </c>
      <c r="L655" s="10">
        <f>IF(Planilha1!F652="","",Planilha1!F652)</f>
        <v>131</v>
      </c>
      <c r="M655" s="10">
        <f>IF(Planilha1!G652="","",IF(Planilha1!G652=0,"",Planilha1!G652))</f>
        <v>131</v>
      </c>
      <c r="N655" s="5">
        <f t="shared" si="81"/>
        <v>1</v>
      </c>
      <c r="O655" s="5">
        <f t="shared" si="82"/>
        <v>0</v>
      </c>
      <c r="P655" s="5">
        <f t="shared" si="83"/>
        <v>0</v>
      </c>
      <c r="Q655" s="5">
        <f t="shared" si="84"/>
        <v>2</v>
      </c>
      <c r="R655" s="8">
        <f t="shared" si="85"/>
        <v>0</v>
      </c>
      <c r="S655" s="8">
        <f t="shared" si="86"/>
        <v>0</v>
      </c>
      <c r="T655" s="3" t="e">
        <f t="shared" si="87"/>
        <v>#VALUE!</v>
      </c>
      <c r="V655" s="1" t="e">
        <f t="shared" si="88"/>
        <v>#VALUE!</v>
      </c>
    </row>
    <row r="656" spans="8:22" x14ac:dyDescent="0.3">
      <c r="H656" s="2" t="str">
        <f>IF(Planilha1!B653="","",Planilha1!B653)</f>
        <v>8:00p</v>
      </c>
      <c r="I656" s="2" t="str">
        <f>IF(Planilha1!C653="","",Planilha1!C653)</f>
        <v>Cleveland Cavaliers</v>
      </c>
      <c r="J656" s="2">
        <f>IF(Planilha1!D653="","",Planilha1!D653)</f>
        <v>116</v>
      </c>
      <c r="K656" s="10" t="str">
        <f>IF(Planilha1!E653="","",IF(Planilha1!E653=0,"",Planilha1!E653))</f>
        <v>Milwaukee Bucks</v>
      </c>
      <c r="L656" s="10">
        <f>IF(Planilha1!F653="","",Planilha1!F653)</f>
        <v>126</v>
      </c>
      <c r="M656" s="10">
        <f>IF(Planilha1!G653="","",IF(Planilha1!G653=0,"",Planilha1!G653))</f>
        <v>126</v>
      </c>
      <c r="N656" s="5">
        <f t="shared" si="81"/>
        <v>1</v>
      </c>
      <c r="O656" s="5">
        <f t="shared" si="82"/>
        <v>0</v>
      </c>
      <c r="P656" s="5">
        <f t="shared" si="83"/>
        <v>0</v>
      </c>
      <c r="Q656" s="5">
        <f t="shared" si="84"/>
        <v>2</v>
      </c>
      <c r="R656" s="8">
        <f t="shared" si="85"/>
        <v>0</v>
      </c>
      <c r="S656" s="8">
        <f t="shared" si="86"/>
        <v>0</v>
      </c>
      <c r="T656" s="3" t="e">
        <f t="shared" si="87"/>
        <v>#VALUE!</v>
      </c>
      <c r="V656" s="1" t="e">
        <f t="shared" si="88"/>
        <v>#VALUE!</v>
      </c>
    </row>
    <row r="657" spans="8:22" x14ac:dyDescent="0.3">
      <c r="H657" s="2" t="str">
        <f>IF(Planilha1!B654="","",Planilha1!B654)</f>
        <v>8:30p</v>
      </c>
      <c r="I657" s="2" t="str">
        <f>IF(Planilha1!C654="","",Planilha1!C654)</f>
        <v>Phoenix Suns</v>
      </c>
      <c r="J657" s="2">
        <f>IF(Planilha1!D654="","",Planilha1!D654)</f>
        <v>132</v>
      </c>
      <c r="K657" s="10" t="str">
        <f>IF(Planilha1!E654="","",IF(Planilha1!E654=0,"",Planilha1!E654))</f>
        <v>Dallas Mavericks</v>
      </c>
      <c r="L657" s="10">
        <f>IF(Planilha1!F654="","",Planilha1!F654)</f>
        <v>109</v>
      </c>
      <c r="M657" s="10">
        <f>IF(Planilha1!G654="","",IF(Planilha1!G654=0,"",Planilha1!G654))</f>
        <v>109</v>
      </c>
      <c r="N657" s="5">
        <f t="shared" si="81"/>
        <v>1</v>
      </c>
      <c r="O657" s="5">
        <f t="shared" si="82"/>
        <v>0</v>
      </c>
      <c r="P657" s="5">
        <f t="shared" si="83"/>
        <v>0</v>
      </c>
      <c r="Q657" s="5">
        <f t="shared" si="84"/>
        <v>2</v>
      </c>
      <c r="R657" s="8">
        <f t="shared" si="85"/>
        <v>0</v>
      </c>
      <c r="S657" s="8">
        <f t="shared" si="86"/>
        <v>0</v>
      </c>
      <c r="T657" s="3" t="e">
        <f t="shared" si="87"/>
        <v>#VALUE!</v>
      </c>
      <c r="V657" s="1" t="e">
        <f t="shared" si="88"/>
        <v>#VALUE!</v>
      </c>
    </row>
    <row r="658" spans="8:22" x14ac:dyDescent="0.3">
      <c r="H658" s="2" t="str">
        <f>IF(Planilha1!B655="","",Planilha1!B655)</f>
        <v>9:30p</v>
      </c>
      <c r="I658" s="2" t="str">
        <f>IF(Planilha1!C655="","",Planilha1!C655)</f>
        <v>Oklahoma City Thunder</v>
      </c>
      <c r="J658" s="2">
        <f>IF(Planilha1!D655="","",Planilha1!D655)</f>
        <v>140</v>
      </c>
      <c r="K658" s="10" t="str">
        <f>IF(Planilha1!E655="","",IF(Planilha1!E655=0,"",Planilha1!E655))</f>
        <v>San Antonio Spurs</v>
      </c>
      <c r="L658" s="10">
        <f>IF(Planilha1!F655="","",Planilha1!F655)</f>
        <v>114</v>
      </c>
      <c r="M658" s="10">
        <f>IF(Planilha1!G655="","",IF(Planilha1!G655=0,"",Planilha1!G655))</f>
        <v>114</v>
      </c>
      <c r="N658" s="5">
        <f t="shared" si="81"/>
        <v>1</v>
      </c>
      <c r="O658" s="5">
        <f t="shared" si="82"/>
        <v>0</v>
      </c>
      <c r="P658" s="5">
        <f t="shared" si="83"/>
        <v>0</v>
      </c>
      <c r="Q658" s="5">
        <f t="shared" si="84"/>
        <v>2</v>
      </c>
      <c r="R658" s="8">
        <f t="shared" si="85"/>
        <v>0</v>
      </c>
      <c r="S658" s="8">
        <f t="shared" si="86"/>
        <v>0</v>
      </c>
      <c r="T658" s="3" t="e">
        <f t="shared" si="87"/>
        <v>#VALUE!</v>
      </c>
      <c r="V658" s="1" t="e">
        <f t="shared" si="88"/>
        <v>#VALUE!</v>
      </c>
    </row>
    <row r="659" spans="8:22" x14ac:dyDescent="0.3">
      <c r="H659" s="2" t="str">
        <f>IF(Planilha1!B656="","",Planilha1!B656)</f>
        <v>10:00p</v>
      </c>
      <c r="I659" s="2" t="str">
        <f>IF(Planilha1!C656="","",Planilha1!C656)</f>
        <v>Atlanta Hawks</v>
      </c>
      <c r="J659" s="2">
        <f>IF(Planilha1!D656="","",Planilha1!D656)</f>
        <v>112</v>
      </c>
      <c r="K659" s="10" t="str">
        <f>IF(Planilha1!E656="","",IF(Planilha1!E656=0,"",Planilha1!E656))</f>
        <v>Golden State Warriors</v>
      </c>
      <c r="L659" s="10">
        <f>IF(Planilha1!F656="","",Planilha1!F656)</f>
        <v>134</v>
      </c>
      <c r="M659" s="10">
        <f>IF(Planilha1!G656="","",IF(Planilha1!G656=0,"",Planilha1!G656))</f>
        <v>134</v>
      </c>
      <c r="N659" s="5">
        <f t="shared" si="81"/>
        <v>1</v>
      </c>
      <c r="O659" s="5">
        <f t="shared" si="82"/>
        <v>0</v>
      </c>
      <c r="P659" s="5">
        <f t="shared" si="83"/>
        <v>0</v>
      </c>
      <c r="Q659" s="5">
        <f t="shared" si="84"/>
        <v>2</v>
      </c>
      <c r="R659" s="8">
        <f t="shared" si="85"/>
        <v>0</v>
      </c>
      <c r="S659" s="8">
        <f t="shared" si="86"/>
        <v>0</v>
      </c>
      <c r="T659" s="3" t="e">
        <f t="shared" si="87"/>
        <v>#VALUE!</v>
      </c>
      <c r="V659" s="1" t="e">
        <f t="shared" si="88"/>
        <v>#VALUE!</v>
      </c>
    </row>
    <row r="660" spans="8:22" x14ac:dyDescent="0.3">
      <c r="H660" s="2" t="str">
        <f>IF(Planilha1!B657="","",Planilha1!B657)</f>
        <v>7:00p</v>
      </c>
      <c r="I660" s="2" t="str">
        <f>IF(Planilha1!C657="","",Planilha1!C657)</f>
        <v>Philadelphia 76ers</v>
      </c>
      <c r="J660" s="2">
        <f>IF(Planilha1!D657="","",Planilha1!D657)</f>
        <v>122</v>
      </c>
      <c r="K660" s="10" t="str">
        <f>IF(Planilha1!E657="","",IF(Planilha1!E657=0,"",Planilha1!E657))</f>
        <v>Indiana Pacers</v>
      </c>
      <c r="L660" s="10">
        <f>IF(Planilha1!F657="","",Planilha1!F657)</f>
        <v>134</v>
      </c>
      <c r="M660" s="10">
        <f>IF(Planilha1!G657="","",IF(Planilha1!G657=0,"",Planilha1!G657))</f>
        <v>134</v>
      </c>
      <c r="N660" s="5">
        <f t="shared" si="81"/>
        <v>1</v>
      </c>
      <c r="O660" s="5">
        <f t="shared" si="82"/>
        <v>0</v>
      </c>
      <c r="P660" s="5">
        <f t="shared" si="83"/>
        <v>0</v>
      </c>
      <c r="Q660" s="5">
        <f t="shared" si="84"/>
        <v>2</v>
      </c>
      <c r="R660" s="8">
        <f t="shared" si="85"/>
        <v>0</v>
      </c>
      <c r="S660" s="8">
        <f t="shared" si="86"/>
        <v>0</v>
      </c>
      <c r="T660" s="3" t="e">
        <f t="shared" si="87"/>
        <v>#VALUE!</v>
      </c>
      <c r="V660" s="1" t="e">
        <f t="shared" si="88"/>
        <v>#VALUE!</v>
      </c>
    </row>
    <row r="661" spans="8:22" x14ac:dyDescent="0.3">
      <c r="H661" s="2" t="str">
        <f>IF(Planilha1!B658="","",Planilha1!B658)</f>
        <v>7:00p</v>
      </c>
      <c r="I661" s="2" t="str">
        <f>IF(Planilha1!C658="","",Planilha1!C658)</f>
        <v>Utah Jazz</v>
      </c>
      <c r="J661" s="2">
        <f>IF(Planilha1!D658="","",Planilha1!D658)</f>
        <v>123</v>
      </c>
      <c r="K661" s="10" t="str">
        <f>IF(Planilha1!E658="","",IF(Planilha1!E658=0,"",Planilha1!E658))</f>
        <v>Washington Wizards</v>
      </c>
      <c r="L661" s="10">
        <f>IF(Planilha1!F658="","",Planilha1!F658)</f>
        <v>108</v>
      </c>
      <c r="M661" s="10">
        <f>IF(Planilha1!G658="","",IF(Planilha1!G658=0,"",Planilha1!G658))</f>
        <v>108</v>
      </c>
      <c r="N661" s="5">
        <f t="shared" si="81"/>
        <v>1</v>
      </c>
      <c r="O661" s="5">
        <f t="shared" si="82"/>
        <v>0</v>
      </c>
      <c r="P661" s="5">
        <f t="shared" si="83"/>
        <v>0</v>
      </c>
      <c r="Q661" s="5">
        <f t="shared" si="84"/>
        <v>2</v>
      </c>
      <c r="R661" s="8">
        <f t="shared" si="85"/>
        <v>0</v>
      </c>
      <c r="S661" s="8">
        <f t="shared" si="86"/>
        <v>0</v>
      </c>
      <c r="T661" s="3" t="e">
        <f t="shared" si="87"/>
        <v>#VALUE!</v>
      </c>
      <c r="V661" s="1" t="e">
        <f t="shared" si="88"/>
        <v>#VALUE!</v>
      </c>
    </row>
    <row r="662" spans="8:22" x14ac:dyDescent="0.3">
      <c r="H662" s="2" t="str">
        <f>IF(Planilha1!B659="","",Planilha1!B659)</f>
        <v>7:30p</v>
      </c>
      <c r="I662" s="2" t="str">
        <f>IF(Planilha1!C659="","",Planilha1!C659)</f>
        <v>Minnesota Timberwolves</v>
      </c>
      <c r="J662" s="2">
        <f>IF(Planilha1!D659="","",Planilha1!D659)</f>
        <v>96</v>
      </c>
      <c r="K662" s="10" t="str">
        <f>IF(Planilha1!E659="","",IF(Planilha1!E659=0,"",Planilha1!E659))</f>
        <v>Brooklyn Nets</v>
      </c>
      <c r="L662" s="10">
        <f>IF(Planilha1!F659="","",Planilha1!F659)</f>
        <v>94</v>
      </c>
      <c r="M662" s="10">
        <f>IF(Planilha1!G659="","",IF(Planilha1!G659=0,"",Planilha1!G659))</f>
        <v>94</v>
      </c>
      <c r="N662" s="5">
        <f t="shared" si="81"/>
        <v>1</v>
      </c>
      <c r="O662" s="5">
        <f t="shared" si="82"/>
        <v>0</v>
      </c>
      <c r="P662" s="5">
        <f t="shared" si="83"/>
        <v>0</v>
      </c>
      <c r="Q662" s="5">
        <f t="shared" si="84"/>
        <v>2</v>
      </c>
      <c r="R662" s="8">
        <f t="shared" si="85"/>
        <v>0</v>
      </c>
      <c r="S662" s="8">
        <f t="shared" si="86"/>
        <v>0</v>
      </c>
      <c r="T662" s="3" t="e">
        <f t="shared" si="87"/>
        <v>#VALUE!</v>
      </c>
      <c r="V662" s="1" t="e">
        <f t="shared" si="88"/>
        <v>#VALUE!</v>
      </c>
    </row>
    <row r="663" spans="8:22" x14ac:dyDescent="0.3">
      <c r="H663" s="2" t="str">
        <f>IF(Planilha1!B660="","",Planilha1!B660)</f>
        <v>7:30p</v>
      </c>
      <c r="I663" s="2" t="str">
        <f>IF(Planilha1!C660="","",Planilha1!C660)</f>
        <v>Boston Celtics</v>
      </c>
      <c r="J663" s="2">
        <f>IF(Planilha1!D660="","",Planilha1!D660)</f>
        <v>143</v>
      </c>
      <c r="K663" s="10" t="str">
        <f>IF(Planilha1!E660="","",IF(Planilha1!E660=0,"",Planilha1!E660))</f>
        <v>Miami Heat</v>
      </c>
      <c r="L663" s="10">
        <f>IF(Planilha1!F660="","",Planilha1!F660)</f>
        <v>110</v>
      </c>
      <c r="M663" s="10">
        <f>IF(Planilha1!G660="","",IF(Planilha1!G660=0,"",Planilha1!G660))</f>
        <v>110</v>
      </c>
      <c r="N663" s="5">
        <f t="shared" si="81"/>
        <v>1</v>
      </c>
      <c r="O663" s="5">
        <f t="shared" si="82"/>
        <v>0</v>
      </c>
      <c r="P663" s="5">
        <f t="shared" si="83"/>
        <v>0</v>
      </c>
      <c r="Q663" s="5">
        <f t="shared" si="84"/>
        <v>2</v>
      </c>
      <c r="R663" s="8">
        <f t="shared" si="85"/>
        <v>0</v>
      </c>
      <c r="S663" s="8">
        <f t="shared" si="86"/>
        <v>0</v>
      </c>
      <c r="T663" s="3" t="e">
        <f t="shared" si="87"/>
        <v>#VALUE!</v>
      </c>
      <c r="V663" s="1" t="e">
        <f t="shared" si="88"/>
        <v>#VALUE!</v>
      </c>
    </row>
    <row r="664" spans="8:22" x14ac:dyDescent="0.3">
      <c r="H664" s="2" t="str">
        <f>IF(Planilha1!B661="","",Planilha1!B661)</f>
        <v>7:30p</v>
      </c>
      <c r="I664" s="2" t="str">
        <f>IF(Planilha1!C661="","",Planilha1!C661)</f>
        <v>Denver Nuggets</v>
      </c>
      <c r="J664" s="2">
        <f>IF(Planilha1!D661="","",Planilha1!D661)</f>
        <v>84</v>
      </c>
      <c r="K664" s="10" t="str">
        <f>IF(Planilha1!E661="","",IF(Planilha1!E661=0,"",Planilha1!E661))</f>
        <v>New York Knicks</v>
      </c>
      <c r="L664" s="10">
        <f>IF(Planilha1!F661="","",Planilha1!F661)</f>
        <v>122</v>
      </c>
      <c r="M664" s="10">
        <f>IF(Planilha1!G661="","",IF(Planilha1!G661=0,"",Planilha1!G661))</f>
        <v>122</v>
      </c>
      <c r="N664" s="5">
        <f t="shared" si="81"/>
        <v>1</v>
      </c>
      <c r="O664" s="5">
        <f t="shared" si="82"/>
        <v>0</v>
      </c>
      <c r="P664" s="5">
        <f t="shared" si="83"/>
        <v>0</v>
      </c>
      <c r="Q664" s="5">
        <f t="shared" si="84"/>
        <v>2</v>
      </c>
      <c r="R664" s="8">
        <f t="shared" si="85"/>
        <v>0</v>
      </c>
      <c r="S664" s="8">
        <f t="shared" si="86"/>
        <v>0</v>
      </c>
      <c r="T664" s="3" t="e">
        <f t="shared" si="87"/>
        <v>#VALUE!</v>
      </c>
      <c r="V664" s="1" t="e">
        <f t="shared" si="88"/>
        <v>#VALUE!</v>
      </c>
    </row>
    <row r="665" spans="8:22" x14ac:dyDescent="0.3">
      <c r="H665" s="2" t="str">
        <f>IF(Planilha1!B662="","",Planilha1!B662)</f>
        <v>10:00p</v>
      </c>
      <c r="I665" s="2" t="str">
        <f>IF(Planilha1!C662="","",Planilha1!C662)</f>
        <v>Sacramento Kings</v>
      </c>
      <c r="J665" s="2">
        <f>IF(Planilha1!D662="","",Planilha1!D662)</f>
        <v>134</v>
      </c>
      <c r="K665" s="10" t="str">
        <f>IF(Planilha1!E662="","",IF(Planilha1!E662=0,"",Planilha1!E662))</f>
        <v>Golden State Warriors</v>
      </c>
      <c r="L665" s="10">
        <f>IF(Planilha1!F662="","",Planilha1!F662)</f>
        <v>133</v>
      </c>
      <c r="M665" s="10">
        <f>IF(Planilha1!G662="","",IF(Planilha1!G662=0,"",Planilha1!G662))</f>
        <v>133</v>
      </c>
      <c r="N665" s="5">
        <f t="shared" si="81"/>
        <v>1</v>
      </c>
      <c r="O665" s="5">
        <f t="shared" si="82"/>
        <v>0</v>
      </c>
      <c r="P665" s="5">
        <f t="shared" si="83"/>
        <v>0</v>
      </c>
      <c r="Q665" s="5">
        <f t="shared" si="84"/>
        <v>2</v>
      </c>
      <c r="R665" s="8">
        <f t="shared" si="85"/>
        <v>0</v>
      </c>
      <c r="S665" s="8">
        <f t="shared" si="86"/>
        <v>0</v>
      </c>
      <c r="T665" s="3" t="e">
        <f t="shared" si="87"/>
        <v>#VALUE!</v>
      </c>
      <c r="V665" s="1" t="e">
        <f t="shared" si="88"/>
        <v>#VALUE!</v>
      </c>
    </row>
    <row r="666" spans="8:22" x14ac:dyDescent="0.3">
      <c r="H666" s="2" t="str">
        <f>IF(Planilha1!B663="","",Planilha1!B663)</f>
        <v>10:30p</v>
      </c>
      <c r="I666" s="2" t="str">
        <f>IF(Planilha1!C663="","",Planilha1!C663)</f>
        <v>Chicago Bulls</v>
      </c>
      <c r="J666" s="2">
        <f>IF(Planilha1!D663="","",Planilha1!D663)</f>
        <v>132</v>
      </c>
      <c r="K666" s="10" t="str">
        <f>IF(Planilha1!E663="","",IF(Planilha1!E663=0,"",Planilha1!E663))</f>
        <v>Los Angeles Lakers</v>
      </c>
      <c r="L666" s="10">
        <f>IF(Planilha1!F663="","",Planilha1!F663)</f>
        <v>141</v>
      </c>
      <c r="M666" s="10">
        <f>IF(Planilha1!G663="","",IF(Planilha1!G663=0,"",Planilha1!G663))</f>
        <v>141</v>
      </c>
      <c r="N666" s="5">
        <f t="shared" si="81"/>
        <v>1</v>
      </c>
      <c r="O666" s="5">
        <f t="shared" si="82"/>
        <v>0</v>
      </c>
      <c r="P666" s="5">
        <f t="shared" si="83"/>
        <v>0</v>
      </c>
      <c r="Q666" s="5">
        <f t="shared" si="84"/>
        <v>2</v>
      </c>
      <c r="R666" s="8">
        <f t="shared" si="85"/>
        <v>0</v>
      </c>
      <c r="S666" s="8">
        <f t="shared" si="86"/>
        <v>0</v>
      </c>
      <c r="T666" s="3" t="e">
        <f t="shared" si="87"/>
        <v>#VALUE!</v>
      </c>
      <c r="V666" s="1" t="e">
        <f t="shared" si="88"/>
        <v>#VALUE!</v>
      </c>
    </row>
    <row r="667" spans="8:22" x14ac:dyDescent="0.3">
      <c r="H667" s="2" t="str">
        <f>IF(Planilha1!B664="","",Planilha1!B664)</f>
        <v>7:00p</v>
      </c>
      <c r="I667" s="2" t="str">
        <f>IF(Planilha1!C664="","",Planilha1!C664)</f>
        <v>Dallas Mavericks</v>
      </c>
      <c r="J667" s="2">
        <f>IF(Planilha1!D664="","",Planilha1!D664)</f>
        <v>148</v>
      </c>
      <c r="K667" s="10" t="str">
        <f>IF(Planilha1!E664="","",IF(Planilha1!E664=0,"",Planilha1!E664))</f>
        <v>Atlanta Hawks</v>
      </c>
      <c r="L667" s="10">
        <f>IF(Planilha1!F664="","",Planilha1!F664)</f>
        <v>143</v>
      </c>
      <c r="M667" s="10">
        <f>IF(Planilha1!G664="","",IF(Planilha1!G664=0,"",Planilha1!G664))</f>
        <v>143</v>
      </c>
      <c r="N667" s="5">
        <f t="shared" si="81"/>
        <v>1</v>
      </c>
      <c r="O667" s="5">
        <f t="shared" si="82"/>
        <v>0</v>
      </c>
      <c r="P667" s="5">
        <f t="shared" si="83"/>
        <v>0</v>
      </c>
      <c r="Q667" s="5">
        <f t="shared" si="84"/>
        <v>2</v>
      </c>
      <c r="R667" s="8">
        <f t="shared" si="85"/>
        <v>0</v>
      </c>
      <c r="S667" s="8">
        <f t="shared" si="86"/>
        <v>0</v>
      </c>
      <c r="T667" s="3" t="e">
        <f t="shared" si="87"/>
        <v>#VALUE!</v>
      </c>
      <c r="V667" s="1" t="e">
        <f t="shared" si="88"/>
        <v>#VALUE!</v>
      </c>
    </row>
    <row r="668" spans="8:22" x14ac:dyDescent="0.3">
      <c r="H668" s="2" t="str">
        <f>IF(Planilha1!B665="","",Planilha1!B665)</f>
        <v>7:00p</v>
      </c>
      <c r="I668" s="2" t="str">
        <f>IF(Planilha1!C665="","",Planilha1!C665)</f>
        <v>Houston Rockets</v>
      </c>
      <c r="J668" s="2">
        <f>IF(Planilha1!D665="","",Planilha1!D665)</f>
        <v>138</v>
      </c>
      <c r="K668" s="10" t="str">
        <f>IF(Planilha1!E665="","",IF(Planilha1!E665=0,"",Planilha1!E665))</f>
        <v>Charlotte Hornets</v>
      </c>
      <c r="L668" s="10">
        <f>IF(Planilha1!F665="","",Planilha1!F665)</f>
        <v>104</v>
      </c>
      <c r="M668" s="10">
        <f>IF(Planilha1!G665="","",IF(Planilha1!G665=0,"",Planilha1!G665))</f>
        <v>104</v>
      </c>
      <c r="N668" s="5">
        <f t="shared" si="81"/>
        <v>1</v>
      </c>
      <c r="O668" s="5">
        <f t="shared" si="82"/>
        <v>0</v>
      </c>
      <c r="P668" s="5">
        <f t="shared" si="83"/>
        <v>0</v>
      </c>
      <c r="Q668" s="5">
        <f t="shared" si="84"/>
        <v>2</v>
      </c>
      <c r="R668" s="8">
        <f t="shared" si="85"/>
        <v>0</v>
      </c>
      <c r="S668" s="8">
        <f t="shared" si="86"/>
        <v>0</v>
      </c>
      <c r="T668" s="3" t="e">
        <f t="shared" si="87"/>
        <v>#VALUE!</v>
      </c>
      <c r="V668" s="1" t="e">
        <f t="shared" si="88"/>
        <v>#VALUE!</v>
      </c>
    </row>
    <row r="669" spans="8:22" x14ac:dyDescent="0.3">
      <c r="H669" s="2" t="str">
        <f>IF(Planilha1!B666="","",Planilha1!B666)</f>
        <v>7:00p</v>
      </c>
      <c r="I669" s="2" t="str">
        <f>IF(Planilha1!C666="","",Planilha1!C666)</f>
        <v>Phoenix Suns</v>
      </c>
      <c r="J669" s="2">
        <f>IF(Planilha1!D666="","",Planilha1!D666)</f>
        <v>131</v>
      </c>
      <c r="K669" s="10" t="str">
        <f>IF(Planilha1!E666="","",IF(Planilha1!E666=0,"",Planilha1!E666))</f>
        <v>Indiana Pacers</v>
      </c>
      <c r="L669" s="10">
        <f>IF(Planilha1!F666="","",Planilha1!F666)</f>
        <v>133</v>
      </c>
      <c r="M669" s="10">
        <f>IF(Planilha1!G666="","",IF(Planilha1!G666=0,"",Planilha1!G666))</f>
        <v>133</v>
      </c>
      <c r="N669" s="5">
        <f t="shared" si="81"/>
        <v>1</v>
      </c>
      <c r="O669" s="5">
        <f t="shared" si="82"/>
        <v>0</v>
      </c>
      <c r="P669" s="5">
        <f t="shared" si="83"/>
        <v>0</v>
      </c>
      <c r="Q669" s="5">
        <f t="shared" si="84"/>
        <v>2</v>
      </c>
      <c r="R669" s="8">
        <f t="shared" si="85"/>
        <v>0</v>
      </c>
      <c r="S669" s="8">
        <f t="shared" si="86"/>
        <v>0</v>
      </c>
      <c r="T669" s="3" t="e">
        <f t="shared" si="87"/>
        <v>#VALUE!</v>
      </c>
      <c r="V669" s="1" t="e">
        <f t="shared" si="88"/>
        <v>#VALUE!</v>
      </c>
    </row>
    <row r="670" spans="8:22" x14ac:dyDescent="0.3">
      <c r="H670" s="2" t="str">
        <f>IF(Planilha1!B667="","",Planilha1!B667)</f>
        <v>7:30p</v>
      </c>
      <c r="I670" s="2" t="str">
        <f>IF(Planilha1!C667="","",Planilha1!C667)</f>
        <v>Los Angeles Clippers</v>
      </c>
      <c r="J670" s="2">
        <f>IF(Planilha1!D667="","",Planilha1!D667)</f>
        <v>127</v>
      </c>
      <c r="K670" s="10" t="str">
        <f>IF(Planilha1!E667="","",IF(Planilha1!E667=0,"",Planilha1!E667))</f>
        <v>Toronto Raptors</v>
      </c>
      <c r="L670" s="10">
        <f>IF(Planilha1!F667="","",Planilha1!F667)</f>
        <v>107</v>
      </c>
      <c r="M670" s="10">
        <f>IF(Planilha1!G667="","",IF(Planilha1!G667=0,"",Planilha1!G667))</f>
        <v>107</v>
      </c>
      <c r="N670" s="5">
        <f t="shared" si="81"/>
        <v>1</v>
      </c>
      <c r="O670" s="5">
        <f t="shared" si="82"/>
        <v>0</v>
      </c>
      <c r="P670" s="5">
        <f t="shared" si="83"/>
        <v>0</v>
      </c>
      <c r="Q670" s="5">
        <f t="shared" si="84"/>
        <v>2</v>
      </c>
      <c r="R670" s="8">
        <f t="shared" si="85"/>
        <v>0</v>
      </c>
      <c r="S670" s="8">
        <f t="shared" si="86"/>
        <v>0</v>
      </c>
      <c r="T670" s="3" t="e">
        <f t="shared" si="87"/>
        <v>#VALUE!</v>
      </c>
      <c r="V670" s="1" t="e">
        <f t="shared" si="88"/>
        <v>#VALUE!</v>
      </c>
    </row>
    <row r="671" spans="8:22" x14ac:dyDescent="0.3">
      <c r="H671" s="2" t="str">
        <f>IF(Planilha1!B668="","",Planilha1!B668)</f>
        <v>8:00p</v>
      </c>
      <c r="I671" s="2" t="str">
        <f>IF(Planilha1!C668="","",Planilha1!C668)</f>
        <v>Orlando Magic</v>
      </c>
      <c r="J671" s="2">
        <f>IF(Planilha1!D668="","",Planilha1!D668)</f>
        <v>106</v>
      </c>
      <c r="K671" s="10" t="str">
        <f>IF(Planilha1!E668="","",IF(Planilha1!E668=0,"",Planilha1!E668))</f>
        <v>Memphis Grizzlies</v>
      </c>
      <c r="L671" s="10">
        <f>IF(Planilha1!F668="","",Planilha1!F668)</f>
        <v>107</v>
      </c>
      <c r="M671" s="10">
        <f>IF(Planilha1!G668="","",IF(Planilha1!G668=0,"",Planilha1!G668))</f>
        <v>107</v>
      </c>
      <c r="N671" s="5">
        <f t="shared" si="81"/>
        <v>1</v>
      </c>
      <c r="O671" s="5">
        <f t="shared" si="82"/>
        <v>0</v>
      </c>
      <c r="P671" s="5">
        <f t="shared" si="83"/>
        <v>0</v>
      </c>
      <c r="Q671" s="5">
        <f t="shared" si="84"/>
        <v>2</v>
      </c>
      <c r="R671" s="8">
        <f t="shared" si="85"/>
        <v>0</v>
      </c>
      <c r="S671" s="8">
        <f t="shared" si="86"/>
        <v>0</v>
      </c>
      <c r="T671" s="3" t="e">
        <f t="shared" si="87"/>
        <v>#VALUE!</v>
      </c>
      <c r="V671" s="1" t="e">
        <f t="shared" si="88"/>
        <v>#VALUE!</v>
      </c>
    </row>
    <row r="672" spans="8:22" x14ac:dyDescent="0.3">
      <c r="H672" s="2" t="str">
        <f>IF(Planilha1!B669="","",Planilha1!B669)</f>
        <v>8:00p</v>
      </c>
      <c r="I672" s="2" t="str">
        <f>IF(Planilha1!C669="","",Planilha1!C669)</f>
        <v>Cleveland Cavaliers</v>
      </c>
      <c r="J672" s="2">
        <f>IF(Planilha1!D669="","",Planilha1!D669)</f>
        <v>112</v>
      </c>
      <c r="K672" s="10" t="str">
        <f>IF(Planilha1!E669="","",IF(Planilha1!E669=0,"",Planilha1!E669))</f>
        <v>Milwaukee Bucks</v>
      </c>
      <c r="L672" s="10">
        <f>IF(Planilha1!F669="","",Planilha1!F669)</f>
        <v>100</v>
      </c>
      <c r="M672" s="10">
        <f>IF(Planilha1!G669="","",IF(Planilha1!G669=0,"",Planilha1!G669))</f>
        <v>100</v>
      </c>
      <c r="N672" s="5">
        <f t="shared" si="81"/>
        <v>1</v>
      </c>
      <c r="O672" s="5">
        <f t="shared" si="82"/>
        <v>0</v>
      </c>
      <c r="P672" s="5">
        <f t="shared" si="83"/>
        <v>0</v>
      </c>
      <c r="Q672" s="5">
        <f t="shared" si="84"/>
        <v>2</v>
      </c>
      <c r="R672" s="8">
        <f t="shared" si="85"/>
        <v>0</v>
      </c>
      <c r="S672" s="8">
        <f t="shared" si="86"/>
        <v>0</v>
      </c>
      <c r="T672" s="3" t="e">
        <f t="shared" si="87"/>
        <v>#VALUE!</v>
      </c>
      <c r="V672" s="1" t="e">
        <f t="shared" si="88"/>
        <v>#VALUE!</v>
      </c>
    </row>
    <row r="673" spans="8:22" x14ac:dyDescent="0.3">
      <c r="H673" s="2" t="str">
        <f>IF(Planilha1!B670="","",Planilha1!B670)</f>
        <v>8:00p</v>
      </c>
      <c r="I673" s="2" t="str">
        <f>IF(Planilha1!C670="","",Planilha1!C670)</f>
        <v>Oklahoma City Thunder</v>
      </c>
      <c r="J673" s="2">
        <f>IF(Planilha1!D670="","",Planilha1!D670)</f>
        <v>107</v>
      </c>
      <c r="K673" s="10" t="str">
        <f>IF(Planilha1!E670="","",IF(Planilha1!E670=0,"",Planilha1!E670))</f>
        <v>New Orleans Pelicans</v>
      </c>
      <c r="L673" s="10">
        <f>IF(Planilha1!F670="","",Planilha1!F670)</f>
        <v>83</v>
      </c>
      <c r="M673" s="10">
        <f>IF(Planilha1!G670="","",IF(Planilha1!G670=0,"",Planilha1!G670))</f>
        <v>83</v>
      </c>
      <c r="N673" s="5">
        <f t="shared" si="81"/>
        <v>1</v>
      </c>
      <c r="O673" s="5">
        <f t="shared" si="82"/>
        <v>0</v>
      </c>
      <c r="P673" s="5">
        <f t="shared" si="83"/>
        <v>0</v>
      </c>
      <c r="Q673" s="5">
        <f t="shared" si="84"/>
        <v>2</v>
      </c>
      <c r="R673" s="8">
        <f t="shared" si="85"/>
        <v>0</v>
      </c>
      <c r="S673" s="8">
        <f t="shared" si="86"/>
        <v>0</v>
      </c>
      <c r="T673" s="3" t="e">
        <f t="shared" si="87"/>
        <v>#VALUE!</v>
      </c>
      <c r="V673" s="1" t="e">
        <f t="shared" si="88"/>
        <v>#VALUE!</v>
      </c>
    </row>
    <row r="674" spans="8:22" x14ac:dyDescent="0.3">
      <c r="H674" s="2" t="str">
        <f>IF(Planilha1!B671="","",Planilha1!B671)</f>
        <v>9:30p</v>
      </c>
      <c r="I674" s="2" t="str">
        <f>IF(Planilha1!C671="","",Planilha1!C671)</f>
        <v>Portland Trail Blazers</v>
      </c>
      <c r="J674" s="2">
        <f>IF(Planilha1!D671="","",Planilha1!D671)</f>
        <v>100</v>
      </c>
      <c r="K674" s="10" t="str">
        <f>IF(Planilha1!E671="","",IF(Planilha1!E671=0,"",Planilha1!E671))</f>
        <v>San Antonio Spurs</v>
      </c>
      <c r="L674" s="10">
        <f>IF(Planilha1!F671="","",Planilha1!F671)</f>
        <v>116</v>
      </c>
      <c r="M674" s="10">
        <f>IF(Planilha1!G671="","",IF(Planilha1!G671=0,"",Planilha1!G671))</f>
        <v>116</v>
      </c>
      <c r="N674" s="5">
        <f t="shared" si="81"/>
        <v>1</v>
      </c>
      <c r="O674" s="5">
        <f t="shared" si="82"/>
        <v>0</v>
      </c>
      <c r="P674" s="5">
        <f t="shared" si="83"/>
        <v>0</v>
      </c>
      <c r="Q674" s="5">
        <f t="shared" si="84"/>
        <v>2</v>
      </c>
      <c r="R674" s="8">
        <f t="shared" si="85"/>
        <v>0</v>
      </c>
      <c r="S674" s="8">
        <f t="shared" si="86"/>
        <v>0</v>
      </c>
      <c r="T674" s="3" t="e">
        <f t="shared" si="87"/>
        <v>#VALUE!</v>
      </c>
      <c r="V674" s="1" t="e">
        <f t="shared" si="88"/>
        <v>#VALUE!</v>
      </c>
    </row>
    <row r="675" spans="8:22" x14ac:dyDescent="0.3">
      <c r="H675" s="2" t="str">
        <f>IF(Planilha1!B672="","",Planilha1!B672)</f>
        <v>12:00p</v>
      </c>
      <c r="I675" s="2" t="str">
        <f>IF(Planilha1!C672="","",Planilha1!C672)</f>
        <v>Washington Wizards</v>
      </c>
      <c r="J675" s="2">
        <f>IF(Planilha1!D672="","",Planilha1!D672)</f>
        <v>118</v>
      </c>
      <c r="K675" s="10" t="str">
        <f>IF(Planilha1!E672="","",IF(Planilha1!E672=0,"",Planilha1!E672))</f>
        <v>Detroit Pistons</v>
      </c>
      <c r="L675" s="10">
        <f>IF(Planilha1!F672="","",Planilha1!F672)</f>
        <v>104</v>
      </c>
      <c r="M675" s="10">
        <f>IF(Planilha1!G672="","",IF(Planilha1!G672=0,"",Planilha1!G672))</f>
        <v>104</v>
      </c>
      <c r="N675" s="5">
        <f t="shared" si="81"/>
        <v>1</v>
      </c>
      <c r="O675" s="5">
        <f t="shared" si="82"/>
        <v>0</v>
      </c>
      <c r="P675" s="5">
        <f t="shared" si="83"/>
        <v>0</v>
      </c>
      <c r="Q675" s="5">
        <f t="shared" si="84"/>
        <v>2</v>
      </c>
      <c r="R675" s="8">
        <f t="shared" si="85"/>
        <v>0</v>
      </c>
      <c r="S675" s="8">
        <f t="shared" si="86"/>
        <v>0</v>
      </c>
      <c r="T675" s="3" t="e">
        <f t="shared" si="87"/>
        <v>#VALUE!</v>
      </c>
      <c r="V675" s="1" t="e">
        <f t="shared" si="88"/>
        <v>#VALUE!</v>
      </c>
    </row>
    <row r="676" spans="8:22" x14ac:dyDescent="0.3">
      <c r="H676" s="2" t="str">
        <f>IF(Planilha1!B673="","",Planilha1!B673)</f>
        <v>3:00p</v>
      </c>
      <c r="I676" s="2" t="str">
        <f>IF(Planilha1!C673="","",Planilha1!C673)</f>
        <v>Miami Heat</v>
      </c>
      <c r="J676" s="2">
        <f>IF(Planilha1!D673="","",Planilha1!D673)</f>
        <v>109</v>
      </c>
      <c r="K676" s="10" t="str">
        <f>IF(Planilha1!E673="","",IF(Planilha1!E673=0,"",Planilha1!E673))</f>
        <v>New York Knicks</v>
      </c>
      <c r="L676" s="10">
        <f>IF(Planilha1!F673="","",Planilha1!F673)</f>
        <v>125</v>
      </c>
      <c r="M676" s="10">
        <f>IF(Planilha1!G673="","",IF(Planilha1!G673=0,"",Planilha1!G673))</f>
        <v>125</v>
      </c>
      <c r="N676" s="5">
        <f t="shared" si="81"/>
        <v>1</v>
      </c>
      <c r="O676" s="5">
        <f t="shared" si="82"/>
        <v>0</v>
      </c>
      <c r="P676" s="5">
        <f t="shared" si="83"/>
        <v>0</v>
      </c>
      <c r="Q676" s="5">
        <f t="shared" si="84"/>
        <v>2</v>
      </c>
      <c r="R676" s="8">
        <f t="shared" si="85"/>
        <v>0</v>
      </c>
      <c r="S676" s="8">
        <f t="shared" si="86"/>
        <v>0</v>
      </c>
      <c r="T676" s="3" t="e">
        <f t="shared" si="87"/>
        <v>#VALUE!</v>
      </c>
      <c r="V676" s="1" t="e">
        <f t="shared" si="88"/>
        <v>#VALUE!</v>
      </c>
    </row>
    <row r="677" spans="8:22" x14ac:dyDescent="0.3">
      <c r="H677" s="2" t="str">
        <f>IF(Planilha1!B674="","",Planilha1!B674)</f>
        <v>5:30p</v>
      </c>
      <c r="I677" s="2" t="str">
        <f>IF(Planilha1!C674="","",Planilha1!C674)</f>
        <v>Philadelphia 76ers</v>
      </c>
      <c r="J677" s="2">
        <f>IF(Planilha1!D674="","",Planilha1!D674)</f>
        <v>105</v>
      </c>
      <c r="K677" s="10" t="str">
        <f>IF(Planilha1!E674="","",IF(Planilha1!E674=0,"",Planilha1!E674))</f>
        <v>Denver Nuggets</v>
      </c>
      <c r="L677" s="10">
        <f>IF(Planilha1!F674="","",Planilha1!F674)</f>
        <v>111</v>
      </c>
      <c r="M677" s="10">
        <f>IF(Planilha1!G674="","",IF(Planilha1!G674=0,"",Planilha1!G674))</f>
        <v>111</v>
      </c>
      <c r="N677" s="5">
        <f t="shared" si="81"/>
        <v>1</v>
      </c>
      <c r="O677" s="5">
        <f t="shared" si="82"/>
        <v>0</v>
      </c>
      <c r="P677" s="5">
        <f t="shared" si="83"/>
        <v>0</v>
      </c>
      <c r="Q677" s="5">
        <f t="shared" si="84"/>
        <v>2</v>
      </c>
      <c r="R677" s="8">
        <f t="shared" si="85"/>
        <v>0</v>
      </c>
      <c r="S677" s="8">
        <f t="shared" si="86"/>
        <v>0</v>
      </c>
      <c r="T677" s="3" t="e">
        <f t="shared" si="87"/>
        <v>#VALUE!</v>
      </c>
      <c r="V677" s="1" t="e">
        <f t="shared" si="88"/>
        <v>#VALUE!</v>
      </c>
    </row>
    <row r="678" spans="8:22" x14ac:dyDescent="0.3">
      <c r="H678" s="2" t="str">
        <f>IF(Planilha1!B675="","",Planilha1!B675)</f>
        <v>6:00p</v>
      </c>
      <c r="I678" s="2" t="str">
        <f>IF(Planilha1!C675="","",Planilha1!C675)</f>
        <v>Houston Rockets</v>
      </c>
      <c r="J678" s="2">
        <f>IF(Planilha1!D675="","",Planilha1!D675)</f>
        <v>104</v>
      </c>
      <c r="K678" s="10" t="str">
        <f>IF(Planilha1!E675="","",IF(Planilha1!E675=0,"",Planilha1!E675))</f>
        <v>Brooklyn Nets</v>
      </c>
      <c r="L678" s="10">
        <f>IF(Planilha1!F675="","",Planilha1!F675)</f>
        <v>106</v>
      </c>
      <c r="M678" s="10">
        <f>IF(Planilha1!G675="","",IF(Planilha1!G675=0,"",Planilha1!G675))</f>
        <v>106</v>
      </c>
      <c r="N678" s="5">
        <f t="shared" si="81"/>
        <v>1</v>
      </c>
      <c r="O678" s="5">
        <f t="shared" si="82"/>
        <v>0</v>
      </c>
      <c r="P678" s="5">
        <f t="shared" si="83"/>
        <v>0</v>
      </c>
      <c r="Q678" s="5">
        <f t="shared" si="84"/>
        <v>2</v>
      </c>
      <c r="R678" s="8">
        <f t="shared" si="85"/>
        <v>0</v>
      </c>
      <c r="S678" s="8">
        <f t="shared" si="86"/>
        <v>0</v>
      </c>
      <c r="T678" s="3" t="e">
        <f t="shared" si="87"/>
        <v>#VALUE!</v>
      </c>
      <c r="V678" s="1" t="e">
        <f t="shared" si="88"/>
        <v>#VALUE!</v>
      </c>
    </row>
    <row r="679" spans="8:22" x14ac:dyDescent="0.3">
      <c r="H679" s="2" t="str">
        <f>IF(Planilha1!B676="","",Planilha1!B676)</f>
        <v>7:00p</v>
      </c>
      <c r="I679" s="2" t="str">
        <f>IF(Planilha1!C676="","",Planilha1!C676)</f>
        <v>Los Angeles Clippers</v>
      </c>
      <c r="J679" s="2">
        <f>IF(Planilha1!D676="","",Planilha1!D676)</f>
        <v>115</v>
      </c>
      <c r="K679" s="10" t="str">
        <f>IF(Planilha1!E676="","",IF(Planilha1!E676=0,"",Planilha1!E676))</f>
        <v>Boston Celtics</v>
      </c>
      <c r="L679" s="10">
        <f>IF(Planilha1!F676="","",Planilha1!F676)</f>
        <v>96</v>
      </c>
      <c r="M679" s="10">
        <f>IF(Planilha1!G676="","",IF(Planilha1!G676=0,"",Planilha1!G676))</f>
        <v>96</v>
      </c>
      <c r="N679" s="5">
        <f t="shared" si="81"/>
        <v>1</v>
      </c>
      <c r="O679" s="5">
        <f t="shared" si="82"/>
        <v>0</v>
      </c>
      <c r="P679" s="5">
        <f t="shared" si="83"/>
        <v>0</v>
      </c>
      <c r="Q679" s="5">
        <f t="shared" si="84"/>
        <v>2</v>
      </c>
      <c r="R679" s="8">
        <f t="shared" si="85"/>
        <v>0</v>
      </c>
      <c r="S679" s="8">
        <f t="shared" si="86"/>
        <v>0</v>
      </c>
      <c r="T679" s="3" t="e">
        <f t="shared" si="87"/>
        <v>#VALUE!</v>
      </c>
      <c r="V679" s="1" t="e">
        <f t="shared" si="88"/>
        <v>#VALUE!</v>
      </c>
    </row>
    <row r="680" spans="8:22" x14ac:dyDescent="0.3">
      <c r="H680" s="2" t="str">
        <f>IF(Planilha1!B677="","",Planilha1!B677)</f>
        <v>7:00p</v>
      </c>
      <c r="I680" s="2" t="str">
        <f>IF(Planilha1!C677="","",Planilha1!C677)</f>
        <v>Utah Jazz</v>
      </c>
      <c r="J680" s="2">
        <f>IF(Planilha1!D677="","",Planilha1!D677)</f>
        <v>134</v>
      </c>
      <c r="K680" s="10" t="str">
        <f>IF(Planilha1!E677="","",IF(Planilha1!E677=0,"",Planilha1!E677))</f>
        <v>Charlotte Hornets</v>
      </c>
      <c r="L680" s="10">
        <f>IF(Planilha1!F677="","",Planilha1!F677)</f>
        <v>122</v>
      </c>
      <c r="M680" s="10">
        <f>IF(Planilha1!G677="","",IF(Planilha1!G677=0,"",Planilha1!G677))</f>
        <v>122</v>
      </c>
      <c r="N680" s="5">
        <f t="shared" si="81"/>
        <v>1</v>
      </c>
      <c r="O680" s="5">
        <f t="shared" si="82"/>
        <v>0</v>
      </c>
      <c r="P680" s="5">
        <f t="shared" si="83"/>
        <v>0</v>
      </c>
      <c r="Q680" s="5">
        <f t="shared" si="84"/>
        <v>2</v>
      </c>
      <c r="R680" s="8">
        <f t="shared" si="85"/>
        <v>0</v>
      </c>
      <c r="S680" s="8">
        <f t="shared" si="86"/>
        <v>0</v>
      </c>
      <c r="T680" s="3" t="e">
        <f t="shared" si="87"/>
        <v>#VALUE!</v>
      </c>
      <c r="V680" s="1" t="e">
        <f t="shared" si="88"/>
        <v>#VALUE!</v>
      </c>
    </row>
    <row r="681" spans="8:22" x14ac:dyDescent="0.3">
      <c r="H681" s="2" t="str">
        <f>IF(Planilha1!B678="","",Planilha1!B678)</f>
        <v>8:00p</v>
      </c>
      <c r="I681" s="2" t="str">
        <f>IF(Planilha1!C678="","",Planilha1!C678)</f>
        <v>New Orleans Pelicans</v>
      </c>
      <c r="J681" s="2">
        <f>IF(Planilha1!D678="","",Planilha1!D678)</f>
        <v>117</v>
      </c>
      <c r="K681" s="10" t="str">
        <f>IF(Planilha1!E678="","",IF(Planilha1!E678=0,"",Planilha1!E678))</f>
        <v>Milwaukee Bucks</v>
      </c>
      <c r="L681" s="10">
        <f>IF(Planilha1!F678="","",Planilha1!F678)</f>
        <v>141</v>
      </c>
      <c r="M681" s="10">
        <f>IF(Planilha1!G678="","",IF(Planilha1!G678=0,"",Planilha1!G678))</f>
        <v>141</v>
      </c>
      <c r="N681" s="5">
        <f t="shared" si="81"/>
        <v>1</v>
      </c>
      <c r="O681" s="5">
        <f t="shared" si="82"/>
        <v>0</v>
      </c>
      <c r="P681" s="5">
        <f t="shared" si="83"/>
        <v>0</v>
      </c>
      <c r="Q681" s="5">
        <f t="shared" si="84"/>
        <v>2</v>
      </c>
      <c r="R681" s="8">
        <f t="shared" si="85"/>
        <v>0</v>
      </c>
      <c r="S681" s="8">
        <f t="shared" si="86"/>
        <v>0</v>
      </c>
      <c r="T681" s="3" t="e">
        <f t="shared" si="87"/>
        <v>#VALUE!</v>
      </c>
      <c r="V681" s="1" t="e">
        <f t="shared" si="88"/>
        <v>#VALUE!</v>
      </c>
    </row>
    <row r="682" spans="8:22" x14ac:dyDescent="0.3">
      <c r="H682" s="2" t="str">
        <f>IF(Planilha1!B679="","",Planilha1!B679)</f>
        <v>8:30p</v>
      </c>
      <c r="I682" s="2" t="str">
        <f>IF(Planilha1!C679="","",Planilha1!C679)</f>
        <v>Los Angeles Lakers</v>
      </c>
      <c r="J682" s="2">
        <f>IF(Planilha1!D679="","",Planilha1!D679)</f>
        <v>145</v>
      </c>
      <c r="K682" s="10" t="str">
        <f>IF(Planilha1!E679="","",IF(Planilha1!E679=0,"",Planilha1!E679))</f>
        <v>Golden State Warriors</v>
      </c>
      <c r="L682" s="10">
        <f>IF(Planilha1!F679="","",Planilha1!F679)</f>
        <v>144</v>
      </c>
      <c r="M682" s="10">
        <f>IF(Planilha1!G679="","",IF(Planilha1!G679=0,"",Planilha1!G679))</f>
        <v>144</v>
      </c>
      <c r="N682" s="5">
        <f t="shared" si="81"/>
        <v>1</v>
      </c>
      <c r="O682" s="5">
        <f t="shared" si="82"/>
        <v>0</v>
      </c>
      <c r="P682" s="5">
        <f t="shared" si="83"/>
        <v>0</v>
      </c>
      <c r="Q682" s="5">
        <f t="shared" si="84"/>
        <v>2</v>
      </c>
      <c r="R682" s="8">
        <f t="shared" si="85"/>
        <v>0</v>
      </c>
      <c r="S682" s="8">
        <f t="shared" si="86"/>
        <v>0</v>
      </c>
      <c r="T682" s="3" t="e">
        <f t="shared" si="87"/>
        <v>#VALUE!</v>
      </c>
      <c r="V682" s="1" t="e">
        <f t="shared" si="88"/>
        <v>#VALUE!</v>
      </c>
    </row>
    <row r="683" spans="8:22" x14ac:dyDescent="0.3">
      <c r="H683" s="2" t="str">
        <f>IF(Planilha1!B680="","",Planilha1!B680)</f>
        <v>8:30p</v>
      </c>
      <c r="I683" s="2" t="str">
        <f>IF(Planilha1!C680="","",Planilha1!C680)</f>
        <v>Minnesota Timberwolves</v>
      </c>
      <c r="J683" s="2">
        <f>IF(Planilha1!D680="","",Planilha1!D680)</f>
        <v>112</v>
      </c>
      <c r="K683" s="10" t="str">
        <f>IF(Planilha1!E680="","",IF(Planilha1!E680=0,"",Planilha1!E680))</f>
        <v>San Antonio Spurs</v>
      </c>
      <c r="L683" s="10">
        <f>IF(Planilha1!F680="","",Planilha1!F680)</f>
        <v>113</v>
      </c>
      <c r="M683" s="10">
        <f>IF(Planilha1!G680="","",IF(Planilha1!G680=0,"",Planilha1!G680))</f>
        <v>113</v>
      </c>
      <c r="N683" s="5">
        <f t="shared" si="81"/>
        <v>1</v>
      </c>
      <c r="O683" s="5">
        <f t="shared" si="82"/>
        <v>0</v>
      </c>
      <c r="P683" s="5">
        <f t="shared" si="83"/>
        <v>0</v>
      </c>
      <c r="Q683" s="5">
        <f t="shared" si="84"/>
        <v>2</v>
      </c>
      <c r="R683" s="8">
        <f t="shared" si="85"/>
        <v>0</v>
      </c>
      <c r="S683" s="8">
        <f t="shared" si="86"/>
        <v>0</v>
      </c>
      <c r="T683" s="3" t="e">
        <f t="shared" si="87"/>
        <v>#VALUE!</v>
      </c>
      <c r="V683" s="1" t="e">
        <f t="shared" si="88"/>
        <v>#VALUE!</v>
      </c>
    </row>
    <row r="684" spans="8:22" x14ac:dyDescent="0.3">
      <c r="H684" s="2" t="str">
        <f>IF(Planilha1!B681="","",Planilha1!B681)</f>
        <v>9:00p</v>
      </c>
      <c r="I684" s="2" t="str">
        <f>IF(Planilha1!C681="","",Planilha1!C681)</f>
        <v>Sacramento Kings</v>
      </c>
      <c r="J684" s="2">
        <f>IF(Planilha1!D681="","",Planilha1!D681)</f>
        <v>120</v>
      </c>
      <c r="K684" s="10" t="str">
        <f>IF(Planilha1!E681="","",IF(Planilha1!E681=0,"",Planilha1!E681))</f>
        <v>Dallas Mavericks</v>
      </c>
      <c r="L684" s="10">
        <f>IF(Planilha1!F681="","",Planilha1!F681)</f>
        <v>115</v>
      </c>
      <c r="M684" s="10">
        <f>IF(Planilha1!G681="","",IF(Planilha1!G681=0,"",Planilha1!G681))</f>
        <v>115</v>
      </c>
      <c r="N684" s="5">
        <f t="shared" si="81"/>
        <v>1</v>
      </c>
      <c r="O684" s="5">
        <f t="shared" si="82"/>
        <v>0</v>
      </c>
      <c r="P684" s="5">
        <f t="shared" si="83"/>
        <v>0</v>
      </c>
      <c r="Q684" s="5">
        <f t="shared" si="84"/>
        <v>2</v>
      </c>
      <c r="R684" s="8">
        <f t="shared" si="85"/>
        <v>0</v>
      </c>
      <c r="S684" s="8">
        <f t="shared" si="86"/>
        <v>0</v>
      </c>
      <c r="T684" s="3" t="e">
        <f t="shared" si="87"/>
        <v>#VALUE!</v>
      </c>
      <c r="V684" s="1" t="e">
        <f t="shared" si="88"/>
        <v>#VALUE!</v>
      </c>
    </row>
    <row r="685" spans="8:22" x14ac:dyDescent="0.3">
      <c r="H685" s="2" t="str">
        <f>IF(Planilha1!B682="","",Planilha1!B682)</f>
        <v>2:00p</v>
      </c>
      <c r="I685" s="2" t="str">
        <f>IF(Planilha1!C682="","",Planilha1!C682)</f>
        <v>Oklahoma City Thunder</v>
      </c>
      <c r="J685" s="2">
        <f>IF(Planilha1!D682="","",Planilha1!D682)</f>
        <v>104</v>
      </c>
      <c r="K685" s="10" t="str">
        <f>IF(Planilha1!E682="","",IF(Planilha1!E682=0,"",Planilha1!E682))</f>
        <v>Detroit Pistons</v>
      </c>
      <c r="L685" s="10">
        <f>IF(Planilha1!F682="","",Planilha1!F682)</f>
        <v>120</v>
      </c>
      <c r="M685" s="10">
        <f>IF(Planilha1!G682="","",IF(Planilha1!G682=0,"",Planilha1!G682))</f>
        <v>120</v>
      </c>
      <c r="N685" s="5">
        <f t="shared" si="81"/>
        <v>1</v>
      </c>
      <c r="O685" s="5">
        <f t="shared" si="82"/>
        <v>0</v>
      </c>
      <c r="P685" s="5">
        <f t="shared" si="83"/>
        <v>0</v>
      </c>
      <c r="Q685" s="5">
        <f t="shared" si="84"/>
        <v>2</v>
      </c>
      <c r="R685" s="8">
        <f t="shared" si="85"/>
        <v>0</v>
      </c>
      <c r="S685" s="8">
        <f t="shared" si="86"/>
        <v>0</v>
      </c>
      <c r="T685" s="3" t="e">
        <f t="shared" si="87"/>
        <v>#VALUE!</v>
      </c>
      <c r="V685" s="1" t="e">
        <f t="shared" si="88"/>
        <v>#VALUE!</v>
      </c>
    </row>
    <row r="686" spans="8:22" x14ac:dyDescent="0.3">
      <c r="H686" s="2" t="str">
        <f>IF(Planilha1!B683="","",Planilha1!B683)</f>
        <v>3:30p</v>
      </c>
      <c r="I686" s="2" t="str">
        <f>IF(Planilha1!C683="","",Planilha1!C683)</f>
        <v>Memphis Grizzlies</v>
      </c>
      <c r="J686" s="2">
        <f>IF(Planilha1!D683="","",Planilha1!D683)</f>
        <v>110</v>
      </c>
      <c r="K686" s="10" t="str">
        <f>IF(Planilha1!E683="","",IF(Planilha1!E683=0,"",Planilha1!E683))</f>
        <v>Indiana Pacers</v>
      </c>
      <c r="L686" s="10">
        <f>IF(Planilha1!F683="","",Planilha1!F683)</f>
        <v>116</v>
      </c>
      <c r="M686" s="10">
        <f>IF(Planilha1!G683="","",IF(Planilha1!G683=0,"",Planilha1!G683))</f>
        <v>116</v>
      </c>
      <c r="N686" s="5">
        <f t="shared" si="81"/>
        <v>1</v>
      </c>
      <c r="O686" s="5">
        <f t="shared" si="82"/>
        <v>0</v>
      </c>
      <c r="P686" s="5">
        <f t="shared" si="83"/>
        <v>0</v>
      </c>
      <c r="Q686" s="5">
        <f t="shared" si="84"/>
        <v>2</v>
      </c>
      <c r="R686" s="8">
        <f t="shared" si="85"/>
        <v>0</v>
      </c>
      <c r="S686" s="8">
        <f t="shared" si="86"/>
        <v>0</v>
      </c>
      <c r="T686" s="3" t="e">
        <f t="shared" si="87"/>
        <v>#VALUE!</v>
      </c>
      <c r="V686" s="1" t="e">
        <f t="shared" si="88"/>
        <v>#VALUE!</v>
      </c>
    </row>
    <row r="687" spans="8:22" x14ac:dyDescent="0.3">
      <c r="H687" s="2" t="str">
        <f>IF(Planilha1!B684="","",Planilha1!B684)</f>
        <v>6:00p</v>
      </c>
      <c r="I687" s="2" t="str">
        <f>IF(Planilha1!C684="","",Planilha1!C684)</f>
        <v>Toronto Raptors</v>
      </c>
      <c r="J687" s="2">
        <f>IF(Planilha1!D684="","",Planilha1!D684)</f>
        <v>125</v>
      </c>
      <c r="K687" s="10" t="str">
        <f>IF(Planilha1!E684="","",IF(Planilha1!E684=0,"",Planilha1!E684))</f>
        <v>Atlanta Hawks</v>
      </c>
      <c r="L687" s="10">
        <f>IF(Planilha1!F684="","",Planilha1!F684)</f>
        <v>126</v>
      </c>
      <c r="M687" s="10">
        <f>IF(Planilha1!G684="","",IF(Planilha1!G684=0,"",Planilha1!G684))</f>
        <v>126</v>
      </c>
      <c r="N687" s="5">
        <f t="shared" si="81"/>
        <v>1</v>
      </c>
      <c r="O687" s="5">
        <f t="shared" si="82"/>
        <v>0</v>
      </c>
      <c r="P687" s="5">
        <f t="shared" si="83"/>
        <v>0</v>
      </c>
      <c r="Q687" s="5">
        <f t="shared" si="84"/>
        <v>2</v>
      </c>
      <c r="R687" s="8">
        <f t="shared" si="85"/>
        <v>0</v>
      </c>
      <c r="S687" s="8">
        <f t="shared" si="86"/>
        <v>0</v>
      </c>
      <c r="T687" s="3" t="e">
        <f t="shared" si="87"/>
        <v>#VALUE!</v>
      </c>
      <c r="V687" s="1" t="e">
        <f t="shared" si="88"/>
        <v>#VALUE!</v>
      </c>
    </row>
    <row r="688" spans="8:22" x14ac:dyDescent="0.3">
      <c r="H688" s="2" t="str">
        <f>IF(Planilha1!B685="","",Planilha1!B685)</f>
        <v>6:00p</v>
      </c>
      <c r="I688" s="2" t="str">
        <f>IF(Planilha1!C685="","",Planilha1!C685)</f>
        <v>Phoenix Suns</v>
      </c>
      <c r="J688" s="2">
        <f>IF(Planilha1!D685="","",Planilha1!D685)</f>
        <v>98</v>
      </c>
      <c r="K688" s="10" t="str">
        <f>IF(Planilha1!E685="","",IF(Planilha1!E685=0,"",Planilha1!E685))</f>
        <v>Orlando Magic</v>
      </c>
      <c r="L688" s="10">
        <f>IF(Planilha1!F685="","",Planilha1!F685)</f>
        <v>113</v>
      </c>
      <c r="M688" s="10">
        <f>IF(Planilha1!G685="","",IF(Planilha1!G685=0,"",Planilha1!G685))</f>
        <v>113</v>
      </c>
      <c r="N688" s="5">
        <f t="shared" si="81"/>
        <v>1</v>
      </c>
      <c r="O688" s="5">
        <f t="shared" si="82"/>
        <v>0</v>
      </c>
      <c r="P688" s="5">
        <f t="shared" si="83"/>
        <v>0</v>
      </c>
      <c r="Q688" s="5">
        <f t="shared" si="84"/>
        <v>2</v>
      </c>
      <c r="R688" s="8">
        <f t="shared" si="85"/>
        <v>0</v>
      </c>
      <c r="S688" s="8">
        <f t="shared" si="86"/>
        <v>0</v>
      </c>
      <c r="T688" s="3" t="e">
        <f t="shared" si="87"/>
        <v>#VALUE!</v>
      </c>
      <c r="V688" s="1" t="e">
        <f t="shared" si="88"/>
        <v>#VALUE!</v>
      </c>
    </row>
    <row r="689" spans="8:22" x14ac:dyDescent="0.3">
      <c r="H689" s="2" t="str">
        <f>IF(Planilha1!B686="","",Planilha1!B686)</f>
        <v>9:00p</v>
      </c>
      <c r="I689" s="2" t="str">
        <f>IF(Planilha1!C686="","",Planilha1!C686)</f>
        <v>Chicago Bulls</v>
      </c>
      <c r="J689" s="2">
        <f>IF(Planilha1!D686="","",Planilha1!D686)</f>
        <v>104</v>
      </c>
      <c r="K689" s="10" t="str">
        <f>IF(Planilha1!E686="","",IF(Planilha1!E686=0,"",Planilha1!E686))</f>
        <v>Portland Trail Blazers</v>
      </c>
      <c r="L689" s="10">
        <f>IF(Planilha1!F686="","",Planilha1!F686)</f>
        <v>96</v>
      </c>
      <c r="M689" s="10">
        <f>IF(Planilha1!G686="","",IF(Planilha1!G686=0,"",Planilha1!G686))</f>
        <v>96</v>
      </c>
      <c r="N689" s="5">
        <f t="shared" si="81"/>
        <v>1</v>
      </c>
      <c r="O689" s="5">
        <f t="shared" si="82"/>
        <v>0</v>
      </c>
      <c r="P689" s="5">
        <f t="shared" si="83"/>
        <v>0</v>
      </c>
      <c r="Q689" s="5">
        <f t="shared" si="84"/>
        <v>2</v>
      </c>
      <c r="R689" s="8">
        <f t="shared" si="85"/>
        <v>0</v>
      </c>
      <c r="S689" s="8">
        <f t="shared" si="86"/>
        <v>0</v>
      </c>
      <c r="T689" s="3" t="e">
        <f t="shared" si="87"/>
        <v>#VALUE!</v>
      </c>
      <c r="V689" s="1" t="e">
        <f t="shared" si="88"/>
        <v>#VALUE!</v>
      </c>
    </row>
    <row r="690" spans="8:22" x14ac:dyDescent="0.3">
      <c r="H690" s="2" t="str">
        <f>IF(Planilha1!B687="","",Planilha1!B687)</f>
        <v>7:00p</v>
      </c>
      <c r="I690" s="2" t="str">
        <f>IF(Planilha1!C687="","",Planilha1!C687)</f>
        <v>New York Knicks</v>
      </c>
      <c r="J690" s="2">
        <f>IF(Planilha1!D687="","",Planilha1!D687)</f>
        <v>0</v>
      </c>
      <c r="K690" s="10" t="str">
        <f>IF(Planilha1!E687="","",IF(Planilha1!E687=0,"",Planilha1!E687))</f>
        <v>Charlotte Hornets</v>
      </c>
      <c r="L690" s="10">
        <f>IF(Planilha1!F687="","",Planilha1!F687)</f>
        <v>0</v>
      </c>
      <c r="M690" s="10" t="str">
        <f>IF(Planilha1!G687="","",IF(Planilha1!G687=0,"",Planilha1!G687))</f>
        <v/>
      </c>
      <c r="N690" s="5">
        <f t="shared" si="81"/>
        <v>1</v>
      </c>
      <c r="O690" s="5">
        <f t="shared" si="82"/>
        <v>0</v>
      </c>
      <c r="P690" s="5">
        <f t="shared" si="83"/>
        <v>0</v>
      </c>
      <c r="Q690" s="5">
        <f t="shared" si="84"/>
        <v>2</v>
      </c>
      <c r="R690" s="8">
        <f t="shared" si="85"/>
        <v>0</v>
      </c>
      <c r="S690" s="8">
        <f t="shared" si="86"/>
        <v>0</v>
      </c>
      <c r="T690" s="3" t="str">
        <f t="shared" si="87"/>
        <v/>
      </c>
      <c r="V690" s="1" t="e">
        <f t="shared" si="88"/>
        <v>#VALUE!</v>
      </c>
    </row>
    <row r="691" spans="8:22" x14ac:dyDescent="0.3">
      <c r="H691" s="2" t="str">
        <f>IF(Planilha1!B688="","",Planilha1!B688)</f>
        <v>7:00p</v>
      </c>
      <c r="I691" s="2" t="str">
        <f>IF(Planilha1!C688="","",Planilha1!C688)</f>
        <v>Los Angeles Clippers</v>
      </c>
      <c r="J691" s="2">
        <f>IF(Planilha1!D688="","",Planilha1!D688)</f>
        <v>0</v>
      </c>
      <c r="K691" s="10" t="str">
        <f>IF(Planilha1!E688="","",IF(Planilha1!E688=0,"",Planilha1!E688))</f>
        <v>Cleveland Cavaliers</v>
      </c>
      <c r="L691" s="10">
        <f>IF(Planilha1!F688="","",Planilha1!F688)</f>
        <v>0</v>
      </c>
      <c r="M691" s="10" t="str">
        <f>IF(Planilha1!G688="","",IF(Planilha1!G688=0,"",Planilha1!G688))</f>
        <v/>
      </c>
      <c r="N691" s="5">
        <f t="shared" si="81"/>
        <v>1</v>
      </c>
      <c r="O691" s="5">
        <f t="shared" si="82"/>
        <v>0</v>
      </c>
      <c r="P691" s="5">
        <f t="shared" si="83"/>
        <v>0</v>
      </c>
      <c r="Q691" s="5">
        <f t="shared" si="84"/>
        <v>2</v>
      </c>
      <c r="R691" s="8">
        <f t="shared" si="85"/>
        <v>0</v>
      </c>
      <c r="S691" s="8">
        <f t="shared" si="86"/>
        <v>0</v>
      </c>
      <c r="T691" s="3" t="str">
        <f t="shared" si="87"/>
        <v/>
      </c>
      <c r="V691" s="1" t="e">
        <f t="shared" si="88"/>
        <v>#VALUE!</v>
      </c>
    </row>
    <row r="692" spans="8:22" x14ac:dyDescent="0.3">
      <c r="H692" s="2" t="str">
        <f>IF(Planilha1!B689="","",Planilha1!B689)</f>
        <v>7:30p</v>
      </c>
      <c r="I692" s="2" t="str">
        <f>IF(Planilha1!C689="","",Planilha1!C689)</f>
        <v>New Orleans Pelicans</v>
      </c>
      <c r="J692" s="2">
        <f>IF(Planilha1!D689="","",Planilha1!D689)</f>
        <v>0</v>
      </c>
      <c r="K692" s="10" t="str">
        <f>IF(Planilha1!E689="","",IF(Planilha1!E689=0,"",Planilha1!E689))</f>
        <v>Boston Celtics</v>
      </c>
      <c r="L692" s="10">
        <f>IF(Planilha1!F689="","",Planilha1!F689)</f>
        <v>0</v>
      </c>
      <c r="M692" s="10" t="str">
        <f>IF(Planilha1!G689="","",IF(Planilha1!G689=0,"",Planilha1!G689))</f>
        <v/>
      </c>
      <c r="N692" s="5">
        <f t="shared" si="81"/>
        <v>1</v>
      </c>
      <c r="O692" s="5">
        <f t="shared" si="82"/>
        <v>0</v>
      </c>
      <c r="P692" s="5">
        <f t="shared" si="83"/>
        <v>0</v>
      </c>
      <c r="Q692" s="5">
        <f t="shared" si="84"/>
        <v>2</v>
      </c>
      <c r="R692" s="8">
        <f t="shared" si="85"/>
        <v>0</v>
      </c>
      <c r="S692" s="8">
        <f t="shared" si="86"/>
        <v>0</v>
      </c>
      <c r="T692" s="3" t="str">
        <f t="shared" si="87"/>
        <v/>
      </c>
      <c r="V692" s="1" t="e">
        <f t="shared" si="88"/>
        <v>#VALUE!</v>
      </c>
    </row>
    <row r="693" spans="8:22" x14ac:dyDescent="0.3">
      <c r="H693" s="2" t="str">
        <f>IF(Planilha1!B690="","",Planilha1!B690)</f>
        <v>7:30p</v>
      </c>
      <c r="I693" s="2" t="str">
        <f>IF(Planilha1!C690="","",Planilha1!C690)</f>
        <v>Utah Jazz</v>
      </c>
      <c r="J693" s="2">
        <f>IF(Planilha1!D690="","",Planilha1!D690)</f>
        <v>0</v>
      </c>
      <c r="K693" s="10" t="str">
        <f>IF(Planilha1!E690="","",IF(Planilha1!E690=0,"",Planilha1!E690))</f>
        <v>Brooklyn Nets</v>
      </c>
      <c r="L693" s="10">
        <f>IF(Planilha1!F690="","",Planilha1!F690)</f>
        <v>0</v>
      </c>
      <c r="M693" s="10" t="str">
        <f>IF(Planilha1!G690="","",IF(Planilha1!G690=0,"",Planilha1!G690))</f>
        <v/>
      </c>
      <c r="N693" s="5">
        <f t="shared" si="81"/>
        <v>1</v>
      </c>
      <c r="O693" s="5">
        <f t="shared" si="82"/>
        <v>0</v>
      </c>
      <c r="P693" s="5">
        <f t="shared" si="83"/>
        <v>0</v>
      </c>
      <c r="Q693" s="5">
        <f t="shared" si="84"/>
        <v>2</v>
      </c>
      <c r="R693" s="8">
        <f t="shared" si="85"/>
        <v>0</v>
      </c>
      <c r="S693" s="8">
        <f t="shared" si="86"/>
        <v>0</v>
      </c>
      <c r="T693" s="3" t="str">
        <f t="shared" si="87"/>
        <v/>
      </c>
      <c r="V693" s="1" t="e">
        <f t="shared" si="88"/>
        <v>#VALUE!</v>
      </c>
    </row>
    <row r="694" spans="8:22" x14ac:dyDescent="0.3">
      <c r="H694" s="2" t="str">
        <f>IF(Planilha1!B691="","",Planilha1!B691)</f>
        <v>7:30p</v>
      </c>
      <c r="I694" s="2" t="str">
        <f>IF(Planilha1!C691="","",Planilha1!C691)</f>
        <v>Phoenix Suns</v>
      </c>
      <c r="J694" s="2">
        <f>IF(Planilha1!D691="","",Planilha1!D691)</f>
        <v>0</v>
      </c>
      <c r="K694" s="10" t="str">
        <f>IF(Planilha1!E691="","",IF(Planilha1!E691=0,"",Planilha1!E691))</f>
        <v>Miami Heat</v>
      </c>
      <c r="L694" s="10">
        <f>IF(Planilha1!F691="","",Planilha1!F691)</f>
        <v>0</v>
      </c>
      <c r="M694" s="10" t="str">
        <f>IF(Planilha1!G691="","",IF(Planilha1!G691=0,"",Planilha1!G691))</f>
        <v/>
      </c>
      <c r="N694" s="5">
        <f t="shared" si="81"/>
        <v>1</v>
      </c>
      <c r="O694" s="5">
        <f t="shared" si="82"/>
        <v>0</v>
      </c>
      <c r="P694" s="5">
        <f t="shared" si="83"/>
        <v>0</v>
      </c>
      <c r="Q694" s="5">
        <f t="shared" si="84"/>
        <v>2</v>
      </c>
      <c r="R694" s="8">
        <f t="shared" si="85"/>
        <v>0</v>
      </c>
      <c r="S694" s="8">
        <f t="shared" si="86"/>
        <v>0</v>
      </c>
      <c r="T694" s="3" t="str">
        <f t="shared" si="87"/>
        <v/>
      </c>
      <c r="V694" s="1" t="e">
        <f t="shared" si="88"/>
        <v>#VALUE!</v>
      </c>
    </row>
    <row r="695" spans="8:22" x14ac:dyDescent="0.3">
      <c r="H695" s="2" t="str">
        <f>IF(Planilha1!B692="","",Planilha1!B692)</f>
        <v>8:00p</v>
      </c>
      <c r="I695" s="2" t="str">
        <f>IF(Planilha1!C692="","",Planilha1!C692)</f>
        <v>Los Angeles Lakers</v>
      </c>
      <c r="J695" s="2">
        <f>IF(Planilha1!D692="","",Planilha1!D692)</f>
        <v>0</v>
      </c>
      <c r="K695" s="10" t="str">
        <f>IF(Planilha1!E692="","",IF(Planilha1!E692=0,"",Planilha1!E692))</f>
        <v>Houston Rockets</v>
      </c>
      <c r="L695" s="10">
        <f>IF(Planilha1!F692="","",Planilha1!F692)</f>
        <v>0</v>
      </c>
      <c r="M695" s="10" t="str">
        <f>IF(Planilha1!G692="","",IF(Planilha1!G692=0,"",Planilha1!G692))</f>
        <v/>
      </c>
      <c r="N695" s="5">
        <f t="shared" si="81"/>
        <v>1</v>
      </c>
      <c r="O695" s="5">
        <f t="shared" si="82"/>
        <v>0</v>
      </c>
      <c r="P695" s="5">
        <f t="shared" si="83"/>
        <v>0</v>
      </c>
      <c r="Q695" s="5">
        <f t="shared" si="84"/>
        <v>2</v>
      </c>
      <c r="R695" s="8">
        <f t="shared" si="85"/>
        <v>0</v>
      </c>
      <c r="S695" s="8">
        <f t="shared" si="86"/>
        <v>0</v>
      </c>
      <c r="T695" s="3" t="str">
        <f t="shared" si="87"/>
        <v/>
      </c>
      <c r="V695" s="1" t="e">
        <f t="shared" si="88"/>
        <v>#VALUE!</v>
      </c>
    </row>
    <row r="696" spans="8:22" x14ac:dyDescent="0.3">
      <c r="H696" s="2" t="str">
        <f>IF(Planilha1!B693="","",Planilha1!B693)</f>
        <v>8:00p</v>
      </c>
      <c r="I696" s="2" t="str">
        <f>IF(Planilha1!C693="","",Planilha1!C693)</f>
        <v>Sacramento Kings</v>
      </c>
      <c r="J696" s="2">
        <f>IF(Planilha1!D693="","",Planilha1!D693)</f>
        <v>0</v>
      </c>
      <c r="K696" s="10" t="str">
        <f>IF(Planilha1!E693="","",IF(Planilha1!E693=0,"",Planilha1!E693))</f>
        <v>Memphis Grizzlies</v>
      </c>
      <c r="L696" s="10">
        <f>IF(Planilha1!F693="","",Planilha1!F693)</f>
        <v>0</v>
      </c>
      <c r="M696" s="10" t="str">
        <f>IF(Planilha1!G693="","",IF(Planilha1!G693=0,"",Planilha1!G693))</f>
        <v/>
      </c>
      <c r="N696" s="5">
        <f t="shared" si="81"/>
        <v>1</v>
      </c>
      <c r="O696" s="5">
        <f t="shared" si="82"/>
        <v>0</v>
      </c>
      <c r="P696" s="5">
        <f t="shared" si="83"/>
        <v>0</v>
      </c>
      <c r="Q696" s="5">
        <f t="shared" si="84"/>
        <v>2</v>
      </c>
      <c r="R696" s="8">
        <f t="shared" si="85"/>
        <v>0</v>
      </c>
      <c r="S696" s="8">
        <f t="shared" si="86"/>
        <v>0</v>
      </c>
      <c r="T696" s="3" t="str">
        <f t="shared" si="87"/>
        <v/>
      </c>
      <c r="V696" s="1" t="e">
        <f t="shared" si="88"/>
        <v>#VALUE!</v>
      </c>
    </row>
    <row r="697" spans="8:22" x14ac:dyDescent="0.3">
      <c r="H697" s="2" t="str">
        <f>IF(Planilha1!B694="","",Planilha1!B694)</f>
        <v>8:00p</v>
      </c>
      <c r="I697" s="2" t="str">
        <f>IF(Planilha1!C694="","",Planilha1!C694)</f>
        <v>Minnesota Timberwolves</v>
      </c>
      <c r="J697" s="2">
        <f>IF(Planilha1!D694="","",Planilha1!D694)</f>
        <v>0</v>
      </c>
      <c r="K697" s="10" t="str">
        <f>IF(Planilha1!E694="","",IF(Planilha1!E694=0,"",Planilha1!E694))</f>
        <v>Oklahoma City Thunder</v>
      </c>
      <c r="L697" s="10">
        <f>IF(Planilha1!F694="","",Planilha1!F694)</f>
        <v>0</v>
      </c>
      <c r="M697" s="10" t="str">
        <f>IF(Planilha1!G694="","",IF(Planilha1!G694=0,"",Planilha1!G694))</f>
        <v/>
      </c>
      <c r="N697" s="5">
        <f t="shared" si="81"/>
        <v>1</v>
      </c>
      <c r="O697" s="5">
        <f t="shared" si="82"/>
        <v>0</v>
      </c>
      <c r="P697" s="5">
        <f t="shared" si="83"/>
        <v>0</v>
      </c>
      <c r="Q697" s="5">
        <f t="shared" si="84"/>
        <v>2</v>
      </c>
      <c r="R697" s="8">
        <f t="shared" si="85"/>
        <v>0</v>
      </c>
      <c r="S697" s="8">
        <f t="shared" si="86"/>
        <v>0</v>
      </c>
      <c r="T697" s="3" t="str">
        <f t="shared" si="87"/>
        <v/>
      </c>
      <c r="V697" s="1" t="e">
        <f t="shared" si="88"/>
        <v>#VALUE!</v>
      </c>
    </row>
    <row r="698" spans="8:22" x14ac:dyDescent="0.3">
      <c r="H698" s="2" t="str">
        <f>IF(Planilha1!B695="","",Planilha1!B695)</f>
        <v>8:00p</v>
      </c>
      <c r="I698" s="2" t="str">
        <f>IF(Planilha1!C695="","",Planilha1!C695)</f>
        <v>Washington Wizards</v>
      </c>
      <c r="J698" s="2">
        <f>IF(Planilha1!D695="","",Planilha1!D695)</f>
        <v>0</v>
      </c>
      <c r="K698" s="10" t="str">
        <f>IF(Planilha1!E695="","",IF(Planilha1!E695=0,"",Planilha1!E695))</f>
        <v>San Antonio Spurs</v>
      </c>
      <c r="L698" s="10">
        <f>IF(Planilha1!F695="","",Planilha1!F695)</f>
        <v>0</v>
      </c>
      <c r="M698" s="10" t="str">
        <f>IF(Planilha1!G695="","",IF(Planilha1!G695=0,"",Planilha1!G695))</f>
        <v/>
      </c>
      <c r="N698" s="5">
        <f t="shared" si="81"/>
        <v>1</v>
      </c>
      <c r="O698" s="5">
        <f t="shared" si="82"/>
        <v>0</v>
      </c>
      <c r="P698" s="5">
        <f t="shared" si="83"/>
        <v>0</v>
      </c>
      <c r="Q698" s="5">
        <f t="shared" si="84"/>
        <v>2</v>
      </c>
      <c r="R698" s="8">
        <f t="shared" si="85"/>
        <v>0</v>
      </c>
      <c r="S698" s="8">
        <f t="shared" si="86"/>
        <v>0</v>
      </c>
      <c r="T698" s="3" t="str">
        <f t="shared" si="87"/>
        <v/>
      </c>
      <c r="V698" s="1" t="e">
        <f t="shared" si="88"/>
        <v>#VALUE!</v>
      </c>
    </row>
    <row r="699" spans="8:22" x14ac:dyDescent="0.3">
      <c r="H699" s="2" t="str">
        <f>IF(Planilha1!B696="","",Planilha1!B696)</f>
        <v>8:30p</v>
      </c>
      <c r="I699" s="2" t="str">
        <f>IF(Planilha1!C696="","",Planilha1!C696)</f>
        <v>Orlando Magic</v>
      </c>
      <c r="J699" s="2">
        <f>IF(Planilha1!D696="","",Planilha1!D696)</f>
        <v>0</v>
      </c>
      <c r="K699" s="10" t="str">
        <f>IF(Planilha1!E696="","",IF(Planilha1!E696=0,"",Planilha1!E696))</f>
        <v>Dallas Mavericks</v>
      </c>
      <c r="L699" s="10">
        <f>IF(Planilha1!F696="","",Planilha1!F696)</f>
        <v>0</v>
      </c>
      <c r="M699" s="10" t="str">
        <f>IF(Planilha1!G696="","",IF(Planilha1!G696=0,"",Planilha1!G696))</f>
        <v/>
      </c>
      <c r="N699" s="5">
        <f t="shared" si="81"/>
        <v>1</v>
      </c>
      <c r="O699" s="5">
        <f t="shared" si="82"/>
        <v>0</v>
      </c>
      <c r="P699" s="5">
        <f t="shared" si="83"/>
        <v>0</v>
      </c>
      <c r="Q699" s="5">
        <f t="shared" si="84"/>
        <v>2</v>
      </c>
      <c r="R699" s="8">
        <f t="shared" si="85"/>
        <v>0</v>
      </c>
      <c r="S699" s="8">
        <f t="shared" si="86"/>
        <v>0</v>
      </c>
      <c r="T699" s="3" t="str">
        <f t="shared" si="87"/>
        <v/>
      </c>
      <c r="V699" s="1" t="e">
        <f t="shared" si="88"/>
        <v>#VALUE!</v>
      </c>
    </row>
    <row r="700" spans="8:22" x14ac:dyDescent="0.3">
      <c r="H700" s="2" t="str">
        <f>IF(Planilha1!B697="","",Planilha1!B697)</f>
        <v>9:00p</v>
      </c>
      <c r="I700" s="2" t="str">
        <f>IF(Planilha1!C697="","",Planilha1!C697)</f>
        <v>Milwaukee Bucks</v>
      </c>
      <c r="J700" s="2">
        <f>IF(Planilha1!D697="","",Planilha1!D697)</f>
        <v>0</v>
      </c>
      <c r="K700" s="10" t="str">
        <f>IF(Planilha1!E697="","",IF(Planilha1!E697=0,"",Planilha1!E697))</f>
        <v>Denver Nuggets</v>
      </c>
      <c r="L700" s="10">
        <f>IF(Planilha1!F697="","",Planilha1!F697)</f>
        <v>0</v>
      </c>
      <c r="M700" s="10" t="str">
        <f>IF(Planilha1!G697="","",IF(Planilha1!G697=0,"",Planilha1!G697))</f>
        <v/>
      </c>
      <c r="N700" s="5">
        <f t="shared" si="81"/>
        <v>1</v>
      </c>
      <c r="O700" s="5">
        <f t="shared" si="82"/>
        <v>0</v>
      </c>
      <c r="P700" s="5">
        <f t="shared" si="83"/>
        <v>0</v>
      </c>
      <c r="Q700" s="5">
        <f t="shared" si="84"/>
        <v>2</v>
      </c>
      <c r="R700" s="8">
        <f t="shared" si="85"/>
        <v>0</v>
      </c>
      <c r="S700" s="8">
        <f t="shared" si="86"/>
        <v>0</v>
      </c>
      <c r="T700" s="3" t="str">
        <f t="shared" si="87"/>
        <v/>
      </c>
      <c r="V700" s="1" t="e">
        <f t="shared" si="88"/>
        <v>#VALUE!</v>
      </c>
    </row>
    <row r="701" spans="8:22" x14ac:dyDescent="0.3">
      <c r="H701" s="2" t="str">
        <f>IF(Planilha1!B698="","",Planilha1!B698)</f>
        <v>10:00p</v>
      </c>
      <c r="I701" s="2" t="str">
        <f>IF(Planilha1!C698="","",Planilha1!C698)</f>
        <v>Philadelphia 76ers</v>
      </c>
      <c r="J701" s="2">
        <f>IF(Planilha1!D698="","",Planilha1!D698)</f>
        <v>0</v>
      </c>
      <c r="K701" s="10" t="str">
        <f>IF(Planilha1!E698="","",IF(Planilha1!E698=0,"",Planilha1!E698))</f>
        <v>Portland Trail Blazers</v>
      </c>
      <c r="L701" s="10">
        <f>IF(Planilha1!F698="","",Planilha1!F698)</f>
        <v>0</v>
      </c>
      <c r="M701" s="10" t="str">
        <f>IF(Planilha1!G698="","",IF(Planilha1!G698=0,"",Planilha1!G698))</f>
        <v/>
      </c>
      <c r="N701" s="5">
        <f t="shared" si="81"/>
        <v>1</v>
      </c>
      <c r="O701" s="5">
        <f t="shared" si="82"/>
        <v>0</v>
      </c>
      <c r="P701" s="5">
        <f t="shared" si="83"/>
        <v>0</v>
      </c>
      <c r="Q701" s="5">
        <f t="shared" si="84"/>
        <v>2</v>
      </c>
      <c r="R701" s="8">
        <f t="shared" si="85"/>
        <v>0</v>
      </c>
      <c r="S701" s="8">
        <f t="shared" si="86"/>
        <v>0</v>
      </c>
      <c r="T701" s="3" t="str">
        <f t="shared" si="87"/>
        <v/>
      </c>
      <c r="V701" s="1" t="e">
        <f t="shared" si="88"/>
        <v>#VALUE!</v>
      </c>
    </row>
    <row r="702" spans="8:22" x14ac:dyDescent="0.3">
      <c r="H702" s="2" t="str">
        <f>IF(Planilha1!B699="","",Planilha1!B699)</f>
        <v>7:30p</v>
      </c>
      <c r="I702" s="2" t="str">
        <f>IF(Planilha1!C699="","",Planilha1!C699)</f>
        <v>Los Angeles Lakers</v>
      </c>
      <c r="J702" s="2">
        <f>IF(Planilha1!D699="","",Planilha1!D699)</f>
        <v>0</v>
      </c>
      <c r="K702" s="10" t="str">
        <f>IF(Planilha1!E699="","",IF(Planilha1!E699=0,"",Planilha1!E699))</f>
        <v>Atlanta Hawks</v>
      </c>
      <c r="L702" s="10">
        <f>IF(Planilha1!F699="","",Planilha1!F699)</f>
        <v>0</v>
      </c>
      <c r="M702" s="10" t="str">
        <f>IF(Planilha1!G699="","",IF(Planilha1!G699=0,"",Planilha1!G699))</f>
        <v/>
      </c>
      <c r="N702" s="5">
        <f t="shared" si="81"/>
        <v>1</v>
      </c>
      <c r="O702" s="5">
        <f t="shared" si="82"/>
        <v>0</v>
      </c>
      <c r="P702" s="5">
        <f t="shared" si="83"/>
        <v>0</v>
      </c>
      <c r="Q702" s="5">
        <f t="shared" si="84"/>
        <v>2</v>
      </c>
      <c r="R702" s="8">
        <f t="shared" si="85"/>
        <v>0</v>
      </c>
      <c r="S702" s="8">
        <f t="shared" si="86"/>
        <v>0</v>
      </c>
      <c r="T702" s="3" t="str">
        <f t="shared" si="87"/>
        <v/>
      </c>
      <c r="V702" s="1" t="e">
        <f t="shared" si="88"/>
        <v>#VALUE!</v>
      </c>
    </row>
    <row r="703" spans="8:22" x14ac:dyDescent="0.3">
      <c r="H703" s="2" t="str">
        <f>IF(Planilha1!B700="","",Planilha1!B700)</f>
        <v>7:30p</v>
      </c>
      <c r="I703" s="2" t="str">
        <f>IF(Planilha1!C700="","",Planilha1!C700)</f>
        <v>Indiana Pacers</v>
      </c>
      <c r="J703" s="2">
        <f>IF(Planilha1!D700="","",Planilha1!D700)</f>
        <v>0</v>
      </c>
      <c r="K703" s="10" t="str">
        <f>IF(Planilha1!E700="","",IF(Planilha1!E700=0,"",Planilha1!E700))</f>
        <v>Boston Celtics</v>
      </c>
      <c r="L703" s="10">
        <f>IF(Planilha1!F700="","",Planilha1!F700)</f>
        <v>0</v>
      </c>
      <c r="M703" s="10" t="str">
        <f>IF(Planilha1!G700="","",IF(Planilha1!G700=0,"",Planilha1!G700))</f>
        <v/>
      </c>
      <c r="N703" s="5">
        <f t="shared" si="81"/>
        <v>1</v>
      </c>
      <c r="O703" s="5">
        <f t="shared" si="82"/>
        <v>0</v>
      </c>
      <c r="P703" s="5">
        <f t="shared" si="83"/>
        <v>0</v>
      </c>
      <c r="Q703" s="5">
        <f t="shared" si="84"/>
        <v>2</v>
      </c>
      <c r="R703" s="8">
        <f t="shared" si="85"/>
        <v>0</v>
      </c>
      <c r="S703" s="8">
        <f t="shared" si="86"/>
        <v>0</v>
      </c>
      <c r="T703" s="3" t="str">
        <f t="shared" si="87"/>
        <v/>
      </c>
      <c r="V703" s="1" t="e">
        <f t="shared" si="88"/>
        <v>#VALUE!</v>
      </c>
    </row>
    <row r="704" spans="8:22" x14ac:dyDescent="0.3">
      <c r="H704" s="2" t="str">
        <f>IF(Planilha1!B701="","",Planilha1!B701)</f>
        <v>7:30p</v>
      </c>
      <c r="I704" s="2" t="str">
        <f>IF(Planilha1!C701="","",Planilha1!C701)</f>
        <v>Utah Jazz</v>
      </c>
      <c r="J704" s="2">
        <f>IF(Planilha1!D701="","",Planilha1!D701)</f>
        <v>0</v>
      </c>
      <c r="K704" s="10" t="str">
        <f>IF(Planilha1!E701="","",IF(Planilha1!E701=0,"",Planilha1!E701))</f>
        <v>New York Knicks</v>
      </c>
      <c r="L704" s="10">
        <f>IF(Planilha1!F701="","",Planilha1!F701)</f>
        <v>0</v>
      </c>
      <c r="M704" s="10" t="str">
        <f>IF(Planilha1!G701="","",IF(Planilha1!G701=0,"",Planilha1!G701))</f>
        <v/>
      </c>
      <c r="N704" s="5">
        <f t="shared" si="81"/>
        <v>1</v>
      </c>
      <c r="O704" s="5">
        <f t="shared" si="82"/>
        <v>0</v>
      </c>
      <c r="P704" s="5">
        <f t="shared" si="83"/>
        <v>0</v>
      </c>
      <c r="Q704" s="5">
        <f t="shared" si="84"/>
        <v>2</v>
      </c>
      <c r="R704" s="8">
        <f t="shared" si="85"/>
        <v>0</v>
      </c>
      <c r="S704" s="8">
        <f t="shared" si="86"/>
        <v>0</v>
      </c>
      <c r="T704" s="3" t="str">
        <f t="shared" si="87"/>
        <v/>
      </c>
      <c r="V704" s="1" t="e">
        <f t="shared" si="88"/>
        <v>#VALUE!</v>
      </c>
    </row>
    <row r="705" spans="8:22" x14ac:dyDescent="0.3">
      <c r="H705" s="2" t="str">
        <f>IF(Planilha1!B702="","",Planilha1!B702)</f>
        <v>8:00p</v>
      </c>
      <c r="I705" s="2" t="str">
        <f>IF(Planilha1!C702="","",Planilha1!C702)</f>
        <v>Toronto Raptors</v>
      </c>
      <c r="J705" s="2">
        <f>IF(Planilha1!D702="","",Planilha1!D702)</f>
        <v>0</v>
      </c>
      <c r="K705" s="10" t="str">
        <f>IF(Planilha1!E702="","",IF(Planilha1!E702=0,"",Planilha1!E702))</f>
        <v>Chicago Bulls</v>
      </c>
      <c r="L705" s="10">
        <f>IF(Planilha1!F702="","",Planilha1!F702)</f>
        <v>0</v>
      </c>
      <c r="M705" s="10" t="str">
        <f>IF(Planilha1!G702="","",IF(Planilha1!G702=0,"",Planilha1!G702))</f>
        <v/>
      </c>
      <c r="N705" s="5">
        <f t="shared" si="81"/>
        <v>1</v>
      </c>
      <c r="O705" s="5">
        <f t="shared" si="82"/>
        <v>0</v>
      </c>
      <c r="P705" s="5">
        <f t="shared" si="83"/>
        <v>0</v>
      </c>
      <c r="Q705" s="5">
        <f t="shared" si="84"/>
        <v>2</v>
      </c>
      <c r="R705" s="8">
        <f t="shared" si="85"/>
        <v>0</v>
      </c>
      <c r="S705" s="8">
        <f t="shared" si="86"/>
        <v>0</v>
      </c>
      <c r="T705" s="3" t="str">
        <f t="shared" si="87"/>
        <v/>
      </c>
      <c r="V705" s="1" t="e">
        <f t="shared" si="88"/>
        <v>#VALUE!</v>
      </c>
    </row>
    <row r="706" spans="8:22" x14ac:dyDescent="0.3">
      <c r="H706" s="2" t="str">
        <f>IF(Planilha1!B703="","",Planilha1!B703)</f>
        <v>10:00p</v>
      </c>
      <c r="I706" s="2" t="str">
        <f>IF(Planilha1!C703="","",Planilha1!C703)</f>
        <v>Philadelphia 76ers</v>
      </c>
      <c r="J706" s="2">
        <f>IF(Planilha1!D703="","",Planilha1!D703)</f>
        <v>0</v>
      </c>
      <c r="K706" s="10" t="str">
        <f>IF(Planilha1!E703="","",IF(Planilha1!E703=0,"",Planilha1!E703))</f>
        <v>Golden State Warriors</v>
      </c>
      <c r="L706" s="10">
        <f>IF(Planilha1!F703="","",Planilha1!F703)</f>
        <v>0</v>
      </c>
      <c r="M706" s="10" t="str">
        <f>IF(Planilha1!G703="","",IF(Planilha1!G703=0,"",Planilha1!G703))</f>
        <v/>
      </c>
      <c r="N706" s="5">
        <f t="shared" si="81"/>
        <v>1</v>
      </c>
      <c r="O706" s="5">
        <f t="shared" si="82"/>
        <v>0</v>
      </c>
      <c r="P706" s="5">
        <f t="shared" si="83"/>
        <v>0</v>
      </c>
      <c r="Q706" s="5">
        <f t="shared" si="84"/>
        <v>2</v>
      </c>
      <c r="R706" s="8">
        <f t="shared" si="85"/>
        <v>0</v>
      </c>
      <c r="S706" s="8">
        <f t="shared" si="86"/>
        <v>0</v>
      </c>
      <c r="T706" s="3" t="str">
        <f t="shared" si="87"/>
        <v/>
      </c>
      <c r="V706" s="1" t="e">
        <f t="shared" si="88"/>
        <v>#VALUE!</v>
      </c>
    </row>
    <row r="707" spans="8:22" x14ac:dyDescent="0.3">
      <c r="H707" s="2" t="str">
        <f>IF(Planilha1!B704="","",Planilha1!B704)</f>
        <v>7:00p</v>
      </c>
      <c r="I707" s="2" t="str">
        <f>IF(Planilha1!C704="","",Planilha1!C704)</f>
        <v>Chicago Bulls</v>
      </c>
      <c r="J707" s="2">
        <f>IF(Planilha1!D704="","",Planilha1!D704)</f>
        <v>0</v>
      </c>
      <c r="K707" s="10" t="str">
        <f>IF(Planilha1!E704="","",IF(Planilha1!E704=0,"",Planilha1!E704))</f>
        <v>Charlotte Hornets</v>
      </c>
      <c r="L707" s="10">
        <f>IF(Planilha1!F704="","",Planilha1!F704)</f>
        <v>0</v>
      </c>
      <c r="M707" s="10" t="str">
        <f>IF(Planilha1!G704="","",IF(Planilha1!G704=0,"",Planilha1!G704))</f>
        <v/>
      </c>
      <c r="N707" s="5">
        <f t="shared" si="81"/>
        <v>1</v>
      </c>
      <c r="O707" s="5">
        <f t="shared" si="82"/>
        <v>0</v>
      </c>
      <c r="P707" s="5">
        <f t="shared" si="83"/>
        <v>0</v>
      </c>
      <c r="Q707" s="5">
        <f t="shared" si="84"/>
        <v>2</v>
      </c>
      <c r="R707" s="8">
        <f t="shared" si="85"/>
        <v>0</v>
      </c>
      <c r="S707" s="8">
        <f t="shared" si="86"/>
        <v>0</v>
      </c>
      <c r="T707" s="3" t="str">
        <f t="shared" si="87"/>
        <v/>
      </c>
      <c r="V707" s="1" t="e">
        <f t="shared" si="88"/>
        <v>#VALUE!</v>
      </c>
    </row>
    <row r="708" spans="8:22" x14ac:dyDescent="0.3">
      <c r="H708" s="2" t="str">
        <f>IF(Planilha1!B705="","",Planilha1!B705)</f>
        <v>7:00p</v>
      </c>
      <c r="I708" s="2" t="str">
        <f>IF(Planilha1!C705="","",Planilha1!C705)</f>
        <v>Detroit Pistons</v>
      </c>
      <c r="J708" s="2">
        <f>IF(Planilha1!D705="","",Planilha1!D705)</f>
        <v>0</v>
      </c>
      <c r="K708" s="10" t="str">
        <f>IF(Planilha1!E705="","",IF(Planilha1!E705=0,"",Planilha1!E705))</f>
        <v>Cleveland Cavaliers</v>
      </c>
      <c r="L708" s="10">
        <f>IF(Planilha1!F705="","",Planilha1!F705)</f>
        <v>0</v>
      </c>
      <c r="M708" s="10" t="str">
        <f>IF(Planilha1!G705="","",IF(Planilha1!G705=0,"",Planilha1!G705))</f>
        <v/>
      </c>
      <c r="N708" s="5">
        <f t="shared" si="81"/>
        <v>1</v>
      </c>
      <c r="O708" s="5">
        <f t="shared" si="82"/>
        <v>0</v>
      </c>
      <c r="P708" s="5">
        <f t="shared" si="83"/>
        <v>0</v>
      </c>
      <c r="Q708" s="5">
        <f t="shared" si="84"/>
        <v>2</v>
      </c>
      <c r="R708" s="8">
        <f t="shared" si="85"/>
        <v>0</v>
      </c>
      <c r="S708" s="8">
        <f t="shared" si="86"/>
        <v>0</v>
      </c>
      <c r="T708" s="3" t="str">
        <f t="shared" si="87"/>
        <v/>
      </c>
      <c r="V708" s="1" t="e">
        <f t="shared" si="88"/>
        <v>#VALUE!</v>
      </c>
    </row>
    <row r="709" spans="8:22" x14ac:dyDescent="0.3">
      <c r="H709" s="2" t="str">
        <f>IF(Planilha1!B706="","",Planilha1!B706)</f>
        <v>7:00p</v>
      </c>
      <c r="I709" s="2" t="str">
        <f>IF(Planilha1!C706="","",Planilha1!C706)</f>
        <v>Los Angeles Clippers</v>
      </c>
      <c r="J709" s="2">
        <f>IF(Planilha1!D706="","",Planilha1!D706)</f>
        <v>0</v>
      </c>
      <c r="K709" s="10" t="str">
        <f>IF(Planilha1!E706="","",IF(Planilha1!E706=0,"",Planilha1!E706))</f>
        <v>Washington Wizards</v>
      </c>
      <c r="L709" s="10">
        <f>IF(Planilha1!F706="","",Planilha1!F706)</f>
        <v>0</v>
      </c>
      <c r="M709" s="10" t="str">
        <f>IF(Planilha1!G706="","",IF(Planilha1!G706=0,"",Planilha1!G706))</f>
        <v/>
      </c>
      <c r="N709" s="5">
        <f t="shared" si="81"/>
        <v>1</v>
      </c>
      <c r="O709" s="5">
        <f t="shared" si="82"/>
        <v>0</v>
      </c>
      <c r="P709" s="5">
        <f t="shared" si="83"/>
        <v>0</v>
      </c>
      <c r="Q709" s="5">
        <f t="shared" si="84"/>
        <v>2</v>
      </c>
      <c r="R709" s="8">
        <f t="shared" si="85"/>
        <v>0</v>
      </c>
      <c r="S709" s="8">
        <f t="shared" si="86"/>
        <v>0</v>
      </c>
      <c r="T709" s="3" t="str">
        <f t="shared" si="87"/>
        <v/>
      </c>
      <c r="V709" s="1" t="e">
        <f t="shared" si="88"/>
        <v>#VALUE!</v>
      </c>
    </row>
    <row r="710" spans="8:22" x14ac:dyDescent="0.3">
      <c r="H710" s="2" t="str">
        <f>IF(Planilha1!B707="","",Planilha1!B707)</f>
        <v>7:30p</v>
      </c>
      <c r="I710" s="2" t="str">
        <f>IF(Planilha1!C707="","",Planilha1!C707)</f>
        <v>Sacramento Kings</v>
      </c>
      <c r="J710" s="2">
        <f>IF(Planilha1!D707="","",Planilha1!D707)</f>
        <v>0</v>
      </c>
      <c r="K710" s="10" t="str">
        <f>IF(Planilha1!E707="","",IF(Planilha1!E707=0,"",Planilha1!E707))</f>
        <v>Miami Heat</v>
      </c>
      <c r="L710" s="10">
        <f>IF(Planilha1!F707="","",Planilha1!F707)</f>
        <v>0</v>
      </c>
      <c r="M710" s="10" t="str">
        <f>IF(Planilha1!G707="","",IF(Planilha1!G707=0,"",Planilha1!G707))</f>
        <v/>
      </c>
      <c r="N710" s="5">
        <f t="shared" ref="N710:N773" si="89">IF(K710="","",IF(K710&gt;M710,100%,0%))</f>
        <v>1</v>
      </c>
      <c r="O710" s="5">
        <f t="shared" ref="O710:O773" si="90">IF(K710="","",IF(K710&lt;M710,100%,0%))</f>
        <v>0</v>
      </c>
      <c r="P710" s="5">
        <f t="shared" ref="P710:P773" si="91">IF(M710="",IF(R710&gt;S710,2,0),IF(K710&lt;M710,2,0))</f>
        <v>0</v>
      </c>
      <c r="Q710" s="5">
        <f t="shared" ref="Q710:Q773" si="92">IF(M710="",IF(R710&gt;S710,0,2),IF(K710&gt;M710,2,0))</f>
        <v>2</v>
      </c>
      <c r="R710" s="8">
        <f t="shared" ref="R710:R773" si="93">SUMIF($B:$B,J710,$C:$C)+(SUMIF($B:$B,L710,$F:$F))</f>
        <v>0</v>
      </c>
      <c r="S710" s="8">
        <f t="shared" ref="S710:S773" si="94">SUMIF($B:$B,L710,$E:$E)+(SUMIF($B:$B,J710,$D:$D))</f>
        <v>0</v>
      </c>
      <c r="T710" s="3" t="str">
        <f t="shared" ref="T710:T773" si="95">IF(M710="","",(K710-S710)^2+(M710-R710)^2)</f>
        <v/>
      </c>
      <c r="V710" s="1" t="e">
        <f t="shared" ref="V710:V773" si="96">IF(O710="","",1/((M710-K710)/(R710-S710)))</f>
        <v>#VALUE!</v>
      </c>
    </row>
    <row r="711" spans="8:22" x14ac:dyDescent="0.3">
      <c r="H711" s="2" t="str">
        <f>IF(Planilha1!B708="","",Planilha1!B708)</f>
        <v>8:00p</v>
      </c>
      <c r="I711" s="2" t="str">
        <f>IF(Planilha1!C708="","",Planilha1!C708)</f>
        <v>New Orleans Pelicans</v>
      </c>
      <c r="J711" s="2">
        <f>IF(Planilha1!D708="","",Planilha1!D708)</f>
        <v>0</v>
      </c>
      <c r="K711" s="10" t="str">
        <f>IF(Planilha1!E708="","",IF(Planilha1!E708=0,"",Planilha1!E708))</f>
        <v>Houston Rockets</v>
      </c>
      <c r="L711" s="10">
        <f>IF(Planilha1!F708="","",Planilha1!F708)</f>
        <v>0</v>
      </c>
      <c r="M711" s="10" t="str">
        <f>IF(Planilha1!G708="","",IF(Planilha1!G708=0,"",Planilha1!G708))</f>
        <v/>
      </c>
      <c r="N711" s="5">
        <f t="shared" si="89"/>
        <v>1</v>
      </c>
      <c r="O711" s="5">
        <f t="shared" si="90"/>
        <v>0</v>
      </c>
      <c r="P711" s="5">
        <f t="shared" si="91"/>
        <v>0</v>
      </c>
      <c r="Q711" s="5">
        <f t="shared" si="92"/>
        <v>2</v>
      </c>
      <c r="R711" s="8">
        <f t="shared" si="93"/>
        <v>0</v>
      </c>
      <c r="S711" s="8">
        <f t="shared" si="94"/>
        <v>0</v>
      </c>
      <c r="T711" s="3" t="str">
        <f t="shared" si="95"/>
        <v/>
      </c>
      <c r="V711" s="1" t="e">
        <f t="shared" si="96"/>
        <v>#VALUE!</v>
      </c>
    </row>
    <row r="712" spans="8:22" x14ac:dyDescent="0.3">
      <c r="H712" s="2" t="str">
        <f>IF(Planilha1!B709="","",Planilha1!B709)</f>
        <v>8:00p</v>
      </c>
      <c r="I712" s="2" t="str">
        <f>IF(Planilha1!C709="","",Planilha1!C709)</f>
        <v>Dallas Mavericks</v>
      </c>
      <c r="J712" s="2">
        <f>IF(Planilha1!D709="","",Planilha1!D709)</f>
        <v>0</v>
      </c>
      <c r="K712" s="10" t="str">
        <f>IF(Planilha1!E709="","",IF(Planilha1!E709=0,"",Planilha1!E709))</f>
        <v>Minnesota Timberwolves</v>
      </c>
      <c r="L712" s="10">
        <f>IF(Planilha1!F709="","",Planilha1!F709)</f>
        <v>0</v>
      </c>
      <c r="M712" s="10" t="str">
        <f>IF(Planilha1!G709="","",IF(Planilha1!G709=0,"",Planilha1!G709))</f>
        <v/>
      </c>
      <c r="N712" s="5">
        <f t="shared" si="89"/>
        <v>1</v>
      </c>
      <c r="O712" s="5">
        <f t="shared" si="90"/>
        <v>0</v>
      </c>
      <c r="P712" s="5">
        <f t="shared" si="91"/>
        <v>0</v>
      </c>
      <c r="Q712" s="5">
        <f t="shared" si="92"/>
        <v>2</v>
      </c>
      <c r="R712" s="8">
        <f t="shared" si="93"/>
        <v>0</v>
      </c>
      <c r="S712" s="8">
        <f t="shared" si="94"/>
        <v>0</v>
      </c>
      <c r="T712" s="3" t="str">
        <f t="shared" si="95"/>
        <v/>
      </c>
      <c r="V712" s="1" t="e">
        <f t="shared" si="96"/>
        <v>#VALUE!</v>
      </c>
    </row>
    <row r="713" spans="8:22" x14ac:dyDescent="0.3">
      <c r="H713" s="2" t="str">
        <f>IF(Planilha1!B710="","",Planilha1!B710)</f>
        <v>8:00p</v>
      </c>
      <c r="I713" s="2" t="str">
        <f>IF(Planilha1!C710="","",Planilha1!C710)</f>
        <v>Denver Nuggets</v>
      </c>
      <c r="J713" s="2">
        <f>IF(Planilha1!D710="","",Planilha1!D710)</f>
        <v>0</v>
      </c>
      <c r="K713" s="10" t="str">
        <f>IF(Planilha1!E710="","",IF(Planilha1!E710=0,"",Planilha1!E710))</f>
        <v>Oklahoma City Thunder</v>
      </c>
      <c r="L713" s="10">
        <f>IF(Planilha1!F710="","",Planilha1!F710)</f>
        <v>0</v>
      </c>
      <c r="M713" s="10" t="str">
        <f>IF(Planilha1!G710="","",IF(Planilha1!G710=0,"",Planilha1!G710))</f>
        <v/>
      </c>
      <c r="N713" s="5">
        <f t="shared" si="89"/>
        <v>1</v>
      </c>
      <c r="O713" s="5">
        <f t="shared" si="90"/>
        <v>0</v>
      </c>
      <c r="P713" s="5">
        <f t="shared" si="91"/>
        <v>0</v>
      </c>
      <c r="Q713" s="5">
        <f t="shared" si="92"/>
        <v>2</v>
      </c>
      <c r="R713" s="8">
        <f t="shared" si="93"/>
        <v>0</v>
      </c>
      <c r="S713" s="8">
        <f t="shared" si="94"/>
        <v>0</v>
      </c>
      <c r="T713" s="3" t="str">
        <f t="shared" si="95"/>
        <v/>
      </c>
      <c r="V713" s="1" t="e">
        <f t="shared" si="96"/>
        <v>#VALUE!</v>
      </c>
    </row>
    <row r="714" spans="8:22" x14ac:dyDescent="0.3">
      <c r="H714" s="2" t="str">
        <f>IF(Planilha1!B711="","",Planilha1!B711)</f>
        <v>8:00p</v>
      </c>
      <c r="I714" s="2" t="str">
        <f>IF(Planilha1!C711="","",Planilha1!C711)</f>
        <v>Orlando Magic</v>
      </c>
      <c r="J714" s="2">
        <f>IF(Planilha1!D711="","",Planilha1!D711)</f>
        <v>0</v>
      </c>
      <c r="K714" s="10" t="str">
        <f>IF(Planilha1!E711="","",IF(Planilha1!E711=0,"",Planilha1!E711))</f>
        <v>San Antonio Spurs</v>
      </c>
      <c r="L714" s="10">
        <f>IF(Planilha1!F711="","",Planilha1!F711)</f>
        <v>0</v>
      </c>
      <c r="M714" s="10" t="str">
        <f>IF(Planilha1!G711="","",IF(Planilha1!G711=0,"",Planilha1!G711))</f>
        <v/>
      </c>
      <c r="N714" s="5">
        <f t="shared" si="89"/>
        <v>1</v>
      </c>
      <c r="O714" s="5">
        <f t="shared" si="90"/>
        <v>0</v>
      </c>
      <c r="P714" s="5">
        <f t="shared" si="91"/>
        <v>0</v>
      </c>
      <c r="Q714" s="5">
        <f t="shared" si="92"/>
        <v>2</v>
      </c>
      <c r="R714" s="8">
        <f t="shared" si="93"/>
        <v>0</v>
      </c>
      <c r="S714" s="8">
        <f t="shared" si="94"/>
        <v>0</v>
      </c>
      <c r="T714" s="3" t="str">
        <f t="shared" si="95"/>
        <v/>
      </c>
      <c r="V714" s="1" t="e">
        <f t="shared" si="96"/>
        <v>#VALUE!</v>
      </c>
    </row>
    <row r="715" spans="8:22" x14ac:dyDescent="0.3">
      <c r="H715" s="2" t="str">
        <f>IF(Planilha1!B712="","",Planilha1!B712)</f>
        <v>8:30p</v>
      </c>
      <c r="I715" s="2" t="str">
        <f>IF(Planilha1!C712="","",Planilha1!C712)</f>
        <v>Phoenix Suns</v>
      </c>
      <c r="J715" s="2">
        <f>IF(Planilha1!D712="","",Planilha1!D712)</f>
        <v>0</v>
      </c>
      <c r="K715" s="10" t="str">
        <f>IF(Planilha1!E712="","",IF(Planilha1!E712=0,"",Planilha1!E712))</f>
        <v>Brooklyn Nets</v>
      </c>
      <c r="L715" s="10">
        <f>IF(Planilha1!F712="","",Planilha1!F712)</f>
        <v>0</v>
      </c>
      <c r="M715" s="10" t="str">
        <f>IF(Planilha1!G712="","",IF(Planilha1!G712=0,"",Planilha1!G712))</f>
        <v/>
      </c>
      <c r="N715" s="5">
        <f t="shared" si="89"/>
        <v>1</v>
      </c>
      <c r="O715" s="5">
        <f t="shared" si="90"/>
        <v>0</v>
      </c>
      <c r="P715" s="5">
        <f t="shared" si="91"/>
        <v>0</v>
      </c>
      <c r="Q715" s="5">
        <f t="shared" si="92"/>
        <v>2</v>
      </c>
      <c r="R715" s="8">
        <f t="shared" si="93"/>
        <v>0</v>
      </c>
      <c r="S715" s="8">
        <f t="shared" si="94"/>
        <v>0</v>
      </c>
      <c r="T715" s="3" t="str">
        <f t="shared" si="95"/>
        <v/>
      </c>
      <c r="V715" s="1" t="e">
        <f t="shared" si="96"/>
        <v>#VALUE!</v>
      </c>
    </row>
    <row r="716" spans="8:22" x14ac:dyDescent="0.3">
      <c r="H716" s="2" t="str">
        <f>IF(Planilha1!B713="","",Planilha1!B713)</f>
        <v>10:00p</v>
      </c>
      <c r="I716" s="2" t="str">
        <f>IF(Planilha1!C713="","",Planilha1!C713)</f>
        <v>Milwaukee Bucks</v>
      </c>
      <c r="J716" s="2">
        <f>IF(Planilha1!D713="","",Planilha1!D713)</f>
        <v>0</v>
      </c>
      <c r="K716" s="10" t="str">
        <f>IF(Planilha1!E713="","",IF(Planilha1!E713=0,"",Planilha1!E713))</f>
        <v>Portland Trail Blazers</v>
      </c>
      <c r="L716" s="10">
        <f>IF(Planilha1!F713="","",Planilha1!F713)</f>
        <v>0</v>
      </c>
      <c r="M716" s="10" t="str">
        <f>IF(Planilha1!G713="","",IF(Planilha1!G713=0,"",Planilha1!G713))</f>
        <v/>
      </c>
      <c r="N716" s="5">
        <f t="shared" si="89"/>
        <v>1</v>
      </c>
      <c r="O716" s="5">
        <f t="shared" si="90"/>
        <v>0</v>
      </c>
      <c r="P716" s="5">
        <f t="shared" si="91"/>
        <v>0</v>
      </c>
      <c r="Q716" s="5">
        <f t="shared" si="92"/>
        <v>2</v>
      </c>
      <c r="R716" s="8">
        <f t="shared" si="93"/>
        <v>0</v>
      </c>
      <c r="S716" s="8">
        <f t="shared" si="94"/>
        <v>0</v>
      </c>
      <c r="T716" s="3" t="str">
        <f t="shared" si="95"/>
        <v/>
      </c>
      <c r="V716" s="1" t="e">
        <f t="shared" si="96"/>
        <v>#VALUE!</v>
      </c>
    </row>
    <row r="717" spans="8:22" x14ac:dyDescent="0.3">
      <c r="H717" s="2" t="str">
        <f>IF(Planilha1!B714="","",Planilha1!B714)</f>
        <v>7:30p</v>
      </c>
      <c r="I717" s="2" t="str">
        <f>IF(Planilha1!C714="","",Planilha1!C714)</f>
        <v>Los Angeles Lakers</v>
      </c>
      <c r="J717" s="2">
        <f>IF(Planilha1!D714="","",Planilha1!D714)</f>
        <v>0</v>
      </c>
      <c r="K717" s="10" t="str">
        <f>IF(Planilha1!E714="","",IF(Planilha1!E714=0,"",Planilha1!E714))</f>
        <v>Boston Celtics</v>
      </c>
      <c r="L717" s="10">
        <f>IF(Planilha1!F714="","",Planilha1!F714)</f>
        <v>0</v>
      </c>
      <c r="M717" s="10" t="str">
        <f>IF(Planilha1!G714="","",IF(Planilha1!G714=0,"",Planilha1!G714))</f>
        <v/>
      </c>
      <c r="N717" s="5">
        <f t="shared" si="89"/>
        <v>1</v>
      </c>
      <c r="O717" s="5">
        <f t="shared" si="90"/>
        <v>0</v>
      </c>
      <c r="P717" s="5">
        <f t="shared" si="91"/>
        <v>0</v>
      </c>
      <c r="Q717" s="5">
        <f t="shared" si="92"/>
        <v>2</v>
      </c>
      <c r="R717" s="8">
        <f t="shared" si="93"/>
        <v>0</v>
      </c>
      <c r="S717" s="8">
        <f t="shared" si="94"/>
        <v>0</v>
      </c>
      <c r="T717" s="3" t="str">
        <f t="shared" si="95"/>
        <v/>
      </c>
      <c r="V717" s="1" t="e">
        <f t="shared" si="96"/>
        <v>#VALUE!</v>
      </c>
    </row>
    <row r="718" spans="8:22" x14ac:dyDescent="0.3">
      <c r="H718" s="2" t="str">
        <f>IF(Planilha1!B715="","",Planilha1!B715)</f>
        <v>7:30p</v>
      </c>
      <c r="I718" s="2" t="str">
        <f>IF(Planilha1!C715="","",Planilha1!C715)</f>
        <v>Indiana Pacers</v>
      </c>
      <c r="J718" s="2">
        <f>IF(Planilha1!D715="","",Planilha1!D715)</f>
        <v>0</v>
      </c>
      <c r="K718" s="10" t="str">
        <f>IF(Planilha1!E715="","",IF(Planilha1!E715=0,"",Planilha1!E715))</f>
        <v>New York Knicks</v>
      </c>
      <c r="L718" s="10">
        <f>IF(Planilha1!F715="","",Planilha1!F715)</f>
        <v>0</v>
      </c>
      <c r="M718" s="10" t="str">
        <f>IF(Planilha1!G715="","",IF(Planilha1!G715=0,"",Planilha1!G715))</f>
        <v/>
      </c>
      <c r="N718" s="5">
        <f t="shared" si="89"/>
        <v>1</v>
      </c>
      <c r="O718" s="5">
        <f t="shared" si="90"/>
        <v>0</v>
      </c>
      <c r="P718" s="5">
        <f t="shared" si="91"/>
        <v>0</v>
      </c>
      <c r="Q718" s="5">
        <f t="shared" si="92"/>
        <v>2</v>
      </c>
      <c r="R718" s="8">
        <f t="shared" si="93"/>
        <v>0</v>
      </c>
      <c r="S718" s="8">
        <f t="shared" si="94"/>
        <v>0</v>
      </c>
      <c r="T718" s="3" t="str">
        <f t="shared" si="95"/>
        <v/>
      </c>
      <c r="V718" s="1" t="e">
        <f t="shared" si="96"/>
        <v>#VALUE!</v>
      </c>
    </row>
    <row r="719" spans="8:22" x14ac:dyDescent="0.3">
      <c r="H719" s="2" t="str">
        <f>IF(Planilha1!B716="","",Planilha1!B716)</f>
        <v>8:00p</v>
      </c>
      <c r="I719" s="2" t="str">
        <f>IF(Planilha1!C716="","",Planilha1!C716)</f>
        <v>Cleveland Cavaliers</v>
      </c>
      <c r="J719" s="2">
        <f>IF(Planilha1!D716="","",Planilha1!D716)</f>
        <v>0</v>
      </c>
      <c r="K719" s="10" t="str">
        <f>IF(Planilha1!E716="","",IF(Planilha1!E716=0,"",Planilha1!E716))</f>
        <v>Memphis Grizzlies</v>
      </c>
      <c r="L719" s="10">
        <f>IF(Planilha1!F716="","",Planilha1!F716)</f>
        <v>0</v>
      </c>
      <c r="M719" s="10" t="str">
        <f>IF(Planilha1!G716="","",IF(Planilha1!G716=0,"",Planilha1!G716))</f>
        <v/>
      </c>
      <c r="N719" s="5">
        <f t="shared" si="89"/>
        <v>1</v>
      </c>
      <c r="O719" s="5">
        <f t="shared" si="90"/>
        <v>0</v>
      </c>
      <c r="P719" s="5">
        <f t="shared" si="91"/>
        <v>0</v>
      </c>
      <c r="Q719" s="5">
        <f t="shared" si="92"/>
        <v>2</v>
      </c>
      <c r="R719" s="8">
        <f t="shared" si="93"/>
        <v>0</v>
      </c>
      <c r="S719" s="8">
        <f t="shared" si="94"/>
        <v>0</v>
      </c>
      <c r="T719" s="3" t="str">
        <f t="shared" si="95"/>
        <v/>
      </c>
      <c r="V719" s="1" t="e">
        <f t="shared" si="96"/>
        <v>#VALUE!</v>
      </c>
    </row>
    <row r="720" spans="8:22" x14ac:dyDescent="0.3">
      <c r="H720" s="2" t="str">
        <f>IF(Planilha1!B717="","",Planilha1!B717)</f>
        <v>10:00p</v>
      </c>
      <c r="I720" s="2" t="str">
        <f>IF(Planilha1!C717="","",Planilha1!C717)</f>
        <v>Philadelphia 76ers</v>
      </c>
      <c r="J720" s="2">
        <f>IF(Planilha1!D717="","",Planilha1!D717)</f>
        <v>0</v>
      </c>
      <c r="K720" s="10" t="str">
        <f>IF(Planilha1!E717="","",IF(Planilha1!E717=0,"",Planilha1!E717))</f>
        <v>Utah Jazz</v>
      </c>
      <c r="L720" s="10">
        <f>IF(Planilha1!F717="","",Planilha1!F717)</f>
        <v>0</v>
      </c>
      <c r="M720" s="10" t="str">
        <f>IF(Planilha1!G717="","",IF(Planilha1!G717=0,"",Planilha1!G717))</f>
        <v/>
      </c>
      <c r="N720" s="5">
        <f t="shared" si="89"/>
        <v>1</v>
      </c>
      <c r="O720" s="5">
        <f t="shared" si="90"/>
        <v>0</v>
      </c>
      <c r="P720" s="5">
        <f t="shared" si="91"/>
        <v>0</v>
      </c>
      <c r="Q720" s="5">
        <f t="shared" si="92"/>
        <v>2</v>
      </c>
      <c r="R720" s="8">
        <f t="shared" si="93"/>
        <v>0</v>
      </c>
      <c r="S720" s="8">
        <f t="shared" si="94"/>
        <v>0</v>
      </c>
      <c r="T720" s="3" t="str">
        <f t="shared" si="95"/>
        <v/>
      </c>
      <c r="V720" s="1" t="e">
        <f t="shared" si="96"/>
        <v>#VALUE!</v>
      </c>
    </row>
    <row r="721" spans="8:22" x14ac:dyDescent="0.3">
      <c r="H721" s="2" t="str">
        <f>IF(Planilha1!B718="","",Planilha1!B718)</f>
        <v>7:00p</v>
      </c>
      <c r="I721" s="2" t="str">
        <f>IF(Planilha1!C718="","",Planilha1!C718)</f>
        <v>Los Angeles Clippers</v>
      </c>
      <c r="J721" s="2">
        <f>IF(Planilha1!D718="","",Planilha1!D718)</f>
        <v>0</v>
      </c>
      <c r="K721" s="10" t="str">
        <f>IF(Planilha1!E718="","",IF(Planilha1!E718=0,"",Planilha1!E718))</f>
        <v>Detroit Pistons</v>
      </c>
      <c r="L721" s="10">
        <f>IF(Planilha1!F718="","",Planilha1!F718)</f>
        <v>0</v>
      </c>
      <c r="M721" s="10" t="str">
        <f>IF(Planilha1!G718="","",IF(Planilha1!G718=0,"",Planilha1!G718))</f>
        <v/>
      </c>
      <c r="N721" s="5">
        <f t="shared" si="89"/>
        <v>1</v>
      </c>
      <c r="O721" s="5">
        <f t="shared" si="90"/>
        <v>0</v>
      </c>
      <c r="P721" s="5">
        <f t="shared" si="91"/>
        <v>0</v>
      </c>
      <c r="Q721" s="5">
        <f t="shared" si="92"/>
        <v>2</v>
      </c>
      <c r="R721" s="8">
        <f t="shared" si="93"/>
        <v>0</v>
      </c>
      <c r="S721" s="8">
        <f t="shared" si="94"/>
        <v>0</v>
      </c>
      <c r="T721" s="3" t="str">
        <f t="shared" si="95"/>
        <v/>
      </c>
      <c r="V721" s="1" t="e">
        <f t="shared" si="96"/>
        <v>#VALUE!</v>
      </c>
    </row>
    <row r="722" spans="8:22" x14ac:dyDescent="0.3">
      <c r="H722" s="2" t="str">
        <f>IF(Planilha1!B719="","",Planilha1!B719)</f>
        <v>7:00p</v>
      </c>
      <c r="I722" s="2" t="str">
        <f>IF(Planilha1!C719="","",Planilha1!C719)</f>
        <v>Miami Heat</v>
      </c>
      <c r="J722" s="2">
        <f>IF(Planilha1!D719="","",Planilha1!D719)</f>
        <v>0</v>
      </c>
      <c r="K722" s="10" t="str">
        <f>IF(Planilha1!E719="","",IF(Planilha1!E719=0,"",Planilha1!E719))</f>
        <v>Washington Wizards</v>
      </c>
      <c r="L722" s="10">
        <f>IF(Planilha1!F719="","",Planilha1!F719)</f>
        <v>0</v>
      </c>
      <c r="M722" s="10" t="str">
        <f>IF(Planilha1!G719="","",IF(Planilha1!G719=0,"",Planilha1!G719))</f>
        <v/>
      </c>
      <c r="N722" s="5">
        <f t="shared" si="89"/>
        <v>1</v>
      </c>
      <c r="O722" s="5">
        <f t="shared" si="90"/>
        <v>0</v>
      </c>
      <c r="P722" s="5">
        <f t="shared" si="91"/>
        <v>0</v>
      </c>
      <c r="Q722" s="5">
        <f t="shared" si="92"/>
        <v>2</v>
      </c>
      <c r="R722" s="8">
        <f t="shared" si="93"/>
        <v>0</v>
      </c>
      <c r="S722" s="8">
        <f t="shared" si="94"/>
        <v>0</v>
      </c>
      <c r="T722" s="3" t="str">
        <f t="shared" si="95"/>
        <v/>
      </c>
      <c r="V722" s="1" t="e">
        <f t="shared" si="96"/>
        <v>#VALUE!</v>
      </c>
    </row>
    <row r="723" spans="8:22" x14ac:dyDescent="0.3">
      <c r="H723" s="2" t="str">
        <f>IF(Planilha1!B720="","",Planilha1!B720)</f>
        <v>7:30p</v>
      </c>
      <c r="I723" s="2" t="str">
        <f>IF(Planilha1!C720="","",Planilha1!C720)</f>
        <v>Phoenix Suns</v>
      </c>
      <c r="J723" s="2">
        <f>IF(Planilha1!D720="","",Planilha1!D720)</f>
        <v>0</v>
      </c>
      <c r="K723" s="10" t="str">
        <f>IF(Planilha1!E720="","",IF(Planilha1!E720=0,"",Planilha1!E720))</f>
        <v>Atlanta Hawks</v>
      </c>
      <c r="L723" s="10">
        <f>IF(Planilha1!F720="","",Planilha1!F720)</f>
        <v>0</v>
      </c>
      <c r="M723" s="10" t="str">
        <f>IF(Planilha1!G720="","",IF(Planilha1!G720=0,"",Planilha1!G720))</f>
        <v/>
      </c>
      <c r="N723" s="5">
        <f t="shared" si="89"/>
        <v>1</v>
      </c>
      <c r="O723" s="5">
        <f t="shared" si="90"/>
        <v>0</v>
      </c>
      <c r="P723" s="5">
        <f t="shared" si="91"/>
        <v>0</v>
      </c>
      <c r="Q723" s="5">
        <f t="shared" si="92"/>
        <v>2</v>
      </c>
      <c r="R723" s="8">
        <f t="shared" si="93"/>
        <v>0</v>
      </c>
      <c r="S723" s="8">
        <f t="shared" si="94"/>
        <v>0</v>
      </c>
      <c r="T723" s="3" t="str">
        <f t="shared" si="95"/>
        <v/>
      </c>
      <c r="V723" s="1" t="e">
        <f t="shared" si="96"/>
        <v>#VALUE!</v>
      </c>
    </row>
    <row r="724" spans="8:22" x14ac:dyDescent="0.3">
      <c r="H724" s="2" t="str">
        <f>IF(Planilha1!B721="","",Planilha1!B721)</f>
        <v>7:30p</v>
      </c>
      <c r="I724" s="2" t="str">
        <f>IF(Planilha1!C721="","",Planilha1!C721)</f>
        <v>Sacramento Kings</v>
      </c>
      <c r="J724" s="2">
        <f>IF(Planilha1!D721="","",Planilha1!D721)</f>
        <v>0</v>
      </c>
      <c r="K724" s="10" t="str">
        <f>IF(Planilha1!E721="","",IF(Planilha1!E721=0,"",Planilha1!E721))</f>
        <v>Indiana Pacers</v>
      </c>
      <c r="L724" s="10">
        <f>IF(Planilha1!F721="","",Planilha1!F721)</f>
        <v>0</v>
      </c>
      <c r="M724" s="10" t="str">
        <f>IF(Planilha1!G721="","",IF(Planilha1!G721=0,"",Planilha1!G721))</f>
        <v/>
      </c>
      <c r="N724" s="5">
        <f t="shared" si="89"/>
        <v>1</v>
      </c>
      <c r="O724" s="5">
        <f t="shared" si="90"/>
        <v>0</v>
      </c>
      <c r="P724" s="5">
        <f t="shared" si="91"/>
        <v>0</v>
      </c>
      <c r="Q724" s="5">
        <f t="shared" si="92"/>
        <v>2</v>
      </c>
      <c r="R724" s="8">
        <f t="shared" si="93"/>
        <v>0</v>
      </c>
      <c r="S724" s="8">
        <f t="shared" si="94"/>
        <v>0</v>
      </c>
      <c r="T724" s="3" t="str">
        <f t="shared" si="95"/>
        <v/>
      </c>
      <c r="V724" s="1" t="e">
        <f t="shared" si="96"/>
        <v>#VALUE!</v>
      </c>
    </row>
    <row r="725" spans="8:22" x14ac:dyDescent="0.3">
      <c r="H725" s="2" t="str">
        <f>IF(Planilha1!B722="","",Planilha1!B722)</f>
        <v>8:00p</v>
      </c>
      <c r="I725" s="2" t="str">
        <f>IF(Planilha1!C722="","",Planilha1!C722)</f>
        <v>Toronto Raptors</v>
      </c>
      <c r="J725" s="2">
        <f>IF(Planilha1!D722="","",Planilha1!D722)</f>
        <v>0</v>
      </c>
      <c r="K725" s="10" t="str">
        <f>IF(Planilha1!E722="","",IF(Planilha1!E722=0,"",Planilha1!E722))</f>
        <v>Houston Rockets</v>
      </c>
      <c r="L725" s="10">
        <f>IF(Planilha1!F722="","",Planilha1!F722)</f>
        <v>0</v>
      </c>
      <c r="M725" s="10" t="str">
        <f>IF(Planilha1!G722="","",IF(Planilha1!G722=0,"",Planilha1!G722))</f>
        <v/>
      </c>
      <c r="N725" s="5">
        <f t="shared" si="89"/>
        <v>1</v>
      </c>
      <c r="O725" s="5">
        <f t="shared" si="90"/>
        <v>0</v>
      </c>
      <c r="P725" s="5">
        <f t="shared" si="91"/>
        <v>0</v>
      </c>
      <c r="Q725" s="5">
        <f t="shared" si="92"/>
        <v>2</v>
      </c>
      <c r="R725" s="8">
        <f t="shared" si="93"/>
        <v>0</v>
      </c>
      <c r="S725" s="8">
        <f t="shared" si="94"/>
        <v>0</v>
      </c>
      <c r="T725" s="3" t="str">
        <f t="shared" si="95"/>
        <v/>
      </c>
      <c r="V725" s="1" t="e">
        <f t="shared" si="96"/>
        <v>#VALUE!</v>
      </c>
    </row>
    <row r="726" spans="8:22" x14ac:dyDescent="0.3">
      <c r="H726" s="2" t="str">
        <f>IF(Planilha1!B723="","",Planilha1!B723)</f>
        <v>8:00p</v>
      </c>
      <c r="I726" s="2" t="str">
        <f>IF(Planilha1!C723="","",Planilha1!C723)</f>
        <v>Golden State Warriors</v>
      </c>
      <c r="J726" s="2">
        <f>IF(Planilha1!D723="","",Planilha1!D723)</f>
        <v>0</v>
      </c>
      <c r="K726" s="10" t="str">
        <f>IF(Planilha1!E723="","",IF(Planilha1!E723=0,"",Planilha1!E723))</f>
        <v>Memphis Grizzlies</v>
      </c>
      <c r="L726" s="10">
        <f>IF(Planilha1!F723="","",Planilha1!F723)</f>
        <v>0</v>
      </c>
      <c r="M726" s="10" t="str">
        <f>IF(Planilha1!G723="","",IF(Planilha1!G723=0,"",Planilha1!G723))</f>
        <v/>
      </c>
      <c r="N726" s="5">
        <f t="shared" si="89"/>
        <v>1</v>
      </c>
      <c r="O726" s="5">
        <f t="shared" si="90"/>
        <v>0</v>
      </c>
      <c r="P726" s="5">
        <f t="shared" si="91"/>
        <v>0</v>
      </c>
      <c r="Q726" s="5">
        <f t="shared" si="92"/>
        <v>2</v>
      </c>
      <c r="R726" s="8">
        <f t="shared" si="93"/>
        <v>0</v>
      </c>
      <c r="S726" s="8">
        <f t="shared" si="94"/>
        <v>0</v>
      </c>
      <c r="T726" s="3" t="str">
        <f t="shared" si="95"/>
        <v/>
      </c>
      <c r="V726" s="1" t="e">
        <f t="shared" si="96"/>
        <v>#VALUE!</v>
      </c>
    </row>
    <row r="727" spans="8:22" x14ac:dyDescent="0.3">
      <c r="H727" s="2" t="str">
        <f>IF(Planilha1!B724="","",Planilha1!B724)</f>
        <v>8:00p</v>
      </c>
      <c r="I727" s="2" t="str">
        <f>IF(Planilha1!C724="","",Planilha1!C724)</f>
        <v>Orlando Magic</v>
      </c>
      <c r="J727" s="2">
        <f>IF(Planilha1!D724="","",Planilha1!D724)</f>
        <v>0</v>
      </c>
      <c r="K727" s="10" t="str">
        <f>IF(Planilha1!E724="","",IF(Planilha1!E724=0,"",Planilha1!E724))</f>
        <v>Minnesota Timberwolves</v>
      </c>
      <c r="L727" s="10">
        <f>IF(Planilha1!F724="","",Planilha1!F724)</f>
        <v>0</v>
      </c>
      <c r="M727" s="10" t="str">
        <f>IF(Planilha1!G724="","",IF(Planilha1!G724=0,"",Planilha1!G724))</f>
        <v/>
      </c>
      <c r="N727" s="5">
        <f t="shared" si="89"/>
        <v>1</v>
      </c>
      <c r="O727" s="5">
        <f t="shared" si="90"/>
        <v>0</v>
      </c>
      <c r="P727" s="5">
        <f t="shared" si="91"/>
        <v>0</v>
      </c>
      <c r="Q727" s="5">
        <f t="shared" si="92"/>
        <v>2</v>
      </c>
      <c r="R727" s="8">
        <f t="shared" si="93"/>
        <v>0</v>
      </c>
      <c r="S727" s="8">
        <f t="shared" si="94"/>
        <v>0</v>
      </c>
      <c r="T727" s="3" t="str">
        <f t="shared" si="95"/>
        <v/>
      </c>
      <c r="V727" s="1" t="e">
        <f t="shared" si="96"/>
        <v>#VALUE!</v>
      </c>
    </row>
    <row r="728" spans="8:22" x14ac:dyDescent="0.3">
      <c r="H728" s="2" t="str">
        <f>IF(Planilha1!B725="","",Planilha1!B725)</f>
        <v>8:00p</v>
      </c>
      <c r="I728" s="2" t="str">
        <f>IF(Planilha1!C725="","",Planilha1!C725)</f>
        <v>Charlotte Hornets</v>
      </c>
      <c r="J728" s="2">
        <f>IF(Planilha1!D725="","",Planilha1!D725)</f>
        <v>0</v>
      </c>
      <c r="K728" s="10" t="str">
        <f>IF(Planilha1!E725="","",IF(Planilha1!E725=0,"",Planilha1!E725))</f>
        <v>Oklahoma City Thunder</v>
      </c>
      <c r="L728" s="10">
        <f>IF(Planilha1!F725="","",Planilha1!F725)</f>
        <v>0</v>
      </c>
      <c r="M728" s="10" t="str">
        <f>IF(Planilha1!G725="","",IF(Planilha1!G725=0,"",Planilha1!G725))</f>
        <v/>
      </c>
      <c r="N728" s="5">
        <f t="shared" si="89"/>
        <v>1</v>
      </c>
      <c r="O728" s="5">
        <f t="shared" si="90"/>
        <v>0</v>
      </c>
      <c r="P728" s="5">
        <f t="shared" si="91"/>
        <v>0</v>
      </c>
      <c r="Q728" s="5">
        <f t="shared" si="92"/>
        <v>2</v>
      </c>
      <c r="R728" s="8">
        <f t="shared" si="93"/>
        <v>0</v>
      </c>
      <c r="S728" s="8">
        <f t="shared" si="94"/>
        <v>0</v>
      </c>
      <c r="T728" s="3" t="str">
        <f t="shared" si="95"/>
        <v/>
      </c>
      <c r="V728" s="1" t="e">
        <f t="shared" si="96"/>
        <v>#VALUE!</v>
      </c>
    </row>
    <row r="729" spans="8:22" x14ac:dyDescent="0.3">
      <c r="H729" s="2" t="str">
        <f>IF(Planilha1!B726="","",Planilha1!B726)</f>
        <v>8:00p</v>
      </c>
      <c r="I729" s="2" t="str">
        <f>IF(Planilha1!C726="","",Planilha1!C726)</f>
        <v>New Orleans Pelicans</v>
      </c>
      <c r="J729" s="2">
        <f>IF(Planilha1!D726="","",Planilha1!D726)</f>
        <v>0</v>
      </c>
      <c r="K729" s="10" t="str">
        <f>IF(Planilha1!E726="","",IF(Planilha1!E726=0,"",Planilha1!E726))</f>
        <v>San Antonio Spurs</v>
      </c>
      <c r="L729" s="10">
        <f>IF(Planilha1!F726="","",Planilha1!F726)</f>
        <v>0</v>
      </c>
      <c r="M729" s="10" t="str">
        <f>IF(Planilha1!G726="","",IF(Planilha1!G726=0,"",Planilha1!G726))</f>
        <v/>
      </c>
      <c r="N729" s="5">
        <f t="shared" si="89"/>
        <v>1</v>
      </c>
      <c r="O729" s="5">
        <f t="shared" si="90"/>
        <v>0</v>
      </c>
      <c r="P729" s="5">
        <f t="shared" si="91"/>
        <v>0</v>
      </c>
      <c r="Q729" s="5">
        <f t="shared" si="92"/>
        <v>2</v>
      </c>
      <c r="R729" s="8">
        <f t="shared" si="93"/>
        <v>0</v>
      </c>
      <c r="S729" s="8">
        <f t="shared" si="94"/>
        <v>0</v>
      </c>
      <c r="T729" s="3" t="str">
        <f t="shared" si="95"/>
        <v/>
      </c>
      <c r="V729" s="1" t="e">
        <f t="shared" si="96"/>
        <v>#VALUE!</v>
      </c>
    </row>
    <row r="730" spans="8:22" x14ac:dyDescent="0.3">
      <c r="H730" s="2" t="str">
        <f>IF(Planilha1!B727="","",Planilha1!B727)</f>
        <v>9:00p</v>
      </c>
      <c r="I730" s="2" t="str">
        <f>IF(Planilha1!C727="","",Planilha1!C727)</f>
        <v>Portland Trail Blazers</v>
      </c>
      <c r="J730" s="2">
        <f>IF(Planilha1!D727="","",Planilha1!D727)</f>
        <v>0</v>
      </c>
      <c r="K730" s="10" t="str">
        <f>IF(Planilha1!E727="","",IF(Planilha1!E727=0,"",Planilha1!E727))</f>
        <v>Denver Nuggets</v>
      </c>
      <c r="L730" s="10">
        <f>IF(Planilha1!F727="","",Planilha1!F727)</f>
        <v>0</v>
      </c>
      <c r="M730" s="10" t="str">
        <f>IF(Planilha1!G727="","",IF(Planilha1!G727=0,"",Planilha1!G727))</f>
        <v/>
      </c>
      <c r="N730" s="5">
        <f t="shared" si="89"/>
        <v>1</v>
      </c>
      <c r="O730" s="5">
        <f t="shared" si="90"/>
        <v>0</v>
      </c>
      <c r="P730" s="5">
        <f t="shared" si="91"/>
        <v>0</v>
      </c>
      <c r="Q730" s="5">
        <f t="shared" si="92"/>
        <v>2</v>
      </c>
      <c r="R730" s="8">
        <f t="shared" si="93"/>
        <v>0</v>
      </c>
      <c r="S730" s="8">
        <f t="shared" si="94"/>
        <v>0</v>
      </c>
      <c r="T730" s="3" t="str">
        <f t="shared" si="95"/>
        <v/>
      </c>
      <c r="V730" s="1" t="e">
        <f t="shared" si="96"/>
        <v>#VALUE!</v>
      </c>
    </row>
    <row r="731" spans="8:22" x14ac:dyDescent="0.3">
      <c r="H731" s="2" t="str">
        <f>IF(Planilha1!B728="","",Planilha1!B728)</f>
        <v>6:00p</v>
      </c>
      <c r="I731" s="2" t="str">
        <f>IF(Planilha1!C728="","",Planilha1!C728)</f>
        <v>Brooklyn Nets</v>
      </c>
      <c r="J731" s="2">
        <f>IF(Planilha1!D728="","",Planilha1!D728)</f>
        <v>0</v>
      </c>
      <c r="K731" s="10" t="str">
        <f>IF(Planilha1!E728="","",IF(Planilha1!E728=0,"",Planilha1!E728))</f>
        <v>Philadelphia 76ers</v>
      </c>
      <c r="L731" s="10">
        <f>IF(Planilha1!F728="","",Planilha1!F728)</f>
        <v>0</v>
      </c>
      <c r="M731" s="10" t="str">
        <f>IF(Planilha1!G728="","",IF(Planilha1!G728=0,"",Planilha1!G728))</f>
        <v/>
      </c>
      <c r="N731" s="5">
        <f t="shared" si="89"/>
        <v>1</v>
      </c>
      <c r="O731" s="5">
        <f t="shared" si="90"/>
        <v>0</v>
      </c>
      <c r="P731" s="5">
        <f t="shared" si="91"/>
        <v>0</v>
      </c>
      <c r="Q731" s="5">
        <f t="shared" si="92"/>
        <v>2</v>
      </c>
      <c r="R731" s="8">
        <f t="shared" si="93"/>
        <v>0</v>
      </c>
      <c r="S731" s="8">
        <f t="shared" si="94"/>
        <v>0</v>
      </c>
      <c r="T731" s="3" t="str">
        <f t="shared" si="95"/>
        <v/>
      </c>
      <c r="V731" s="1" t="e">
        <f t="shared" si="96"/>
        <v>#VALUE!</v>
      </c>
    </row>
    <row r="732" spans="8:22" x14ac:dyDescent="0.3">
      <c r="H732" s="2" t="str">
        <f>IF(Planilha1!B729="","",Planilha1!B729)</f>
        <v>7:30p</v>
      </c>
      <c r="I732" s="2" t="str">
        <f>IF(Planilha1!C729="","",Planilha1!C729)</f>
        <v>Golden State Warriors</v>
      </c>
      <c r="J732" s="2">
        <f>IF(Planilha1!D729="","",Planilha1!D729)</f>
        <v>0</v>
      </c>
      <c r="K732" s="10" t="str">
        <f>IF(Planilha1!E729="","",IF(Planilha1!E729=0,"",Planilha1!E729))</f>
        <v>Atlanta Hawks</v>
      </c>
      <c r="L732" s="10">
        <f>IF(Planilha1!F729="","",Planilha1!F729)</f>
        <v>0</v>
      </c>
      <c r="M732" s="10" t="str">
        <f>IF(Planilha1!G729="","",IF(Planilha1!G729=0,"",Planilha1!G729))</f>
        <v/>
      </c>
      <c r="N732" s="5">
        <f t="shared" si="89"/>
        <v>1</v>
      </c>
      <c r="O732" s="5">
        <f t="shared" si="90"/>
        <v>0</v>
      </c>
      <c r="P732" s="5">
        <f t="shared" si="91"/>
        <v>0</v>
      </c>
      <c r="Q732" s="5">
        <f t="shared" si="92"/>
        <v>2</v>
      </c>
      <c r="R732" s="8">
        <f t="shared" si="93"/>
        <v>0</v>
      </c>
      <c r="S732" s="8">
        <f t="shared" si="94"/>
        <v>0</v>
      </c>
      <c r="T732" s="3" t="str">
        <f t="shared" si="95"/>
        <v/>
      </c>
      <c r="V732" s="1" t="e">
        <f t="shared" si="96"/>
        <v>#VALUE!</v>
      </c>
    </row>
    <row r="733" spans="8:22" x14ac:dyDescent="0.3">
      <c r="H733" s="2" t="str">
        <f>IF(Planilha1!B730="","",Planilha1!B730)</f>
        <v>8:00p</v>
      </c>
      <c r="I733" s="2" t="str">
        <f>IF(Planilha1!C730="","",Planilha1!C730)</f>
        <v>Sacramento Kings</v>
      </c>
      <c r="J733" s="2">
        <f>IF(Planilha1!D730="","",Planilha1!D730)</f>
        <v>0</v>
      </c>
      <c r="K733" s="10" t="str">
        <f>IF(Planilha1!E730="","",IF(Planilha1!E730=0,"",Planilha1!E730))</f>
        <v>Chicago Bulls</v>
      </c>
      <c r="L733" s="10">
        <f>IF(Planilha1!F730="","",Planilha1!F730)</f>
        <v>0</v>
      </c>
      <c r="M733" s="10" t="str">
        <f>IF(Planilha1!G730="","",IF(Planilha1!G730=0,"",Planilha1!G730))</f>
        <v/>
      </c>
      <c r="N733" s="5">
        <f t="shared" si="89"/>
        <v>1</v>
      </c>
      <c r="O733" s="5">
        <f t="shared" si="90"/>
        <v>0</v>
      </c>
      <c r="P733" s="5">
        <f t="shared" si="91"/>
        <v>0</v>
      </c>
      <c r="Q733" s="5">
        <f t="shared" si="92"/>
        <v>2</v>
      </c>
      <c r="R733" s="8">
        <f t="shared" si="93"/>
        <v>0</v>
      </c>
      <c r="S733" s="8">
        <f t="shared" si="94"/>
        <v>0</v>
      </c>
      <c r="T733" s="3" t="str">
        <f t="shared" si="95"/>
        <v/>
      </c>
      <c r="V733" s="1" t="e">
        <f t="shared" si="96"/>
        <v>#VALUE!</v>
      </c>
    </row>
    <row r="734" spans="8:22" x14ac:dyDescent="0.3">
      <c r="H734" s="2" t="str">
        <f>IF(Planilha1!B731="","",Planilha1!B731)</f>
        <v>8:30p</v>
      </c>
      <c r="I734" s="2" t="str">
        <f>IF(Planilha1!C731="","",Planilha1!C731)</f>
        <v>Milwaukee Bucks</v>
      </c>
      <c r="J734" s="2">
        <f>IF(Planilha1!D731="","",Planilha1!D731)</f>
        <v>0</v>
      </c>
      <c r="K734" s="10" t="str">
        <f>IF(Planilha1!E731="","",IF(Planilha1!E731=0,"",Planilha1!E731))</f>
        <v>Dallas Mavericks</v>
      </c>
      <c r="L734" s="10">
        <f>IF(Planilha1!F731="","",Planilha1!F731)</f>
        <v>0</v>
      </c>
      <c r="M734" s="10" t="str">
        <f>IF(Planilha1!G731="","",IF(Planilha1!G731=0,"",Planilha1!G731))</f>
        <v/>
      </c>
      <c r="N734" s="5">
        <f t="shared" si="89"/>
        <v>1</v>
      </c>
      <c r="O734" s="5">
        <f t="shared" si="90"/>
        <v>0</v>
      </c>
      <c r="P734" s="5">
        <f t="shared" si="91"/>
        <v>0</v>
      </c>
      <c r="Q734" s="5">
        <f t="shared" si="92"/>
        <v>2</v>
      </c>
      <c r="R734" s="8">
        <f t="shared" si="93"/>
        <v>0</v>
      </c>
      <c r="S734" s="8">
        <f t="shared" si="94"/>
        <v>0</v>
      </c>
      <c r="T734" s="3" t="str">
        <f t="shared" si="95"/>
        <v/>
      </c>
      <c r="V734" s="1" t="e">
        <f t="shared" si="96"/>
        <v>#VALUE!</v>
      </c>
    </row>
    <row r="735" spans="8:22" x14ac:dyDescent="0.3">
      <c r="H735" s="2" t="str">
        <f>IF(Planilha1!B732="","",Planilha1!B732)</f>
        <v>8:30p</v>
      </c>
      <c r="I735" s="2" t="str">
        <f>IF(Planilha1!C732="","",Planilha1!C732)</f>
        <v>Los Angeles Lakers</v>
      </c>
      <c r="J735" s="2">
        <f>IF(Planilha1!D732="","",Planilha1!D732)</f>
        <v>0</v>
      </c>
      <c r="K735" s="10" t="str">
        <f>IF(Planilha1!E732="","",IF(Planilha1!E732=0,"",Planilha1!E732))</f>
        <v>New York Knicks</v>
      </c>
      <c r="L735" s="10">
        <f>IF(Planilha1!F732="","",Planilha1!F732)</f>
        <v>0</v>
      </c>
      <c r="M735" s="10" t="str">
        <f>IF(Planilha1!G732="","",IF(Planilha1!G732=0,"",Planilha1!G732))</f>
        <v/>
      </c>
      <c r="N735" s="5">
        <f t="shared" si="89"/>
        <v>1</v>
      </c>
      <c r="O735" s="5">
        <f t="shared" si="90"/>
        <v>0</v>
      </c>
      <c r="P735" s="5">
        <f t="shared" si="91"/>
        <v>0</v>
      </c>
      <c r="Q735" s="5">
        <f t="shared" si="92"/>
        <v>2</v>
      </c>
      <c r="R735" s="8">
        <f t="shared" si="93"/>
        <v>0</v>
      </c>
      <c r="S735" s="8">
        <f t="shared" si="94"/>
        <v>0</v>
      </c>
      <c r="T735" s="3" t="str">
        <f t="shared" si="95"/>
        <v/>
      </c>
      <c r="V735" s="1" t="e">
        <f t="shared" si="96"/>
        <v>#VALUE!</v>
      </c>
    </row>
    <row r="736" spans="8:22" x14ac:dyDescent="0.3">
      <c r="H736" s="2" t="str">
        <f>IF(Planilha1!B733="","",Planilha1!B733)</f>
        <v>8:30p</v>
      </c>
      <c r="I736" s="2" t="str">
        <f>IF(Planilha1!C733="","",Planilha1!C733)</f>
        <v>Cleveland Cavaliers</v>
      </c>
      <c r="J736" s="2">
        <f>IF(Planilha1!D733="","",Planilha1!D733)</f>
        <v>0</v>
      </c>
      <c r="K736" s="10" t="str">
        <f>IF(Planilha1!E733="","",IF(Planilha1!E733=0,"",Planilha1!E733))</f>
        <v>San Antonio Spurs</v>
      </c>
      <c r="L736" s="10">
        <f>IF(Planilha1!F733="","",Planilha1!F733)</f>
        <v>0</v>
      </c>
      <c r="M736" s="10" t="str">
        <f>IF(Planilha1!G733="","",IF(Planilha1!G733=0,"",Planilha1!G733))</f>
        <v/>
      </c>
      <c r="N736" s="5">
        <f t="shared" si="89"/>
        <v>1</v>
      </c>
      <c r="O736" s="5">
        <f t="shared" si="90"/>
        <v>0</v>
      </c>
      <c r="P736" s="5">
        <f t="shared" si="91"/>
        <v>0</v>
      </c>
      <c r="Q736" s="5">
        <f t="shared" si="92"/>
        <v>2</v>
      </c>
      <c r="R736" s="8">
        <f t="shared" si="93"/>
        <v>0</v>
      </c>
      <c r="S736" s="8">
        <f t="shared" si="94"/>
        <v>0</v>
      </c>
      <c r="T736" s="3" t="str">
        <f t="shared" si="95"/>
        <v/>
      </c>
      <c r="V736" s="1" t="e">
        <f t="shared" si="96"/>
        <v>#VALUE!</v>
      </c>
    </row>
    <row r="737" spans="8:22" x14ac:dyDescent="0.3">
      <c r="H737" s="2" t="str">
        <f>IF(Planilha1!B734="","",Planilha1!B734)</f>
        <v>3:00p</v>
      </c>
      <c r="I737" s="2" t="str">
        <f>IF(Planilha1!C734="","",Planilha1!C734)</f>
        <v>Orlando Magic</v>
      </c>
      <c r="J737" s="2">
        <f>IF(Planilha1!D734="","",Planilha1!D734)</f>
        <v>0</v>
      </c>
      <c r="K737" s="10" t="str">
        <f>IF(Planilha1!E734="","",IF(Planilha1!E734=0,"",Planilha1!E734))</f>
        <v>Detroit Pistons</v>
      </c>
      <c r="L737" s="10">
        <f>IF(Planilha1!F734="","",Planilha1!F734)</f>
        <v>0</v>
      </c>
      <c r="M737" s="10" t="str">
        <f>IF(Planilha1!G734="","",IF(Planilha1!G734=0,"",Planilha1!G734))</f>
        <v/>
      </c>
      <c r="N737" s="5">
        <f t="shared" si="89"/>
        <v>1</v>
      </c>
      <c r="O737" s="5">
        <f t="shared" si="90"/>
        <v>0</v>
      </c>
      <c r="P737" s="5">
        <f t="shared" si="91"/>
        <v>0</v>
      </c>
      <c r="Q737" s="5">
        <f t="shared" si="92"/>
        <v>2</v>
      </c>
      <c r="R737" s="8">
        <f t="shared" si="93"/>
        <v>0</v>
      </c>
      <c r="S737" s="8">
        <f t="shared" si="94"/>
        <v>0</v>
      </c>
      <c r="T737" s="3" t="str">
        <f t="shared" si="95"/>
        <v/>
      </c>
      <c r="V737" s="1" t="e">
        <f t="shared" si="96"/>
        <v>#VALUE!</v>
      </c>
    </row>
    <row r="738" spans="8:22" x14ac:dyDescent="0.3">
      <c r="H738" s="2" t="str">
        <f>IF(Planilha1!B735="","",Planilha1!B735)</f>
        <v>3:30p</v>
      </c>
      <c r="I738" s="2" t="str">
        <f>IF(Planilha1!C735="","",Planilha1!C735)</f>
        <v>Phoenix Suns</v>
      </c>
      <c r="J738" s="2">
        <f>IF(Planilha1!D735="","",Planilha1!D735)</f>
        <v>0</v>
      </c>
      <c r="K738" s="10" t="str">
        <f>IF(Planilha1!E735="","",IF(Planilha1!E735=0,"",Planilha1!E735))</f>
        <v>Washington Wizards</v>
      </c>
      <c r="L738" s="10">
        <f>IF(Planilha1!F735="","",Planilha1!F735)</f>
        <v>0</v>
      </c>
      <c r="M738" s="10" t="str">
        <f>IF(Planilha1!G735="","",IF(Planilha1!G735=0,"",Planilha1!G735))</f>
        <v/>
      </c>
      <c r="N738" s="5">
        <f t="shared" si="89"/>
        <v>1</v>
      </c>
      <c r="O738" s="5">
        <f t="shared" si="90"/>
        <v>0</v>
      </c>
      <c r="P738" s="5">
        <f t="shared" si="91"/>
        <v>0</v>
      </c>
      <c r="Q738" s="5">
        <f t="shared" si="92"/>
        <v>2</v>
      </c>
      <c r="R738" s="8">
        <f t="shared" si="93"/>
        <v>0</v>
      </c>
      <c r="S738" s="8">
        <f t="shared" si="94"/>
        <v>0</v>
      </c>
      <c r="T738" s="3" t="str">
        <f t="shared" si="95"/>
        <v/>
      </c>
      <c r="V738" s="1" t="e">
        <f t="shared" si="96"/>
        <v>#VALUE!</v>
      </c>
    </row>
    <row r="739" spans="8:22" x14ac:dyDescent="0.3">
      <c r="H739" s="2" t="str">
        <f>IF(Planilha1!B736="","",Planilha1!B736)</f>
        <v>6:00p</v>
      </c>
      <c r="I739" s="2" t="str">
        <f>IF(Planilha1!C736="","",Planilha1!C736)</f>
        <v>Memphis Grizzlies</v>
      </c>
      <c r="J739" s="2">
        <f>IF(Planilha1!D736="","",Planilha1!D736)</f>
        <v>0</v>
      </c>
      <c r="K739" s="10" t="str">
        <f>IF(Planilha1!E736="","",IF(Planilha1!E736=0,"",Planilha1!E736))</f>
        <v>Boston Celtics</v>
      </c>
      <c r="L739" s="10">
        <f>IF(Planilha1!F736="","",Planilha1!F736)</f>
        <v>0</v>
      </c>
      <c r="M739" s="10" t="str">
        <f>IF(Planilha1!G736="","",IF(Planilha1!G736=0,"",Planilha1!G736))</f>
        <v/>
      </c>
      <c r="N739" s="5">
        <f t="shared" si="89"/>
        <v>1</v>
      </c>
      <c r="O739" s="5">
        <f t="shared" si="90"/>
        <v>0</v>
      </c>
      <c r="P739" s="5">
        <f t="shared" si="91"/>
        <v>0</v>
      </c>
      <c r="Q739" s="5">
        <f t="shared" si="92"/>
        <v>2</v>
      </c>
      <c r="R739" s="8">
        <f t="shared" si="93"/>
        <v>0</v>
      </c>
      <c r="S739" s="8">
        <f t="shared" si="94"/>
        <v>0</v>
      </c>
      <c r="T739" s="3" t="str">
        <f t="shared" si="95"/>
        <v/>
      </c>
      <c r="V739" s="1" t="e">
        <f t="shared" si="96"/>
        <v>#VALUE!</v>
      </c>
    </row>
    <row r="740" spans="8:22" x14ac:dyDescent="0.3">
      <c r="H740" s="2" t="str">
        <f>IF(Planilha1!B737="","",Planilha1!B737)</f>
        <v>6:00p</v>
      </c>
      <c r="I740" s="2" t="str">
        <f>IF(Planilha1!C737="","",Planilha1!C737)</f>
        <v>Indiana Pacers</v>
      </c>
      <c r="J740" s="2">
        <f>IF(Planilha1!D737="","",Planilha1!D737)</f>
        <v>0</v>
      </c>
      <c r="K740" s="10" t="str">
        <f>IF(Planilha1!E737="","",IF(Planilha1!E737=0,"",Planilha1!E737))</f>
        <v>Charlotte Hornets</v>
      </c>
      <c r="L740" s="10">
        <f>IF(Planilha1!F737="","",Planilha1!F737)</f>
        <v>0</v>
      </c>
      <c r="M740" s="10" t="str">
        <f>IF(Planilha1!G737="","",IF(Planilha1!G737=0,"",Planilha1!G737))</f>
        <v/>
      </c>
      <c r="N740" s="5">
        <f t="shared" si="89"/>
        <v>1</v>
      </c>
      <c r="O740" s="5">
        <f t="shared" si="90"/>
        <v>0</v>
      </c>
      <c r="P740" s="5">
        <f t="shared" si="91"/>
        <v>0</v>
      </c>
      <c r="Q740" s="5">
        <f t="shared" si="92"/>
        <v>2</v>
      </c>
      <c r="R740" s="8">
        <f t="shared" si="93"/>
        <v>0</v>
      </c>
      <c r="S740" s="8">
        <f t="shared" si="94"/>
        <v>0</v>
      </c>
      <c r="T740" s="3" t="str">
        <f t="shared" si="95"/>
        <v/>
      </c>
      <c r="V740" s="1" t="e">
        <f t="shared" si="96"/>
        <v>#VALUE!</v>
      </c>
    </row>
    <row r="741" spans="8:22" x14ac:dyDescent="0.3">
      <c r="H741" s="2" t="str">
        <f>IF(Planilha1!B738="","",Planilha1!B738)</f>
        <v>6:00p</v>
      </c>
      <c r="I741" s="2" t="str">
        <f>IF(Planilha1!C738="","",Planilha1!C738)</f>
        <v>Los Angeles Clippers</v>
      </c>
      <c r="J741" s="2">
        <f>IF(Planilha1!D738="","",Planilha1!D738)</f>
        <v>0</v>
      </c>
      <c r="K741" s="10" t="str">
        <f>IF(Planilha1!E738="","",IF(Planilha1!E738=0,"",Planilha1!E738))</f>
        <v>Miami Heat</v>
      </c>
      <c r="L741" s="10">
        <f>IF(Planilha1!F738="","",Planilha1!F738)</f>
        <v>0</v>
      </c>
      <c r="M741" s="10" t="str">
        <f>IF(Planilha1!G738="","",IF(Planilha1!G738=0,"",Planilha1!G738))</f>
        <v/>
      </c>
      <c r="N741" s="5">
        <f t="shared" si="89"/>
        <v>1</v>
      </c>
      <c r="O741" s="5">
        <f t="shared" si="90"/>
        <v>0</v>
      </c>
      <c r="P741" s="5">
        <f t="shared" si="91"/>
        <v>0</v>
      </c>
      <c r="Q741" s="5">
        <f t="shared" si="92"/>
        <v>2</v>
      </c>
      <c r="R741" s="8">
        <f t="shared" si="93"/>
        <v>0</v>
      </c>
      <c r="S741" s="8">
        <f t="shared" si="94"/>
        <v>0</v>
      </c>
      <c r="T741" s="3" t="str">
        <f t="shared" si="95"/>
        <v/>
      </c>
      <c r="V741" s="1" t="e">
        <f t="shared" si="96"/>
        <v>#VALUE!</v>
      </c>
    </row>
    <row r="742" spans="8:22" x14ac:dyDescent="0.3">
      <c r="H742" s="2" t="str">
        <f>IF(Planilha1!B739="","",Planilha1!B739)</f>
        <v>7:00p</v>
      </c>
      <c r="I742" s="2" t="str">
        <f>IF(Planilha1!C739="","",Planilha1!C739)</f>
        <v>Houston Rockets</v>
      </c>
      <c r="J742" s="2">
        <f>IF(Planilha1!D739="","",Planilha1!D739)</f>
        <v>0</v>
      </c>
      <c r="K742" s="10" t="str">
        <f>IF(Planilha1!E739="","",IF(Planilha1!E739=0,"",Planilha1!E739))</f>
        <v>Minnesota Timberwolves</v>
      </c>
      <c r="L742" s="10">
        <f>IF(Planilha1!F739="","",Planilha1!F739)</f>
        <v>0</v>
      </c>
      <c r="M742" s="10" t="str">
        <f>IF(Planilha1!G739="","",IF(Planilha1!G739=0,"",Planilha1!G739))</f>
        <v/>
      </c>
      <c r="N742" s="5">
        <f t="shared" si="89"/>
        <v>1</v>
      </c>
      <c r="O742" s="5">
        <f t="shared" si="90"/>
        <v>0</v>
      </c>
      <c r="P742" s="5">
        <f t="shared" si="91"/>
        <v>0</v>
      </c>
      <c r="Q742" s="5">
        <f t="shared" si="92"/>
        <v>2</v>
      </c>
      <c r="R742" s="8">
        <f t="shared" si="93"/>
        <v>0</v>
      </c>
      <c r="S742" s="8">
        <f t="shared" si="94"/>
        <v>0</v>
      </c>
      <c r="T742" s="3" t="str">
        <f t="shared" si="95"/>
        <v/>
      </c>
      <c r="V742" s="1" t="e">
        <f t="shared" si="96"/>
        <v>#VALUE!</v>
      </c>
    </row>
    <row r="743" spans="8:22" x14ac:dyDescent="0.3">
      <c r="H743" s="2" t="str">
        <f>IF(Planilha1!B740="","",Planilha1!B740)</f>
        <v>7:00p</v>
      </c>
      <c r="I743" s="2" t="str">
        <f>IF(Planilha1!C740="","",Planilha1!C740)</f>
        <v>Toronto Raptors</v>
      </c>
      <c r="J743" s="2">
        <f>IF(Planilha1!D740="","",Planilha1!D740)</f>
        <v>0</v>
      </c>
      <c r="K743" s="10" t="str">
        <f>IF(Planilha1!E740="","",IF(Planilha1!E740=0,"",Planilha1!E740))</f>
        <v>Oklahoma City Thunder</v>
      </c>
      <c r="L743" s="10">
        <f>IF(Planilha1!F740="","",Planilha1!F740)</f>
        <v>0</v>
      </c>
      <c r="M743" s="10" t="str">
        <f>IF(Planilha1!G740="","",IF(Planilha1!G740=0,"",Planilha1!G740))</f>
        <v/>
      </c>
      <c r="N743" s="5">
        <f t="shared" si="89"/>
        <v>1</v>
      </c>
      <c r="O743" s="5">
        <f t="shared" si="90"/>
        <v>0</v>
      </c>
      <c r="P743" s="5">
        <f t="shared" si="91"/>
        <v>0</v>
      </c>
      <c r="Q743" s="5">
        <f t="shared" si="92"/>
        <v>2</v>
      </c>
      <c r="R743" s="8">
        <f t="shared" si="93"/>
        <v>0</v>
      </c>
      <c r="S743" s="8">
        <f t="shared" si="94"/>
        <v>0</v>
      </c>
      <c r="T743" s="3" t="str">
        <f t="shared" si="95"/>
        <v/>
      </c>
      <c r="V743" s="1" t="e">
        <f t="shared" si="96"/>
        <v>#VALUE!</v>
      </c>
    </row>
    <row r="744" spans="8:22" x14ac:dyDescent="0.3">
      <c r="H744" s="2" t="str">
        <f>IF(Planilha1!B741="","",Planilha1!B741)</f>
        <v>8:00p</v>
      </c>
      <c r="I744" s="2" t="str">
        <f>IF(Planilha1!C741="","",Planilha1!C741)</f>
        <v>Milwaukee Bucks</v>
      </c>
      <c r="J744" s="2">
        <f>IF(Planilha1!D741="","",Planilha1!D741)</f>
        <v>0</v>
      </c>
      <c r="K744" s="10" t="str">
        <f>IF(Planilha1!E741="","",IF(Planilha1!E741=0,"",Planilha1!E741))</f>
        <v>Utah Jazz</v>
      </c>
      <c r="L744" s="10">
        <f>IF(Planilha1!F741="","",Planilha1!F741)</f>
        <v>0</v>
      </c>
      <c r="M744" s="10" t="str">
        <f>IF(Planilha1!G741="","",IF(Planilha1!G741=0,"",Planilha1!G741))</f>
        <v/>
      </c>
      <c r="N744" s="5">
        <f t="shared" si="89"/>
        <v>1</v>
      </c>
      <c r="O744" s="5">
        <f t="shared" si="90"/>
        <v>0</v>
      </c>
      <c r="P744" s="5">
        <f t="shared" si="91"/>
        <v>0</v>
      </c>
      <c r="Q744" s="5">
        <f t="shared" si="92"/>
        <v>2</v>
      </c>
      <c r="R744" s="8">
        <f t="shared" si="93"/>
        <v>0</v>
      </c>
      <c r="S744" s="8">
        <f t="shared" si="94"/>
        <v>0</v>
      </c>
      <c r="T744" s="3" t="str">
        <f t="shared" si="95"/>
        <v/>
      </c>
      <c r="V744" s="1" t="e">
        <f t="shared" si="96"/>
        <v>#VALUE!</v>
      </c>
    </row>
    <row r="745" spans="8:22" x14ac:dyDescent="0.3">
      <c r="H745" s="2" t="str">
        <f>IF(Planilha1!B742="","",Planilha1!B742)</f>
        <v>8:30p</v>
      </c>
      <c r="I745" s="2" t="str">
        <f>IF(Planilha1!C742="","",Planilha1!C742)</f>
        <v>Portland Trail Blazers</v>
      </c>
      <c r="J745" s="2">
        <f>IF(Planilha1!D742="","",Planilha1!D742)</f>
        <v>0</v>
      </c>
      <c r="K745" s="10" t="str">
        <f>IF(Planilha1!E742="","",IF(Planilha1!E742=0,"",Planilha1!E742))</f>
        <v>Denver Nuggets</v>
      </c>
      <c r="L745" s="10">
        <f>IF(Planilha1!F742="","",Planilha1!F742)</f>
        <v>0</v>
      </c>
      <c r="M745" s="10" t="str">
        <f>IF(Planilha1!G742="","",IF(Planilha1!G742=0,"",Planilha1!G742))</f>
        <v/>
      </c>
      <c r="N745" s="5">
        <f t="shared" si="89"/>
        <v>1</v>
      </c>
      <c r="O745" s="5">
        <f t="shared" si="90"/>
        <v>0</v>
      </c>
      <c r="P745" s="5">
        <f t="shared" si="91"/>
        <v>0</v>
      </c>
      <c r="Q745" s="5">
        <f t="shared" si="92"/>
        <v>2</v>
      </c>
      <c r="R745" s="8">
        <f t="shared" si="93"/>
        <v>0</v>
      </c>
      <c r="S745" s="8">
        <f t="shared" si="94"/>
        <v>0</v>
      </c>
      <c r="T745" s="3" t="str">
        <f t="shared" si="95"/>
        <v/>
      </c>
      <c r="V745" s="1" t="e">
        <f t="shared" si="96"/>
        <v>#VALUE!</v>
      </c>
    </row>
    <row r="746" spans="8:22" x14ac:dyDescent="0.3">
      <c r="H746" s="2" t="str">
        <f>IF(Planilha1!B743="","",Planilha1!B743)</f>
        <v>7:00p</v>
      </c>
      <c r="I746" s="2" t="str">
        <f>IF(Planilha1!C743="","",Planilha1!C743)</f>
        <v>Los Angeles Lakers</v>
      </c>
      <c r="J746" s="2">
        <f>IF(Planilha1!D743="","",Planilha1!D743)</f>
        <v>0</v>
      </c>
      <c r="K746" s="10" t="str">
        <f>IF(Planilha1!E743="","",IF(Planilha1!E743=0,"",Planilha1!E743))</f>
        <v>Charlotte Hornets</v>
      </c>
      <c r="L746" s="10">
        <f>IF(Planilha1!F743="","",Planilha1!F743)</f>
        <v>0</v>
      </c>
      <c r="M746" s="10" t="str">
        <f>IF(Planilha1!G743="","",IF(Planilha1!G743=0,"",Planilha1!G743))</f>
        <v/>
      </c>
      <c r="N746" s="5">
        <f t="shared" si="89"/>
        <v>1</v>
      </c>
      <c r="O746" s="5">
        <f t="shared" si="90"/>
        <v>0</v>
      </c>
      <c r="P746" s="5">
        <f t="shared" si="91"/>
        <v>0</v>
      </c>
      <c r="Q746" s="5">
        <f t="shared" si="92"/>
        <v>2</v>
      </c>
      <c r="R746" s="8">
        <f t="shared" si="93"/>
        <v>0</v>
      </c>
      <c r="S746" s="8">
        <f t="shared" si="94"/>
        <v>0</v>
      </c>
      <c r="T746" s="3" t="str">
        <f t="shared" si="95"/>
        <v/>
      </c>
      <c r="V746" s="1" t="e">
        <f t="shared" si="96"/>
        <v>#VALUE!</v>
      </c>
    </row>
    <row r="747" spans="8:22" x14ac:dyDescent="0.3">
      <c r="H747" s="2" t="str">
        <f>IF(Planilha1!B744="","",Planilha1!B744)</f>
        <v>7:00p</v>
      </c>
      <c r="I747" s="2" t="str">
        <f>IF(Planilha1!C744="","",Planilha1!C744)</f>
        <v>Sacramento Kings</v>
      </c>
      <c r="J747" s="2">
        <f>IF(Planilha1!D744="","",Planilha1!D744)</f>
        <v>0</v>
      </c>
      <c r="K747" s="10" t="str">
        <f>IF(Planilha1!E744="","",IF(Planilha1!E744=0,"",Planilha1!E744))</f>
        <v>Cleveland Cavaliers</v>
      </c>
      <c r="L747" s="10">
        <f>IF(Planilha1!F744="","",Planilha1!F744)</f>
        <v>0</v>
      </c>
      <c r="M747" s="10" t="str">
        <f>IF(Planilha1!G744="","",IF(Planilha1!G744=0,"",Planilha1!G744))</f>
        <v/>
      </c>
      <c r="N747" s="5">
        <f t="shared" si="89"/>
        <v>1</v>
      </c>
      <c r="O747" s="5">
        <f t="shared" si="90"/>
        <v>0</v>
      </c>
      <c r="P747" s="5">
        <f t="shared" si="91"/>
        <v>0</v>
      </c>
      <c r="Q747" s="5">
        <f t="shared" si="92"/>
        <v>2</v>
      </c>
      <c r="R747" s="8">
        <f t="shared" si="93"/>
        <v>0</v>
      </c>
      <c r="S747" s="8">
        <f t="shared" si="94"/>
        <v>0</v>
      </c>
      <c r="T747" s="3" t="str">
        <f t="shared" si="95"/>
        <v/>
      </c>
      <c r="V747" s="1" t="e">
        <f t="shared" si="96"/>
        <v>#VALUE!</v>
      </c>
    </row>
    <row r="748" spans="8:22" x14ac:dyDescent="0.3">
      <c r="H748" s="2" t="str">
        <f>IF(Planilha1!B745="","",Planilha1!B745)</f>
        <v>7:00p</v>
      </c>
      <c r="I748" s="2" t="str">
        <f>IF(Planilha1!C745="","",Planilha1!C745)</f>
        <v>Dallas Mavericks</v>
      </c>
      <c r="J748" s="2">
        <f>IF(Planilha1!D745="","",Planilha1!D745)</f>
        <v>0</v>
      </c>
      <c r="K748" s="10" t="str">
        <f>IF(Planilha1!E745="","",IF(Planilha1!E745=0,"",Planilha1!E745))</f>
        <v>Philadelphia 76ers</v>
      </c>
      <c r="L748" s="10">
        <f>IF(Planilha1!F745="","",Planilha1!F745)</f>
        <v>0</v>
      </c>
      <c r="M748" s="10" t="str">
        <f>IF(Planilha1!G745="","",IF(Planilha1!G745=0,"",Planilha1!G745))</f>
        <v/>
      </c>
      <c r="N748" s="5">
        <f t="shared" si="89"/>
        <v>1</v>
      </c>
      <c r="O748" s="5">
        <f t="shared" si="90"/>
        <v>0</v>
      </c>
      <c r="P748" s="5">
        <f t="shared" si="91"/>
        <v>0</v>
      </c>
      <c r="Q748" s="5">
        <f t="shared" si="92"/>
        <v>2</v>
      </c>
      <c r="R748" s="8">
        <f t="shared" si="93"/>
        <v>0</v>
      </c>
      <c r="S748" s="8">
        <f t="shared" si="94"/>
        <v>0</v>
      </c>
      <c r="T748" s="3" t="str">
        <f t="shared" si="95"/>
        <v/>
      </c>
      <c r="V748" s="1" t="e">
        <f t="shared" si="96"/>
        <v>#VALUE!</v>
      </c>
    </row>
    <row r="749" spans="8:22" x14ac:dyDescent="0.3">
      <c r="H749" s="2" t="str">
        <f>IF(Planilha1!B746="","",Planilha1!B746)</f>
        <v>7:30p</v>
      </c>
      <c r="I749" s="2" t="str">
        <f>IF(Planilha1!C746="","",Planilha1!C746)</f>
        <v>Los Angeles Clippers</v>
      </c>
      <c r="J749" s="2">
        <f>IF(Planilha1!D746="","",Planilha1!D746)</f>
        <v>0</v>
      </c>
      <c r="K749" s="10" t="str">
        <f>IF(Planilha1!E746="","",IF(Planilha1!E746=0,"",Planilha1!E746))</f>
        <v>Atlanta Hawks</v>
      </c>
      <c r="L749" s="10">
        <f>IF(Planilha1!F746="","",Planilha1!F746)</f>
        <v>0</v>
      </c>
      <c r="M749" s="10" t="str">
        <f>IF(Planilha1!G746="","",IF(Planilha1!G746=0,"",Planilha1!G746))</f>
        <v/>
      </c>
      <c r="N749" s="5">
        <f t="shared" si="89"/>
        <v>1</v>
      </c>
      <c r="O749" s="5">
        <f t="shared" si="90"/>
        <v>0</v>
      </c>
      <c r="P749" s="5">
        <f t="shared" si="91"/>
        <v>0</v>
      </c>
      <c r="Q749" s="5">
        <f t="shared" si="92"/>
        <v>2</v>
      </c>
      <c r="R749" s="8">
        <f t="shared" si="93"/>
        <v>0</v>
      </c>
      <c r="S749" s="8">
        <f t="shared" si="94"/>
        <v>0</v>
      </c>
      <c r="T749" s="3" t="str">
        <f t="shared" si="95"/>
        <v/>
      </c>
      <c r="V749" s="1" t="e">
        <f t="shared" si="96"/>
        <v>#VALUE!</v>
      </c>
    </row>
    <row r="750" spans="8:22" x14ac:dyDescent="0.3">
      <c r="H750" s="2" t="str">
        <f>IF(Planilha1!B747="","",Planilha1!B747)</f>
        <v>7:30p</v>
      </c>
      <c r="I750" s="2" t="str">
        <f>IF(Planilha1!C747="","",Planilha1!C747)</f>
        <v>Golden State Warriors</v>
      </c>
      <c r="J750" s="2">
        <f>IF(Planilha1!D747="","",Planilha1!D747)</f>
        <v>0</v>
      </c>
      <c r="K750" s="10" t="str">
        <f>IF(Planilha1!E747="","",IF(Planilha1!E747=0,"",Planilha1!E747))</f>
        <v>Brooklyn Nets</v>
      </c>
      <c r="L750" s="10">
        <f>IF(Planilha1!F747="","",Planilha1!F747)</f>
        <v>0</v>
      </c>
      <c r="M750" s="10" t="str">
        <f>IF(Planilha1!G747="","",IF(Planilha1!G747=0,"",Planilha1!G747))</f>
        <v/>
      </c>
      <c r="N750" s="5">
        <f t="shared" si="89"/>
        <v>1</v>
      </c>
      <c r="O750" s="5">
        <f t="shared" si="90"/>
        <v>0</v>
      </c>
      <c r="P750" s="5">
        <f t="shared" si="91"/>
        <v>0</v>
      </c>
      <c r="Q750" s="5">
        <f t="shared" si="92"/>
        <v>2</v>
      </c>
      <c r="R750" s="8">
        <f t="shared" si="93"/>
        <v>0</v>
      </c>
      <c r="S750" s="8">
        <f t="shared" si="94"/>
        <v>0</v>
      </c>
      <c r="T750" s="3" t="str">
        <f t="shared" si="95"/>
        <v/>
      </c>
      <c r="V750" s="1" t="e">
        <f t="shared" si="96"/>
        <v>#VALUE!</v>
      </c>
    </row>
    <row r="751" spans="8:22" x14ac:dyDescent="0.3">
      <c r="H751" s="2" t="str">
        <f>IF(Planilha1!B748="","",Planilha1!B748)</f>
        <v>8:00p</v>
      </c>
      <c r="I751" s="2" t="str">
        <f>IF(Planilha1!C748="","",Planilha1!C748)</f>
        <v>Toronto Raptors</v>
      </c>
      <c r="J751" s="2">
        <f>IF(Planilha1!D748="","",Planilha1!D748)</f>
        <v>0</v>
      </c>
      <c r="K751" s="10" t="str">
        <f>IF(Planilha1!E748="","",IF(Planilha1!E748=0,"",Planilha1!E748))</f>
        <v>New Orleans Pelicans</v>
      </c>
      <c r="L751" s="10">
        <f>IF(Planilha1!F748="","",Planilha1!F748)</f>
        <v>0</v>
      </c>
      <c r="M751" s="10" t="str">
        <f>IF(Planilha1!G748="","",IF(Planilha1!G748=0,"",Planilha1!G748))</f>
        <v/>
      </c>
      <c r="N751" s="5">
        <f t="shared" si="89"/>
        <v>1</v>
      </c>
      <c r="O751" s="5">
        <f t="shared" si="90"/>
        <v>0</v>
      </c>
      <c r="P751" s="5">
        <f t="shared" si="91"/>
        <v>0</v>
      </c>
      <c r="Q751" s="5">
        <f t="shared" si="92"/>
        <v>2</v>
      </c>
      <c r="R751" s="8">
        <f t="shared" si="93"/>
        <v>0</v>
      </c>
      <c r="S751" s="8">
        <f t="shared" si="94"/>
        <v>0</v>
      </c>
      <c r="T751" s="3" t="str">
        <f t="shared" si="95"/>
        <v/>
      </c>
      <c r="V751" s="1" t="e">
        <f t="shared" si="96"/>
        <v>#VALUE!</v>
      </c>
    </row>
    <row r="752" spans="8:22" x14ac:dyDescent="0.3">
      <c r="H752" s="2" t="str">
        <f>IF(Planilha1!B749="","",Planilha1!B749)</f>
        <v>7:00p</v>
      </c>
      <c r="I752" s="2" t="str">
        <f>IF(Planilha1!C749="","",Planilha1!C749)</f>
        <v>Houston Rockets</v>
      </c>
      <c r="J752" s="2">
        <f>IF(Planilha1!D749="","",Planilha1!D749)</f>
        <v>0</v>
      </c>
      <c r="K752" s="10" t="str">
        <f>IF(Planilha1!E749="","",IF(Planilha1!E749=0,"",Planilha1!E749))</f>
        <v>Indiana Pacers</v>
      </c>
      <c r="L752" s="10">
        <f>IF(Planilha1!F749="","",Planilha1!F749)</f>
        <v>0</v>
      </c>
      <c r="M752" s="10" t="str">
        <f>IF(Planilha1!G749="","",IF(Planilha1!G749=0,"",Planilha1!G749))</f>
        <v/>
      </c>
      <c r="N752" s="5">
        <f t="shared" si="89"/>
        <v>1</v>
      </c>
      <c r="O752" s="5">
        <f t="shared" si="90"/>
        <v>0</v>
      </c>
      <c r="P752" s="5">
        <f t="shared" si="91"/>
        <v>0</v>
      </c>
      <c r="Q752" s="5">
        <f t="shared" si="92"/>
        <v>2</v>
      </c>
      <c r="R752" s="8">
        <f t="shared" si="93"/>
        <v>0</v>
      </c>
      <c r="S752" s="8">
        <f t="shared" si="94"/>
        <v>0</v>
      </c>
      <c r="T752" s="3" t="str">
        <f t="shared" si="95"/>
        <v/>
      </c>
      <c r="V752" s="1" t="e">
        <f t="shared" si="96"/>
        <v>#VALUE!</v>
      </c>
    </row>
    <row r="753" spans="8:22" x14ac:dyDescent="0.3">
      <c r="H753" s="2" t="str">
        <f>IF(Planilha1!B750="","",Planilha1!B750)</f>
        <v>7:30p</v>
      </c>
      <c r="I753" s="2" t="str">
        <f>IF(Planilha1!C750="","",Planilha1!C750)</f>
        <v>Dallas Mavericks</v>
      </c>
      <c r="J753" s="2">
        <f>IF(Planilha1!D750="","",Planilha1!D750)</f>
        <v>0</v>
      </c>
      <c r="K753" s="10" t="str">
        <f>IF(Planilha1!E750="","",IF(Planilha1!E750=0,"",Planilha1!E750))</f>
        <v>Brooklyn Nets</v>
      </c>
      <c r="L753" s="10">
        <f>IF(Planilha1!F750="","",Planilha1!F750)</f>
        <v>0</v>
      </c>
      <c r="M753" s="10" t="str">
        <f>IF(Planilha1!G750="","",IF(Planilha1!G750=0,"",Planilha1!G750))</f>
        <v/>
      </c>
      <c r="N753" s="5">
        <f t="shared" si="89"/>
        <v>1</v>
      </c>
      <c r="O753" s="5">
        <f t="shared" si="90"/>
        <v>0</v>
      </c>
      <c r="P753" s="5">
        <f t="shared" si="91"/>
        <v>0</v>
      </c>
      <c r="Q753" s="5">
        <f t="shared" si="92"/>
        <v>2</v>
      </c>
      <c r="R753" s="8">
        <f t="shared" si="93"/>
        <v>0</v>
      </c>
      <c r="S753" s="8">
        <f t="shared" si="94"/>
        <v>0</v>
      </c>
      <c r="T753" s="3" t="str">
        <f t="shared" si="95"/>
        <v/>
      </c>
      <c r="V753" s="1" t="e">
        <f t="shared" si="96"/>
        <v>#VALUE!</v>
      </c>
    </row>
    <row r="754" spans="8:22" x14ac:dyDescent="0.3">
      <c r="H754" s="2" t="str">
        <f>IF(Planilha1!B751="","",Planilha1!B751)</f>
        <v>7:30p</v>
      </c>
      <c r="I754" s="2" t="str">
        <f>IF(Planilha1!C751="","",Planilha1!C751)</f>
        <v>Orlando Magic</v>
      </c>
      <c r="J754" s="2">
        <f>IF(Planilha1!D751="","",Planilha1!D751)</f>
        <v>0</v>
      </c>
      <c r="K754" s="10" t="str">
        <f>IF(Planilha1!E751="","",IF(Planilha1!E751=0,"",Planilha1!E751))</f>
        <v>Miami Heat</v>
      </c>
      <c r="L754" s="10">
        <f>IF(Planilha1!F751="","",Planilha1!F751)</f>
        <v>0</v>
      </c>
      <c r="M754" s="10" t="str">
        <f>IF(Planilha1!G751="","",IF(Planilha1!G751=0,"",Planilha1!G751))</f>
        <v/>
      </c>
      <c r="N754" s="5">
        <f t="shared" si="89"/>
        <v>1</v>
      </c>
      <c r="O754" s="5">
        <f t="shared" si="90"/>
        <v>0</v>
      </c>
      <c r="P754" s="5">
        <f t="shared" si="91"/>
        <v>0</v>
      </c>
      <c r="Q754" s="5">
        <f t="shared" si="92"/>
        <v>2</v>
      </c>
      <c r="R754" s="8">
        <f t="shared" si="93"/>
        <v>0</v>
      </c>
      <c r="S754" s="8">
        <f t="shared" si="94"/>
        <v>0</v>
      </c>
      <c r="T754" s="3" t="str">
        <f t="shared" si="95"/>
        <v/>
      </c>
      <c r="V754" s="1" t="e">
        <f t="shared" si="96"/>
        <v>#VALUE!</v>
      </c>
    </row>
    <row r="755" spans="8:22" x14ac:dyDescent="0.3">
      <c r="H755" s="2" t="str">
        <f>IF(Planilha1!B752="","",Planilha1!B752)</f>
        <v>7:30p</v>
      </c>
      <c r="I755" s="2" t="str">
        <f>IF(Planilha1!C752="","",Planilha1!C752)</f>
        <v>Memphis Grizzlies</v>
      </c>
      <c r="J755" s="2">
        <f>IF(Planilha1!D752="","",Planilha1!D752)</f>
        <v>0</v>
      </c>
      <c r="K755" s="10" t="str">
        <f>IF(Planilha1!E752="","",IF(Planilha1!E752=0,"",Planilha1!E752))</f>
        <v>New York Knicks</v>
      </c>
      <c r="L755" s="10">
        <f>IF(Planilha1!F752="","",Planilha1!F752)</f>
        <v>0</v>
      </c>
      <c r="M755" s="10" t="str">
        <f>IF(Planilha1!G752="","",IF(Planilha1!G752=0,"",Planilha1!G752))</f>
        <v/>
      </c>
      <c r="N755" s="5">
        <f t="shared" si="89"/>
        <v>1</v>
      </c>
      <c r="O755" s="5">
        <f t="shared" si="90"/>
        <v>0</v>
      </c>
      <c r="P755" s="5">
        <f t="shared" si="91"/>
        <v>0</v>
      </c>
      <c r="Q755" s="5">
        <f t="shared" si="92"/>
        <v>2</v>
      </c>
      <c r="R755" s="8">
        <f t="shared" si="93"/>
        <v>0</v>
      </c>
      <c r="S755" s="8">
        <f t="shared" si="94"/>
        <v>0</v>
      </c>
      <c r="T755" s="3" t="str">
        <f t="shared" si="95"/>
        <v/>
      </c>
      <c r="V755" s="1" t="e">
        <f t="shared" si="96"/>
        <v>#VALUE!</v>
      </c>
    </row>
    <row r="756" spans="8:22" x14ac:dyDescent="0.3">
      <c r="H756" s="2" t="str">
        <f>IF(Planilha1!B753="","",Planilha1!B753)</f>
        <v>8:00p</v>
      </c>
      <c r="I756" s="2" t="str">
        <f>IF(Planilha1!C753="","",Planilha1!C753)</f>
        <v>Minnesota Timberwolves</v>
      </c>
      <c r="J756" s="2">
        <f>IF(Planilha1!D753="","",Planilha1!D753)</f>
        <v>0</v>
      </c>
      <c r="K756" s="10" t="str">
        <f>IF(Planilha1!E753="","",IF(Planilha1!E753=0,"",Planilha1!E753))</f>
        <v>Chicago Bulls</v>
      </c>
      <c r="L756" s="10">
        <f>IF(Planilha1!F753="","",Planilha1!F753)</f>
        <v>0</v>
      </c>
      <c r="M756" s="10" t="str">
        <f>IF(Planilha1!G753="","",IF(Planilha1!G753=0,"",Planilha1!G753))</f>
        <v/>
      </c>
      <c r="N756" s="5">
        <f t="shared" si="89"/>
        <v>1</v>
      </c>
      <c r="O756" s="5">
        <f t="shared" si="90"/>
        <v>0</v>
      </c>
      <c r="P756" s="5">
        <f t="shared" si="91"/>
        <v>0</v>
      </c>
      <c r="Q756" s="5">
        <f t="shared" si="92"/>
        <v>2</v>
      </c>
      <c r="R756" s="8">
        <f t="shared" si="93"/>
        <v>0</v>
      </c>
      <c r="S756" s="8">
        <f t="shared" si="94"/>
        <v>0</v>
      </c>
      <c r="T756" s="3" t="str">
        <f t="shared" si="95"/>
        <v/>
      </c>
      <c r="V756" s="1" t="e">
        <f t="shared" si="96"/>
        <v>#VALUE!</v>
      </c>
    </row>
    <row r="757" spans="8:22" x14ac:dyDescent="0.3">
      <c r="H757" s="2" t="str">
        <f>IF(Planilha1!B754="","",Planilha1!B754)</f>
        <v>9:00p</v>
      </c>
      <c r="I757" s="2" t="str">
        <f>IF(Planilha1!C754="","",Planilha1!C754)</f>
        <v>Oklahoma City Thunder</v>
      </c>
      <c r="J757" s="2">
        <f>IF(Planilha1!D754="","",Planilha1!D754)</f>
        <v>0</v>
      </c>
      <c r="K757" s="10" t="str">
        <f>IF(Planilha1!E754="","",IF(Planilha1!E754=0,"",Planilha1!E754))</f>
        <v>Utah Jazz</v>
      </c>
      <c r="L757" s="10">
        <f>IF(Planilha1!F754="","",Planilha1!F754)</f>
        <v>0</v>
      </c>
      <c r="M757" s="10" t="str">
        <f>IF(Planilha1!G754="","",IF(Planilha1!G754=0,"",Planilha1!G754))</f>
        <v/>
      </c>
      <c r="N757" s="5">
        <f t="shared" si="89"/>
        <v>1</v>
      </c>
      <c r="O757" s="5">
        <f t="shared" si="90"/>
        <v>0</v>
      </c>
      <c r="P757" s="5">
        <f t="shared" si="91"/>
        <v>0</v>
      </c>
      <c r="Q757" s="5">
        <f t="shared" si="92"/>
        <v>2</v>
      </c>
      <c r="R757" s="8">
        <f t="shared" si="93"/>
        <v>0</v>
      </c>
      <c r="S757" s="8">
        <f t="shared" si="94"/>
        <v>0</v>
      </c>
      <c r="T757" s="3" t="str">
        <f t="shared" si="95"/>
        <v/>
      </c>
      <c r="V757" s="1" t="e">
        <f t="shared" si="96"/>
        <v>#VALUE!</v>
      </c>
    </row>
    <row r="758" spans="8:22" x14ac:dyDescent="0.3">
      <c r="H758" s="2" t="str">
        <f>IF(Planilha1!B755="","",Planilha1!B755)</f>
        <v>10:00p</v>
      </c>
      <c r="I758" s="2" t="str">
        <f>IF(Planilha1!C755="","",Planilha1!C755)</f>
        <v>Milwaukee Bucks</v>
      </c>
      <c r="J758" s="2">
        <f>IF(Planilha1!D755="","",Planilha1!D755)</f>
        <v>0</v>
      </c>
      <c r="K758" s="10" t="str">
        <f>IF(Planilha1!E755="","",IF(Planilha1!E755=0,"",Planilha1!E755))</f>
        <v>Phoenix Suns</v>
      </c>
      <c r="L758" s="10">
        <f>IF(Planilha1!F755="","",Planilha1!F755)</f>
        <v>0</v>
      </c>
      <c r="M758" s="10" t="str">
        <f>IF(Planilha1!G755="","",IF(Planilha1!G755=0,"",Planilha1!G755))</f>
        <v/>
      </c>
      <c r="N758" s="5">
        <f t="shared" si="89"/>
        <v>1</v>
      </c>
      <c r="O758" s="5">
        <f t="shared" si="90"/>
        <v>0</v>
      </c>
      <c r="P758" s="5">
        <f t="shared" si="91"/>
        <v>0</v>
      </c>
      <c r="Q758" s="5">
        <f t="shared" si="92"/>
        <v>2</v>
      </c>
      <c r="R758" s="8">
        <f t="shared" si="93"/>
        <v>0</v>
      </c>
      <c r="S758" s="8">
        <f t="shared" si="94"/>
        <v>0</v>
      </c>
      <c r="T758" s="3" t="str">
        <f t="shared" si="95"/>
        <v/>
      </c>
      <c r="V758" s="1" t="e">
        <f t="shared" si="96"/>
        <v>#VALUE!</v>
      </c>
    </row>
    <row r="759" spans="8:22" x14ac:dyDescent="0.3">
      <c r="H759" s="2" t="str">
        <f>IF(Planilha1!B756="","",Planilha1!B756)</f>
        <v>7:00p</v>
      </c>
      <c r="I759" s="2" t="str">
        <f>IF(Planilha1!C756="","",Planilha1!C756)</f>
        <v>Toronto Raptors</v>
      </c>
      <c r="J759" s="2">
        <f>IF(Planilha1!D756="","",Planilha1!D756)</f>
        <v>0</v>
      </c>
      <c r="K759" s="10" t="str">
        <f>IF(Planilha1!E756="","",IF(Planilha1!E756=0,"",Planilha1!E756))</f>
        <v>Charlotte Hornets</v>
      </c>
      <c r="L759" s="10">
        <f>IF(Planilha1!F756="","",Planilha1!F756)</f>
        <v>0</v>
      </c>
      <c r="M759" s="10" t="str">
        <f>IF(Planilha1!G756="","",IF(Planilha1!G756=0,"",Planilha1!G756))</f>
        <v/>
      </c>
      <c r="N759" s="5">
        <f t="shared" si="89"/>
        <v>1</v>
      </c>
      <c r="O759" s="5">
        <f t="shared" si="90"/>
        <v>0</v>
      </c>
      <c r="P759" s="5">
        <f t="shared" si="91"/>
        <v>0</v>
      </c>
      <c r="Q759" s="5">
        <f t="shared" si="92"/>
        <v>2</v>
      </c>
      <c r="R759" s="8">
        <f t="shared" si="93"/>
        <v>0</v>
      </c>
      <c r="S759" s="8">
        <f t="shared" si="94"/>
        <v>0</v>
      </c>
      <c r="T759" s="3" t="str">
        <f t="shared" si="95"/>
        <v/>
      </c>
      <c r="V759" s="1" t="e">
        <f t="shared" si="96"/>
        <v>#VALUE!</v>
      </c>
    </row>
    <row r="760" spans="8:22" x14ac:dyDescent="0.3">
      <c r="H760" s="2" t="str">
        <f>IF(Planilha1!B757="","",Planilha1!B757)</f>
        <v>7:00p</v>
      </c>
      <c r="I760" s="2" t="str">
        <f>IF(Planilha1!C757="","",Planilha1!C757)</f>
        <v>Cleveland Cavaliers</v>
      </c>
      <c r="J760" s="2">
        <f>IF(Planilha1!D757="","",Planilha1!D757)</f>
        <v>0</v>
      </c>
      <c r="K760" s="10" t="str">
        <f>IF(Planilha1!E757="","",IF(Planilha1!E757=0,"",Planilha1!E757))</f>
        <v>Washington Wizards</v>
      </c>
      <c r="L760" s="10">
        <f>IF(Planilha1!F757="","",Planilha1!F757)</f>
        <v>0</v>
      </c>
      <c r="M760" s="10" t="str">
        <f>IF(Planilha1!G757="","",IF(Planilha1!G757=0,"",Planilha1!G757))</f>
        <v/>
      </c>
      <c r="N760" s="5">
        <f t="shared" si="89"/>
        <v>1</v>
      </c>
      <c r="O760" s="5">
        <f t="shared" si="90"/>
        <v>0</v>
      </c>
      <c r="P760" s="5">
        <f t="shared" si="91"/>
        <v>0</v>
      </c>
      <c r="Q760" s="5">
        <f t="shared" si="92"/>
        <v>2</v>
      </c>
      <c r="R760" s="8">
        <f t="shared" si="93"/>
        <v>0</v>
      </c>
      <c r="S760" s="8">
        <f t="shared" si="94"/>
        <v>0</v>
      </c>
      <c r="T760" s="3" t="str">
        <f t="shared" si="95"/>
        <v/>
      </c>
      <c r="V760" s="1" t="e">
        <f t="shared" si="96"/>
        <v>#VALUE!</v>
      </c>
    </row>
    <row r="761" spans="8:22" x14ac:dyDescent="0.3">
      <c r="H761" s="2" t="str">
        <f>IF(Planilha1!B758="","",Planilha1!B758)</f>
        <v>7:30p</v>
      </c>
      <c r="I761" s="2" t="str">
        <f>IF(Planilha1!C758="","",Planilha1!C758)</f>
        <v>Atlanta Hawks</v>
      </c>
      <c r="J761" s="2">
        <f>IF(Planilha1!D758="","",Planilha1!D758)</f>
        <v>0</v>
      </c>
      <c r="K761" s="10" t="str">
        <f>IF(Planilha1!E758="","",IF(Planilha1!E758=0,"",Planilha1!E758))</f>
        <v>Boston Celtics</v>
      </c>
      <c r="L761" s="10">
        <f>IF(Planilha1!F758="","",Planilha1!F758)</f>
        <v>0</v>
      </c>
      <c r="M761" s="10" t="str">
        <f>IF(Planilha1!G758="","",IF(Planilha1!G758=0,"",Planilha1!G758))</f>
        <v/>
      </c>
      <c r="N761" s="5">
        <f t="shared" si="89"/>
        <v>1</v>
      </c>
      <c r="O761" s="5">
        <f t="shared" si="90"/>
        <v>0</v>
      </c>
      <c r="P761" s="5">
        <f t="shared" si="91"/>
        <v>0</v>
      </c>
      <c r="Q761" s="5">
        <f t="shared" si="92"/>
        <v>2</v>
      </c>
      <c r="R761" s="8">
        <f t="shared" si="93"/>
        <v>0</v>
      </c>
      <c r="S761" s="8">
        <f t="shared" si="94"/>
        <v>0</v>
      </c>
      <c r="T761" s="3" t="str">
        <f t="shared" si="95"/>
        <v/>
      </c>
      <c r="V761" s="1" t="e">
        <f t="shared" si="96"/>
        <v>#VALUE!</v>
      </c>
    </row>
    <row r="762" spans="8:22" x14ac:dyDescent="0.3">
      <c r="H762" s="2" t="str">
        <f>IF(Planilha1!B759="","",Planilha1!B759)</f>
        <v>7:30p</v>
      </c>
      <c r="I762" s="2" t="str">
        <f>IF(Planilha1!C759="","",Planilha1!C759)</f>
        <v>San Antonio Spurs</v>
      </c>
      <c r="J762" s="2">
        <f>IF(Planilha1!D759="","",Planilha1!D759)</f>
        <v>0</v>
      </c>
      <c r="K762" s="10" t="str">
        <f>IF(Planilha1!E759="","",IF(Planilha1!E759=0,"",Planilha1!E759))</f>
        <v>Miami Heat</v>
      </c>
      <c r="L762" s="10">
        <f>IF(Planilha1!F759="","",Planilha1!F759)</f>
        <v>0</v>
      </c>
      <c r="M762" s="10" t="str">
        <f>IF(Planilha1!G759="","",IF(Planilha1!G759=0,"",Planilha1!G759))</f>
        <v/>
      </c>
      <c r="N762" s="5">
        <f t="shared" si="89"/>
        <v>1</v>
      </c>
      <c r="O762" s="5">
        <f t="shared" si="90"/>
        <v>0</v>
      </c>
      <c r="P762" s="5">
        <f t="shared" si="91"/>
        <v>0</v>
      </c>
      <c r="Q762" s="5">
        <f t="shared" si="92"/>
        <v>2</v>
      </c>
      <c r="R762" s="8">
        <f t="shared" si="93"/>
        <v>0</v>
      </c>
      <c r="S762" s="8">
        <f t="shared" si="94"/>
        <v>0</v>
      </c>
      <c r="T762" s="3" t="str">
        <f t="shared" si="95"/>
        <v/>
      </c>
      <c r="V762" s="1" t="e">
        <f t="shared" si="96"/>
        <v>#VALUE!</v>
      </c>
    </row>
    <row r="763" spans="8:22" x14ac:dyDescent="0.3">
      <c r="H763" s="2" t="str">
        <f>IF(Planilha1!B760="","",Planilha1!B760)</f>
        <v>7:30p</v>
      </c>
      <c r="I763" s="2" t="str">
        <f>IF(Planilha1!C760="","",Planilha1!C760)</f>
        <v>Golden State Warriors</v>
      </c>
      <c r="J763" s="2">
        <f>IF(Planilha1!D760="","",Planilha1!D760)</f>
        <v>0</v>
      </c>
      <c r="K763" s="10" t="str">
        <f>IF(Planilha1!E760="","",IF(Planilha1!E760=0,"",Planilha1!E760))</f>
        <v>Philadelphia 76ers</v>
      </c>
      <c r="L763" s="10">
        <f>IF(Planilha1!F760="","",Planilha1!F760)</f>
        <v>0</v>
      </c>
      <c r="M763" s="10" t="str">
        <f>IF(Planilha1!G760="","",IF(Planilha1!G760=0,"",Planilha1!G760))</f>
        <v/>
      </c>
      <c r="N763" s="5">
        <f t="shared" si="89"/>
        <v>1</v>
      </c>
      <c r="O763" s="5">
        <f t="shared" si="90"/>
        <v>0</v>
      </c>
      <c r="P763" s="5">
        <f t="shared" si="91"/>
        <v>0</v>
      </c>
      <c r="Q763" s="5">
        <f t="shared" si="92"/>
        <v>2</v>
      </c>
      <c r="R763" s="8">
        <f t="shared" si="93"/>
        <v>0</v>
      </c>
      <c r="S763" s="8">
        <f t="shared" si="94"/>
        <v>0</v>
      </c>
      <c r="T763" s="3" t="str">
        <f t="shared" si="95"/>
        <v/>
      </c>
      <c r="V763" s="1" t="e">
        <f t="shared" si="96"/>
        <v>#VALUE!</v>
      </c>
    </row>
    <row r="764" spans="8:22" x14ac:dyDescent="0.3">
      <c r="H764" s="2" t="str">
        <f>IF(Planilha1!B761="","",Planilha1!B761)</f>
        <v>10:00p</v>
      </c>
      <c r="I764" s="2" t="str">
        <f>IF(Planilha1!C761="","",Planilha1!C761)</f>
        <v>New Orleans Pelicans</v>
      </c>
      <c r="J764" s="2">
        <f>IF(Planilha1!D761="","",Planilha1!D761)</f>
        <v>0</v>
      </c>
      <c r="K764" s="10" t="str">
        <f>IF(Planilha1!E761="","",IF(Planilha1!E761=0,"",Planilha1!E761))</f>
        <v>Los Angeles Clippers</v>
      </c>
      <c r="L764" s="10">
        <f>IF(Planilha1!F761="","",Planilha1!F761)</f>
        <v>0</v>
      </c>
      <c r="M764" s="10" t="str">
        <f>IF(Planilha1!G761="","",IF(Planilha1!G761=0,"",Planilha1!G761))</f>
        <v/>
      </c>
      <c r="N764" s="5">
        <f t="shared" si="89"/>
        <v>1</v>
      </c>
      <c r="O764" s="5">
        <f t="shared" si="90"/>
        <v>0</v>
      </c>
      <c r="P764" s="5">
        <f t="shared" si="91"/>
        <v>0</v>
      </c>
      <c r="Q764" s="5">
        <f t="shared" si="92"/>
        <v>2</v>
      </c>
      <c r="R764" s="8">
        <f t="shared" si="93"/>
        <v>0</v>
      </c>
      <c r="S764" s="8">
        <f t="shared" si="94"/>
        <v>0</v>
      </c>
      <c r="T764" s="3" t="str">
        <f t="shared" si="95"/>
        <v/>
      </c>
      <c r="V764" s="1" t="e">
        <f t="shared" si="96"/>
        <v>#VALUE!</v>
      </c>
    </row>
    <row r="765" spans="8:22" x14ac:dyDescent="0.3">
      <c r="H765" s="2" t="str">
        <f>IF(Planilha1!B762="","",Planilha1!B762)</f>
        <v>10:00p</v>
      </c>
      <c r="I765" s="2" t="str">
        <f>IF(Planilha1!C762="","",Planilha1!C762)</f>
        <v>Detroit Pistons</v>
      </c>
      <c r="J765" s="2">
        <f>IF(Planilha1!D762="","",Planilha1!D762)</f>
        <v>0</v>
      </c>
      <c r="K765" s="10" t="str">
        <f>IF(Planilha1!E762="","",IF(Planilha1!E762=0,"",Planilha1!E762))</f>
        <v>Sacramento Kings</v>
      </c>
      <c r="L765" s="10">
        <f>IF(Planilha1!F762="","",Planilha1!F762)</f>
        <v>0</v>
      </c>
      <c r="M765" s="10" t="str">
        <f>IF(Planilha1!G762="","",IF(Planilha1!G762=0,"",Planilha1!G762))</f>
        <v/>
      </c>
      <c r="N765" s="5">
        <f t="shared" si="89"/>
        <v>1</v>
      </c>
      <c r="O765" s="5">
        <f t="shared" si="90"/>
        <v>0</v>
      </c>
      <c r="P765" s="5">
        <f t="shared" si="91"/>
        <v>0</v>
      </c>
      <c r="Q765" s="5">
        <f t="shared" si="92"/>
        <v>2</v>
      </c>
      <c r="R765" s="8">
        <f t="shared" si="93"/>
        <v>0</v>
      </c>
      <c r="S765" s="8">
        <f t="shared" si="94"/>
        <v>0</v>
      </c>
      <c r="T765" s="3" t="str">
        <f t="shared" si="95"/>
        <v/>
      </c>
      <c r="V765" s="1" t="e">
        <f t="shared" si="96"/>
        <v>#VALUE!</v>
      </c>
    </row>
    <row r="766" spans="8:22" x14ac:dyDescent="0.3">
      <c r="H766" s="2" t="str">
        <f>IF(Planilha1!B763="","",Planilha1!B763)</f>
        <v>7:00p</v>
      </c>
      <c r="I766" s="2" t="str">
        <f>IF(Planilha1!C763="","",Planilha1!C763)</f>
        <v>Golden State Warriors</v>
      </c>
      <c r="J766" s="2">
        <f>IF(Planilha1!D763="","",Planilha1!D763)</f>
        <v>0</v>
      </c>
      <c r="K766" s="10" t="str">
        <f>IF(Planilha1!E763="","",IF(Planilha1!E763=0,"",Planilha1!E763))</f>
        <v>Indiana Pacers</v>
      </c>
      <c r="L766" s="10">
        <f>IF(Planilha1!F763="","",Planilha1!F763)</f>
        <v>0</v>
      </c>
      <c r="M766" s="10" t="str">
        <f>IF(Planilha1!G763="","",IF(Planilha1!G763=0,"",Planilha1!G763))</f>
        <v/>
      </c>
      <c r="N766" s="5">
        <f t="shared" si="89"/>
        <v>1</v>
      </c>
      <c r="O766" s="5">
        <f t="shared" si="90"/>
        <v>0</v>
      </c>
      <c r="P766" s="5">
        <f t="shared" si="91"/>
        <v>0</v>
      </c>
      <c r="Q766" s="5">
        <f t="shared" si="92"/>
        <v>2</v>
      </c>
      <c r="R766" s="8">
        <f t="shared" si="93"/>
        <v>0</v>
      </c>
      <c r="S766" s="8">
        <f t="shared" si="94"/>
        <v>0</v>
      </c>
      <c r="T766" s="3" t="str">
        <f t="shared" si="95"/>
        <v/>
      </c>
      <c r="V766" s="1" t="e">
        <f t="shared" si="96"/>
        <v>#VALUE!</v>
      </c>
    </row>
    <row r="767" spans="8:22" x14ac:dyDescent="0.3">
      <c r="H767" s="2" t="str">
        <f>IF(Planilha1!B764="","",Planilha1!B764)</f>
        <v>7:00p</v>
      </c>
      <c r="I767" s="2" t="str">
        <f>IF(Planilha1!C764="","",Planilha1!C764)</f>
        <v>San Antonio Spurs</v>
      </c>
      <c r="J767" s="2">
        <f>IF(Planilha1!D764="","",Planilha1!D764)</f>
        <v>0</v>
      </c>
      <c r="K767" s="10" t="str">
        <f>IF(Planilha1!E764="","",IF(Planilha1!E764=0,"",Planilha1!E764))</f>
        <v>Orlando Magic</v>
      </c>
      <c r="L767" s="10">
        <f>IF(Planilha1!F764="","",Planilha1!F764)</f>
        <v>0</v>
      </c>
      <c r="M767" s="10" t="str">
        <f>IF(Planilha1!G764="","",IF(Planilha1!G764=0,"",Planilha1!G764))</f>
        <v/>
      </c>
      <c r="N767" s="5">
        <f t="shared" si="89"/>
        <v>1</v>
      </c>
      <c r="O767" s="5">
        <f t="shared" si="90"/>
        <v>0</v>
      </c>
      <c r="P767" s="5">
        <f t="shared" si="91"/>
        <v>0</v>
      </c>
      <c r="Q767" s="5">
        <f t="shared" si="92"/>
        <v>2</v>
      </c>
      <c r="R767" s="8">
        <f t="shared" si="93"/>
        <v>0</v>
      </c>
      <c r="S767" s="8">
        <f t="shared" si="94"/>
        <v>0</v>
      </c>
      <c r="T767" s="3" t="str">
        <f t="shared" si="95"/>
        <v/>
      </c>
      <c r="V767" s="1" t="e">
        <f t="shared" si="96"/>
        <v>#VALUE!</v>
      </c>
    </row>
    <row r="768" spans="8:22" x14ac:dyDescent="0.3">
      <c r="H768" s="2" t="str">
        <f>IF(Planilha1!B765="","",Planilha1!B765)</f>
        <v>7:30p</v>
      </c>
      <c r="I768" s="2" t="str">
        <f>IF(Planilha1!C765="","",Planilha1!C765)</f>
        <v>Cleveland Cavaliers</v>
      </c>
      <c r="J768" s="2">
        <f>IF(Planilha1!D765="","",Planilha1!D765)</f>
        <v>0</v>
      </c>
      <c r="K768" s="10" t="str">
        <f>IF(Planilha1!E765="","",IF(Planilha1!E765=0,"",Planilha1!E765))</f>
        <v>Brooklyn Nets</v>
      </c>
      <c r="L768" s="10">
        <f>IF(Planilha1!F765="","",Planilha1!F765)</f>
        <v>0</v>
      </c>
      <c r="M768" s="10" t="str">
        <f>IF(Planilha1!G765="","",IF(Planilha1!G765=0,"",Planilha1!G765))</f>
        <v/>
      </c>
      <c r="N768" s="5">
        <f t="shared" si="89"/>
        <v>1</v>
      </c>
      <c r="O768" s="5">
        <f t="shared" si="90"/>
        <v>0</v>
      </c>
      <c r="P768" s="5">
        <f t="shared" si="91"/>
        <v>0</v>
      </c>
      <c r="Q768" s="5">
        <f t="shared" si="92"/>
        <v>2</v>
      </c>
      <c r="R768" s="8">
        <f t="shared" si="93"/>
        <v>0</v>
      </c>
      <c r="S768" s="8">
        <f t="shared" si="94"/>
        <v>0</v>
      </c>
      <c r="T768" s="3" t="str">
        <f t="shared" si="95"/>
        <v/>
      </c>
      <c r="V768" s="1" t="e">
        <f t="shared" si="96"/>
        <v>#VALUE!</v>
      </c>
    </row>
    <row r="769" spans="8:22" x14ac:dyDescent="0.3">
      <c r="H769" s="2" t="str">
        <f>IF(Planilha1!B766="","",Planilha1!B766)</f>
        <v>7:30p</v>
      </c>
      <c r="I769" s="2" t="str">
        <f>IF(Planilha1!C766="","",Planilha1!C766)</f>
        <v>Dallas Mavericks</v>
      </c>
      <c r="J769" s="2">
        <f>IF(Planilha1!D766="","",Planilha1!D766)</f>
        <v>0</v>
      </c>
      <c r="K769" s="10" t="str">
        <f>IF(Planilha1!E766="","",IF(Planilha1!E766=0,"",Planilha1!E766))</f>
        <v>New York Knicks</v>
      </c>
      <c r="L769" s="10">
        <f>IF(Planilha1!F766="","",Planilha1!F766)</f>
        <v>0</v>
      </c>
      <c r="M769" s="10" t="str">
        <f>IF(Planilha1!G766="","",IF(Planilha1!G766=0,"",Planilha1!G766))</f>
        <v/>
      </c>
      <c r="N769" s="5">
        <f t="shared" si="89"/>
        <v>1</v>
      </c>
      <c r="O769" s="5">
        <f t="shared" si="90"/>
        <v>0</v>
      </c>
      <c r="P769" s="5">
        <f t="shared" si="91"/>
        <v>0</v>
      </c>
      <c r="Q769" s="5">
        <f t="shared" si="92"/>
        <v>2</v>
      </c>
      <c r="R769" s="8">
        <f t="shared" si="93"/>
        <v>0</v>
      </c>
      <c r="S769" s="8">
        <f t="shared" si="94"/>
        <v>0</v>
      </c>
      <c r="T769" s="3" t="str">
        <f t="shared" si="95"/>
        <v/>
      </c>
      <c r="V769" s="1" t="e">
        <f t="shared" si="96"/>
        <v>#VALUE!</v>
      </c>
    </row>
    <row r="770" spans="8:22" x14ac:dyDescent="0.3">
      <c r="H770" s="2" t="str">
        <f>IF(Planilha1!B767="","",Planilha1!B767)</f>
        <v>8:00p</v>
      </c>
      <c r="I770" s="2" t="str">
        <f>IF(Planilha1!C767="","",Planilha1!C767)</f>
        <v>Chicago Bulls</v>
      </c>
      <c r="J770" s="2">
        <f>IF(Planilha1!D767="","",Planilha1!D767)</f>
        <v>0</v>
      </c>
      <c r="K770" s="10" t="str">
        <f>IF(Planilha1!E767="","",IF(Planilha1!E767=0,"",Planilha1!E767))</f>
        <v>Memphis Grizzlies</v>
      </c>
      <c r="L770" s="10">
        <f>IF(Planilha1!F767="","",Planilha1!F767)</f>
        <v>0</v>
      </c>
      <c r="M770" s="10" t="str">
        <f>IF(Planilha1!G767="","",IF(Planilha1!G767=0,"",Planilha1!G767))</f>
        <v/>
      </c>
      <c r="N770" s="5">
        <f t="shared" si="89"/>
        <v>1</v>
      </c>
      <c r="O770" s="5">
        <f t="shared" si="90"/>
        <v>0</v>
      </c>
      <c r="P770" s="5">
        <f t="shared" si="91"/>
        <v>0</v>
      </c>
      <c r="Q770" s="5">
        <f t="shared" si="92"/>
        <v>2</v>
      </c>
      <c r="R770" s="8">
        <f t="shared" si="93"/>
        <v>0</v>
      </c>
      <c r="S770" s="8">
        <f t="shared" si="94"/>
        <v>0</v>
      </c>
      <c r="T770" s="3" t="str">
        <f t="shared" si="95"/>
        <v/>
      </c>
      <c r="V770" s="1" t="e">
        <f t="shared" si="96"/>
        <v>#VALUE!</v>
      </c>
    </row>
    <row r="771" spans="8:22" x14ac:dyDescent="0.3">
      <c r="H771" s="2" t="str">
        <f>IF(Planilha1!B768="","",Planilha1!B768)</f>
        <v>8:00p</v>
      </c>
      <c r="I771" s="2" t="str">
        <f>IF(Planilha1!C768="","",Planilha1!C768)</f>
        <v>Minnesota Timberwolves</v>
      </c>
      <c r="J771" s="2">
        <f>IF(Planilha1!D768="","",Planilha1!D768)</f>
        <v>0</v>
      </c>
      <c r="K771" s="10" t="str">
        <f>IF(Planilha1!E768="","",IF(Planilha1!E768=0,"",Planilha1!E768))</f>
        <v>Milwaukee Bucks</v>
      </c>
      <c r="L771" s="10">
        <f>IF(Planilha1!F768="","",Planilha1!F768)</f>
        <v>0</v>
      </c>
      <c r="M771" s="10" t="str">
        <f>IF(Planilha1!G768="","",IF(Planilha1!G768=0,"",Planilha1!G768))</f>
        <v/>
      </c>
      <c r="N771" s="5">
        <f t="shared" si="89"/>
        <v>1</v>
      </c>
      <c r="O771" s="5">
        <f t="shared" si="90"/>
        <v>0</v>
      </c>
      <c r="P771" s="5">
        <f t="shared" si="91"/>
        <v>0</v>
      </c>
      <c r="Q771" s="5">
        <f t="shared" si="92"/>
        <v>2</v>
      </c>
      <c r="R771" s="8">
        <f t="shared" si="93"/>
        <v>0</v>
      </c>
      <c r="S771" s="8">
        <f t="shared" si="94"/>
        <v>0</v>
      </c>
      <c r="T771" s="3" t="str">
        <f t="shared" si="95"/>
        <v/>
      </c>
      <c r="V771" s="1" t="e">
        <f t="shared" si="96"/>
        <v>#VALUE!</v>
      </c>
    </row>
    <row r="772" spans="8:22" x14ac:dyDescent="0.3">
      <c r="H772" s="2" t="str">
        <f>IF(Planilha1!B769="","",Planilha1!B769)</f>
        <v>9:00p</v>
      </c>
      <c r="I772" s="2" t="str">
        <f>IF(Planilha1!C769="","",Planilha1!C769)</f>
        <v>Utah Jazz</v>
      </c>
      <c r="J772" s="2">
        <f>IF(Planilha1!D769="","",Planilha1!D769)</f>
        <v>0</v>
      </c>
      <c r="K772" s="10" t="str">
        <f>IF(Planilha1!E769="","",IF(Planilha1!E769=0,"",Planilha1!E769))</f>
        <v>Phoenix Suns</v>
      </c>
      <c r="L772" s="10">
        <f>IF(Planilha1!F769="","",Planilha1!F769)</f>
        <v>0</v>
      </c>
      <c r="M772" s="10" t="str">
        <f>IF(Planilha1!G769="","",IF(Planilha1!G769=0,"",Planilha1!G769))</f>
        <v/>
      </c>
      <c r="N772" s="5">
        <f t="shared" si="89"/>
        <v>1</v>
      </c>
      <c r="O772" s="5">
        <f t="shared" si="90"/>
        <v>0</v>
      </c>
      <c r="P772" s="5">
        <f t="shared" si="91"/>
        <v>0</v>
      </c>
      <c r="Q772" s="5">
        <f t="shared" si="92"/>
        <v>2</v>
      </c>
      <c r="R772" s="8">
        <f t="shared" si="93"/>
        <v>0</v>
      </c>
      <c r="S772" s="8">
        <f t="shared" si="94"/>
        <v>0</v>
      </c>
      <c r="T772" s="3" t="str">
        <f t="shared" si="95"/>
        <v/>
      </c>
      <c r="V772" s="1" t="e">
        <f t="shared" si="96"/>
        <v>#VALUE!</v>
      </c>
    </row>
    <row r="773" spans="8:22" x14ac:dyDescent="0.3">
      <c r="H773" s="2" t="str">
        <f>IF(Planilha1!B770="","",Planilha1!B770)</f>
        <v>10:00p</v>
      </c>
      <c r="I773" s="2" t="str">
        <f>IF(Planilha1!C770="","",Planilha1!C770)</f>
        <v>Denver Nuggets</v>
      </c>
      <c r="J773" s="2">
        <f>IF(Planilha1!D770="","",Planilha1!D770)</f>
        <v>0</v>
      </c>
      <c r="K773" s="10" t="str">
        <f>IF(Planilha1!E770="","",IF(Planilha1!E770=0,"",Planilha1!E770))</f>
        <v>Los Angeles Lakers</v>
      </c>
      <c r="L773" s="10">
        <f>IF(Planilha1!F770="","",Planilha1!F770)</f>
        <v>0</v>
      </c>
      <c r="M773" s="10" t="str">
        <f>IF(Planilha1!G770="","",IF(Planilha1!G770=0,"",Planilha1!G770))</f>
        <v/>
      </c>
      <c r="N773" s="5">
        <f t="shared" si="89"/>
        <v>1</v>
      </c>
      <c r="O773" s="5">
        <f t="shared" si="90"/>
        <v>0</v>
      </c>
      <c r="P773" s="5">
        <f t="shared" si="91"/>
        <v>0</v>
      </c>
      <c r="Q773" s="5">
        <f t="shared" si="92"/>
        <v>2</v>
      </c>
      <c r="R773" s="8">
        <f t="shared" si="93"/>
        <v>0</v>
      </c>
      <c r="S773" s="8">
        <f t="shared" si="94"/>
        <v>0</v>
      </c>
      <c r="T773" s="3" t="str">
        <f t="shared" si="95"/>
        <v/>
      </c>
      <c r="V773" s="1" t="e">
        <f t="shared" si="96"/>
        <v>#VALUE!</v>
      </c>
    </row>
    <row r="774" spans="8:22" x14ac:dyDescent="0.3">
      <c r="H774" s="2" t="str">
        <f>IF(Planilha1!B771="","",Planilha1!B771)</f>
        <v>10:00p</v>
      </c>
      <c r="I774" s="2" t="str">
        <f>IF(Planilha1!C771="","",Planilha1!C771)</f>
        <v>Detroit Pistons</v>
      </c>
      <c r="J774" s="2">
        <f>IF(Planilha1!D771="","",Planilha1!D771)</f>
        <v>0</v>
      </c>
      <c r="K774" s="10" t="str">
        <f>IF(Planilha1!E771="","",IF(Planilha1!E771=0,"",Planilha1!E771))</f>
        <v>Portland Trail Blazers</v>
      </c>
      <c r="L774" s="10">
        <f>IF(Planilha1!F771="","",Planilha1!F771)</f>
        <v>0</v>
      </c>
      <c r="M774" s="10" t="str">
        <f>IF(Planilha1!G771="","",IF(Planilha1!G771=0,"",Planilha1!G771))</f>
        <v/>
      </c>
      <c r="N774" s="5">
        <f t="shared" ref="N774:N837" si="97">IF(K774="","",IF(K774&gt;M774,100%,0%))</f>
        <v>1</v>
      </c>
      <c r="O774" s="5">
        <f t="shared" ref="O774:O837" si="98">IF(K774="","",IF(K774&lt;M774,100%,0%))</f>
        <v>0</v>
      </c>
      <c r="P774" s="5">
        <f t="shared" ref="P774:P837" si="99">IF(M774="",IF(R774&gt;S774,2,0),IF(K774&lt;M774,2,0))</f>
        <v>0</v>
      </c>
      <c r="Q774" s="5">
        <f t="shared" ref="Q774:Q837" si="100">IF(M774="",IF(R774&gt;S774,0,2),IF(K774&gt;M774,2,0))</f>
        <v>2</v>
      </c>
      <c r="R774" s="8">
        <f t="shared" ref="R774:R837" si="101">SUMIF($B:$B,J774,$C:$C)+(SUMIF($B:$B,L774,$F:$F))</f>
        <v>0</v>
      </c>
      <c r="S774" s="8">
        <f t="shared" ref="S774:S837" si="102">SUMIF($B:$B,L774,$E:$E)+(SUMIF($B:$B,J774,$D:$D))</f>
        <v>0</v>
      </c>
      <c r="T774" s="3" t="str">
        <f t="shared" ref="T774:T837" si="103">IF(M774="","",(K774-S774)^2+(M774-R774)^2)</f>
        <v/>
      </c>
      <c r="V774" s="1" t="e">
        <f t="shared" ref="V774:V837" si="104">IF(O774="","",1/((M774-K774)/(R774-S774)))</f>
        <v>#VALUE!</v>
      </c>
    </row>
    <row r="775" spans="8:22" x14ac:dyDescent="0.3">
      <c r="H775" s="2" t="str">
        <f>IF(Planilha1!B772="","",Planilha1!B772)</f>
        <v>7:00p</v>
      </c>
      <c r="I775" s="2" t="str">
        <f>IF(Planilha1!C772="","",Planilha1!C772)</f>
        <v>Atlanta Hawks</v>
      </c>
      <c r="J775" s="2">
        <f>IF(Planilha1!D772="","",Planilha1!D772)</f>
        <v>0</v>
      </c>
      <c r="K775" s="10" t="str">
        <f>IF(Planilha1!E772="","",IF(Planilha1!E772=0,"",Planilha1!E772))</f>
        <v>Philadelphia 76ers</v>
      </c>
      <c r="L775" s="10">
        <f>IF(Planilha1!F772="","",Planilha1!F772)</f>
        <v>0</v>
      </c>
      <c r="M775" s="10" t="str">
        <f>IF(Planilha1!G772="","",IF(Planilha1!G772=0,"",Planilha1!G772))</f>
        <v/>
      </c>
      <c r="N775" s="5">
        <f t="shared" si="97"/>
        <v>1</v>
      </c>
      <c r="O775" s="5">
        <f t="shared" si="98"/>
        <v>0</v>
      </c>
      <c r="P775" s="5">
        <f t="shared" si="99"/>
        <v>0</v>
      </c>
      <c r="Q775" s="5">
        <f t="shared" si="100"/>
        <v>2</v>
      </c>
      <c r="R775" s="8">
        <f t="shared" si="101"/>
        <v>0</v>
      </c>
      <c r="S775" s="8">
        <f t="shared" si="102"/>
        <v>0</v>
      </c>
      <c r="T775" s="3" t="str">
        <f t="shared" si="103"/>
        <v/>
      </c>
      <c r="V775" s="1" t="e">
        <f t="shared" si="104"/>
        <v>#VALUE!</v>
      </c>
    </row>
    <row r="776" spans="8:22" x14ac:dyDescent="0.3">
      <c r="H776" s="2" t="str">
        <f>IF(Planilha1!B773="","",Planilha1!B773)</f>
        <v>7:30p</v>
      </c>
      <c r="I776" s="2" t="str">
        <f>IF(Planilha1!C773="","",Planilha1!C773)</f>
        <v>Washington Wizards</v>
      </c>
      <c r="J776" s="2">
        <f>IF(Planilha1!D773="","",Planilha1!D773)</f>
        <v>0</v>
      </c>
      <c r="K776" s="10" t="str">
        <f>IF(Planilha1!E773="","",IF(Planilha1!E773=0,"",Planilha1!E773))</f>
        <v>Boston Celtics</v>
      </c>
      <c r="L776" s="10">
        <f>IF(Planilha1!F773="","",Planilha1!F773)</f>
        <v>0</v>
      </c>
      <c r="M776" s="10" t="str">
        <f>IF(Planilha1!G773="","",IF(Planilha1!G773=0,"",Planilha1!G773))</f>
        <v/>
      </c>
      <c r="N776" s="5">
        <f t="shared" si="97"/>
        <v>1</v>
      </c>
      <c r="O776" s="5">
        <f t="shared" si="98"/>
        <v>0</v>
      </c>
      <c r="P776" s="5">
        <f t="shared" si="99"/>
        <v>0</v>
      </c>
      <c r="Q776" s="5">
        <f t="shared" si="100"/>
        <v>2</v>
      </c>
      <c r="R776" s="8">
        <f t="shared" si="101"/>
        <v>0</v>
      </c>
      <c r="S776" s="8">
        <f t="shared" si="102"/>
        <v>0</v>
      </c>
      <c r="T776" s="3" t="str">
        <f t="shared" si="103"/>
        <v/>
      </c>
      <c r="V776" s="1" t="e">
        <f t="shared" si="104"/>
        <v>#VALUE!</v>
      </c>
    </row>
    <row r="777" spans="8:22" x14ac:dyDescent="0.3">
      <c r="H777" s="2" t="str">
        <f>IF(Planilha1!B774="","",Planilha1!B774)</f>
        <v>7:30p</v>
      </c>
      <c r="I777" s="2" t="str">
        <f>IF(Planilha1!C774="","",Planilha1!C774)</f>
        <v>Houston Rockets</v>
      </c>
      <c r="J777" s="2">
        <f>IF(Planilha1!D774="","",Planilha1!D774)</f>
        <v>0</v>
      </c>
      <c r="K777" s="10" t="str">
        <f>IF(Planilha1!E774="","",IF(Planilha1!E774=0,"",Planilha1!E774))</f>
        <v>Toronto Raptors</v>
      </c>
      <c r="L777" s="10">
        <f>IF(Planilha1!F774="","",Planilha1!F774)</f>
        <v>0</v>
      </c>
      <c r="M777" s="10" t="str">
        <f>IF(Planilha1!G774="","",IF(Planilha1!G774=0,"",Planilha1!G774))</f>
        <v/>
      </c>
      <c r="N777" s="5">
        <f t="shared" si="97"/>
        <v>1</v>
      </c>
      <c r="O777" s="5">
        <f t="shared" si="98"/>
        <v>0</v>
      </c>
      <c r="P777" s="5">
        <f t="shared" si="99"/>
        <v>0</v>
      </c>
      <c r="Q777" s="5">
        <f t="shared" si="100"/>
        <v>2</v>
      </c>
      <c r="R777" s="8">
        <f t="shared" si="101"/>
        <v>0</v>
      </c>
      <c r="S777" s="8">
        <f t="shared" si="102"/>
        <v>0</v>
      </c>
      <c r="T777" s="3" t="str">
        <f t="shared" si="103"/>
        <v/>
      </c>
      <c r="V777" s="1" t="e">
        <f t="shared" si="104"/>
        <v>#VALUE!</v>
      </c>
    </row>
    <row r="778" spans="8:22" x14ac:dyDescent="0.3">
      <c r="H778" s="2" t="str">
        <f>IF(Planilha1!B775="","",Planilha1!B775)</f>
        <v>8:00p</v>
      </c>
      <c r="I778" s="2" t="str">
        <f>IF(Planilha1!C775="","",Planilha1!C775)</f>
        <v>Charlotte Hornets</v>
      </c>
      <c r="J778" s="2">
        <f>IF(Planilha1!D775="","",Planilha1!D775)</f>
        <v>0</v>
      </c>
      <c r="K778" s="10" t="str">
        <f>IF(Planilha1!E775="","",IF(Planilha1!E775=0,"",Planilha1!E775))</f>
        <v>Milwaukee Bucks</v>
      </c>
      <c r="L778" s="10">
        <f>IF(Planilha1!F775="","",Planilha1!F775)</f>
        <v>0</v>
      </c>
      <c r="M778" s="10" t="str">
        <f>IF(Planilha1!G775="","",IF(Planilha1!G775=0,"",Planilha1!G775))</f>
        <v/>
      </c>
      <c r="N778" s="5">
        <f t="shared" si="97"/>
        <v>1</v>
      </c>
      <c r="O778" s="5">
        <f t="shared" si="98"/>
        <v>0</v>
      </c>
      <c r="P778" s="5">
        <f t="shared" si="99"/>
        <v>0</v>
      </c>
      <c r="Q778" s="5">
        <f t="shared" si="100"/>
        <v>2</v>
      </c>
      <c r="R778" s="8">
        <f t="shared" si="101"/>
        <v>0</v>
      </c>
      <c r="S778" s="8">
        <f t="shared" si="102"/>
        <v>0</v>
      </c>
      <c r="T778" s="3" t="str">
        <f t="shared" si="103"/>
        <v/>
      </c>
      <c r="V778" s="1" t="e">
        <f t="shared" si="104"/>
        <v>#VALUE!</v>
      </c>
    </row>
    <row r="779" spans="8:22" x14ac:dyDescent="0.3">
      <c r="H779" s="2" t="str">
        <f>IF(Planilha1!B776="","",Planilha1!B776)</f>
        <v>10:00p</v>
      </c>
      <c r="I779" s="2" t="str">
        <f>IF(Planilha1!C776="","",Planilha1!C776)</f>
        <v>Denver Nuggets</v>
      </c>
      <c r="J779" s="2">
        <f>IF(Planilha1!D776="","",Planilha1!D776)</f>
        <v>0</v>
      </c>
      <c r="K779" s="10" t="str">
        <f>IF(Planilha1!E776="","",IF(Planilha1!E776=0,"",Planilha1!E776))</f>
        <v>Sacramento Kings</v>
      </c>
      <c r="L779" s="10">
        <f>IF(Planilha1!F776="","",Planilha1!F776)</f>
        <v>0</v>
      </c>
      <c r="M779" s="10" t="str">
        <f>IF(Planilha1!G776="","",IF(Planilha1!G776=0,"",Planilha1!G776))</f>
        <v/>
      </c>
      <c r="N779" s="5">
        <f t="shared" si="97"/>
        <v>1</v>
      </c>
      <c r="O779" s="5">
        <f t="shared" si="98"/>
        <v>0</v>
      </c>
      <c r="P779" s="5">
        <f t="shared" si="99"/>
        <v>0</v>
      </c>
      <c r="Q779" s="5">
        <f t="shared" si="100"/>
        <v>2</v>
      </c>
      <c r="R779" s="8">
        <f t="shared" si="101"/>
        <v>0</v>
      </c>
      <c r="S779" s="8">
        <f t="shared" si="102"/>
        <v>0</v>
      </c>
      <c r="T779" s="3" t="str">
        <f t="shared" si="103"/>
        <v/>
      </c>
      <c r="V779" s="1" t="e">
        <f t="shared" si="104"/>
        <v>#VALUE!</v>
      </c>
    </row>
    <row r="780" spans="8:22" x14ac:dyDescent="0.3">
      <c r="H780" s="2" t="str">
        <f>IF(Planilha1!B777="","",Planilha1!B777)</f>
        <v>10:30p</v>
      </c>
      <c r="I780" s="2" t="str">
        <f>IF(Planilha1!C777="","",Planilha1!C777)</f>
        <v>New Orleans Pelicans</v>
      </c>
      <c r="J780" s="2">
        <f>IF(Planilha1!D777="","",Planilha1!D777)</f>
        <v>0</v>
      </c>
      <c r="K780" s="10" t="str">
        <f>IF(Planilha1!E777="","",IF(Planilha1!E777=0,"",Planilha1!E777))</f>
        <v>Los Angeles Lakers</v>
      </c>
      <c r="L780" s="10">
        <f>IF(Planilha1!F777="","",Planilha1!F777)</f>
        <v>0</v>
      </c>
      <c r="M780" s="10" t="str">
        <f>IF(Planilha1!G777="","",IF(Planilha1!G777=0,"",Planilha1!G777))</f>
        <v/>
      </c>
      <c r="N780" s="5">
        <f t="shared" si="97"/>
        <v>1</v>
      </c>
      <c r="O780" s="5">
        <f t="shared" si="98"/>
        <v>0</v>
      </c>
      <c r="P780" s="5">
        <f t="shared" si="99"/>
        <v>0</v>
      </c>
      <c r="Q780" s="5">
        <f t="shared" si="100"/>
        <v>2</v>
      </c>
      <c r="R780" s="8">
        <f t="shared" si="101"/>
        <v>0</v>
      </c>
      <c r="S780" s="8">
        <f t="shared" si="102"/>
        <v>0</v>
      </c>
      <c r="T780" s="3" t="str">
        <f t="shared" si="103"/>
        <v/>
      </c>
      <c r="V780" s="1" t="e">
        <f t="shared" si="104"/>
        <v>#VALUE!</v>
      </c>
    </row>
    <row r="781" spans="8:22" x14ac:dyDescent="0.3">
      <c r="H781" s="2" t="str">
        <f>IF(Planilha1!B778="","",Planilha1!B778)</f>
        <v>3:00p</v>
      </c>
      <c r="I781" s="2" t="str">
        <f>IF(Planilha1!C778="","",Planilha1!C778)</f>
        <v>Oklahoma City Thunder</v>
      </c>
      <c r="J781" s="2">
        <f>IF(Planilha1!D778="","",Planilha1!D778)</f>
        <v>0</v>
      </c>
      <c r="K781" s="10" t="str">
        <f>IF(Planilha1!E778="","",IF(Planilha1!E778=0,"",Planilha1!E778))</f>
        <v>Dallas Mavericks</v>
      </c>
      <c r="L781" s="10">
        <f>IF(Planilha1!F778="","",Planilha1!F778)</f>
        <v>0</v>
      </c>
      <c r="M781" s="10" t="str">
        <f>IF(Planilha1!G778="","",IF(Planilha1!G778=0,"",Planilha1!G778))</f>
        <v/>
      </c>
      <c r="N781" s="5">
        <f t="shared" si="97"/>
        <v>1</v>
      </c>
      <c r="O781" s="5">
        <f t="shared" si="98"/>
        <v>0</v>
      </c>
      <c r="P781" s="5">
        <f t="shared" si="99"/>
        <v>0</v>
      </c>
      <c r="Q781" s="5">
        <f t="shared" si="100"/>
        <v>2</v>
      </c>
      <c r="R781" s="8">
        <f t="shared" si="101"/>
        <v>0</v>
      </c>
      <c r="S781" s="8">
        <f t="shared" si="102"/>
        <v>0</v>
      </c>
      <c r="T781" s="3" t="str">
        <f t="shared" si="103"/>
        <v/>
      </c>
      <c r="V781" s="1" t="e">
        <f t="shared" si="104"/>
        <v>#VALUE!</v>
      </c>
    </row>
    <row r="782" spans="8:22" x14ac:dyDescent="0.3">
      <c r="H782" s="2" t="str">
        <f>IF(Planilha1!B779="","",Planilha1!B779)</f>
        <v>3:30p</v>
      </c>
      <c r="I782" s="2" t="str">
        <f>IF(Planilha1!C779="","",Planilha1!C779)</f>
        <v>Detroit Pistons</v>
      </c>
      <c r="J782" s="2">
        <f>IF(Planilha1!D779="","",Planilha1!D779)</f>
        <v>0</v>
      </c>
      <c r="K782" s="10" t="str">
        <f>IF(Planilha1!E779="","",IF(Planilha1!E779=0,"",Planilha1!E779))</f>
        <v>Los Angeles Clippers</v>
      </c>
      <c r="L782" s="10">
        <f>IF(Planilha1!F779="","",Planilha1!F779)</f>
        <v>0</v>
      </c>
      <c r="M782" s="10" t="str">
        <f>IF(Planilha1!G779="","",IF(Planilha1!G779=0,"",Planilha1!G779))</f>
        <v/>
      </c>
      <c r="N782" s="5">
        <f t="shared" si="97"/>
        <v>1</v>
      </c>
      <c r="O782" s="5">
        <f t="shared" si="98"/>
        <v>0</v>
      </c>
      <c r="P782" s="5">
        <f t="shared" si="99"/>
        <v>0</v>
      </c>
      <c r="Q782" s="5">
        <f t="shared" si="100"/>
        <v>2</v>
      </c>
      <c r="R782" s="8">
        <f t="shared" si="101"/>
        <v>0</v>
      </c>
      <c r="S782" s="8">
        <f t="shared" si="102"/>
        <v>0</v>
      </c>
      <c r="T782" s="3" t="str">
        <f t="shared" si="103"/>
        <v/>
      </c>
      <c r="V782" s="1" t="e">
        <f t="shared" si="104"/>
        <v>#VALUE!</v>
      </c>
    </row>
    <row r="783" spans="8:22" x14ac:dyDescent="0.3">
      <c r="H783" s="2" t="str">
        <f>IF(Planilha1!B780="","",Planilha1!B780)</f>
        <v>6:00p</v>
      </c>
      <c r="I783" s="2" t="str">
        <f>IF(Planilha1!C780="","",Planilha1!C780)</f>
        <v>San Antonio Spurs</v>
      </c>
      <c r="J783" s="2">
        <f>IF(Planilha1!D780="","",Planilha1!D780)</f>
        <v>0</v>
      </c>
      <c r="K783" s="10" t="str">
        <f>IF(Planilha1!E780="","",IF(Planilha1!E780=0,"",Planilha1!E780))</f>
        <v>Brooklyn Nets</v>
      </c>
      <c r="L783" s="10">
        <f>IF(Planilha1!F780="","",Planilha1!F780)</f>
        <v>0</v>
      </c>
      <c r="M783" s="10" t="str">
        <f>IF(Planilha1!G780="","",IF(Planilha1!G780=0,"",Planilha1!G780))</f>
        <v/>
      </c>
      <c r="N783" s="5">
        <f t="shared" si="97"/>
        <v>1</v>
      </c>
      <c r="O783" s="5">
        <f t="shared" si="98"/>
        <v>0</v>
      </c>
      <c r="P783" s="5">
        <f t="shared" si="99"/>
        <v>0</v>
      </c>
      <c r="Q783" s="5">
        <f t="shared" si="100"/>
        <v>2</v>
      </c>
      <c r="R783" s="8">
        <f t="shared" si="101"/>
        <v>0</v>
      </c>
      <c r="S783" s="8">
        <f t="shared" si="102"/>
        <v>0</v>
      </c>
      <c r="T783" s="3" t="str">
        <f t="shared" si="103"/>
        <v/>
      </c>
      <c r="V783" s="1" t="e">
        <f t="shared" si="104"/>
        <v>#VALUE!</v>
      </c>
    </row>
    <row r="784" spans="8:22" x14ac:dyDescent="0.3">
      <c r="H784" s="2" t="str">
        <f>IF(Planilha1!B781="","",Planilha1!B781)</f>
        <v>7:00p</v>
      </c>
      <c r="I784" s="2" t="str">
        <f>IF(Planilha1!C781="","",Planilha1!C781)</f>
        <v>Memphis Grizzlies</v>
      </c>
      <c r="J784" s="2">
        <f>IF(Planilha1!D781="","",Planilha1!D781)</f>
        <v>0</v>
      </c>
      <c r="K784" s="10" t="str">
        <f>IF(Planilha1!E781="","",IF(Planilha1!E781=0,"",Planilha1!E781))</f>
        <v>Charlotte Hornets</v>
      </c>
      <c r="L784" s="10">
        <f>IF(Planilha1!F781="","",Planilha1!F781)</f>
        <v>0</v>
      </c>
      <c r="M784" s="10" t="str">
        <f>IF(Planilha1!G781="","",IF(Planilha1!G781=0,"",Planilha1!G781))</f>
        <v/>
      </c>
      <c r="N784" s="5">
        <f t="shared" si="97"/>
        <v>1</v>
      </c>
      <c r="O784" s="5">
        <f t="shared" si="98"/>
        <v>0</v>
      </c>
      <c r="P784" s="5">
        <f t="shared" si="99"/>
        <v>0</v>
      </c>
      <c r="Q784" s="5">
        <f t="shared" si="100"/>
        <v>2</v>
      </c>
      <c r="R784" s="8">
        <f t="shared" si="101"/>
        <v>0</v>
      </c>
      <c r="S784" s="8">
        <f t="shared" si="102"/>
        <v>0</v>
      </c>
      <c r="T784" s="3" t="str">
        <f t="shared" si="103"/>
        <v/>
      </c>
      <c r="V784" s="1" t="e">
        <f t="shared" si="104"/>
        <v>#VALUE!</v>
      </c>
    </row>
    <row r="785" spans="8:22" x14ac:dyDescent="0.3">
      <c r="H785" s="2" t="str">
        <f>IF(Planilha1!B782="","",Planilha1!B782)</f>
        <v>7:00p</v>
      </c>
      <c r="I785" s="2" t="str">
        <f>IF(Planilha1!C782="","",Planilha1!C782)</f>
        <v>Chicago Bulls</v>
      </c>
      <c r="J785" s="2">
        <f>IF(Planilha1!D782="","",Planilha1!D782)</f>
        <v>0</v>
      </c>
      <c r="K785" s="10" t="str">
        <f>IF(Planilha1!E782="","",IF(Planilha1!E782=0,"",Planilha1!E782))</f>
        <v>Orlando Magic</v>
      </c>
      <c r="L785" s="10">
        <f>IF(Planilha1!F782="","",Planilha1!F782)</f>
        <v>0</v>
      </c>
      <c r="M785" s="10" t="str">
        <f>IF(Planilha1!G782="","",IF(Planilha1!G782=0,"",Planilha1!G782))</f>
        <v/>
      </c>
      <c r="N785" s="5">
        <f t="shared" si="97"/>
        <v>1</v>
      </c>
      <c r="O785" s="5">
        <f t="shared" si="98"/>
        <v>0</v>
      </c>
      <c r="P785" s="5">
        <f t="shared" si="99"/>
        <v>0</v>
      </c>
      <c r="Q785" s="5">
        <f t="shared" si="100"/>
        <v>2</v>
      </c>
      <c r="R785" s="8">
        <f t="shared" si="101"/>
        <v>0</v>
      </c>
      <c r="S785" s="8">
        <f t="shared" si="102"/>
        <v>0</v>
      </c>
      <c r="T785" s="3" t="str">
        <f t="shared" si="103"/>
        <v/>
      </c>
      <c r="V785" s="1" t="e">
        <f t="shared" si="104"/>
        <v>#VALUE!</v>
      </c>
    </row>
    <row r="786" spans="8:22" x14ac:dyDescent="0.3">
      <c r="H786" s="2" t="str">
        <f>IF(Planilha1!B783="","",Planilha1!B783)</f>
        <v>7:00p</v>
      </c>
      <c r="I786" s="2" t="str">
        <f>IF(Planilha1!C783="","",Planilha1!C783)</f>
        <v>Philadelphia 76ers</v>
      </c>
      <c r="J786" s="2">
        <f>IF(Planilha1!D783="","",Planilha1!D783)</f>
        <v>0</v>
      </c>
      <c r="K786" s="10" t="str">
        <f>IF(Planilha1!E783="","",IF(Planilha1!E783=0,"",Planilha1!E783))</f>
        <v>Washington Wizards</v>
      </c>
      <c r="L786" s="10">
        <f>IF(Planilha1!F783="","",Planilha1!F783)</f>
        <v>0</v>
      </c>
      <c r="M786" s="10" t="str">
        <f>IF(Planilha1!G783="","",IF(Planilha1!G783=0,"",Planilha1!G783))</f>
        <v/>
      </c>
      <c r="N786" s="5">
        <f t="shared" si="97"/>
        <v>1</v>
      </c>
      <c r="O786" s="5">
        <f t="shared" si="98"/>
        <v>0</v>
      </c>
      <c r="P786" s="5">
        <f t="shared" si="99"/>
        <v>0</v>
      </c>
      <c r="Q786" s="5">
        <f t="shared" si="100"/>
        <v>2</v>
      </c>
      <c r="R786" s="8">
        <f t="shared" si="101"/>
        <v>0</v>
      </c>
      <c r="S786" s="8">
        <f t="shared" si="102"/>
        <v>0</v>
      </c>
      <c r="T786" s="3" t="str">
        <f t="shared" si="103"/>
        <v/>
      </c>
      <c r="V786" s="1" t="e">
        <f t="shared" si="104"/>
        <v>#VALUE!</v>
      </c>
    </row>
    <row r="787" spans="8:22" x14ac:dyDescent="0.3">
      <c r="H787" s="2" t="str">
        <f>IF(Planilha1!B784="","",Planilha1!B784)</f>
        <v>7:30p</v>
      </c>
      <c r="I787" s="2" t="str">
        <f>IF(Planilha1!C784="","",Planilha1!C784)</f>
        <v>Houston Rockets</v>
      </c>
      <c r="J787" s="2">
        <f>IF(Planilha1!D784="","",Planilha1!D784)</f>
        <v>0</v>
      </c>
      <c r="K787" s="10" t="str">
        <f>IF(Planilha1!E784="","",IF(Planilha1!E784=0,"",Planilha1!E784))</f>
        <v>Atlanta Hawks</v>
      </c>
      <c r="L787" s="10">
        <f>IF(Planilha1!F784="","",Planilha1!F784)</f>
        <v>0</v>
      </c>
      <c r="M787" s="10" t="str">
        <f>IF(Planilha1!G784="","",IF(Planilha1!G784=0,"",Planilha1!G784))</f>
        <v/>
      </c>
      <c r="N787" s="5">
        <f t="shared" si="97"/>
        <v>1</v>
      </c>
      <c r="O787" s="5">
        <f t="shared" si="98"/>
        <v>0</v>
      </c>
      <c r="P787" s="5">
        <f t="shared" si="99"/>
        <v>0</v>
      </c>
      <c r="Q787" s="5">
        <f t="shared" si="100"/>
        <v>2</v>
      </c>
      <c r="R787" s="8">
        <f t="shared" si="101"/>
        <v>0</v>
      </c>
      <c r="S787" s="8">
        <f t="shared" si="102"/>
        <v>0</v>
      </c>
      <c r="T787" s="3" t="str">
        <f t="shared" si="103"/>
        <v/>
      </c>
      <c r="V787" s="1" t="e">
        <f t="shared" si="104"/>
        <v>#VALUE!</v>
      </c>
    </row>
    <row r="788" spans="8:22" x14ac:dyDescent="0.3">
      <c r="H788" s="2" t="str">
        <f>IF(Planilha1!B785="","",Planilha1!B785)</f>
        <v>7:30p</v>
      </c>
      <c r="I788" s="2" t="str">
        <f>IF(Planilha1!C785="","",Planilha1!C785)</f>
        <v>Indiana Pacers</v>
      </c>
      <c r="J788" s="2">
        <f>IF(Planilha1!D785="","",Planilha1!D785)</f>
        <v>0</v>
      </c>
      <c r="K788" s="10" t="str">
        <f>IF(Planilha1!E785="","",IF(Planilha1!E785=0,"",Planilha1!E785))</f>
        <v>New York Knicks</v>
      </c>
      <c r="L788" s="10">
        <f>IF(Planilha1!F785="","",Planilha1!F785)</f>
        <v>0</v>
      </c>
      <c r="M788" s="10" t="str">
        <f>IF(Planilha1!G785="","",IF(Planilha1!G785=0,"",Planilha1!G785))</f>
        <v/>
      </c>
      <c r="N788" s="5">
        <f t="shared" si="97"/>
        <v>1</v>
      </c>
      <c r="O788" s="5">
        <f t="shared" si="98"/>
        <v>0</v>
      </c>
      <c r="P788" s="5">
        <f t="shared" si="99"/>
        <v>0</v>
      </c>
      <c r="Q788" s="5">
        <f t="shared" si="100"/>
        <v>2</v>
      </c>
      <c r="R788" s="8">
        <f t="shared" si="101"/>
        <v>0</v>
      </c>
      <c r="S788" s="8">
        <f t="shared" si="102"/>
        <v>0</v>
      </c>
      <c r="T788" s="3" t="str">
        <f t="shared" si="103"/>
        <v/>
      </c>
      <c r="V788" s="1" t="e">
        <f t="shared" si="104"/>
        <v>#VALUE!</v>
      </c>
    </row>
    <row r="789" spans="8:22" x14ac:dyDescent="0.3">
      <c r="H789" s="2" t="str">
        <f>IF(Planilha1!B786="","",Planilha1!B786)</f>
        <v>7:30p</v>
      </c>
      <c r="I789" s="2" t="str">
        <f>IF(Planilha1!C786="","",Planilha1!C786)</f>
        <v>Cleveland Cavaliers</v>
      </c>
      <c r="J789" s="2">
        <f>IF(Planilha1!D786="","",Planilha1!D786)</f>
        <v>0</v>
      </c>
      <c r="K789" s="10" t="str">
        <f>IF(Planilha1!E786="","",IF(Planilha1!E786=0,"",Planilha1!E786))</f>
        <v>Toronto Raptors</v>
      </c>
      <c r="L789" s="10">
        <f>IF(Planilha1!F786="","",Planilha1!F786)</f>
        <v>0</v>
      </c>
      <c r="M789" s="10" t="str">
        <f>IF(Planilha1!G786="","",IF(Planilha1!G786=0,"",Planilha1!G786))</f>
        <v/>
      </c>
      <c r="N789" s="5">
        <f t="shared" si="97"/>
        <v>1</v>
      </c>
      <c r="O789" s="5">
        <f t="shared" si="98"/>
        <v>0</v>
      </c>
      <c r="P789" s="5">
        <f t="shared" si="99"/>
        <v>0</v>
      </c>
      <c r="Q789" s="5">
        <f t="shared" si="100"/>
        <v>2</v>
      </c>
      <c r="R789" s="8">
        <f t="shared" si="101"/>
        <v>0</v>
      </c>
      <c r="S789" s="8">
        <f t="shared" si="102"/>
        <v>0</v>
      </c>
      <c r="T789" s="3" t="str">
        <f t="shared" si="103"/>
        <v/>
      </c>
      <c r="V789" s="1" t="e">
        <f t="shared" si="104"/>
        <v>#VALUE!</v>
      </c>
    </row>
    <row r="790" spans="8:22" x14ac:dyDescent="0.3">
      <c r="H790" s="2" t="str">
        <f>IF(Planilha1!B787="","",Planilha1!B787)</f>
        <v>8:30p</v>
      </c>
      <c r="I790" s="2" t="str">
        <f>IF(Planilha1!C787="","",Planilha1!C787)</f>
        <v>Phoenix Suns</v>
      </c>
      <c r="J790" s="2">
        <f>IF(Planilha1!D787="","",Planilha1!D787)</f>
        <v>0</v>
      </c>
      <c r="K790" s="10" t="str">
        <f>IF(Planilha1!E787="","",IF(Planilha1!E787=0,"",Planilha1!E787))</f>
        <v>Golden State Warriors</v>
      </c>
      <c r="L790" s="10">
        <f>IF(Planilha1!F787="","",Planilha1!F787)</f>
        <v>0</v>
      </c>
      <c r="M790" s="10" t="str">
        <f>IF(Planilha1!G787="","",IF(Planilha1!G787=0,"",Planilha1!G787))</f>
        <v/>
      </c>
      <c r="N790" s="5">
        <f t="shared" si="97"/>
        <v>1</v>
      </c>
      <c r="O790" s="5">
        <f t="shared" si="98"/>
        <v>0</v>
      </c>
      <c r="P790" s="5">
        <f t="shared" si="99"/>
        <v>0</v>
      </c>
      <c r="Q790" s="5">
        <f t="shared" si="100"/>
        <v>2</v>
      </c>
      <c r="R790" s="8">
        <f t="shared" si="101"/>
        <v>0</v>
      </c>
      <c r="S790" s="8">
        <f t="shared" si="102"/>
        <v>0</v>
      </c>
      <c r="T790" s="3" t="str">
        <f t="shared" si="103"/>
        <v/>
      </c>
      <c r="V790" s="1" t="e">
        <f t="shared" si="104"/>
        <v>#VALUE!</v>
      </c>
    </row>
    <row r="791" spans="8:22" x14ac:dyDescent="0.3">
      <c r="H791" s="2" t="str">
        <f>IF(Planilha1!B788="","",Planilha1!B788)</f>
        <v>10:00p</v>
      </c>
      <c r="I791" s="2" t="str">
        <f>IF(Planilha1!C788="","",Planilha1!C788)</f>
        <v>New Orleans Pelicans</v>
      </c>
      <c r="J791" s="2">
        <f>IF(Planilha1!D788="","",Planilha1!D788)</f>
        <v>0</v>
      </c>
      <c r="K791" s="10" t="str">
        <f>IF(Planilha1!E788="","",IF(Planilha1!E788=0,"",Planilha1!E788))</f>
        <v>Portland Trail Blazers</v>
      </c>
      <c r="L791" s="10">
        <f>IF(Planilha1!F788="","",Planilha1!F788)</f>
        <v>0</v>
      </c>
      <c r="M791" s="10" t="str">
        <f>IF(Planilha1!G788="","",IF(Planilha1!G788=0,"",Planilha1!G788))</f>
        <v/>
      </c>
      <c r="N791" s="5">
        <f t="shared" si="97"/>
        <v>1</v>
      </c>
      <c r="O791" s="5">
        <f t="shared" si="98"/>
        <v>0</v>
      </c>
      <c r="P791" s="5">
        <f t="shared" si="99"/>
        <v>0</v>
      </c>
      <c r="Q791" s="5">
        <f t="shared" si="100"/>
        <v>2</v>
      </c>
      <c r="R791" s="8">
        <f t="shared" si="101"/>
        <v>0</v>
      </c>
      <c r="S791" s="8">
        <f t="shared" si="102"/>
        <v>0</v>
      </c>
      <c r="T791" s="3" t="str">
        <f t="shared" si="103"/>
        <v/>
      </c>
      <c r="V791" s="1" t="e">
        <f t="shared" si="104"/>
        <v>#VALUE!</v>
      </c>
    </row>
    <row r="792" spans="8:22" x14ac:dyDescent="0.3">
      <c r="H792" s="2" t="str">
        <f>IF(Planilha1!B789="","",Planilha1!B789)</f>
        <v>2:00p</v>
      </c>
      <c r="I792" s="2" t="str">
        <f>IF(Planilha1!C789="","",Planilha1!C789)</f>
        <v>Boston Celtics</v>
      </c>
      <c r="J792" s="2">
        <f>IF(Planilha1!D789="","",Planilha1!D789)</f>
        <v>0</v>
      </c>
      <c r="K792" s="10" t="str">
        <f>IF(Planilha1!E789="","",IF(Planilha1!E789=0,"",Planilha1!E789))</f>
        <v>Miami Heat</v>
      </c>
      <c r="L792" s="10">
        <f>IF(Planilha1!F789="","",Planilha1!F789)</f>
        <v>0</v>
      </c>
      <c r="M792" s="10" t="str">
        <f>IF(Planilha1!G789="","",IF(Planilha1!G789=0,"",Planilha1!G789))</f>
        <v/>
      </c>
      <c r="N792" s="5">
        <f t="shared" si="97"/>
        <v>1</v>
      </c>
      <c r="O792" s="5">
        <f t="shared" si="98"/>
        <v>0</v>
      </c>
      <c r="P792" s="5">
        <f t="shared" si="99"/>
        <v>0</v>
      </c>
      <c r="Q792" s="5">
        <f t="shared" si="100"/>
        <v>2</v>
      </c>
      <c r="R792" s="8">
        <f t="shared" si="101"/>
        <v>0</v>
      </c>
      <c r="S792" s="8">
        <f t="shared" si="102"/>
        <v>0</v>
      </c>
      <c r="T792" s="3" t="str">
        <f t="shared" si="103"/>
        <v/>
      </c>
      <c r="V792" s="1" t="e">
        <f t="shared" si="104"/>
        <v>#VALUE!</v>
      </c>
    </row>
    <row r="793" spans="8:22" x14ac:dyDescent="0.3">
      <c r="H793" s="2" t="str">
        <f>IF(Planilha1!B790="","",Planilha1!B790)</f>
        <v>3:00p</v>
      </c>
      <c r="I793" s="2" t="str">
        <f>IF(Planilha1!C790="","",Planilha1!C790)</f>
        <v>Sacramento Kings</v>
      </c>
      <c r="J793" s="2">
        <f>IF(Planilha1!D790="","",Planilha1!D790)</f>
        <v>0</v>
      </c>
      <c r="K793" s="10" t="str">
        <f>IF(Planilha1!E790="","",IF(Planilha1!E790=0,"",Planilha1!E790))</f>
        <v>Oklahoma City Thunder</v>
      </c>
      <c r="L793" s="10">
        <f>IF(Planilha1!F790="","",Planilha1!F790)</f>
        <v>0</v>
      </c>
      <c r="M793" s="10" t="str">
        <f>IF(Planilha1!G790="","",IF(Planilha1!G790=0,"",Planilha1!G790))</f>
        <v/>
      </c>
      <c r="N793" s="5">
        <f t="shared" si="97"/>
        <v>1</v>
      </c>
      <c r="O793" s="5">
        <f t="shared" si="98"/>
        <v>0</v>
      </c>
      <c r="P793" s="5">
        <f t="shared" si="99"/>
        <v>0</v>
      </c>
      <c r="Q793" s="5">
        <f t="shared" si="100"/>
        <v>2</v>
      </c>
      <c r="R793" s="8">
        <f t="shared" si="101"/>
        <v>0</v>
      </c>
      <c r="S793" s="8">
        <f t="shared" si="102"/>
        <v>0</v>
      </c>
      <c r="T793" s="3" t="str">
        <f t="shared" si="103"/>
        <v/>
      </c>
      <c r="V793" s="1" t="e">
        <f t="shared" si="104"/>
        <v>#VALUE!</v>
      </c>
    </row>
    <row r="794" spans="8:22" x14ac:dyDescent="0.3">
      <c r="H794" s="2" t="str">
        <f>IF(Planilha1!B791="","",Planilha1!B791)</f>
        <v>7:00p</v>
      </c>
      <c r="I794" s="2" t="str">
        <f>IF(Planilha1!C791="","",Planilha1!C791)</f>
        <v>Indiana Pacers</v>
      </c>
      <c r="J794" s="2">
        <f>IF(Planilha1!D791="","",Planilha1!D791)</f>
        <v>0</v>
      </c>
      <c r="K794" s="10" t="str">
        <f>IF(Planilha1!E791="","",IF(Planilha1!E791=0,"",Planilha1!E791))</f>
        <v>Charlotte Hornets</v>
      </c>
      <c r="L794" s="10">
        <f>IF(Planilha1!F791="","",Planilha1!F791)</f>
        <v>0</v>
      </c>
      <c r="M794" s="10" t="str">
        <f>IF(Planilha1!G791="","",IF(Planilha1!G791=0,"",Planilha1!G791))</f>
        <v/>
      </c>
      <c r="N794" s="5">
        <f t="shared" si="97"/>
        <v>1</v>
      </c>
      <c r="O794" s="5">
        <f t="shared" si="98"/>
        <v>0</v>
      </c>
      <c r="P794" s="5">
        <f t="shared" si="99"/>
        <v>0</v>
      </c>
      <c r="Q794" s="5">
        <f t="shared" si="100"/>
        <v>2</v>
      </c>
      <c r="R794" s="8">
        <f t="shared" si="101"/>
        <v>0</v>
      </c>
      <c r="S794" s="8">
        <f t="shared" si="102"/>
        <v>0</v>
      </c>
      <c r="T794" s="3" t="str">
        <f t="shared" si="103"/>
        <v/>
      </c>
      <c r="V794" s="1" t="e">
        <f t="shared" si="104"/>
        <v>#VALUE!</v>
      </c>
    </row>
    <row r="795" spans="8:22" x14ac:dyDescent="0.3">
      <c r="H795" s="2" t="str">
        <f>IF(Planilha1!B792="","",Planilha1!B792)</f>
        <v>7:00p</v>
      </c>
      <c r="I795" s="2" t="str">
        <f>IF(Planilha1!C792="","",Planilha1!C792)</f>
        <v>Philadelphia 76ers</v>
      </c>
      <c r="J795" s="2">
        <f>IF(Planilha1!D792="","",Planilha1!D792)</f>
        <v>0</v>
      </c>
      <c r="K795" s="10" t="str">
        <f>IF(Planilha1!E792="","",IF(Planilha1!E792=0,"",Planilha1!E792))</f>
        <v>Cleveland Cavaliers</v>
      </c>
      <c r="L795" s="10">
        <f>IF(Planilha1!F792="","",Planilha1!F792)</f>
        <v>0</v>
      </c>
      <c r="M795" s="10" t="str">
        <f>IF(Planilha1!G792="","",IF(Planilha1!G792=0,"",Planilha1!G792))</f>
        <v/>
      </c>
      <c r="N795" s="5">
        <f t="shared" si="97"/>
        <v>1</v>
      </c>
      <c r="O795" s="5">
        <f t="shared" si="98"/>
        <v>0</v>
      </c>
      <c r="P795" s="5">
        <f t="shared" si="99"/>
        <v>0</v>
      </c>
      <c r="Q795" s="5">
        <f t="shared" si="100"/>
        <v>2</v>
      </c>
      <c r="R795" s="8">
        <f t="shared" si="101"/>
        <v>0</v>
      </c>
      <c r="S795" s="8">
        <f t="shared" si="102"/>
        <v>0</v>
      </c>
      <c r="T795" s="3" t="str">
        <f t="shared" si="103"/>
        <v/>
      </c>
      <c r="V795" s="1" t="e">
        <f t="shared" si="104"/>
        <v>#VALUE!</v>
      </c>
    </row>
    <row r="796" spans="8:22" x14ac:dyDescent="0.3">
      <c r="H796" s="2" t="str">
        <f>IF(Planilha1!B793="","",Planilha1!B793)</f>
        <v>7:30p</v>
      </c>
      <c r="I796" s="2" t="str">
        <f>IF(Planilha1!C793="","",Planilha1!C793)</f>
        <v>Chicago Bulls</v>
      </c>
      <c r="J796" s="2">
        <f>IF(Planilha1!D793="","",Planilha1!D793)</f>
        <v>0</v>
      </c>
      <c r="K796" s="10" t="str">
        <f>IF(Planilha1!E793="","",IF(Planilha1!E793=0,"",Planilha1!E793))</f>
        <v>Atlanta Hawks</v>
      </c>
      <c r="L796" s="10">
        <f>IF(Planilha1!F793="","",Planilha1!F793)</f>
        <v>0</v>
      </c>
      <c r="M796" s="10" t="str">
        <f>IF(Planilha1!G793="","",IF(Planilha1!G793=0,"",Planilha1!G793))</f>
        <v/>
      </c>
      <c r="N796" s="5">
        <f t="shared" si="97"/>
        <v>1</v>
      </c>
      <c r="O796" s="5">
        <f t="shared" si="98"/>
        <v>0</v>
      </c>
      <c r="P796" s="5">
        <f t="shared" si="99"/>
        <v>0</v>
      </c>
      <c r="Q796" s="5">
        <f t="shared" si="100"/>
        <v>2</v>
      </c>
      <c r="R796" s="8">
        <f t="shared" si="101"/>
        <v>0</v>
      </c>
      <c r="S796" s="8">
        <f t="shared" si="102"/>
        <v>0</v>
      </c>
      <c r="T796" s="3" t="str">
        <f t="shared" si="103"/>
        <v/>
      </c>
      <c r="V796" s="1" t="e">
        <f t="shared" si="104"/>
        <v>#VALUE!</v>
      </c>
    </row>
    <row r="797" spans="8:22" x14ac:dyDescent="0.3">
      <c r="H797" s="2" t="str">
        <f>IF(Planilha1!B794="","",Planilha1!B794)</f>
        <v>7:30p</v>
      </c>
      <c r="I797" s="2" t="str">
        <f>IF(Planilha1!C794="","",Planilha1!C794)</f>
        <v>San Antonio Spurs</v>
      </c>
      <c r="J797" s="2">
        <f>IF(Planilha1!D794="","",Planilha1!D794)</f>
        <v>0</v>
      </c>
      <c r="K797" s="10" t="str">
        <f>IF(Planilha1!E794="","",IF(Planilha1!E794=0,"",Planilha1!E794))</f>
        <v>Toronto Raptors</v>
      </c>
      <c r="L797" s="10">
        <f>IF(Planilha1!F794="","",Planilha1!F794)</f>
        <v>0</v>
      </c>
      <c r="M797" s="10" t="str">
        <f>IF(Planilha1!G794="","",IF(Planilha1!G794=0,"",Planilha1!G794))</f>
        <v/>
      </c>
      <c r="N797" s="5">
        <f t="shared" si="97"/>
        <v>1</v>
      </c>
      <c r="O797" s="5">
        <f t="shared" si="98"/>
        <v>0</v>
      </c>
      <c r="P797" s="5">
        <f t="shared" si="99"/>
        <v>0</v>
      </c>
      <c r="Q797" s="5">
        <f t="shared" si="100"/>
        <v>2</v>
      </c>
      <c r="R797" s="8">
        <f t="shared" si="101"/>
        <v>0</v>
      </c>
      <c r="S797" s="8">
        <f t="shared" si="102"/>
        <v>0</v>
      </c>
      <c r="T797" s="3" t="str">
        <f t="shared" si="103"/>
        <v/>
      </c>
      <c r="V797" s="1" t="e">
        <f t="shared" si="104"/>
        <v>#VALUE!</v>
      </c>
    </row>
    <row r="798" spans="8:22" x14ac:dyDescent="0.3">
      <c r="H798" s="2" t="str">
        <f>IF(Planilha1!B795="","",Planilha1!B795)</f>
        <v>8:00p</v>
      </c>
      <c r="I798" s="2" t="str">
        <f>IF(Planilha1!C795="","",Planilha1!C795)</f>
        <v>New York Knicks</v>
      </c>
      <c r="J798" s="2">
        <f>IF(Planilha1!D795="","",Planilha1!D795)</f>
        <v>0</v>
      </c>
      <c r="K798" s="10" t="str">
        <f>IF(Planilha1!E795="","",IF(Planilha1!E795=0,"",Planilha1!E795))</f>
        <v>Houston Rockets</v>
      </c>
      <c r="L798" s="10">
        <f>IF(Planilha1!F795="","",Planilha1!F795)</f>
        <v>0</v>
      </c>
      <c r="M798" s="10" t="str">
        <f>IF(Planilha1!G795="","",IF(Planilha1!G795=0,"",Planilha1!G795))</f>
        <v/>
      </c>
      <c r="N798" s="5">
        <f t="shared" si="97"/>
        <v>1</v>
      </c>
      <c r="O798" s="5">
        <f t="shared" si="98"/>
        <v>0</v>
      </c>
      <c r="P798" s="5">
        <f t="shared" si="99"/>
        <v>0</v>
      </c>
      <c r="Q798" s="5">
        <f t="shared" si="100"/>
        <v>2</v>
      </c>
      <c r="R798" s="8">
        <f t="shared" si="101"/>
        <v>0</v>
      </c>
      <c r="S798" s="8">
        <f t="shared" si="102"/>
        <v>0</v>
      </c>
      <c r="T798" s="3" t="str">
        <f t="shared" si="103"/>
        <v/>
      </c>
      <c r="V798" s="1" t="e">
        <f t="shared" si="104"/>
        <v>#VALUE!</v>
      </c>
    </row>
    <row r="799" spans="8:22" x14ac:dyDescent="0.3">
      <c r="H799" s="2" t="str">
        <f>IF(Planilha1!B796="","",Planilha1!B796)</f>
        <v>8:00p</v>
      </c>
      <c r="I799" s="2" t="str">
        <f>IF(Planilha1!C796="","",Planilha1!C796)</f>
        <v>New Orleans Pelicans</v>
      </c>
      <c r="J799" s="2">
        <f>IF(Planilha1!D796="","",Planilha1!D796)</f>
        <v>0</v>
      </c>
      <c r="K799" s="10" t="str">
        <f>IF(Planilha1!E796="","",IF(Planilha1!E796=0,"",Planilha1!E796))</f>
        <v>Memphis Grizzlies</v>
      </c>
      <c r="L799" s="10">
        <f>IF(Planilha1!F796="","",Planilha1!F796)</f>
        <v>0</v>
      </c>
      <c r="M799" s="10" t="str">
        <f>IF(Planilha1!G796="","",IF(Planilha1!G796=0,"",Planilha1!G796))</f>
        <v/>
      </c>
      <c r="N799" s="5">
        <f t="shared" si="97"/>
        <v>1</v>
      </c>
      <c r="O799" s="5">
        <f t="shared" si="98"/>
        <v>0</v>
      </c>
      <c r="P799" s="5">
        <f t="shared" si="99"/>
        <v>0</v>
      </c>
      <c r="Q799" s="5">
        <f t="shared" si="100"/>
        <v>2</v>
      </c>
      <c r="R799" s="8">
        <f t="shared" si="101"/>
        <v>0</v>
      </c>
      <c r="S799" s="8">
        <f t="shared" si="102"/>
        <v>0</v>
      </c>
      <c r="T799" s="3" t="str">
        <f t="shared" si="103"/>
        <v/>
      </c>
      <c r="V799" s="1" t="e">
        <f t="shared" si="104"/>
        <v>#VALUE!</v>
      </c>
    </row>
    <row r="800" spans="8:22" x14ac:dyDescent="0.3">
      <c r="H800" s="2" t="str">
        <f>IF(Planilha1!B797="","",Planilha1!B797)</f>
        <v>8:00p</v>
      </c>
      <c r="I800" s="2" t="str">
        <f>IF(Planilha1!C797="","",Planilha1!C797)</f>
        <v>Denver Nuggets</v>
      </c>
      <c r="J800" s="2">
        <f>IF(Planilha1!D797="","",Planilha1!D797)</f>
        <v>0</v>
      </c>
      <c r="K800" s="10" t="str">
        <f>IF(Planilha1!E797="","",IF(Planilha1!E797=0,"",Planilha1!E797))</f>
        <v>Milwaukee Bucks</v>
      </c>
      <c r="L800" s="10">
        <f>IF(Planilha1!F797="","",Planilha1!F797)</f>
        <v>0</v>
      </c>
      <c r="M800" s="10" t="str">
        <f>IF(Planilha1!G797="","",IF(Planilha1!G797=0,"",Planilha1!G797))</f>
        <v/>
      </c>
      <c r="N800" s="5">
        <f t="shared" si="97"/>
        <v>1</v>
      </c>
      <c r="O800" s="5">
        <f t="shared" si="98"/>
        <v>0</v>
      </c>
      <c r="P800" s="5">
        <f t="shared" si="99"/>
        <v>0</v>
      </c>
      <c r="Q800" s="5">
        <f t="shared" si="100"/>
        <v>2</v>
      </c>
      <c r="R800" s="8">
        <f t="shared" si="101"/>
        <v>0</v>
      </c>
      <c r="S800" s="8">
        <f t="shared" si="102"/>
        <v>0</v>
      </c>
      <c r="T800" s="3" t="str">
        <f t="shared" si="103"/>
        <v/>
      </c>
      <c r="V800" s="1" t="e">
        <f t="shared" si="104"/>
        <v>#VALUE!</v>
      </c>
    </row>
    <row r="801" spans="8:22" x14ac:dyDescent="0.3">
      <c r="H801" s="2" t="str">
        <f>IF(Planilha1!B798="","",Planilha1!B798)</f>
        <v>8:30p</v>
      </c>
      <c r="I801" s="2" t="str">
        <f>IF(Planilha1!C798="","",Planilha1!C798)</f>
        <v>Washington Wizards</v>
      </c>
      <c r="J801" s="2">
        <f>IF(Planilha1!D798="","",Planilha1!D798)</f>
        <v>0</v>
      </c>
      <c r="K801" s="10" t="str">
        <f>IF(Planilha1!E798="","",IF(Planilha1!E798=0,"",Planilha1!E798))</f>
        <v>Dallas Mavericks</v>
      </c>
      <c r="L801" s="10">
        <f>IF(Planilha1!F798="","",Planilha1!F798)</f>
        <v>0</v>
      </c>
      <c r="M801" s="10" t="str">
        <f>IF(Planilha1!G798="","",IF(Planilha1!G798=0,"",Planilha1!G798))</f>
        <v/>
      </c>
      <c r="N801" s="5">
        <f t="shared" si="97"/>
        <v>1</v>
      </c>
      <c r="O801" s="5">
        <f t="shared" si="98"/>
        <v>0</v>
      </c>
      <c r="P801" s="5">
        <f t="shared" si="99"/>
        <v>0</v>
      </c>
      <c r="Q801" s="5">
        <f t="shared" si="100"/>
        <v>2</v>
      </c>
      <c r="R801" s="8">
        <f t="shared" si="101"/>
        <v>0</v>
      </c>
      <c r="S801" s="8">
        <f t="shared" si="102"/>
        <v>0</v>
      </c>
      <c r="T801" s="3" t="str">
        <f t="shared" si="103"/>
        <v/>
      </c>
      <c r="V801" s="1" t="e">
        <f t="shared" si="104"/>
        <v>#VALUE!</v>
      </c>
    </row>
    <row r="802" spans="8:22" x14ac:dyDescent="0.3">
      <c r="H802" s="2" t="str">
        <f>IF(Planilha1!B799="","",Planilha1!B799)</f>
        <v>9:00p</v>
      </c>
      <c r="I802" s="2" t="str">
        <f>IF(Planilha1!C799="","",Planilha1!C799)</f>
        <v>Golden State Warriors</v>
      </c>
      <c r="J802" s="2">
        <f>IF(Planilha1!D799="","",Planilha1!D799)</f>
        <v>0</v>
      </c>
      <c r="K802" s="10" t="str">
        <f>IF(Planilha1!E799="","",IF(Planilha1!E799=0,"",Planilha1!E799))</f>
        <v>Utah Jazz</v>
      </c>
      <c r="L802" s="10">
        <f>IF(Planilha1!F799="","",Planilha1!F799)</f>
        <v>0</v>
      </c>
      <c r="M802" s="10" t="str">
        <f>IF(Planilha1!G799="","",IF(Planilha1!G799=0,"",Planilha1!G799))</f>
        <v/>
      </c>
      <c r="N802" s="5">
        <f t="shared" si="97"/>
        <v>1</v>
      </c>
      <c r="O802" s="5">
        <f t="shared" si="98"/>
        <v>0</v>
      </c>
      <c r="P802" s="5">
        <f t="shared" si="99"/>
        <v>0</v>
      </c>
      <c r="Q802" s="5">
        <f t="shared" si="100"/>
        <v>2</v>
      </c>
      <c r="R802" s="8">
        <f t="shared" si="101"/>
        <v>0</v>
      </c>
      <c r="S802" s="8">
        <f t="shared" si="102"/>
        <v>0</v>
      </c>
      <c r="T802" s="3" t="str">
        <f t="shared" si="103"/>
        <v/>
      </c>
      <c r="V802" s="1" t="e">
        <f t="shared" si="104"/>
        <v>#VALUE!</v>
      </c>
    </row>
    <row r="803" spans="8:22" x14ac:dyDescent="0.3">
      <c r="H803" s="2" t="str">
        <f>IF(Planilha1!B800="","",Planilha1!B800)</f>
        <v>10:30p</v>
      </c>
      <c r="I803" s="2" t="str">
        <f>IF(Planilha1!C800="","",Planilha1!C800)</f>
        <v>Minnesota Timberwolves</v>
      </c>
      <c r="J803" s="2">
        <f>IF(Planilha1!D800="","",Planilha1!D800)</f>
        <v>0</v>
      </c>
      <c r="K803" s="10" t="str">
        <f>IF(Planilha1!E800="","",IF(Planilha1!E800=0,"",Planilha1!E800))</f>
        <v>Los Angeles Clippers</v>
      </c>
      <c r="L803" s="10">
        <f>IF(Planilha1!F800="","",Planilha1!F800)</f>
        <v>0</v>
      </c>
      <c r="M803" s="10" t="str">
        <f>IF(Planilha1!G800="","",IF(Planilha1!G800=0,"",Planilha1!G800))</f>
        <v/>
      </c>
      <c r="N803" s="5">
        <f t="shared" si="97"/>
        <v>1</v>
      </c>
      <c r="O803" s="5">
        <f t="shared" si="98"/>
        <v>0</v>
      </c>
      <c r="P803" s="5">
        <f t="shared" si="99"/>
        <v>0</v>
      </c>
      <c r="Q803" s="5">
        <f t="shared" si="100"/>
        <v>2</v>
      </c>
      <c r="R803" s="8">
        <f t="shared" si="101"/>
        <v>0</v>
      </c>
      <c r="S803" s="8">
        <f t="shared" si="102"/>
        <v>0</v>
      </c>
      <c r="T803" s="3" t="str">
        <f t="shared" si="103"/>
        <v/>
      </c>
      <c r="V803" s="1" t="e">
        <f t="shared" si="104"/>
        <v>#VALUE!</v>
      </c>
    </row>
    <row r="804" spans="8:22" x14ac:dyDescent="0.3">
      <c r="H804" s="2" t="str">
        <f>IF(Planilha1!B801="","",Planilha1!B801)</f>
        <v>7:30p</v>
      </c>
      <c r="I804" s="2" t="str">
        <f>IF(Planilha1!C801="","",Planilha1!C801)</f>
        <v>Boston Celtics</v>
      </c>
      <c r="J804" s="2">
        <f>IF(Planilha1!D801="","",Planilha1!D801)</f>
        <v>0</v>
      </c>
      <c r="K804" s="10" t="str">
        <f>IF(Planilha1!E801="","",IF(Planilha1!E801=0,"",Planilha1!E801))</f>
        <v>Brooklyn Nets</v>
      </c>
      <c r="L804" s="10">
        <f>IF(Planilha1!F801="","",Planilha1!F801)</f>
        <v>0</v>
      </c>
      <c r="M804" s="10" t="str">
        <f>IF(Planilha1!G801="","",IF(Planilha1!G801=0,"",Planilha1!G801))</f>
        <v/>
      </c>
      <c r="N804" s="5">
        <f t="shared" si="97"/>
        <v>1</v>
      </c>
      <c r="O804" s="5">
        <f t="shared" si="98"/>
        <v>0</v>
      </c>
      <c r="P804" s="5">
        <f t="shared" si="99"/>
        <v>0</v>
      </c>
      <c r="Q804" s="5">
        <f t="shared" si="100"/>
        <v>2</v>
      </c>
      <c r="R804" s="8">
        <f t="shared" si="101"/>
        <v>0</v>
      </c>
      <c r="S804" s="8">
        <f t="shared" si="102"/>
        <v>0</v>
      </c>
      <c r="T804" s="3" t="str">
        <f t="shared" si="103"/>
        <v/>
      </c>
      <c r="V804" s="1" t="e">
        <f t="shared" si="104"/>
        <v>#VALUE!</v>
      </c>
    </row>
    <row r="805" spans="8:22" x14ac:dyDescent="0.3">
      <c r="H805" s="2" t="str">
        <f>IF(Planilha1!B802="","",Planilha1!B802)</f>
        <v>7:30p</v>
      </c>
      <c r="I805" s="2" t="str">
        <f>IF(Planilha1!C802="","",Planilha1!C802)</f>
        <v>Oklahoma City Thunder</v>
      </c>
      <c r="J805" s="2">
        <f>IF(Planilha1!D802="","",Planilha1!D802)</f>
        <v>0</v>
      </c>
      <c r="K805" s="10" t="str">
        <f>IF(Planilha1!E802="","",IF(Planilha1!E802=0,"",Planilha1!E802))</f>
        <v>Orlando Magic</v>
      </c>
      <c r="L805" s="10">
        <f>IF(Planilha1!F802="","",Planilha1!F802)</f>
        <v>0</v>
      </c>
      <c r="M805" s="10" t="str">
        <f>IF(Planilha1!G802="","",IF(Planilha1!G802=0,"",Planilha1!G802))</f>
        <v/>
      </c>
      <c r="N805" s="5">
        <f t="shared" si="97"/>
        <v>1</v>
      </c>
      <c r="O805" s="5">
        <f t="shared" si="98"/>
        <v>0</v>
      </c>
      <c r="P805" s="5">
        <f t="shared" si="99"/>
        <v>0</v>
      </c>
      <c r="Q805" s="5">
        <f t="shared" si="100"/>
        <v>2</v>
      </c>
      <c r="R805" s="8">
        <f t="shared" si="101"/>
        <v>0</v>
      </c>
      <c r="S805" s="8">
        <f t="shared" si="102"/>
        <v>0</v>
      </c>
      <c r="T805" s="3" t="str">
        <f t="shared" si="103"/>
        <v/>
      </c>
      <c r="V805" s="1" t="e">
        <f t="shared" si="104"/>
        <v>#VALUE!</v>
      </c>
    </row>
    <row r="806" spans="8:22" x14ac:dyDescent="0.3">
      <c r="H806" s="2" t="str">
        <f>IF(Planilha1!B803="","",Planilha1!B803)</f>
        <v>8:00p</v>
      </c>
      <c r="I806" s="2" t="str">
        <f>IF(Planilha1!C803="","",Planilha1!C803)</f>
        <v>Miami Heat</v>
      </c>
      <c r="J806" s="2">
        <f>IF(Planilha1!D803="","",Planilha1!D803)</f>
        <v>0</v>
      </c>
      <c r="K806" s="10" t="str">
        <f>IF(Planilha1!E803="","",IF(Planilha1!E803=0,"",Planilha1!E803))</f>
        <v>Milwaukee Bucks</v>
      </c>
      <c r="L806" s="10">
        <f>IF(Planilha1!F803="","",Planilha1!F803)</f>
        <v>0</v>
      </c>
      <c r="M806" s="10" t="str">
        <f>IF(Planilha1!G803="","",IF(Planilha1!G803=0,"",Planilha1!G803))</f>
        <v/>
      </c>
      <c r="N806" s="5">
        <f t="shared" si="97"/>
        <v>1</v>
      </c>
      <c r="O806" s="5">
        <f t="shared" si="98"/>
        <v>0</v>
      </c>
      <c r="P806" s="5">
        <f t="shared" si="99"/>
        <v>0</v>
      </c>
      <c r="Q806" s="5">
        <f t="shared" si="100"/>
        <v>2</v>
      </c>
      <c r="R806" s="8">
        <f t="shared" si="101"/>
        <v>0</v>
      </c>
      <c r="S806" s="8">
        <f t="shared" si="102"/>
        <v>0</v>
      </c>
      <c r="T806" s="3" t="str">
        <f t="shared" si="103"/>
        <v/>
      </c>
      <c r="V806" s="1" t="e">
        <f t="shared" si="104"/>
        <v>#VALUE!</v>
      </c>
    </row>
    <row r="807" spans="8:22" x14ac:dyDescent="0.3">
      <c r="H807" s="2" t="str">
        <f>IF(Planilha1!B804="","",Planilha1!B804)</f>
        <v>10:00p</v>
      </c>
      <c r="I807" s="2" t="str">
        <f>IF(Planilha1!C804="","",Planilha1!C804)</f>
        <v>Sacramento Kings</v>
      </c>
      <c r="J807" s="2">
        <f>IF(Planilha1!D804="","",Planilha1!D804)</f>
        <v>0</v>
      </c>
      <c r="K807" s="10" t="str">
        <f>IF(Planilha1!E804="","",IF(Planilha1!E804=0,"",Planilha1!E804))</f>
        <v>Phoenix Suns</v>
      </c>
      <c r="L807" s="10">
        <f>IF(Planilha1!F804="","",Planilha1!F804)</f>
        <v>0</v>
      </c>
      <c r="M807" s="10" t="str">
        <f>IF(Planilha1!G804="","",IF(Planilha1!G804=0,"",Planilha1!G804))</f>
        <v/>
      </c>
      <c r="N807" s="5">
        <f t="shared" si="97"/>
        <v>1</v>
      </c>
      <c r="O807" s="5">
        <f t="shared" si="98"/>
        <v>0</v>
      </c>
      <c r="P807" s="5">
        <f t="shared" si="99"/>
        <v>0</v>
      </c>
      <c r="Q807" s="5">
        <f t="shared" si="100"/>
        <v>2</v>
      </c>
      <c r="R807" s="8">
        <f t="shared" si="101"/>
        <v>0</v>
      </c>
      <c r="S807" s="8">
        <f t="shared" si="102"/>
        <v>0</v>
      </c>
      <c r="T807" s="3" t="str">
        <f t="shared" si="103"/>
        <v/>
      </c>
      <c r="V807" s="1" t="e">
        <f t="shared" si="104"/>
        <v>#VALUE!</v>
      </c>
    </row>
    <row r="808" spans="8:22" x14ac:dyDescent="0.3">
      <c r="H808" s="2" t="str">
        <f>IF(Planilha1!B805="","",Planilha1!B805)</f>
        <v>10:00p</v>
      </c>
      <c r="I808" s="2" t="str">
        <f>IF(Planilha1!C805="","",Planilha1!C805)</f>
        <v>Minnesota Timberwolves</v>
      </c>
      <c r="J808" s="2">
        <f>IF(Planilha1!D805="","",Planilha1!D805)</f>
        <v>0</v>
      </c>
      <c r="K808" s="10" t="str">
        <f>IF(Planilha1!E805="","",IF(Planilha1!E805=0,"",Planilha1!E805))</f>
        <v>Portland Trail Blazers</v>
      </c>
      <c r="L808" s="10">
        <f>IF(Planilha1!F805="","",Planilha1!F805)</f>
        <v>0</v>
      </c>
      <c r="M808" s="10" t="str">
        <f>IF(Planilha1!G805="","",IF(Planilha1!G805=0,"",Planilha1!G805))</f>
        <v/>
      </c>
      <c r="N808" s="5">
        <f t="shared" si="97"/>
        <v>1</v>
      </c>
      <c r="O808" s="5">
        <f t="shared" si="98"/>
        <v>0</v>
      </c>
      <c r="P808" s="5">
        <f t="shared" si="99"/>
        <v>0</v>
      </c>
      <c r="Q808" s="5">
        <f t="shared" si="100"/>
        <v>2</v>
      </c>
      <c r="R808" s="8">
        <f t="shared" si="101"/>
        <v>0</v>
      </c>
      <c r="S808" s="8">
        <f t="shared" si="102"/>
        <v>0</v>
      </c>
      <c r="T808" s="3" t="str">
        <f t="shared" si="103"/>
        <v/>
      </c>
      <c r="V808" s="1" t="e">
        <f t="shared" si="104"/>
        <v>#VALUE!</v>
      </c>
    </row>
    <row r="809" spans="8:22" x14ac:dyDescent="0.3">
      <c r="H809" s="2" t="str">
        <f>IF(Planilha1!B806="","",Planilha1!B806)</f>
        <v>10:30p</v>
      </c>
      <c r="I809" s="2" t="str">
        <f>IF(Planilha1!C806="","",Planilha1!C806)</f>
        <v>Detroit Pistons</v>
      </c>
      <c r="J809" s="2">
        <f>IF(Planilha1!D806="","",Planilha1!D806)</f>
        <v>0</v>
      </c>
      <c r="K809" s="10" t="str">
        <f>IF(Planilha1!E806="","",IF(Planilha1!E806=0,"",Planilha1!E806))</f>
        <v>Los Angeles Lakers</v>
      </c>
      <c r="L809" s="10">
        <f>IF(Planilha1!F806="","",Planilha1!F806)</f>
        <v>0</v>
      </c>
      <c r="M809" s="10" t="str">
        <f>IF(Planilha1!G806="","",IF(Planilha1!G806=0,"",Planilha1!G806))</f>
        <v/>
      </c>
      <c r="N809" s="5">
        <f t="shared" si="97"/>
        <v>1</v>
      </c>
      <c r="O809" s="5">
        <f t="shared" si="98"/>
        <v>0</v>
      </c>
      <c r="P809" s="5">
        <f t="shared" si="99"/>
        <v>0</v>
      </c>
      <c r="Q809" s="5">
        <f t="shared" si="100"/>
        <v>2</v>
      </c>
      <c r="R809" s="8">
        <f t="shared" si="101"/>
        <v>0</v>
      </c>
      <c r="S809" s="8">
        <f t="shared" si="102"/>
        <v>0</v>
      </c>
      <c r="T809" s="3" t="str">
        <f t="shared" si="103"/>
        <v/>
      </c>
      <c r="V809" s="1" t="e">
        <f t="shared" si="104"/>
        <v>#VALUE!</v>
      </c>
    </row>
    <row r="810" spans="8:22" x14ac:dyDescent="0.3">
      <c r="H810" s="2" t="str">
        <f>IF(Planilha1!B807="","",Planilha1!B807)</f>
        <v>7:00p</v>
      </c>
      <c r="I810" s="2" t="str">
        <f>IF(Planilha1!C807="","",Planilha1!C807)</f>
        <v>Atlanta Hawks</v>
      </c>
      <c r="J810" s="2">
        <f>IF(Planilha1!D807="","",Planilha1!D807)</f>
        <v>0</v>
      </c>
      <c r="K810" s="10" t="str">
        <f>IF(Planilha1!E807="","",IF(Planilha1!E807=0,"",Planilha1!E807))</f>
        <v>Charlotte Hornets</v>
      </c>
      <c r="L810" s="10">
        <f>IF(Planilha1!F807="","",Planilha1!F807)</f>
        <v>0</v>
      </c>
      <c r="M810" s="10" t="str">
        <f>IF(Planilha1!G807="","",IF(Planilha1!G807=0,"",Planilha1!G807))</f>
        <v/>
      </c>
      <c r="N810" s="5">
        <f t="shared" si="97"/>
        <v>1</v>
      </c>
      <c r="O810" s="5">
        <f t="shared" si="98"/>
        <v>0</v>
      </c>
      <c r="P810" s="5">
        <f t="shared" si="99"/>
        <v>0</v>
      </c>
      <c r="Q810" s="5">
        <f t="shared" si="100"/>
        <v>2</v>
      </c>
      <c r="R810" s="8">
        <f t="shared" si="101"/>
        <v>0</v>
      </c>
      <c r="S810" s="8">
        <f t="shared" si="102"/>
        <v>0</v>
      </c>
      <c r="T810" s="3" t="str">
        <f t="shared" si="103"/>
        <v/>
      </c>
      <c r="V810" s="1" t="e">
        <f t="shared" si="104"/>
        <v>#VALUE!</v>
      </c>
    </row>
    <row r="811" spans="8:22" x14ac:dyDescent="0.3">
      <c r="H811" s="2" t="str">
        <f>IF(Planilha1!B808="","",Planilha1!B808)</f>
        <v>7:00p</v>
      </c>
      <c r="I811" s="2" t="str">
        <f>IF(Planilha1!C808="","",Planilha1!C808)</f>
        <v>New York Knicks</v>
      </c>
      <c r="J811" s="2">
        <f>IF(Planilha1!D808="","",Planilha1!D808)</f>
        <v>0</v>
      </c>
      <c r="K811" s="10" t="str">
        <f>IF(Planilha1!E808="","",IF(Planilha1!E808=0,"",Planilha1!E808))</f>
        <v>Orlando Magic</v>
      </c>
      <c r="L811" s="10">
        <f>IF(Planilha1!F808="","",Planilha1!F808)</f>
        <v>0</v>
      </c>
      <c r="M811" s="10" t="str">
        <f>IF(Planilha1!G808="","",IF(Planilha1!G808=0,"",Planilha1!G808))</f>
        <v/>
      </c>
      <c r="N811" s="5">
        <f t="shared" si="97"/>
        <v>1</v>
      </c>
      <c r="O811" s="5">
        <f t="shared" si="98"/>
        <v>0</v>
      </c>
      <c r="P811" s="5">
        <f t="shared" si="99"/>
        <v>0</v>
      </c>
      <c r="Q811" s="5">
        <f t="shared" si="100"/>
        <v>2</v>
      </c>
      <c r="R811" s="8">
        <f t="shared" si="101"/>
        <v>0</v>
      </c>
      <c r="S811" s="8">
        <f t="shared" si="102"/>
        <v>0</v>
      </c>
      <c r="T811" s="3" t="str">
        <f t="shared" si="103"/>
        <v/>
      </c>
      <c r="V811" s="1" t="e">
        <f t="shared" si="104"/>
        <v>#VALUE!</v>
      </c>
    </row>
    <row r="812" spans="8:22" x14ac:dyDescent="0.3">
      <c r="H812" s="2" t="str">
        <f>IF(Planilha1!B809="","",Planilha1!B809)</f>
        <v>7:00p</v>
      </c>
      <c r="I812" s="2" t="str">
        <f>IF(Planilha1!C809="","",Planilha1!C809)</f>
        <v>Miami Heat</v>
      </c>
      <c r="J812" s="2">
        <f>IF(Planilha1!D809="","",Planilha1!D809)</f>
        <v>0</v>
      </c>
      <c r="K812" s="10" t="str">
        <f>IF(Planilha1!E809="","",IF(Planilha1!E809=0,"",Planilha1!E809))</f>
        <v>Philadelphia 76ers</v>
      </c>
      <c r="L812" s="10">
        <f>IF(Planilha1!F809="","",Planilha1!F809)</f>
        <v>0</v>
      </c>
      <c r="M812" s="10" t="str">
        <f>IF(Planilha1!G809="","",IF(Planilha1!G809=0,"",Planilha1!G809))</f>
        <v/>
      </c>
      <c r="N812" s="5">
        <f t="shared" si="97"/>
        <v>1</v>
      </c>
      <c r="O812" s="5">
        <f t="shared" si="98"/>
        <v>0</v>
      </c>
      <c r="P812" s="5">
        <f t="shared" si="99"/>
        <v>0</v>
      </c>
      <c r="Q812" s="5">
        <f t="shared" si="100"/>
        <v>2</v>
      </c>
      <c r="R812" s="8">
        <f t="shared" si="101"/>
        <v>0</v>
      </c>
      <c r="S812" s="8">
        <f t="shared" si="102"/>
        <v>0</v>
      </c>
      <c r="T812" s="3" t="str">
        <f t="shared" si="103"/>
        <v/>
      </c>
      <c r="V812" s="1" t="e">
        <f t="shared" si="104"/>
        <v>#VALUE!</v>
      </c>
    </row>
    <row r="813" spans="8:22" x14ac:dyDescent="0.3">
      <c r="H813" s="2" t="str">
        <f>IF(Planilha1!B810="","",Planilha1!B810)</f>
        <v>7:30p</v>
      </c>
      <c r="I813" s="2" t="str">
        <f>IF(Planilha1!C810="","",Planilha1!C810)</f>
        <v>Brooklyn Nets</v>
      </c>
      <c r="J813" s="2">
        <f>IF(Planilha1!D810="","",Planilha1!D810)</f>
        <v>0</v>
      </c>
      <c r="K813" s="10" t="str">
        <f>IF(Planilha1!E810="","",IF(Planilha1!E810=0,"",Planilha1!E810))</f>
        <v>Boston Celtics</v>
      </c>
      <c r="L813" s="10">
        <f>IF(Planilha1!F810="","",Planilha1!F810)</f>
        <v>0</v>
      </c>
      <c r="M813" s="10" t="str">
        <f>IF(Planilha1!G810="","",IF(Planilha1!G810=0,"",Planilha1!G810))</f>
        <v/>
      </c>
      <c r="N813" s="5">
        <f t="shared" si="97"/>
        <v>1</v>
      </c>
      <c r="O813" s="5">
        <f t="shared" si="98"/>
        <v>0</v>
      </c>
      <c r="P813" s="5">
        <f t="shared" si="99"/>
        <v>0</v>
      </c>
      <c r="Q813" s="5">
        <f t="shared" si="100"/>
        <v>2</v>
      </c>
      <c r="R813" s="8">
        <f t="shared" si="101"/>
        <v>0</v>
      </c>
      <c r="S813" s="8">
        <f t="shared" si="102"/>
        <v>0</v>
      </c>
      <c r="T813" s="3" t="str">
        <f t="shared" si="103"/>
        <v/>
      </c>
      <c r="V813" s="1" t="e">
        <f t="shared" si="104"/>
        <v>#VALUE!</v>
      </c>
    </row>
    <row r="814" spans="8:22" x14ac:dyDescent="0.3">
      <c r="H814" s="2" t="str">
        <f>IF(Planilha1!B811="","",Planilha1!B811)</f>
        <v>7:30p</v>
      </c>
      <c r="I814" s="2" t="str">
        <f>IF(Planilha1!C811="","",Planilha1!C811)</f>
        <v>Chicago Bulls</v>
      </c>
      <c r="J814" s="2">
        <f>IF(Planilha1!D811="","",Planilha1!D811)</f>
        <v>0</v>
      </c>
      <c r="K814" s="10" t="str">
        <f>IF(Planilha1!E811="","",IF(Planilha1!E811=0,"",Planilha1!E811))</f>
        <v>Cleveland Cavaliers</v>
      </c>
      <c r="L814" s="10">
        <f>IF(Planilha1!F811="","",Planilha1!F811)</f>
        <v>0</v>
      </c>
      <c r="M814" s="10" t="str">
        <f>IF(Planilha1!G811="","",IF(Planilha1!G811=0,"",Planilha1!G811))</f>
        <v/>
      </c>
      <c r="N814" s="5">
        <f t="shared" si="97"/>
        <v>1</v>
      </c>
      <c r="O814" s="5">
        <f t="shared" si="98"/>
        <v>0</v>
      </c>
      <c r="P814" s="5">
        <f t="shared" si="99"/>
        <v>0</v>
      </c>
      <c r="Q814" s="5">
        <f t="shared" si="100"/>
        <v>2</v>
      </c>
      <c r="R814" s="8">
        <f t="shared" si="101"/>
        <v>0</v>
      </c>
      <c r="S814" s="8">
        <f t="shared" si="102"/>
        <v>0</v>
      </c>
      <c r="T814" s="3" t="str">
        <f t="shared" si="103"/>
        <v/>
      </c>
      <c r="V814" s="1" t="e">
        <f t="shared" si="104"/>
        <v>#VALUE!</v>
      </c>
    </row>
    <row r="815" spans="8:22" x14ac:dyDescent="0.3">
      <c r="H815" s="2" t="str">
        <f>IF(Planilha1!B812="","",Planilha1!B812)</f>
        <v>7:30p</v>
      </c>
      <c r="I815" s="2" t="str">
        <f>IF(Planilha1!C812="","",Planilha1!C812)</f>
        <v>Indiana Pacers</v>
      </c>
      <c r="J815" s="2">
        <f>IF(Planilha1!D812="","",Planilha1!D812)</f>
        <v>0</v>
      </c>
      <c r="K815" s="10" t="str">
        <f>IF(Planilha1!E812="","",IF(Planilha1!E812=0,"",Planilha1!E812))</f>
        <v>Toronto Raptors</v>
      </c>
      <c r="L815" s="10">
        <f>IF(Planilha1!F812="","",Planilha1!F812)</f>
        <v>0</v>
      </c>
      <c r="M815" s="10" t="str">
        <f>IF(Planilha1!G812="","",IF(Planilha1!G812=0,"",Planilha1!G812))</f>
        <v/>
      </c>
      <c r="N815" s="5">
        <f t="shared" si="97"/>
        <v>1</v>
      </c>
      <c r="O815" s="5">
        <f t="shared" si="98"/>
        <v>0</v>
      </c>
      <c r="P815" s="5">
        <f t="shared" si="99"/>
        <v>0</v>
      </c>
      <c r="Q815" s="5">
        <f t="shared" si="100"/>
        <v>2</v>
      </c>
      <c r="R815" s="8">
        <f t="shared" si="101"/>
        <v>0</v>
      </c>
      <c r="S815" s="8">
        <f t="shared" si="102"/>
        <v>0</v>
      </c>
      <c r="T815" s="3" t="str">
        <f t="shared" si="103"/>
        <v/>
      </c>
      <c r="V815" s="1" t="e">
        <f t="shared" si="104"/>
        <v>#VALUE!</v>
      </c>
    </row>
    <row r="816" spans="8:22" x14ac:dyDescent="0.3">
      <c r="H816" s="2" t="str">
        <f>IF(Planilha1!B813="","",Planilha1!B813)</f>
        <v>8:00p</v>
      </c>
      <c r="I816" s="2" t="str">
        <f>IF(Planilha1!C813="","",Planilha1!C813)</f>
        <v>Houston Rockets</v>
      </c>
      <c r="J816" s="2">
        <f>IF(Planilha1!D813="","",Planilha1!D813)</f>
        <v>0</v>
      </c>
      <c r="K816" s="10" t="str">
        <f>IF(Planilha1!E813="","",IF(Planilha1!E813=0,"",Planilha1!E813))</f>
        <v>Memphis Grizzlies</v>
      </c>
      <c r="L816" s="10">
        <f>IF(Planilha1!F813="","",Planilha1!F813)</f>
        <v>0</v>
      </c>
      <c r="M816" s="10" t="str">
        <f>IF(Planilha1!G813="","",IF(Planilha1!G813=0,"",Planilha1!G813))</f>
        <v/>
      </c>
      <c r="N816" s="5">
        <f t="shared" si="97"/>
        <v>1</v>
      </c>
      <c r="O816" s="5">
        <f t="shared" si="98"/>
        <v>0</v>
      </c>
      <c r="P816" s="5">
        <f t="shared" si="99"/>
        <v>0</v>
      </c>
      <c r="Q816" s="5">
        <f t="shared" si="100"/>
        <v>2</v>
      </c>
      <c r="R816" s="8">
        <f t="shared" si="101"/>
        <v>0</v>
      </c>
      <c r="S816" s="8">
        <f t="shared" si="102"/>
        <v>0</v>
      </c>
      <c r="T816" s="3" t="str">
        <f t="shared" si="103"/>
        <v/>
      </c>
      <c r="V816" s="1" t="e">
        <f t="shared" si="104"/>
        <v>#VALUE!</v>
      </c>
    </row>
    <row r="817" spans="8:22" x14ac:dyDescent="0.3">
      <c r="H817" s="2" t="str">
        <f>IF(Planilha1!B814="","",Planilha1!B814)</f>
        <v>8:00p</v>
      </c>
      <c r="I817" s="2" t="str">
        <f>IF(Planilha1!C814="","",Planilha1!C814)</f>
        <v>Washington Wizards</v>
      </c>
      <c r="J817" s="2">
        <f>IF(Planilha1!D814="","",Planilha1!D814)</f>
        <v>0</v>
      </c>
      <c r="K817" s="10" t="str">
        <f>IF(Planilha1!E814="","",IF(Planilha1!E814=0,"",Planilha1!E814))</f>
        <v>New Orleans Pelicans</v>
      </c>
      <c r="L817" s="10">
        <f>IF(Planilha1!F814="","",Planilha1!F814)</f>
        <v>0</v>
      </c>
      <c r="M817" s="10" t="str">
        <f>IF(Planilha1!G814="","",IF(Planilha1!G814=0,"",Planilha1!G814))</f>
        <v/>
      </c>
      <c r="N817" s="5">
        <f t="shared" si="97"/>
        <v>1</v>
      </c>
      <c r="O817" s="5">
        <f t="shared" si="98"/>
        <v>0</v>
      </c>
      <c r="P817" s="5">
        <f t="shared" si="99"/>
        <v>0</v>
      </c>
      <c r="Q817" s="5">
        <f t="shared" si="100"/>
        <v>2</v>
      </c>
      <c r="R817" s="8">
        <f t="shared" si="101"/>
        <v>0</v>
      </c>
      <c r="S817" s="8">
        <f t="shared" si="102"/>
        <v>0</v>
      </c>
      <c r="T817" s="3" t="str">
        <f t="shared" si="103"/>
        <v/>
      </c>
      <c r="V817" s="1" t="e">
        <f t="shared" si="104"/>
        <v>#VALUE!</v>
      </c>
    </row>
    <row r="818" spans="8:22" x14ac:dyDescent="0.3">
      <c r="H818" s="2" t="str">
        <f>IF(Planilha1!B815="","",Planilha1!B815)</f>
        <v>8:30p</v>
      </c>
      <c r="I818" s="2" t="str">
        <f>IF(Planilha1!C815="","",Planilha1!C815)</f>
        <v>San Antonio Spurs</v>
      </c>
      <c r="J818" s="2">
        <f>IF(Planilha1!D815="","",Planilha1!D815)</f>
        <v>0</v>
      </c>
      <c r="K818" s="10" t="str">
        <f>IF(Planilha1!E815="","",IF(Planilha1!E815=0,"",Planilha1!E815))</f>
        <v>Dallas Mavericks</v>
      </c>
      <c r="L818" s="10">
        <f>IF(Planilha1!F815="","",Planilha1!F815)</f>
        <v>0</v>
      </c>
      <c r="M818" s="10" t="str">
        <f>IF(Planilha1!G815="","",IF(Planilha1!G815=0,"",Planilha1!G815))</f>
        <v/>
      </c>
      <c r="N818" s="5">
        <f t="shared" si="97"/>
        <v>1</v>
      </c>
      <c r="O818" s="5">
        <f t="shared" si="98"/>
        <v>0</v>
      </c>
      <c r="P818" s="5">
        <f t="shared" si="99"/>
        <v>0</v>
      </c>
      <c r="Q818" s="5">
        <f t="shared" si="100"/>
        <v>2</v>
      </c>
      <c r="R818" s="8">
        <f t="shared" si="101"/>
        <v>0</v>
      </c>
      <c r="S818" s="8">
        <f t="shared" si="102"/>
        <v>0</v>
      </c>
      <c r="T818" s="3" t="str">
        <f t="shared" si="103"/>
        <v/>
      </c>
      <c r="V818" s="1" t="e">
        <f t="shared" si="104"/>
        <v>#VALUE!</v>
      </c>
    </row>
    <row r="819" spans="8:22" x14ac:dyDescent="0.3">
      <c r="H819" s="2" t="str">
        <f>IF(Planilha1!B816="","",Planilha1!B816)</f>
        <v>9:00p</v>
      </c>
      <c r="I819" s="2" t="str">
        <f>IF(Planilha1!C816="","",Planilha1!C816)</f>
        <v>Sacramento Kings</v>
      </c>
      <c r="J819" s="2">
        <f>IF(Planilha1!D816="","",Planilha1!D816)</f>
        <v>0</v>
      </c>
      <c r="K819" s="10" t="str">
        <f>IF(Planilha1!E816="","",IF(Planilha1!E816=0,"",Planilha1!E816))</f>
        <v>Denver Nuggets</v>
      </c>
      <c r="L819" s="10">
        <f>IF(Planilha1!F816="","",Planilha1!F816)</f>
        <v>0</v>
      </c>
      <c r="M819" s="10" t="str">
        <f>IF(Planilha1!G816="","",IF(Planilha1!G816=0,"",Planilha1!G816))</f>
        <v/>
      </c>
      <c r="N819" s="5">
        <f t="shared" si="97"/>
        <v>1</v>
      </c>
      <c r="O819" s="5">
        <f t="shared" si="98"/>
        <v>0</v>
      </c>
      <c r="P819" s="5">
        <f t="shared" si="99"/>
        <v>0</v>
      </c>
      <c r="Q819" s="5">
        <f t="shared" si="100"/>
        <v>2</v>
      </c>
      <c r="R819" s="8">
        <f t="shared" si="101"/>
        <v>0</v>
      </c>
      <c r="S819" s="8">
        <f t="shared" si="102"/>
        <v>0</v>
      </c>
      <c r="T819" s="3" t="str">
        <f t="shared" si="103"/>
        <v/>
      </c>
      <c r="V819" s="1" t="e">
        <f t="shared" si="104"/>
        <v>#VALUE!</v>
      </c>
    </row>
    <row r="820" spans="8:22" x14ac:dyDescent="0.3">
      <c r="H820" s="2" t="str">
        <f>IF(Planilha1!B817="","",Planilha1!B817)</f>
        <v>9:00p</v>
      </c>
      <c r="I820" s="2" t="str">
        <f>IF(Planilha1!C817="","",Planilha1!C817)</f>
        <v>Detroit Pistons</v>
      </c>
      <c r="J820" s="2">
        <f>IF(Planilha1!D817="","",Planilha1!D817)</f>
        <v>0</v>
      </c>
      <c r="K820" s="10" t="str">
        <f>IF(Planilha1!E817="","",IF(Planilha1!E817=0,"",Planilha1!E817))</f>
        <v>Phoenix Suns</v>
      </c>
      <c r="L820" s="10">
        <f>IF(Planilha1!F817="","",Planilha1!F817)</f>
        <v>0</v>
      </c>
      <c r="M820" s="10" t="str">
        <f>IF(Planilha1!G817="","",IF(Planilha1!G817=0,"",Planilha1!G817))</f>
        <v/>
      </c>
      <c r="N820" s="5">
        <f t="shared" si="97"/>
        <v>1</v>
      </c>
      <c r="O820" s="5">
        <f t="shared" si="98"/>
        <v>0</v>
      </c>
      <c r="P820" s="5">
        <f t="shared" si="99"/>
        <v>0</v>
      </c>
      <c r="Q820" s="5">
        <f t="shared" si="100"/>
        <v>2</v>
      </c>
      <c r="R820" s="8">
        <f t="shared" si="101"/>
        <v>0</v>
      </c>
      <c r="S820" s="8">
        <f t="shared" si="102"/>
        <v>0</v>
      </c>
      <c r="T820" s="3" t="str">
        <f t="shared" si="103"/>
        <v/>
      </c>
      <c r="V820" s="1" t="e">
        <f t="shared" si="104"/>
        <v>#VALUE!</v>
      </c>
    </row>
    <row r="821" spans="8:22" x14ac:dyDescent="0.3">
      <c r="H821" s="2" t="str">
        <f>IF(Planilha1!B818="","",Planilha1!B818)</f>
        <v>9:00p</v>
      </c>
      <c r="I821" s="2" t="str">
        <f>IF(Planilha1!C818="","",Planilha1!C818)</f>
        <v>Los Angeles Lakers</v>
      </c>
      <c r="J821" s="2">
        <f>IF(Planilha1!D818="","",Planilha1!D818)</f>
        <v>0</v>
      </c>
      <c r="K821" s="10" t="str">
        <f>IF(Planilha1!E818="","",IF(Planilha1!E818=0,"",Planilha1!E818))</f>
        <v>Utah Jazz</v>
      </c>
      <c r="L821" s="10">
        <f>IF(Planilha1!F818="","",Planilha1!F818)</f>
        <v>0</v>
      </c>
      <c r="M821" s="10" t="str">
        <f>IF(Planilha1!G818="","",IF(Planilha1!G818=0,"",Planilha1!G818))</f>
        <v/>
      </c>
      <c r="N821" s="5">
        <f t="shared" si="97"/>
        <v>1</v>
      </c>
      <c r="O821" s="5">
        <f t="shared" si="98"/>
        <v>0</v>
      </c>
      <c r="P821" s="5">
        <f t="shared" si="99"/>
        <v>0</v>
      </c>
      <c r="Q821" s="5">
        <f t="shared" si="100"/>
        <v>2</v>
      </c>
      <c r="R821" s="8">
        <f t="shared" si="101"/>
        <v>0</v>
      </c>
      <c r="S821" s="8">
        <f t="shared" si="102"/>
        <v>0</v>
      </c>
      <c r="T821" s="3" t="str">
        <f t="shared" si="103"/>
        <v/>
      </c>
      <c r="V821" s="1" t="e">
        <f t="shared" si="104"/>
        <v>#VALUE!</v>
      </c>
    </row>
    <row r="822" spans="8:22" x14ac:dyDescent="0.3">
      <c r="H822" s="2" t="str">
        <f>IF(Planilha1!B819="","",Planilha1!B819)</f>
        <v>10:00p</v>
      </c>
      <c r="I822" s="2" t="str">
        <f>IF(Planilha1!C819="","",Planilha1!C819)</f>
        <v>Los Angeles Clippers</v>
      </c>
      <c r="J822" s="2">
        <f>IF(Planilha1!D819="","",Planilha1!D819)</f>
        <v>0</v>
      </c>
      <c r="K822" s="10" t="str">
        <f>IF(Planilha1!E819="","",IF(Planilha1!E819=0,"",Planilha1!E819))</f>
        <v>Golden State Warriors</v>
      </c>
      <c r="L822" s="10">
        <f>IF(Planilha1!F819="","",Planilha1!F819)</f>
        <v>0</v>
      </c>
      <c r="M822" s="10" t="str">
        <f>IF(Planilha1!G819="","",IF(Planilha1!G819=0,"",Planilha1!G819))</f>
        <v/>
      </c>
      <c r="N822" s="5">
        <f t="shared" si="97"/>
        <v>1</v>
      </c>
      <c r="O822" s="5">
        <f t="shared" si="98"/>
        <v>0</v>
      </c>
      <c r="P822" s="5">
        <f t="shared" si="99"/>
        <v>0</v>
      </c>
      <c r="Q822" s="5">
        <f t="shared" si="100"/>
        <v>2</v>
      </c>
      <c r="R822" s="8">
        <f t="shared" si="101"/>
        <v>0</v>
      </c>
      <c r="S822" s="8">
        <f t="shared" si="102"/>
        <v>0</v>
      </c>
      <c r="T822" s="3" t="str">
        <f t="shared" si="103"/>
        <v/>
      </c>
      <c r="V822" s="1" t="e">
        <f t="shared" si="104"/>
        <v>#VALUE!</v>
      </c>
    </row>
    <row r="823" spans="8:22" x14ac:dyDescent="0.3">
      <c r="H823" s="2" t="str">
        <f>IF(Planilha1!B820="","",Planilha1!B820)</f>
        <v>8:30p</v>
      </c>
      <c r="I823" s="2" t="str">
        <f>IF(Planilha1!C820="","",Planilha1!C820)</f>
        <v>Milwaukee Bucks</v>
      </c>
      <c r="J823" s="2">
        <f>IF(Planilha1!D820="","",Planilha1!D820)</f>
        <v>0</v>
      </c>
      <c r="K823" s="10" t="str">
        <f>IF(Planilha1!E820="","",IF(Planilha1!E820=0,"",Planilha1!E820))</f>
        <v>Memphis Grizzlies</v>
      </c>
      <c r="L823" s="10">
        <f>IF(Planilha1!F820="","",Planilha1!F820)</f>
        <v>0</v>
      </c>
      <c r="M823" s="10" t="str">
        <f>IF(Planilha1!G820="","",IF(Planilha1!G820=0,"",Planilha1!G820))</f>
        <v/>
      </c>
      <c r="N823" s="5">
        <f t="shared" si="97"/>
        <v>1</v>
      </c>
      <c r="O823" s="5">
        <f t="shared" si="98"/>
        <v>0</v>
      </c>
      <c r="P823" s="5">
        <f t="shared" si="99"/>
        <v>0</v>
      </c>
      <c r="Q823" s="5">
        <f t="shared" si="100"/>
        <v>2</v>
      </c>
      <c r="R823" s="8">
        <f t="shared" si="101"/>
        <v>0</v>
      </c>
      <c r="S823" s="8">
        <f t="shared" si="102"/>
        <v>0</v>
      </c>
      <c r="T823" s="3" t="str">
        <f t="shared" si="103"/>
        <v/>
      </c>
      <c r="V823" s="1" t="e">
        <f t="shared" si="104"/>
        <v>#VALUE!</v>
      </c>
    </row>
    <row r="824" spans="8:22" x14ac:dyDescent="0.3">
      <c r="H824" s="2" t="str">
        <f>IF(Planilha1!B821="","",Planilha1!B821)</f>
        <v>9:00p</v>
      </c>
      <c r="I824" s="2" t="str">
        <f>IF(Planilha1!C821="","",Planilha1!C821)</f>
        <v>Golden State Warriors</v>
      </c>
      <c r="J824" s="2">
        <f>IF(Planilha1!D821="","",Planilha1!D821)</f>
        <v>0</v>
      </c>
      <c r="K824" s="10" t="str">
        <f>IF(Planilha1!E821="","",IF(Planilha1!E821=0,"",Planilha1!E821))</f>
        <v>Utah Jazz</v>
      </c>
      <c r="L824" s="10">
        <f>IF(Planilha1!F821="","",Planilha1!F821)</f>
        <v>0</v>
      </c>
      <c r="M824" s="10" t="str">
        <f>IF(Planilha1!G821="","",IF(Planilha1!G821=0,"",Planilha1!G821))</f>
        <v/>
      </c>
      <c r="N824" s="5">
        <f t="shared" si="97"/>
        <v>1</v>
      </c>
      <c r="O824" s="5">
        <f t="shared" si="98"/>
        <v>0</v>
      </c>
      <c r="P824" s="5">
        <f t="shared" si="99"/>
        <v>0</v>
      </c>
      <c r="Q824" s="5">
        <f t="shared" si="100"/>
        <v>2</v>
      </c>
      <c r="R824" s="8">
        <f t="shared" si="101"/>
        <v>0</v>
      </c>
      <c r="S824" s="8">
        <f t="shared" si="102"/>
        <v>0</v>
      </c>
      <c r="T824" s="3" t="str">
        <f t="shared" si="103"/>
        <v/>
      </c>
      <c r="V824" s="1" t="e">
        <f t="shared" si="104"/>
        <v>#VALUE!</v>
      </c>
    </row>
    <row r="825" spans="8:22" x14ac:dyDescent="0.3">
      <c r="H825" s="2" t="str">
        <f>IF(Planilha1!B822="","",Planilha1!B822)</f>
        <v>10:00p</v>
      </c>
      <c r="I825" s="2" t="str">
        <f>IF(Planilha1!C822="","",Planilha1!C822)</f>
        <v>Minnesota Timberwolves</v>
      </c>
      <c r="J825" s="2">
        <f>IF(Planilha1!D822="","",Planilha1!D822)</f>
        <v>0</v>
      </c>
      <c r="K825" s="10" t="str">
        <f>IF(Planilha1!E822="","",IF(Planilha1!E822=0,"",Planilha1!E822))</f>
        <v>Portland Trail Blazers</v>
      </c>
      <c r="L825" s="10">
        <f>IF(Planilha1!F822="","",Planilha1!F822)</f>
        <v>0</v>
      </c>
      <c r="M825" s="10" t="str">
        <f>IF(Planilha1!G822="","",IF(Planilha1!G822=0,"",Planilha1!G822))</f>
        <v/>
      </c>
      <c r="N825" s="5">
        <f t="shared" si="97"/>
        <v>1</v>
      </c>
      <c r="O825" s="5">
        <f t="shared" si="98"/>
        <v>0</v>
      </c>
      <c r="P825" s="5">
        <f t="shared" si="99"/>
        <v>0</v>
      </c>
      <c r="Q825" s="5">
        <f t="shared" si="100"/>
        <v>2</v>
      </c>
      <c r="R825" s="8">
        <f t="shared" si="101"/>
        <v>0</v>
      </c>
      <c r="S825" s="8">
        <f t="shared" si="102"/>
        <v>0</v>
      </c>
      <c r="T825" s="3" t="str">
        <f t="shared" si="103"/>
        <v/>
      </c>
      <c r="V825" s="1" t="e">
        <f t="shared" si="104"/>
        <v>#VALUE!</v>
      </c>
    </row>
    <row r="826" spans="8:22" x14ac:dyDescent="0.3">
      <c r="H826" s="2" t="str">
        <f>IF(Planilha1!B823="","",Planilha1!B823)</f>
        <v>7:00p</v>
      </c>
      <c r="I826" s="2" t="str">
        <f>IF(Planilha1!C823="","",Planilha1!C823)</f>
        <v>Orlando Magic</v>
      </c>
      <c r="J826" s="2">
        <f>IF(Planilha1!D823="","",Planilha1!D823)</f>
        <v>0</v>
      </c>
      <c r="K826" s="10" t="str">
        <f>IF(Planilha1!E823="","",IF(Planilha1!E823=0,"",Planilha1!E823))</f>
        <v>Cleveland Cavaliers</v>
      </c>
      <c r="L826" s="10">
        <f>IF(Planilha1!F823="","",Planilha1!F823)</f>
        <v>0</v>
      </c>
      <c r="M826" s="10" t="str">
        <f>IF(Planilha1!G823="","",IF(Planilha1!G823=0,"",Planilha1!G823))</f>
        <v/>
      </c>
      <c r="N826" s="5">
        <f t="shared" si="97"/>
        <v>1</v>
      </c>
      <c r="O826" s="5">
        <f t="shared" si="98"/>
        <v>0</v>
      </c>
      <c r="P826" s="5">
        <f t="shared" si="99"/>
        <v>0</v>
      </c>
      <c r="Q826" s="5">
        <f t="shared" si="100"/>
        <v>2</v>
      </c>
      <c r="R826" s="8">
        <f t="shared" si="101"/>
        <v>0</v>
      </c>
      <c r="S826" s="8">
        <f t="shared" si="102"/>
        <v>0</v>
      </c>
      <c r="T826" s="3" t="str">
        <f t="shared" si="103"/>
        <v/>
      </c>
      <c r="V826" s="1" t="e">
        <f t="shared" si="104"/>
        <v>#VALUE!</v>
      </c>
    </row>
    <row r="827" spans="8:22" x14ac:dyDescent="0.3">
      <c r="H827" s="2" t="str">
        <f>IF(Planilha1!B824="","",Planilha1!B824)</f>
        <v>7:00p</v>
      </c>
      <c r="I827" s="2" t="str">
        <f>IF(Planilha1!C824="","",Planilha1!C824)</f>
        <v>Detroit Pistons</v>
      </c>
      <c r="J827" s="2">
        <f>IF(Planilha1!D824="","",Planilha1!D824)</f>
        <v>0</v>
      </c>
      <c r="K827" s="10" t="str">
        <f>IF(Planilha1!E824="","",IF(Planilha1!E824=0,"",Planilha1!E824))</f>
        <v>Indiana Pacers</v>
      </c>
      <c r="L827" s="10">
        <f>IF(Planilha1!F824="","",Planilha1!F824)</f>
        <v>0</v>
      </c>
      <c r="M827" s="10" t="str">
        <f>IF(Planilha1!G824="","",IF(Planilha1!G824=0,"",Planilha1!G824))</f>
        <v/>
      </c>
      <c r="N827" s="5">
        <f t="shared" si="97"/>
        <v>1</v>
      </c>
      <c r="O827" s="5">
        <f t="shared" si="98"/>
        <v>0</v>
      </c>
      <c r="P827" s="5">
        <f t="shared" si="99"/>
        <v>0</v>
      </c>
      <c r="Q827" s="5">
        <f t="shared" si="100"/>
        <v>2</v>
      </c>
      <c r="R827" s="8">
        <f t="shared" si="101"/>
        <v>0</v>
      </c>
      <c r="S827" s="8">
        <f t="shared" si="102"/>
        <v>0</v>
      </c>
      <c r="T827" s="3" t="str">
        <f t="shared" si="103"/>
        <v/>
      </c>
      <c r="V827" s="1" t="e">
        <f t="shared" si="104"/>
        <v>#VALUE!</v>
      </c>
    </row>
    <row r="828" spans="8:22" x14ac:dyDescent="0.3">
      <c r="H828" s="2" t="str">
        <f>IF(Planilha1!B825="","",Planilha1!B825)</f>
        <v>7:00p</v>
      </c>
      <c r="I828" s="2" t="str">
        <f>IF(Planilha1!C825="","",Planilha1!C825)</f>
        <v>New York Knicks</v>
      </c>
      <c r="J828" s="2">
        <f>IF(Planilha1!D825="","",Planilha1!D825)</f>
        <v>0</v>
      </c>
      <c r="K828" s="10" t="str">
        <f>IF(Planilha1!E825="","",IF(Planilha1!E825=0,"",Planilha1!E825))</f>
        <v>Philadelphia 76ers</v>
      </c>
      <c r="L828" s="10">
        <f>IF(Planilha1!F825="","",Planilha1!F825)</f>
        <v>0</v>
      </c>
      <c r="M828" s="10" t="str">
        <f>IF(Planilha1!G825="","",IF(Planilha1!G825=0,"",Planilha1!G825))</f>
        <v/>
      </c>
      <c r="N828" s="5">
        <f t="shared" si="97"/>
        <v>1</v>
      </c>
      <c r="O828" s="5">
        <f t="shared" si="98"/>
        <v>0</v>
      </c>
      <c r="P828" s="5">
        <f t="shared" si="99"/>
        <v>0</v>
      </c>
      <c r="Q828" s="5">
        <f t="shared" si="100"/>
        <v>2</v>
      </c>
      <c r="R828" s="8">
        <f t="shared" si="101"/>
        <v>0</v>
      </c>
      <c r="S828" s="8">
        <f t="shared" si="102"/>
        <v>0</v>
      </c>
      <c r="T828" s="3" t="str">
        <f t="shared" si="103"/>
        <v/>
      </c>
      <c r="V828" s="1" t="e">
        <f t="shared" si="104"/>
        <v>#VALUE!</v>
      </c>
    </row>
    <row r="829" spans="8:22" x14ac:dyDescent="0.3">
      <c r="H829" s="2" t="str">
        <f>IF(Planilha1!B826="","",Planilha1!B826)</f>
        <v>7:00p</v>
      </c>
      <c r="I829" s="2" t="str">
        <f>IF(Planilha1!C826="","",Planilha1!C826)</f>
        <v>Brooklyn Nets</v>
      </c>
      <c r="J829" s="2">
        <f>IF(Planilha1!D826="","",Planilha1!D826)</f>
        <v>0</v>
      </c>
      <c r="K829" s="10" t="str">
        <f>IF(Planilha1!E826="","",IF(Planilha1!E826=0,"",Planilha1!E826))</f>
        <v>Toronto Raptors</v>
      </c>
      <c r="L829" s="10">
        <f>IF(Planilha1!F826="","",Planilha1!F826)</f>
        <v>0</v>
      </c>
      <c r="M829" s="10" t="str">
        <f>IF(Planilha1!G826="","",IF(Planilha1!G826=0,"",Planilha1!G826))</f>
        <v/>
      </c>
      <c r="N829" s="5">
        <f t="shared" si="97"/>
        <v>1</v>
      </c>
      <c r="O829" s="5">
        <f t="shared" si="98"/>
        <v>0</v>
      </c>
      <c r="P829" s="5">
        <f t="shared" si="99"/>
        <v>0</v>
      </c>
      <c r="Q829" s="5">
        <f t="shared" si="100"/>
        <v>2</v>
      </c>
      <c r="R829" s="8">
        <f t="shared" si="101"/>
        <v>0</v>
      </c>
      <c r="S829" s="8">
        <f t="shared" si="102"/>
        <v>0</v>
      </c>
      <c r="T829" s="3" t="str">
        <f t="shared" si="103"/>
        <v/>
      </c>
      <c r="V829" s="1" t="e">
        <f t="shared" si="104"/>
        <v>#VALUE!</v>
      </c>
    </row>
    <row r="830" spans="8:22" x14ac:dyDescent="0.3">
      <c r="H830" s="2" t="str">
        <f>IF(Planilha1!B827="","",Planilha1!B827)</f>
        <v>7:30p</v>
      </c>
      <c r="I830" s="2" t="str">
        <f>IF(Planilha1!C827="","",Planilha1!C827)</f>
        <v>Phoenix Suns</v>
      </c>
      <c r="J830" s="2">
        <f>IF(Planilha1!D827="","",Planilha1!D827)</f>
        <v>0</v>
      </c>
      <c r="K830" s="10" t="str">
        <f>IF(Planilha1!E827="","",IF(Planilha1!E827=0,"",Planilha1!E827))</f>
        <v>Dallas Mavericks</v>
      </c>
      <c r="L830" s="10">
        <f>IF(Planilha1!F827="","",Planilha1!F827)</f>
        <v>0</v>
      </c>
      <c r="M830" s="10" t="str">
        <f>IF(Planilha1!G827="","",IF(Planilha1!G827=0,"",Planilha1!G827))</f>
        <v/>
      </c>
      <c r="N830" s="5">
        <f t="shared" si="97"/>
        <v>1</v>
      </c>
      <c r="O830" s="5">
        <f t="shared" si="98"/>
        <v>0</v>
      </c>
      <c r="P830" s="5">
        <f t="shared" si="99"/>
        <v>0</v>
      </c>
      <c r="Q830" s="5">
        <f t="shared" si="100"/>
        <v>2</v>
      </c>
      <c r="R830" s="8">
        <f t="shared" si="101"/>
        <v>0</v>
      </c>
      <c r="S830" s="8">
        <f t="shared" si="102"/>
        <v>0</v>
      </c>
      <c r="T830" s="3" t="str">
        <f t="shared" si="103"/>
        <v/>
      </c>
      <c r="V830" s="1" t="e">
        <f t="shared" si="104"/>
        <v>#VALUE!</v>
      </c>
    </row>
    <row r="831" spans="8:22" x14ac:dyDescent="0.3">
      <c r="H831" s="2" t="str">
        <f>IF(Planilha1!B828="","",Planilha1!B828)</f>
        <v>8:00p</v>
      </c>
      <c r="I831" s="2" t="str">
        <f>IF(Planilha1!C828="","",Planilha1!C828)</f>
        <v>Boston Celtics</v>
      </c>
      <c r="J831" s="2">
        <f>IF(Planilha1!D828="","",Planilha1!D828)</f>
        <v>0</v>
      </c>
      <c r="K831" s="10" t="str">
        <f>IF(Planilha1!E828="","",IF(Planilha1!E828=0,"",Planilha1!E828))</f>
        <v>Chicago Bulls</v>
      </c>
      <c r="L831" s="10">
        <f>IF(Planilha1!F828="","",Planilha1!F828)</f>
        <v>0</v>
      </c>
      <c r="M831" s="10" t="str">
        <f>IF(Planilha1!G828="","",IF(Planilha1!G828=0,"",Planilha1!G828))</f>
        <v/>
      </c>
      <c r="N831" s="5">
        <f t="shared" si="97"/>
        <v>1</v>
      </c>
      <c r="O831" s="5">
        <f t="shared" si="98"/>
        <v>0</v>
      </c>
      <c r="P831" s="5">
        <f t="shared" si="99"/>
        <v>0</v>
      </c>
      <c r="Q831" s="5">
        <f t="shared" si="100"/>
        <v>2</v>
      </c>
      <c r="R831" s="8">
        <f t="shared" si="101"/>
        <v>0</v>
      </c>
      <c r="S831" s="8">
        <f t="shared" si="102"/>
        <v>0</v>
      </c>
      <c r="T831" s="3" t="str">
        <f t="shared" si="103"/>
        <v/>
      </c>
      <c r="V831" s="1" t="e">
        <f t="shared" si="104"/>
        <v>#VALUE!</v>
      </c>
    </row>
    <row r="832" spans="8:22" x14ac:dyDescent="0.3">
      <c r="H832" s="2" t="str">
        <f>IF(Planilha1!B829="","",Planilha1!B829)</f>
        <v>8:00p</v>
      </c>
      <c r="I832" s="2" t="str">
        <f>IF(Planilha1!C829="","",Planilha1!C829)</f>
        <v>Houston Rockets</v>
      </c>
      <c r="J832" s="2">
        <f>IF(Planilha1!D829="","",Planilha1!D829)</f>
        <v>0</v>
      </c>
      <c r="K832" s="10" t="str">
        <f>IF(Planilha1!E829="","",IF(Planilha1!E829=0,"",Planilha1!E829))</f>
        <v>New Orleans Pelicans</v>
      </c>
      <c r="L832" s="10">
        <f>IF(Planilha1!F829="","",Planilha1!F829)</f>
        <v>0</v>
      </c>
      <c r="M832" s="10" t="str">
        <f>IF(Planilha1!G829="","",IF(Planilha1!G829=0,"",Planilha1!G829))</f>
        <v/>
      </c>
      <c r="N832" s="5">
        <f t="shared" si="97"/>
        <v>1</v>
      </c>
      <c r="O832" s="5">
        <f t="shared" si="98"/>
        <v>0</v>
      </c>
      <c r="P832" s="5">
        <f t="shared" si="99"/>
        <v>0</v>
      </c>
      <c r="Q832" s="5">
        <f t="shared" si="100"/>
        <v>2</v>
      </c>
      <c r="R832" s="8">
        <f t="shared" si="101"/>
        <v>0</v>
      </c>
      <c r="S832" s="8">
        <f t="shared" si="102"/>
        <v>0</v>
      </c>
      <c r="T832" s="3" t="str">
        <f t="shared" si="103"/>
        <v/>
      </c>
      <c r="V832" s="1" t="e">
        <f t="shared" si="104"/>
        <v>#VALUE!</v>
      </c>
    </row>
    <row r="833" spans="8:22" x14ac:dyDescent="0.3">
      <c r="H833" s="2" t="str">
        <f>IF(Planilha1!B830="","",Planilha1!B830)</f>
        <v>8:00p</v>
      </c>
      <c r="I833" s="2" t="str">
        <f>IF(Planilha1!C830="","",Planilha1!C830)</f>
        <v>Los Angeles Clippers</v>
      </c>
      <c r="J833" s="2">
        <f>IF(Planilha1!D830="","",Planilha1!D830)</f>
        <v>0</v>
      </c>
      <c r="K833" s="10" t="str">
        <f>IF(Planilha1!E830="","",IF(Planilha1!E830=0,"",Planilha1!E830))</f>
        <v>Oklahoma City Thunder</v>
      </c>
      <c r="L833" s="10">
        <f>IF(Planilha1!F830="","",Planilha1!F830)</f>
        <v>0</v>
      </c>
      <c r="M833" s="10" t="str">
        <f>IF(Planilha1!G830="","",IF(Planilha1!G830=0,"",Planilha1!G830))</f>
        <v/>
      </c>
      <c r="N833" s="5">
        <f t="shared" si="97"/>
        <v>1</v>
      </c>
      <c r="O833" s="5">
        <f t="shared" si="98"/>
        <v>0</v>
      </c>
      <c r="P833" s="5">
        <f t="shared" si="99"/>
        <v>0</v>
      </c>
      <c r="Q833" s="5">
        <f t="shared" si="100"/>
        <v>2</v>
      </c>
      <c r="R833" s="8">
        <f t="shared" si="101"/>
        <v>0</v>
      </c>
      <c r="S833" s="8">
        <f t="shared" si="102"/>
        <v>0</v>
      </c>
      <c r="T833" s="3" t="str">
        <f t="shared" si="103"/>
        <v/>
      </c>
      <c r="V833" s="1" t="e">
        <f t="shared" si="104"/>
        <v>#VALUE!</v>
      </c>
    </row>
    <row r="834" spans="8:22" x14ac:dyDescent="0.3">
      <c r="H834" s="2" t="str">
        <f>IF(Planilha1!B831="","",Planilha1!B831)</f>
        <v>9:00p</v>
      </c>
      <c r="I834" s="2" t="str">
        <f>IF(Planilha1!C831="","",Planilha1!C831)</f>
        <v>Washington Wizards</v>
      </c>
      <c r="J834" s="2">
        <f>IF(Planilha1!D831="","",Planilha1!D831)</f>
        <v>0</v>
      </c>
      <c r="K834" s="10" t="str">
        <f>IF(Planilha1!E831="","",IF(Planilha1!E831=0,"",Planilha1!E831))</f>
        <v>Denver Nuggets</v>
      </c>
      <c r="L834" s="10">
        <f>IF(Planilha1!F831="","",Planilha1!F831)</f>
        <v>0</v>
      </c>
      <c r="M834" s="10" t="str">
        <f>IF(Planilha1!G831="","",IF(Planilha1!G831=0,"",Planilha1!G831))</f>
        <v/>
      </c>
      <c r="N834" s="5">
        <f t="shared" si="97"/>
        <v>1</v>
      </c>
      <c r="O834" s="5">
        <f t="shared" si="98"/>
        <v>0</v>
      </c>
      <c r="P834" s="5">
        <f t="shared" si="99"/>
        <v>0</v>
      </c>
      <c r="Q834" s="5">
        <f t="shared" si="100"/>
        <v>2</v>
      </c>
      <c r="R834" s="8">
        <f t="shared" si="101"/>
        <v>0</v>
      </c>
      <c r="S834" s="8">
        <f t="shared" si="102"/>
        <v>0</v>
      </c>
      <c r="T834" s="3" t="str">
        <f t="shared" si="103"/>
        <v/>
      </c>
      <c r="V834" s="1" t="e">
        <f t="shared" si="104"/>
        <v>#VALUE!</v>
      </c>
    </row>
    <row r="835" spans="8:22" x14ac:dyDescent="0.3">
      <c r="H835" s="2" t="str">
        <f>IF(Planilha1!B832="","",Planilha1!B832)</f>
        <v>9:00p</v>
      </c>
      <c r="I835" s="2" t="str">
        <f>IF(Planilha1!C832="","",Planilha1!C832)</f>
        <v>Charlotte Hornets</v>
      </c>
      <c r="J835" s="2">
        <f>IF(Planilha1!D832="","",Planilha1!D832)</f>
        <v>0</v>
      </c>
      <c r="K835" s="10" t="str">
        <f>IF(Planilha1!E832="","",IF(Planilha1!E832=0,"",Planilha1!E832))</f>
        <v>Utah Jazz</v>
      </c>
      <c r="L835" s="10">
        <f>IF(Planilha1!F832="","",Planilha1!F832)</f>
        <v>0</v>
      </c>
      <c r="M835" s="10" t="str">
        <f>IF(Planilha1!G832="","",IF(Planilha1!G832=0,"",Planilha1!G832))</f>
        <v/>
      </c>
      <c r="N835" s="5">
        <f t="shared" si="97"/>
        <v>1</v>
      </c>
      <c r="O835" s="5">
        <f t="shared" si="98"/>
        <v>0</v>
      </c>
      <c r="P835" s="5">
        <f t="shared" si="99"/>
        <v>0</v>
      </c>
      <c r="Q835" s="5">
        <f t="shared" si="100"/>
        <v>2</v>
      </c>
      <c r="R835" s="8">
        <f t="shared" si="101"/>
        <v>0</v>
      </c>
      <c r="S835" s="8">
        <f t="shared" si="102"/>
        <v>0</v>
      </c>
      <c r="T835" s="3" t="str">
        <f t="shared" si="103"/>
        <v/>
      </c>
      <c r="V835" s="1" t="e">
        <f t="shared" si="104"/>
        <v>#VALUE!</v>
      </c>
    </row>
    <row r="836" spans="8:22" x14ac:dyDescent="0.3">
      <c r="H836" s="2" t="str">
        <f>IF(Planilha1!B833="","",Planilha1!B833)</f>
        <v>10:00p</v>
      </c>
      <c r="I836" s="2" t="str">
        <f>IF(Planilha1!C833="","",Planilha1!C833)</f>
        <v>Los Angeles Lakers</v>
      </c>
      <c r="J836" s="2">
        <f>IF(Planilha1!D833="","",Planilha1!D833)</f>
        <v>0</v>
      </c>
      <c r="K836" s="10" t="str">
        <f>IF(Planilha1!E833="","",IF(Planilha1!E833=0,"",Planilha1!E833))</f>
        <v>Golden State Warriors</v>
      </c>
      <c r="L836" s="10">
        <f>IF(Planilha1!F833="","",Planilha1!F833)</f>
        <v>0</v>
      </c>
      <c r="M836" s="10" t="str">
        <f>IF(Planilha1!G833="","",IF(Planilha1!G833=0,"",Planilha1!G833))</f>
        <v/>
      </c>
      <c r="N836" s="5">
        <f t="shared" si="97"/>
        <v>1</v>
      </c>
      <c r="O836" s="5">
        <f t="shared" si="98"/>
        <v>0</v>
      </c>
      <c r="P836" s="5">
        <f t="shared" si="99"/>
        <v>0</v>
      </c>
      <c r="Q836" s="5">
        <f t="shared" si="100"/>
        <v>2</v>
      </c>
      <c r="R836" s="8">
        <f t="shared" si="101"/>
        <v>0</v>
      </c>
      <c r="S836" s="8">
        <f t="shared" si="102"/>
        <v>0</v>
      </c>
      <c r="T836" s="3" t="str">
        <f t="shared" si="103"/>
        <v/>
      </c>
      <c r="V836" s="1" t="e">
        <f t="shared" si="104"/>
        <v>#VALUE!</v>
      </c>
    </row>
    <row r="837" spans="8:22" x14ac:dyDescent="0.3">
      <c r="H837" s="2" t="str">
        <f>IF(Planilha1!B834="","",Planilha1!B834)</f>
        <v>10:00p</v>
      </c>
      <c r="I837" s="2" t="str">
        <f>IF(Planilha1!C834="","",Planilha1!C834)</f>
        <v>San Antonio Spurs</v>
      </c>
      <c r="J837" s="2">
        <f>IF(Planilha1!D834="","",Planilha1!D834)</f>
        <v>0</v>
      </c>
      <c r="K837" s="10" t="str">
        <f>IF(Planilha1!E834="","",IF(Planilha1!E834=0,"",Planilha1!E834))</f>
        <v>Sacramento Kings</v>
      </c>
      <c r="L837" s="10">
        <f>IF(Planilha1!F834="","",Planilha1!F834)</f>
        <v>0</v>
      </c>
      <c r="M837" s="10" t="str">
        <f>IF(Planilha1!G834="","",IF(Planilha1!G834=0,"",Planilha1!G834))</f>
        <v/>
      </c>
      <c r="N837" s="5">
        <f t="shared" si="97"/>
        <v>1</v>
      </c>
      <c r="O837" s="5">
        <f t="shared" si="98"/>
        <v>0</v>
      </c>
      <c r="P837" s="5">
        <f t="shared" si="99"/>
        <v>0</v>
      </c>
      <c r="Q837" s="5">
        <f t="shared" si="100"/>
        <v>2</v>
      </c>
      <c r="R837" s="8">
        <f t="shared" si="101"/>
        <v>0</v>
      </c>
      <c r="S837" s="8">
        <f t="shared" si="102"/>
        <v>0</v>
      </c>
      <c r="T837" s="3" t="str">
        <f t="shared" si="103"/>
        <v/>
      </c>
      <c r="V837" s="1" t="e">
        <f t="shared" si="104"/>
        <v>#VALUE!</v>
      </c>
    </row>
    <row r="838" spans="8:22" x14ac:dyDescent="0.3">
      <c r="H838" s="2" t="str">
        <f>IF(Planilha1!B835="","",Planilha1!B835)</f>
        <v>7:30p</v>
      </c>
      <c r="I838" s="2" t="str">
        <f>IF(Planilha1!C835="","",Planilha1!C835)</f>
        <v>Toronto Raptors</v>
      </c>
      <c r="J838" s="2">
        <f>IF(Planilha1!D835="","",Planilha1!D835)</f>
        <v>0</v>
      </c>
      <c r="K838" s="10" t="str">
        <f>IF(Planilha1!E835="","",IF(Planilha1!E835=0,"",Planilha1!E835))</f>
        <v>Atlanta Hawks</v>
      </c>
      <c r="L838" s="10">
        <f>IF(Planilha1!F835="","",Planilha1!F835)</f>
        <v>0</v>
      </c>
      <c r="M838" s="10" t="str">
        <f>IF(Planilha1!G835="","",IF(Planilha1!G835=0,"",Planilha1!G835))</f>
        <v/>
      </c>
      <c r="N838" s="5">
        <f t="shared" ref="N838:N901" si="105">IF(K838="","",IF(K838&gt;M838,100%,0%))</f>
        <v>1</v>
      </c>
      <c r="O838" s="5">
        <f t="shared" ref="O838:O901" si="106">IF(K838="","",IF(K838&lt;M838,100%,0%))</f>
        <v>0</v>
      </c>
      <c r="P838" s="5">
        <f t="shared" ref="P838:P901" si="107">IF(M838="",IF(R838&gt;S838,2,0),IF(K838&lt;M838,2,0))</f>
        <v>0</v>
      </c>
      <c r="Q838" s="5">
        <f t="shared" ref="Q838:Q901" si="108">IF(M838="",IF(R838&gt;S838,0,2),IF(K838&gt;M838,2,0))</f>
        <v>2</v>
      </c>
      <c r="R838" s="8">
        <f t="shared" ref="R838:R901" si="109">SUMIF($B:$B,J838,$C:$C)+(SUMIF($B:$B,L838,$F:$F))</f>
        <v>0</v>
      </c>
      <c r="S838" s="8">
        <f t="shared" ref="S838:S901" si="110">SUMIF($B:$B,L838,$E:$E)+(SUMIF($B:$B,J838,$D:$D))</f>
        <v>0</v>
      </c>
      <c r="T838" s="3" t="str">
        <f t="shared" ref="T838:T901" si="111">IF(M838="","",(K838-S838)^2+(M838-R838)^2)</f>
        <v/>
      </c>
      <c r="V838" s="1" t="e">
        <f t="shared" ref="V838:V901" si="112">IF(O838="","",1/((M838-K838)/(R838-S838)))</f>
        <v>#VALUE!</v>
      </c>
    </row>
    <row r="839" spans="8:22" x14ac:dyDescent="0.3">
      <c r="H839" s="2" t="str">
        <f>IF(Planilha1!B836="","",Planilha1!B836)</f>
        <v>7:30p</v>
      </c>
      <c r="I839" s="2" t="str">
        <f>IF(Planilha1!C836="","",Planilha1!C836)</f>
        <v>Cleveland Cavaliers</v>
      </c>
      <c r="J839" s="2">
        <f>IF(Planilha1!D836="","",Planilha1!D836)</f>
        <v>0</v>
      </c>
      <c r="K839" s="10" t="str">
        <f>IF(Planilha1!E836="","",IF(Planilha1!E836=0,"",Planilha1!E836))</f>
        <v>Philadelphia 76ers</v>
      </c>
      <c r="L839" s="10">
        <f>IF(Planilha1!F836="","",Planilha1!F836)</f>
        <v>0</v>
      </c>
      <c r="M839" s="10" t="str">
        <f>IF(Planilha1!G836="","",IF(Planilha1!G836=0,"",Planilha1!G836))</f>
        <v/>
      </c>
      <c r="N839" s="5">
        <f t="shared" si="105"/>
        <v>1</v>
      </c>
      <c r="O839" s="5">
        <f t="shared" si="106"/>
        <v>0</v>
      </c>
      <c r="P839" s="5">
        <f t="shared" si="107"/>
        <v>0</v>
      </c>
      <c r="Q839" s="5">
        <f t="shared" si="108"/>
        <v>2</v>
      </c>
      <c r="R839" s="8">
        <f t="shared" si="109"/>
        <v>0</v>
      </c>
      <c r="S839" s="8">
        <f t="shared" si="110"/>
        <v>0</v>
      </c>
      <c r="T839" s="3" t="str">
        <f t="shared" si="111"/>
        <v/>
      </c>
      <c r="V839" s="1" t="e">
        <f t="shared" si="112"/>
        <v>#VALUE!</v>
      </c>
    </row>
    <row r="840" spans="8:22" x14ac:dyDescent="0.3">
      <c r="H840" s="2" t="str">
        <f>IF(Planilha1!B837="","",Planilha1!B837)</f>
        <v>8:00p</v>
      </c>
      <c r="I840" s="2" t="str">
        <f>IF(Planilha1!C837="","",Planilha1!C837)</f>
        <v>Phoenix Suns</v>
      </c>
      <c r="J840" s="2">
        <f>IF(Planilha1!D837="","",Planilha1!D837)</f>
        <v>0</v>
      </c>
      <c r="K840" s="10" t="str">
        <f>IF(Planilha1!E837="","",IF(Planilha1!E837=0,"",Planilha1!E837))</f>
        <v>Houston Rockets</v>
      </c>
      <c r="L840" s="10">
        <f>IF(Planilha1!F837="","",Planilha1!F837)</f>
        <v>0</v>
      </c>
      <c r="M840" s="10" t="str">
        <f>IF(Planilha1!G837="","",IF(Planilha1!G837=0,"",Planilha1!G837))</f>
        <v/>
      </c>
      <c r="N840" s="5">
        <f t="shared" si="105"/>
        <v>1</v>
      </c>
      <c r="O840" s="5">
        <f t="shared" si="106"/>
        <v>0</v>
      </c>
      <c r="P840" s="5">
        <f t="shared" si="107"/>
        <v>0</v>
      </c>
      <c r="Q840" s="5">
        <f t="shared" si="108"/>
        <v>2</v>
      </c>
      <c r="R840" s="8">
        <f t="shared" si="109"/>
        <v>0</v>
      </c>
      <c r="S840" s="8">
        <f t="shared" si="110"/>
        <v>0</v>
      </c>
      <c r="T840" s="3" t="str">
        <f t="shared" si="111"/>
        <v/>
      </c>
      <c r="V840" s="1" t="e">
        <f t="shared" si="112"/>
        <v>#VALUE!</v>
      </c>
    </row>
    <row r="841" spans="8:22" x14ac:dyDescent="0.3">
      <c r="H841" s="2" t="str">
        <f>IF(Planilha1!B838="","",Planilha1!B838)</f>
        <v>8:00p</v>
      </c>
      <c r="I841" s="2" t="str">
        <f>IF(Planilha1!C838="","",Planilha1!C838)</f>
        <v>Los Angeles Clippers</v>
      </c>
      <c r="J841" s="2">
        <f>IF(Planilha1!D838="","",Planilha1!D838)</f>
        <v>0</v>
      </c>
      <c r="K841" s="10" t="str">
        <f>IF(Planilha1!E838="","",IF(Planilha1!E838=0,"",Planilha1!E838))</f>
        <v>Memphis Grizzlies</v>
      </c>
      <c r="L841" s="10">
        <f>IF(Planilha1!F838="","",Planilha1!F838)</f>
        <v>0</v>
      </c>
      <c r="M841" s="10" t="str">
        <f>IF(Planilha1!G838="","",IF(Planilha1!G838=0,"",Planilha1!G838))</f>
        <v/>
      </c>
      <c r="N841" s="5">
        <f t="shared" si="105"/>
        <v>1</v>
      </c>
      <c r="O841" s="5">
        <f t="shared" si="106"/>
        <v>0</v>
      </c>
      <c r="P841" s="5">
        <f t="shared" si="107"/>
        <v>0</v>
      </c>
      <c r="Q841" s="5">
        <f t="shared" si="108"/>
        <v>2</v>
      </c>
      <c r="R841" s="8">
        <f t="shared" si="109"/>
        <v>0</v>
      </c>
      <c r="S841" s="8">
        <f t="shared" si="110"/>
        <v>0</v>
      </c>
      <c r="T841" s="3" t="str">
        <f t="shared" si="111"/>
        <v/>
      </c>
      <c r="V841" s="1" t="e">
        <f t="shared" si="112"/>
        <v>#VALUE!</v>
      </c>
    </row>
    <row r="842" spans="8:22" x14ac:dyDescent="0.3">
      <c r="H842" s="2" t="str">
        <f>IF(Planilha1!B839="","",Planilha1!B839)</f>
        <v>8:00p</v>
      </c>
      <c r="I842" s="2" t="str">
        <f>IF(Planilha1!C839="","",Planilha1!C839)</f>
        <v>Milwaukee Bucks</v>
      </c>
      <c r="J842" s="2">
        <f>IF(Planilha1!D839="","",Planilha1!D839)</f>
        <v>0</v>
      </c>
      <c r="K842" s="10" t="str">
        <f>IF(Planilha1!E839="","",IF(Planilha1!E839=0,"",Planilha1!E839))</f>
        <v>Minnesota Timberwolves</v>
      </c>
      <c r="L842" s="10">
        <f>IF(Planilha1!F839="","",Planilha1!F839)</f>
        <v>0</v>
      </c>
      <c r="M842" s="10" t="str">
        <f>IF(Planilha1!G839="","",IF(Planilha1!G839=0,"",Planilha1!G839))</f>
        <v/>
      </c>
      <c r="N842" s="5">
        <f t="shared" si="105"/>
        <v>1</v>
      </c>
      <c r="O842" s="5">
        <f t="shared" si="106"/>
        <v>0</v>
      </c>
      <c r="P842" s="5">
        <f t="shared" si="107"/>
        <v>0</v>
      </c>
      <c r="Q842" s="5">
        <f t="shared" si="108"/>
        <v>2</v>
      </c>
      <c r="R842" s="8">
        <f t="shared" si="109"/>
        <v>0</v>
      </c>
      <c r="S842" s="8">
        <f t="shared" si="110"/>
        <v>0</v>
      </c>
      <c r="T842" s="3" t="str">
        <f t="shared" si="111"/>
        <v/>
      </c>
      <c r="V842" s="1" t="e">
        <f t="shared" si="112"/>
        <v>#VALUE!</v>
      </c>
    </row>
    <row r="843" spans="8:22" x14ac:dyDescent="0.3">
      <c r="H843" s="2" t="str">
        <f>IF(Planilha1!B840="","",Planilha1!B840)</f>
        <v>8:00p</v>
      </c>
      <c r="I843" s="2" t="str">
        <f>IF(Planilha1!C840="","",Planilha1!C840)</f>
        <v>Washington Wizards</v>
      </c>
      <c r="J843" s="2">
        <f>IF(Planilha1!D840="","",Planilha1!D840)</f>
        <v>0</v>
      </c>
      <c r="K843" s="10" t="str">
        <f>IF(Planilha1!E840="","",IF(Planilha1!E840=0,"",Planilha1!E840))</f>
        <v>Oklahoma City Thunder</v>
      </c>
      <c r="L843" s="10">
        <f>IF(Planilha1!F840="","",Planilha1!F840)</f>
        <v>0</v>
      </c>
      <c r="M843" s="10" t="str">
        <f>IF(Planilha1!G840="","",IF(Planilha1!G840=0,"",Planilha1!G840))</f>
        <v/>
      </c>
      <c r="N843" s="5">
        <f t="shared" si="105"/>
        <v>1</v>
      </c>
      <c r="O843" s="5">
        <f t="shared" si="106"/>
        <v>0</v>
      </c>
      <c r="P843" s="5">
        <f t="shared" si="107"/>
        <v>0</v>
      </c>
      <c r="Q843" s="5">
        <f t="shared" si="108"/>
        <v>2</v>
      </c>
      <c r="R843" s="8">
        <f t="shared" si="109"/>
        <v>0</v>
      </c>
      <c r="S843" s="8">
        <f t="shared" si="110"/>
        <v>0</v>
      </c>
      <c r="T843" s="3" t="str">
        <f t="shared" si="111"/>
        <v/>
      </c>
      <c r="V843" s="1" t="e">
        <f t="shared" si="112"/>
        <v>#VALUE!</v>
      </c>
    </row>
    <row r="844" spans="8:22" x14ac:dyDescent="0.3">
      <c r="H844" s="2" t="str">
        <f>IF(Planilha1!B841="","",Planilha1!B841)</f>
        <v>10:00p</v>
      </c>
      <c r="I844" s="2" t="str">
        <f>IF(Planilha1!C841="","",Planilha1!C841)</f>
        <v>Charlotte Hornets</v>
      </c>
      <c r="J844" s="2">
        <f>IF(Planilha1!D841="","",Planilha1!D841)</f>
        <v>0</v>
      </c>
      <c r="K844" s="10" t="str">
        <f>IF(Planilha1!E841="","",IF(Planilha1!E841=0,"",Planilha1!E841))</f>
        <v>Golden State Warriors</v>
      </c>
      <c r="L844" s="10">
        <f>IF(Planilha1!F841="","",Planilha1!F841)</f>
        <v>0</v>
      </c>
      <c r="M844" s="10" t="str">
        <f>IF(Planilha1!G841="","",IF(Planilha1!G841=0,"",Planilha1!G841))</f>
        <v/>
      </c>
      <c r="N844" s="5">
        <f t="shared" si="105"/>
        <v>1</v>
      </c>
      <c r="O844" s="5">
        <f t="shared" si="106"/>
        <v>0</v>
      </c>
      <c r="P844" s="5">
        <f t="shared" si="107"/>
        <v>0</v>
      </c>
      <c r="Q844" s="5">
        <f t="shared" si="108"/>
        <v>2</v>
      </c>
      <c r="R844" s="8">
        <f t="shared" si="109"/>
        <v>0</v>
      </c>
      <c r="S844" s="8">
        <f t="shared" si="110"/>
        <v>0</v>
      </c>
      <c r="T844" s="3" t="str">
        <f t="shared" si="111"/>
        <v/>
      </c>
      <c r="V844" s="1" t="e">
        <f t="shared" si="112"/>
        <v>#VALUE!</v>
      </c>
    </row>
    <row r="845" spans="8:22" x14ac:dyDescent="0.3">
      <c r="H845" s="2" t="str">
        <f>IF(Planilha1!B842="","",Planilha1!B842)</f>
        <v>10:00p</v>
      </c>
      <c r="I845" s="2" t="str">
        <f>IF(Planilha1!C842="","",Planilha1!C842)</f>
        <v>Miami Heat</v>
      </c>
      <c r="J845" s="2">
        <f>IF(Planilha1!D842="","",Planilha1!D842)</f>
        <v>0</v>
      </c>
      <c r="K845" s="10" t="str">
        <f>IF(Planilha1!E842="","",IF(Planilha1!E842=0,"",Planilha1!E842))</f>
        <v>New Orleans Pelicans</v>
      </c>
      <c r="L845" s="10">
        <f>IF(Planilha1!F842="","",Planilha1!F842)</f>
        <v>0</v>
      </c>
      <c r="M845" s="10" t="str">
        <f>IF(Planilha1!G842="","",IF(Planilha1!G842=0,"",Planilha1!G842))</f>
        <v/>
      </c>
      <c r="N845" s="5">
        <f t="shared" si="105"/>
        <v>1</v>
      </c>
      <c r="O845" s="5">
        <f t="shared" si="106"/>
        <v>0</v>
      </c>
      <c r="P845" s="5">
        <f t="shared" si="107"/>
        <v>0</v>
      </c>
      <c r="Q845" s="5">
        <f t="shared" si="108"/>
        <v>2</v>
      </c>
      <c r="R845" s="8">
        <f t="shared" si="109"/>
        <v>0</v>
      </c>
      <c r="S845" s="8">
        <f t="shared" si="110"/>
        <v>0</v>
      </c>
      <c r="T845" s="3" t="str">
        <f t="shared" si="111"/>
        <v/>
      </c>
      <c r="V845" s="1" t="e">
        <f t="shared" si="112"/>
        <v>#VALUE!</v>
      </c>
    </row>
    <row r="846" spans="8:22" x14ac:dyDescent="0.3">
      <c r="H846" s="2" t="str">
        <f>IF(Planilha1!B843="","",Planilha1!B843)</f>
        <v>10:00p</v>
      </c>
      <c r="I846" s="2" t="str">
        <f>IF(Planilha1!C843="","",Planilha1!C843)</f>
        <v>Denver Nuggets</v>
      </c>
      <c r="J846" s="2">
        <f>IF(Planilha1!D843="","",Planilha1!D843)</f>
        <v>0</v>
      </c>
      <c r="K846" s="10" t="str">
        <f>IF(Planilha1!E843="","",IF(Planilha1!E843=0,"",Planilha1!E843))</f>
        <v>Portland Trail Blazers</v>
      </c>
      <c r="L846" s="10">
        <f>IF(Planilha1!F843="","",Planilha1!F843)</f>
        <v>0</v>
      </c>
      <c r="M846" s="10" t="str">
        <f>IF(Planilha1!G843="","",IF(Planilha1!G843=0,"",Planilha1!G843))</f>
        <v/>
      </c>
      <c r="N846" s="5">
        <f t="shared" si="105"/>
        <v>1</v>
      </c>
      <c r="O846" s="5">
        <f t="shared" si="106"/>
        <v>0</v>
      </c>
      <c r="P846" s="5">
        <f t="shared" si="107"/>
        <v>0</v>
      </c>
      <c r="Q846" s="5">
        <f t="shared" si="108"/>
        <v>2</v>
      </c>
      <c r="R846" s="8">
        <f t="shared" si="109"/>
        <v>0</v>
      </c>
      <c r="S846" s="8">
        <f t="shared" si="110"/>
        <v>0</v>
      </c>
      <c r="T846" s="3" t="str">
        <f t="shared" si="111"/>
        <v/>
      </c>
      <c r="V846" s="1" t="e">
        <f t="shared" si="112"/>
        <v>#VALUE!</v>
      </c>
    </row>
    <row r="847" spans="8:22" x14ac:dyDescent="0.3">
      <c r="H847" s="2" t="str">
        <f>IF(Planilha1!B844="","",Planilha1!B844)</f>
        <v>10:30p</v>
      </c>
      <c r="I847" s="2" t="str">
        <f>IF(Planilha1!C844="","",Planilha1!C844)</f>
        <v>San Antonio Spurs</v>
      </c>
      <c r="J847" s="2">
        <f>IF(Planilha1!D844="","",Planilha1!D844)</f>
        <v>0</v>
      </c>
      <c r="K847" s="10" t="str">
        <f>IF(Planilha1!E844="","",IF(Planilha1!E844=0,"",Planilha1!E844))</f>
        <v>Los Angeles Lakers</v>
      </c>
      <c r="L847" s="10">
        <f>IF(Planilha1!F844="","",Planilha1!F844)</f>
        <v>0</v>
      </c>
      <c r="M847" s="10" t="str">
        <f>IF(Planilha1!G844="","",IF(Planilha1!G844=0,"",Planilha1!G844))</f>
        <v/>
      </c>
      <c r="N847" s="5">
        <f t="shared" si="105"/>
        <v>1</v>
      </c>
      <c r="O847" s="5">
        <f t="shared" si="106"/>
        <v>0</v>
      </c>
      <c r="P847" s="5">
        <f t="shared" si="107"/>
        <v>0</v>
      </c>
      <c r="Q847" s="5">
        <f t="shared" si="108"/>
        <v>2</v>
      </c>
      <c r="R847" s="8">
        <f t="shared" si="109"/>
        <v>0</v>
      </c>
      <c r="S847" s="8">
        <f t="shared" si="110"/>
        <v>0</v>
      </c>
      <c r="T847" s="3" t="str">
        <f t="shared" si="111"/>
        <v/>
      </c>
      <c r="V847" s="1" t="e">
        <f t="shared" si="112"/>
        <v>#VALUE!</v>
      </c>
    </row>
    <row r="848" spans="8:22" x14ac:dyDescent="0.3">
      <c r="H848" s="2" t="str">
        <f>IF(Planilha1!B845="","",Planilha1!B845)</f>
        <v>8:00p</v>
      </c>
      <c r="I848" s="2" t="str">
        <f>IF(Planilha1!C845="","",Planilha1!C845)</f>
        <v>Orlando Magic</v>
      </c>
      <c r="J848" s="2">
        <f>IF(Planilha1!D845="","",Planilha1!D845)</f>
        <v>0</v>
      </c>
      <c r="K848" s="10" t="str">
        <f>IF(Planilha1!E845="","",IF(Planilha1!E845=0,"",Planilha1!E845))</f>
        <v>Detroit Pistons</v>
      </c>
      <c r="L848" s="10">
        <f>IF(Planilha1!F845="","",Planilha1!F845)</f>
        <v>0</v>
      </c>
      <c r="M848" s="10" t="str">
        <f>IF(Planilha1!G845="","",IF(Planilha1!G845=0,"",Planilha1!G845))</f>
        <v/>
      </c>
      <c r="N848" s="5">
        <f t="shared" si="105"/>
        <v>1</v>
      </c>
      <c r="O848" s="5">
        <f t="shared" si="106"/>
        <v>0</v>
      </c>
      <c r="P848" s="5">
        <f t="shared" si="107"/>
        <v>0</v>
      </c>
      <c r="Q848" s="5">
        <f t="shared" si="108"/>
        <v>2</v>
      </c>
      <c r="R848" s="8">
        <f t="shared" si="109"/>
        <v>0</v>
      </c>
      <c r="S848" s="8">
        <f t="shared" si="110"/>
        <v>0</v>
      </c>
      <c r="T848" s="3" t="str">
        <f t="shared" si="111"/>
        <v/>
      </c>
      <c r="V848" s="1" t="e">
        <f t="shared" si="112"/>
        <v>#VALUE!</v>
      </c>
    </row>
    <row r="849" spans="8:22" x14ac:dyDescent="0.3">
      <c r="H849" s="2" t="str">
        <f>IF(Planilha1!B846="","",Planilha1!B846)</f>
        <v>8:00p</v>
      </c>
      <c r="I849" s="2" t="str">
        <f>IF(Planilha1!C846="","",Planilha1!C846)</f>
        <v>Brooklyn Nets</v>
      </c>
      <c r="J849" s="2">
        <f>IF(Planilha1!D846="","",Planilha1!D846)</f>
        <v>0</v>
      </c>
      <c r="K849" s="10" t="str">
        <f>IF(Planilha1!E846="","",IF(Planilha1!E846=0,"",Planilha1!E846))</f>
        <v>Minnesota Timberwolves</v>
      </c>
      <c r="L849" s="10">
        <f>IF(Planilha1!F846="","",Planilha1!F846)</f>
        <v>0</v>
      </c>
      <c r="M849" s="10" t="str">
        <f>IF(Planilha1!G846="","",IF(Planilha1!G846=0,"",Planilha1!G846))</f>
        <v/>
      </c>
      <c r="N849" s="5">
        <f t="shared" si="105"/>
        <v>1</v>
      </c>
      <c r="O849" s="5">
        <f t="shared" si="106"/>
        <v>0</v>
      </c>
      <c r="P849" s="5">
        <f t="shared" si="107"/>
        <v>0</v>
      </c>
      <c r="Q849" s="5">
        <f t="shared" si="108"/>
        <v>2</v>
      </c>
      <c r="R849" s="8">
        <f t="shared" si="109"/>
        <v>0</v>
      </c>
      <c r="S849" s="8">
        <f t="shared" si="110"/>
        <v>0</v>
      </c>
      <c r="T849" s="3" t="str">
        <f t="shared" si="111"/>
        <v/>
      </c>
      <c r="V849" s="1" t="e">
        <f t="shared" si="112"/>
        <v>#VALUE!</v>
      </c>
    </row>
    <row r="850" spans="8:22" x14ac:dyDescent="0.3">
      <c r="H850" s="2" t="str">
        <f>IF(Planilha1!B847="","",Planilha1!B847)</f>
        <v>8:30p</v>
      </c>
      <c r="I850" s="2" t="str">
        <f>IF(Planilha1!C847="","",Planilha1!C847)</f>
        <v>Boston Celtics</v>
      </c>
      <c r="J850" s="2">
        <f>IF(Planilha1!D847="","",Planilha1!D847)</f>
        <v>0</v>
      </c>
      <c r="K850" s="10" t="str">
        <f>IF(Planilha1!E847="","",IF(Planilha1!E847=0,"",Planilha1!E847))</f>
        <v>New York Knicks</v>
      </c>
      <c r="L850" s="10">
        <f>IF(Planilha1!F847="","",Planilha1!F847)</f>
        <v>0</v>
      </c>
      <c r="M850" s="10" t="str">
        <f>IF(Planilha1!G847="","",IF(Planilha1!G847=0,"",Planilha1!G847))</f>
        <v/>
      </c>
      <c r="N850" s="5">
        <f t="shared" si="105"/>
        <v>1</v>
      </c>
      <c r="O850" s="5">
        <f t="shared" si="106"/>
        <v>0</v>
      </c>
      <c r="P850" s="5">
        <f t="shared" si="107"/>
        <v>0</v>
      </c>
      <c r="Q850" s="5">
        <f t="shared" si="108"/>
        <v>2</v>
      </c>
      <c r="R850" s="8">
        <f t="shared" si="109"/>
        <v>0</v>
      </c>
      <c r="S850" s="8">
        <f t="shared" si="110"/>
        <v>0</v>
      </c>
      <c r="T850" s="3" t="str">
        <f t="shared" si="111"/>
        <v/>
      </c>
      <c r="V850" s="1" t="e">
        <f t="shared" si="112"/>
        <v>#VALUE!</v>
      </c>
    </row>
    <row r="851" spans="8:22" x14ac:dyDescent="0.3">
      <c r="H851" s="2" t="str">
        <f>IF(Planilha1!B848="","",Planilha1!B848)</f>
        <v>1:00p</v>
      </c>
      <c r="I851" s="2" t="str">
        <f>IF(Planilha1!C848="","",Planilha1!C848)</f>
        <v>Milwaukee Bucks</v>
      </c>
      <c r="J851" s="2">
        <f>IF(Planilha1!D848="","",Planilha1!D848)</f>
        <v>0</v>
      </c>
      <c r="K851" s="10" t="str">
        <f>IF(Planilha1!E848="","",IF(Planilha1!E848=0,"",Planilha1!E848))</f>
        <v>Philadelphia 76ers</v>
      </c>
      <c r="L851" s="10">
        <f>IF(Planilha1!F848="","",Planilha1!F848)</f>
        <v>0</v>
      </c>
      <c r="M851" s="10" t="str">
        <f>IF(Planilha1!G848="","",IF(Planilha1!G848=0,"",Planilha1!G848))</f>
        <v/>
      </c>
      <c r="N851" s="5">
        <f t="shared" si="105"/>
        <v>1</v>
      </c>
      <c r="O851" s="5">
        <f t="shared" si="106"/>
        <v>0</v>
      </c>
      <c r="P851" s="5">
        <f t="shared" si="107"/>
        <v>0</v>
      </c>
      <c r="Q851" s="5">
        <f t="shared" si="108"/>
        <v>2</v>
      </c>
      <c r="R851" s="8">
        <f t="shared" si="109"/>
        <v>0</v>
      </c>
      <c r="S851" s="8">
        <f t="shared" si="110"/>
        <v>0</v>
      </c>
      <c r="T851" s="3" t="str">
        <f t="shared" si="111"/>
        <v/>
      </c>
      <c r="V851" s="1" t="e">
        <f t="shared" si="112"/>
        <v>#VALUE!</v>
      </c>
    </row>
    <row r="852" spans="8:22" x14ac:dyDescent="0.3">
      <c r="H852" s="2" t="str">
        <f>IF(Planilha1!B849="","",Planilha1!B849)</f>
        <v>3:30p</v>
      </c>
      <c r="I852" s="2" t="str">
        <f>IF(Planilha1!C849="","",Planilha1!C849)</f>
        <v>Los Angeles Lakers</v>
      </c>
      <c r="J852" s="2">
        <f>IF(Planilha1!D849="","",Planilha1!D849)</f>
        <v>0</v>
      </c>
      <c r="K852" s="10" t="str">
        <f>IF(Planilha1!E849="","",IF(Planilha1!E849=0,"",Planilha1!E849))</f>
        <v>Phoenix Suns</v>
      </c>
      <c r="L852" s="10">
        <f>IF(Planilha1!F849="","",Planilha1!F849)</f>
        <v>0</v>
      </c>
      <c r="M852" s="10" t="str">
        <f>IF(Planilha1!G849="","",IF(Planilha1!G849=0,"",Planilha1!G849))</f>
        <v/>
      </c>
      <c r="N852" s="5">
        <f t="shared" si="105"/>
        <v>1</v>
      </c>
      <c r="O852" s="5">
        <f t="shared" si="106"/>
        <v>0</v>
      </c>
      <c r="P852" s="5">
        <f t="shared" si="107"/>
        <v>0</v>
      </c>
      <c r="Q852" s="5">
        <f t="shared" si="108"/>
        <v>2</v>
      </c>
      <c r="R852" s="8">
        <f t="shared" si="109"/>
        <v>0</v>
      </c>
      <c r="S852" s="8">
        <f t="shared" si="110"/>
        <v>0</v>
      </c>
      <c r="T852" s="3" t="str">
        <f t="shared" si="111"/>
        <v/>
      </c>
      <c r="V852" s="1" t="e">
        <f t="shared" si="112"/>
        <v>#VALUE!</v>
      </c>
    </row>
    <row r="853" spans="8:22" x14ac:dyDescent="0.3">
      <c r="H853" s="2" t="str">
        <f>IF(Planilha1!B850="","",Planilha1!B850)</f>
        <v>5:00p</v>
      </c>
      <c r="I853" s="2" t="str">
        <f>IF(Planilha1!C850="","",Planilha1!C850)</f>
        <v>Dallas Mavericks</v>
      </c>
      <c r="J853" s="2">
        <f>IF(Planilha1!D850="","",Planilha1!D850)</f>
        <v>0</v>
      </c>
      <c r="K853" s="10" t="str">
        <f>IF(Planilha1!E850="","",IF(Planilha1!E850=0,"",Planilha1!E850))</f>
        <v>Indiana Pacers</v>
      </c>
      <c r="L853" s="10">
        <f>IF(Planilha1!F850="","",Planilha1!F850)</f>
        <v>0</v>
      </c>
      <c r="M853" s="10" t="str">
        <f>IF(Planilha1!G850="","",IF(Planilha1!G850=0,"",Planilha1!G850))</f>
        <v/>
      </c>
      <c r="N853" s="5">
        <f t="shared" si="105"/>
        <v>1</v>
      </c>
      <c r="O853" s="5">
        <f t="shared" si="106"/>
        <v>0</v>
      </c>
      <c r="P853" s="5">
        <f t="shared" si="107"/>
        <v>0</v>
      </c>
      <c r="Q853" s="5">
        <f t="shared" si="108"/>
        <v>2</v>
      </c>
      <c r="R853" s="8">
        <f t="shared" si="109"/>
        <v>0</v>
      </c>
      <c r="S853" s="8">
        <f t="shared" si="110"/>
        <v>0</v>
      </c>
      <c r="T853" s="3" t="str">
        <f t="shared" si="111"/>
        <v/>
      </c>
      <c r="V853" s="1" t="e">
        <f t="shared" si="112"/>
        <v>#VALUE!</v>
      </c>
    </row>
    <row r="854" spans="8:22" x14ac:dyDescent="0.3">
      <c r="H854" s="2" t="str">
        <f>IF(Planilha1!B851="","",Planilha1!B851)</f>
        <v>6:00p</v>
      </c>
      <c r="I854" s="2" t="str">
        <f>IF(Planilha1!C851="","",Planilha1!C851)</f>
        <v>Cleveland Cavaliers</v>
      </c>
      <c r="J854" s="2">
        <f>IF(Planilha1!D851="","",Planilha1!D851)</f>
        <v>0</v>
      </c>
      <c r="K854" s="10" t="str">
        <f>IF(Planilha1!E851="","",IF(Planilha1!E851=0,"",Planilha1!E851))</f>
        <v>Washington Wizards</v>
      </c>
      <c r="L854" s="10">
        <f>IF(Planilha1!F851="","",Planilha1!F851)</f>
        <v>0</v>
      </c>
      <c r="M854" s="10" t="str">
        <f>IF(Planilha1!G851="","",IF(Planilha1!G851=0,"",Planilha1!G851))</f>
        <v/>
      </c>
      <c r="N854" s="5">
        <f t="shared" si="105"/>
        <v>1</v>
      </c>
      <c r="O854" s="5">
        <f t="shared" si="106"/>
        <v>0</v>
      </c>
      <c r="P854" s="5">
        <f t="shared" si="107"/>
        <v>0</v>
      </c>
      <c r="Q854" s="5">
        <f t="shared" si="108"/>
        <v>2</v>
      </c>
      <c r="R854" s="8">
        <f t="shared" si="109"/>
        <v>0</v>
      </c>
      <c r="S854" s="8">
        <f t="shared" si="110"/>
        <v>0</v>
      </c>
      <c r="T854" s="3" t="str">
        <f t="shared" si="111"/>
        <v/>
      </c>
      <c r="V854" s="1" t="e">
        <f t="shared" si="112"/>
        <v>#VALUE!</v>
      </c>
    </row>
    <row r="855" spans="8:22" x14ac:dyDescent="0.3">
      <c r="H855" s="2" t="str">
        <f>IF(Planilha1!B852="","",Planilha1!B852)</f>
        <v>7:00p</v>
      </c>
      <c r="I855" s="2" t="str">
        <f>IF(Planilha1!C852="","",Planilha1!C852)</f>
        <v>Orlando Magic</v>
      </c>
      <c r="J855" s="2">
        <f>IF(Planilha1!D852="","",Planilha1!D852)</f>
        <v>0</v>
      </c>
      <c r="K855" s="10" t="str">
        <f>IF(Planilha1!E852="","",IF(Planilha1!E852=0,"",Planilha1!E852))</f>
        <v>Atlanta Hawks</v>
      </c>
      <c r="L855" s="10">
        <f>IF(Planilha1!F852="","",Planilha1!F852)</f>
        <v>0</v>
      </c>
      <c r="M855" s="10" t="str">
        <f>IF(Planilha1!G852="","",IF(Planilha1!G852=0,"",Planilha1!G852))</f>
        <v/>
      </c>
      <c r="N855" s="5">
        <f t="shared" si="105"/>
        <v>1</v>
      </c>
      <c r="O855" s="5">
        <f t="shared" si="106"/>
        <v>0</v>
      </c>
      <c r="P855" s="5">
        <f t="shared" si="107"/>
        <v>0</v>
      </c>
      <c r="Q855" s="5">
        <f t="shared" si="108"/>
        <v>2</v>
      </c>
      <c r="R855" s="8">
        <f t="shared" si="109"/>
        <v>0</v>
      </c>
      <c r="S855" s="8">
        <f t="shared" si="110"/>
        <v>0</v>
      </c>
      <c r="T855" s="3" t="str">
        <f t="shared" si="111"/>
        <v/>
      </c>
      <c r="V855" s="1" t="e">
        <f t="shared" si="112"/>
        <v>#VALUE!</v>
      </c>
    </row>
    <row r="856" spans="8:22" x14ac:dyDescent="0.3">
      <c r="H856" s="2" t="str">
        <f>IF(Planilha1!B853="","",Planilha1!B853)</f>
        <v>7:00p</v>
      </c>
      <c r="I856" s="2" t="str">
        <f>IF(Planilha1!C853="","",Planilha1!C853)</f>
        <v>Denver Nuggets</v>
      </c>
      <c r="J856" s="2">
        <f>IF(Planilha1!D853="","",Planilha1!D853)</f>
        <v>0</v>
      </c>
      <c r="K856" s="10" t="str">
        <f>IF(Planilha1!E853="","",IF(Planilha1!E853=0,"",Planilha1!E853))</f>
        <v>Golden State Warriors</v>
      </c>
      <c r="L856" s="10">
        <f>IF(Planilha1!F853="","",Planilha1!F853)</f>
        <v>0</v>
      </c>
      <c r="M856" s="10" t="str">
        <f>IF(Planilha1!G853="","",IF(Planilha1!G853=0,"",Planilha1!G853))</f>
        <v/>
      </c>
      <c r="N856" s="5">
        <f t="shared" si="105"/>
        <v>1</v>
      </c>
      <c r="O856" s="5">
        <f t="shared" si="106"/>
        <v>0</v>
      </c>
      <c r="P856" s="5">
        <f t="shared" si="107"/>
        <v>0</v>
      </c>
      <c r="Q856" s="5">
        <f t="shared" si="108"/>
        <v>2</v>
      </c>
      <c r="R856" s="8">
        <f t="shared" si="109"/>
        <v>0</v>
      </c>
      <c r="S856" s="8">
        <f t="shared" si="110"/>
        <v>0</v>
      </c>
      <c r="T856" s="3" t="str">
        <f t="shared" si="111"/>
        <v/>
      </c>
      <c r="V856" s="1" t="e">
        <f t="shared" si="112"/>
        <v>#VALUE!</v>
      </c>
    </row>
    <row r="857" spans="8:22" x14ac:dyDescent="0.3">
      <c r="H857" s="2" t="str">
        <f>IF(Planilha1!B854="","",Planilha1!B854)</f>
        <v>7:00p</v>
      </c>
      <c r="I857" s="2" t="str">
        <f>IF(Planilha1!C854="","",Planilha1!C854)</f>
        <v>Oklahoma City Thunder</v>
      </c>
      <c r="J857" s="2">
        <f>IF(Planilha1!D854="","",Planilha1!D854)</f>
        <v>0</v>
      </c>
      <c r="K857" s="10" t="str">
        <f>IF(Planilha1!E854="","",IF(Planilha1!E854=0,"",Planilha1!E854))</f>
        <v>Houston Rockets</v>
      </c>
      <c r="L857" s="10">
        <f>IF(Planilha1!F854="","",Planilha1!F854)</f>
        <v>0</v>
      </c>
      <c r="M857" s="10" t="str">
        <f>IF(Planilha1!G854="","",IF(Planilha1!G854=0,"",Planilha1!G854))</f>
        <v/>
      </c>
      <c r="N857" s="5">
        <f t="shared" si="105"/>
        <v>1</v>
      </c>
      <c r="O857" s="5">
        <f t="shared" si="106"/>
        <v>0</v>
      </c>
      <c r="P857" s="5">
        <f t="shared" si="107"/>
        <v>0</v>
      </c>
      <c r="Q857" s="5">
        <f t="shared" si="108"/>
        <v>2</v>
      </c>
      <c r="R857" s="8">
        <f t="shared" si="109"/>
        <v>0</v>
      </c>
      <c r="S857" s="8">
        <f t="shared" si="110"/>
        <v>0</v>
      </c>
      <c r="T857" s="3" t="str">
        <f t="shared" si="111"/>
        <v/>
      </c>
      <c r="V857" s="1" t="e">
        <f t="shared" si="112"/>
        <v>#VALUE!</v>
      </c>
    </row>
    <row r="858" spans="8:22" x14ac:dyDescent="0.3">
      <c r="H858" s="2" t="str">
        <f>IF(Planilha1!B855="","",Planilha1!B855)</f>
        <v>7:00p</v>
      </c>
      <c r="I858" s="2" t="str">
        <f>IF(Planilha1!C855="","",Planilha1!C855)</f>
        <v>Chicago Bulls</v>
      </c>
      <c r="J858" s="2">
        <f>IF(Planilha1!D855="","",Planilha1!D855)</f>
        <v>0</v>
      </c>
      <c r="K858" s="10" t="str">
        <f>IF(Planilha1!E855="","",IF(Planilha1!E855=0,"",Planilha1!E855))</f>
        <v>New Orleans Pelicans</v>
      </c>
      <c r="L858" s="10">
        <f>IF(Planilha1!F855="","",Planilha1!F855)</f>
        <v>0</v>
      </c>
      <c r="M858" s="10" t="str">
        <f>IF(Planilha1!G855="","",IF(Planilha1!G855=0,"",Planilha1!G855))</f>
        <v/>
      </c>
      <c r="N858" s="5">
        <f t="shared" si="105"/>
        <v>1</v>
      </c>
      <c r="O858" s="5">
        <f t="shared" si="106"/>
        <v>0</v>
      </c>
      <c r="P858" s="5">
        <f t="shared" si="107"/>
        <v>0</v>
      </c>
      <c r="Q858" s="5">
        <f t="shared" si="108"/>
        <v>2</v>
      </c>
      <c r="R858" s="8">
        <f t="shared" si="109"/>
        <v>0</v>
      </c>
      <c r="S858" s="8">
        <f t="shared" si="110"/>
        <v>0</v>
      </c>
      <c r="T858" s="3" t="str">
        <f t="shared" si="111"/>
        <v/>
      </c>
      <c r="V858" s="1" t="e">
        <f t="shared" si="112"/>
        <v>#VALUE!</v>
      </c>
    </row>
    <row r="859" spans="8:22" x14ac:dyDescent="0.3">
      <c r="H859" s="2" t="str">
        <f>IF(Planilha1!B856="","",Planilha1!B856)</f>
        <v>8:00p</v>
      </c>
      <c r="I859" s="2" t="str">
        <f>IF(Planilha1!C856="","",Planilha1!C856)</f>
        <v>San Antonio Spurs</v>
      </c>
      <c r="J859" s="2">
        <f>IF(Planilha1!D856="","",Planilha1!D856)</f>
        <v>0</v>
      </c>
      <c r="K859" s="10" t="str">
        <f>IF(Planilha1!E856="","",IF(Planilha1!E856=0,"",Planilha1!E856))</f>
        <v>Utah Jazz</v>
      </c>
      <c r="L859" s="10">
        <f>IF(Planilha1!F856="","",Planilha1!F856)</f>
        <v>0</v>
      </c>
      <c r="M859" s="10" t="str">
        <f>IF(Planilha1!G856="","",IF(Planilha1!G856=0,"",Planilha1!G856))</f>
        <v/>
      </c>
      <c r="N859" s="5">
        <f t="shared" si="105"/>
        <v>1</v>
      </c>
      <c r="O859" s="5">
        <f t="shared" si="106"/>
        <v>0</v>
      </c>
      <c r="P859" s="5">
        <f t="shared" si="107"/>
        <v>0</v>
      </c>
      <c r="Q859" s="5">
        <f t="shared" si="108"/>
        <v>2</v>
      </c>
      <c r="R859" s="8">
        <f t="shared" si="109"/>
        <v>0</v>
      </c>
      <c r="S859" s="8">
        <f t="shared" si="110"/>
        <v>0</v>
      </c>
      <c r="T859" s="3" t="str">
        <f t="shared" si="111"/>
        <v/>
      </c>
      <c r="V859" s="1" t="e">
        <f t="shared" si="112"/>
        <v>#VALUE!</v>
      </c>
    </row>
    <row r="860" spans="8:22" x14ac:dyDescent="0.3">
      <c r="H860" s="2" t="str">
        <f>IF(Planilha1!B857="","",Planilha1!B857)</f>
        <v>9:00p</v>
      </c>
      <c r="I860" s="2" t="str">
        <f>IF(Planilha1!C857="","",Planilha1!C857)</f>
        <v>Charlotte Hornets</v>
      </c>
      <c r="J860" s="2">
        <f>IF(Planilha1!D857="","",Planilha1!D857)</f>
        <v>0</v>
      </c>
      <c r="K860" s="10" t="str">
        <f>IF(Planilha1!E857="","",IF(Planilha1!E857=0,"",Planilha1!E857))</f>
        <v>Portland Trail Blazers</v>
      </c>
      <c r="L860" s="10">
        <f>IF(Planilha1!F857="","",Planilha1!F857)</f>
        <v>0</v>
      </c>
      <c r="M860" s="10" t="str">
        <f>IF(Planilha1!G857="","",IF(Planilha1!G857=0,"",Planilha1!G857))</f>
        <v/>
      </c>
      <c r="N860" s="5">
        <f t="shared" si="105"/>
        <v>1</v>
      </c>
      <c r="O860" s="5">
        <f t="shared" si="106"/>
        <v>0</v>
      </c>
      <c r="P860" s="5">
        <f t="shared" si="107"/>
        <v>0</v>
      </c>
      <c r="Q860" s="5">
        <f t="shared" si="108"/>
        <v>2</v>
      </c>
      <c r="R860" s="8">
        <f t="shared" si="109"/>
        <v>0</v>
      </c>
      <c r="S860" s="8">
        <f t="shared" si="110"/>
        <v>0</v>
      </c>
      <c r="T860" s="3" t="str">
        <f t="shared" si="111"/>
        <v/>
      </c>
      <c r="V860" s="1" t="e">
        <f t="shared" si="112"/>
        <v>#VALUE!</v>
      </c>
    </row>
    <row r="861" spans="8:22" x14ac:dyDescent="0.3">
      <c r="H861" s="2" t="str">
        <f>IF(Planilha1!B858="","",Planilha1!B858)</f>
        <v>9:30p</v>
      </c>
      <c r="I861" s="2" t="str">
        <f>IF(Planilha1!C858="","",Planilha1!C858)</f>
        <v>Sacramento Kings</v>
      </c>
      <c r="J861" s="2">
        <f>IF(Planilha1!D858="","",Planilha1!D858)</f>
        <v>0</v>
      </c>
      <c r="K861" s="10" t="str">
        <f>IF(Planilha1!E858="","",IF(Planilha1!E858=0,"",Planilha1!E858))</f>
        <v>Los Angeles Clippers</v>
      </c>
      <c r="L861" s="10">
        <f>IF(Planilha1!F858="","",Planilha1!F858)</f>
        <v>0</v>
      </c>
      <c r="M861" s="10" t="str">
        <f>IF(Planilha1!G858="","",IF(Planilha1!G858=0,"",Planilha1!G858))</f>
        <v/>
      </c>
      <c r="N861" s="5">
        <f t="shared" si="105"/>
        <v>1</v>
      </c>
      <c r="O861" s="5">
        <f t="shared" si="106"/>
        <v>0</v>
      </c>
      <c r="P861" s="5">
        <f t="shared" si="107"/>
        <v>0</v>
      </c>
      <c r="Q861" s="5">
        <f t="shared" si="108"/>
        <v>2</v>
      </c>
      <c r="R861" s="8">
        <f t="shared" si="109"/>
        <v>0</v>
      </c>
      <c r="S861" s="8">
        <f t="shared" si="110"/>
        <v>0</v>
      </c>
      <c r="T861" s="3" t="str">
        <f t="shared" si="111"/>
        <v/>
      </c>
      <c r="V861" s="1" t="e">
        <f t="shared" si="112"/>
        <v>#VALUE!</v>
      </c>
    </row>
    <row r="862" spans="8:22" x14ac:dyDescent="0.3">
      <c r="H862" s="2" t="str">
        <f>IF(Planilha1!B859="","",Planilha1!B859)</f>
        <v>7:00p</v>
      </c>
      <c r="I862" s="2" t="str">
        <f>IF(Planilha1!C859="","",Planilha1!C859)</f>
        <v>Toronto Raptors</v>
      </c>
      <c r="J862" s="2">
        <f>IF(Planilha1!D859="","",Planilha1!D859)</f>
        <v>0</v>
      </c>
      <c r="K862" s="10" t="str">
        <f>IF(Planilha1!E859="","",IF(Planilha1!E859=0,"",Planilha1!E859))</f>
        <v>Indiana Pacers</v>
      </c>
      <c r="L862" s="10">
        <f>IF(Planilha1!F859="","",Planilha1!F859)</f>
        <v>0</v>
      </c>
      <c r="M862" s="10" t="str">
        <f>IF(Planilha1!G859="","",IF(Planilha1!G859=0,"",Planilha1!G859))</f>
        <v/>
      </c>
      <c r="N862" s="5">
        <f t="shared" si="105"/>
        <v>1</v>
      </c>
      <c r="O862" s="5">
        <f t="shared" si="106"/>
        <v>0</v>
      </c>
      <c r="P862" s="5">
        <f t="shared" si="107"/>
        <v>0</v>
      </c>
      <c r="Q862" s="5">
        <f t="shared" si="108"/>
        <v>2</v>
      </c>
      <c r="R862" s="8">
        <f t="shared" si="109"/>
        <v>0</v>
      </c>
      <c r="S862" s="8">
        <f t="shared" si="110"/>
        <v>0</v>
      </c>
      <c r="T862" s="3" t="str">
        <f t="shared" si="111"/>
        <v/>
      </c>
      <c r="V862" s="1" t="e">
        <f t="shared" si="112"/>
        <v>#VALUE!</v>
      </c>
    </row>
    <row r="863" spans="8:22" x14ac:dyDescent="0.3">
      <c r="H863" s="2" t="str">
        <f>IF(Planilha1!B860="","",Planilha1!B860)</f>
        <v>7:30p</v>
      </c>
      <c r="I863" s="2" t="str">
        <f>IF(Planilha1!C860="","",Planilha1!C860)</f>
        <v>Detroit Pistons</v>
      </c>
      <c r="J863" s="2">
        <f>IF(Planilha1!D860="","",Planilha1!D860)</f>
        <v>0</v>
      </c>
      <c r="K863" s="10" t="str">
        <f>IF(Planilha1!E860="","",IF(Planilha1!E860=0,"",Planilha1!E860))</f>
        <v>New York Knicks</v>
      </c>
      <c r="L863" s="10">
        <f>IF(Planilha1!F860="","",Planilha1!F860)</f>
        <v>0</v>
      </c>
      <c r="M863" s="10" t="str">
        <f>IF(Planilha1!G860="","",IF(Planilha1!G860=0,"",Planilha1!G860))</f>
        <v/>
      </c>
      <c r="N863" s="5">
        <f t="shared" si="105"/>
        <v>1</v>
      </c>
      <c r="O863" s="5">
        <f t="shared" si="106"/>
        <v>0</v>
      </c>
      <c r="P863" s="5">
        <f t="shared" si="107"/>
        <v>0</v>
      </c>
      <c r="Q863" s="5">
        <f t="shared" si="108"/>
        <v>2</v>
      </c>
      <c r="R863" s="8">
        <f t="shared" si="109"/>
        <v>0</v>
      </c>
      <c r="S863" s="8">
        <f t="shared" si="110"/>
        <v>0</v>
      </c>
      <c r="T863" s="3" t="str">
        <f t="shared" si="111"/>
        <v/>
      </c>
      <c r="V863" s="1" t="e">
        <f t="shared" si="112"/>
        <v>#VALUE!</v>
      </c>
    </row>
    <row r="864" spans="8:22" x14ac:dyDescent="0.3">
      <c r="H864" s="2" t="str">
        <f>IF(Planilha1!B861="","",Planilha1!B861)</f>
        <v>8:00p</v>
      </c>
      <c r="I864" s="2" t="str">
        <f>IF(Planilha1!C861="","",Planilha1!C861)</f>
        <v>Brooklyn Nets</v>
      </c>
      <c r="J864" s="2">
        <f>IF(Planilha1!D861="","",Planilha1!D861)</f>
        <v>0</v>
      </c>
      <c r="K864" s="10" t="str">
        <f>IF(Planilha1!E861="","",IF(Planilha1!E861=0,"",Planilha1!E861))</f>
        <v>Memphis Grizzlies</v>
      </c>
      <c r="L864" s="10">
        <f>IF(Planilha1!F861="","",Planilha1!F861)</f>
        <v>0</v>
      </c>
      <c r="M864" s="10" t="str">
        <f>IF(Planilha1!G861="","",IF(Planilha1!G861=0,"",Planilha1!G861))</f>
        <v/>
      </c>
      <c r="N864" s="5">
        <f t="shared" si="105"/>
        <v>1</v>
      </c>
      <c r="O864" s="5">
        <f t="shared" si="106"/>
        <v>0</v>
      </c>
      <c r="P864" s="5">
        <f t="shared" si="107"/>
        <v>0</v>
      </c>
      <c r="Q864" s="5">
        <f t="shared" si="108"/>
        <v>2</v>
      </c>
      <c r="R864" s="8">
        <f t="shared" si="109"/>
        <v>0</v>
      </c>
      <c r="S864" s="8">
        <f t="shared" si="110"/>
        <v>0</v>
      </c>
      <c r="T864" s="3" t="str">
        <f t="shared" si="111"/>
        <v/>
      </c>
      <c r="V864" s="1" t="e">
        <f t="shared" si="112"/>
        <v>#VALUE!</v>
      </c>
    </row>
    <row r="865" spans="8:22" x14ac:dyDescent="0.3">
      <c r="H865" s="2" t="str">
        <f>IF(Planilha1!B862="","",Planilha1!B862)</f>
        <v>10:00p</v>
      </c>
      <c r="I865" s="2" t="str">
        <f>IF(Planilha1!C862="","",Planilha1!C862)</f>
        <v>Miami Heat</v>
      </c>
      <c r="J865" s="2">
        <f>IF(Planilha1!D862="","",Planilha1!D862)</f>
        <v>0</v>
      </c>
      <c r="K865" s="10" t="str">
        <f>IF(Planilha1!E862="","",IF(Planilha1!E862=0,"",Planilha1!E862))</f>
        <v>Sacramento Kings</v>
      </c>
      <c r="L865" s="10">
        <f>IF(Planilha1!F862="","",Planilha1!F862)</f>
        <v>0</v>
      </c>
      <c r="M865" s="10" t="str">
        <f>IF(Planilha1!G862="","",IF(Planilha1!G862=0,"",Planilha1!G862))</f>
        <v/>
      </c>
      <c r="N865" s="5">
        <f t="shared" si="105"/>
        <v>1</v>
      </c>
      <c r="O865" s="5">
        <f t="shared" si="106"/>
        <v>0</v>
      </c>
      <c r="P865" s="5">
        <f t="shared" si="107"/>
        <v>0</v>
      </c>
      <c r="Q865" s="5">
        <f t="shared" si="108"/>
        <v>2</v>
      </c>
      <c r="R865" s="8">
        <f t="shared" si="109"/>
        <v>0</v>
      </c>
      <c r="S865" s="8">
        <f t="shared" si="110"/>
        <v>0</v>
      </c>
      <c r="T865" s="3" t="str">
        <f t="shared" si="111"/>
        <v/>
      </c>
      <c r="V865" s="1" t="e">
        <f t="shared" si="112"/>
        <v>#VALUE!</v>
      </c>
    </row>
    <row r="866" spans="8:22" x14ac:dyDescent="0.3">
      <c r="H866" s="2" t="str">
        <f>IF(Planilha1!B863="","",Planilha1!B863)</f>
        <v>7:00p</v>
      </c>
      <c r="I866" s="2" t="str">
        <f>IF(Planilha1!C863="","",Planilha1!C863)</f>
        <v>Dallas Mavericks</v>
      </c>
      <c r="J866" s="2">
        <f>IF(Planilha1!D863="","",Planilha1!D863)</f>
        <v>0</v>
      </c>
      <c r="K866" s="10" t="str">
        <f>IF(Planilha1!E863="","",IF(Planilha1!E863=0,"",Planilha1!E863))</f>
        <v>Cleveland Cavaliers</v>
      </c>
      <c r="L866" s="10">
        <f>IF(Planilha1!F863="","",Planilha1!F863)</f>
        <v>0</v>
      </c>
      <c r="M866" s="10" t="str">
        <f>IF(Planilha1!G863="","",IF(Planilha1!G863=0,"",Planilha1!G863))</f>
        <v/>
      </c>
      <c r="N866" s="5">
        <f t="shared" si="105"/>
        <v>1</v>
      </c>
      <c r="O866" s="5">
        <f t="shared" si="106"/>
        <v>0</v>
      </c>
      <c r="P866" s="5">
        <f t="shared" si="107"/>
        <v>0</v>
      </c>
      <c r="Q866" s="5">
        <f t="shared" si="108"/>
        <v>2</v>
      </c>
      <c r="R866" s="8">
        <f t="shared" si="109"/>
        <v>0</v>
      </c>
      <c r="S866" s="8">
        <f t="shared" si="110"/>
        <v>0</v>
      </c>
      <c r="T866" s="3" t="str">
        <f t="shared" si="111"/>
        <v/>
      </c>
      <c r="V866" s="1" t="e">
        <f t="shared" si="112"/>
        <v>#VALUE!</v>
      </c>
    </row>
    <row r="867" spans="8:22" x14ac:dyDescent="0.3">
      <c r="H867" s="2" t="str">
        <f>IF(Planilha1!B864="","",Planilha1!B864)</f>
        <v>7:00p</v>
      </c>
      <c r="I867" s="2" t="str">
        <f>IF(Planilha1!C864="","",Planilha1!C864)</f>
        <v>Brooklyn Nets</v>
      </c>
      <c r="J867" s="2">
        <f>IF(Planilha1!D864="","",Planilha1!D864)</f>
        <v>0</v>
      </c>
      <c r="K867" s="10" t="str">
        <f>IF(Planilha1!E864="","",IF(Planilha1!E864=0,"",Planilha1!E864))</f>
        <v>Orlando Magic</v>
      </c>
      <c r="L867" s="10">
        <f>IF(Planilha1!F864="","",Planilha1!F864)</f>
        <v>0</v>
      </c>
      <c r="M867" s="10" t="str">
        <f>IF(Planilha1!G864="","",IF(Planilha1!G864=0,"",Planilha1!G864))</f>
        <v/>
      </c>
      <c r="N867" s="5">
        <f t="shared" si="105"/>
        <v>1</v>
      </c>
      <c r="O867" s="5">
        <f t="shared" si="106"/>
        <v>0</v>
      </c>
      <c r="P867" s="5">
        <f t="shared" si="107"/>
        <v>0</v>
      </c>
      <c r="Q867" s="5">
        <f t="shared" si="108"/>
        <v>2</v>
      </c>
      <c r="R867" s="8">
        <f t="shared" si="109"/>
        <v>0</v>
      </c>
      <c r="S867" s="8">
        <f t="shared" si="110"/>
        <v>0</v>
      </c>
      <c r="T867" s="3" t="str">
        <f t="shared" si="111"/>
        <v/>
      </c>
      <c r="V867" s="1" t="e">
        <f t="shared" si="112"/>
        <v>#VALUE!</v>
      </c>
    </row>
    <row r="868" spans="8:22" x14ac:dyDescent="0.3">
      <c r="H868" s="2" t="str">
        <f>IF(Planilha1!B865="","",Planilha1!B865)</f>
        <v>7:00p</v>
      </c>
      <c r="I868" s="2" t="str">
        <f>IF(Planilha1!C865="","",Planilha1!C865)</f>
        <v>Golden State Warriors</v>
      </c>
      <c r="J868" s="2">
        <f>IF(Planilha1!D865="","",Planilha1!D865)</f>
        <v>0</v>
      </c>
      <c r="K868" s="10" t="str">
        <f>IF(Planilha1!E865="","",IF(Planilha1!E865=0,"",Planilha1!E865))</f>
        <v>Washington Wizards</v>
      </c>
      <c r="L868" s="10">
        <f>IF(Planilha1!F865="","",Planilha1!F865)</f>
        <v>0</v>
      </c>
      <c r="M868" s="10" t="str">
        <f>IF(Planilha1!G865="","",IF(Planilha1!G865=0,"",Planilha1!G865))</f>
        <v/>
      </c>
      <c r="N868" s="5">
        <f t="shared" si="105"/>
        <v>1</v>
      </c>
      <c r="O868" s="5">
        <f t="shared" si="106"/>
        <v>0</v>
      </c>
      <c r="P868" s="5">
        <f t="shared" si="107"/>
        <v>0</v>
      </c>
      <c r="Q868" s="5">
        <f t="shared" si="108"/>
        <v>2</v>
      </c>
      <c r="R868" s="8">
        <f t="shared" si="109"/>
        <v>0</v>
      </c>
      <c r="S868" s="8">
        <f t="shared" si="110"/>
        <v>0</v>
      </c>
      <c r="T868" s="3" t="str">
        <f t="shared" si="111"/>
        <v/>
      </c>
      <c r="V868" s="1" t="e">
        <f t="shared" si="112"/>
        <v>#VALUE!</v>
      </c>
    </row>
    <row r="869" spans="8:22" x14ac:dyDescent="0.3">
      <c r="H869" s="2" t="str">
        <f>IF(Planilha1!B866="","",Planilha1!B866)</f>
        <v>7:30p</v>
      </c>
      <c r="I869" s="2" t="str">
        <f>IF(Planilha1!C866="","",Planilha1!C866)</f>
        <v>Utah Jazz</v>
      </c>
      <c r="J869" s="2">
        <f>IF(Planilha1!D866="","",Planilha1!D866)</f>
        <v>0</v>
      </c>
      <c r="K869" s="10" t="str">
        <f>IF(Planilha1!E866="","",IF(Planilha1!E866=0,"",Planilha1!E866))</f>
        <v>Atlanta Hawks</v>
      </c>
      <c r="L869" s="10">
        <f>IF(Planilha1!F866="","",Planilha1!F866)</f>
        <v>0</v>
      </c>
      <c r="M869" s="10" t="str">
        <f>IF(Planilha1!G866="","",IF(Planilha1!G866=0,"",Planilha1!G866))</f>
        <v/>
      </c>
      <c r="N869" s="5">
        <f t="shared" si="105"/>
        <v>1</v>
      </c>
      <c r="O869" s="5">
        <f t="shared" si="106"/>
        <v>0</v>
      </c>
      <c r="P869" s="5">
        <f t="shared" si="107"/>
        <v>0</v>
      </c>
      <c r="Q869" s="5">
        <f t="shared" si="108"/>
        <v>2</v>
      </c>
      <c r="R869" s="8">
        <f t="shared" si="109"/>
        <v>0</v>
      </c>
      <c r="S869" s="8">
        <f t="shared" si="110"/>
        <v>0</v>
      </c>
      <c r="T869" s="3" t="str">
        <f t="shared" si="111"/>
        <v/>
      </c>
      <c r="V869" s="1" t="e">
        <f t="shared" si="112"/>
        <v>#VALUE!</v>
      </c>
    </row>
    <row r="870" spans="8:22" x14ac:dyDescent="0.3">
      <c r="H870" s="2" t="str">
        <f>IF(Planilha1!B867="","",Planilha1!B867)</f>
        <v>7:30p</v>
      </c>
      <c r="I870" s="2" t="str">
        <f>IF(Planilha1!C867="","",Planilha1!C867)</f>
        <v>Philadelphia 76ers</v>
      </c>
      <c r="J870" s="2">
        <f>IF(Planilha1!D867="","",Planilha1!D867)</f>
        <v>0</v>
      </c>
      <c r="K870" s="10" t="str">
        <f>IF(Planilha1!E867="","",IF(Planilha1!E867=0,"",Planilha1!E867))</f>
        <v>Boston Celtics</v>
      </c>
      <c r="L870" s="10">
        <f>IF(Planilha1!F867="","",Planilha1!F867)</f>
        <v>0</v>
      </c>
      <c r="M870" s="10" t="str">
        <f>IF(Planilha1!G867="","",IF(Planilha1!G867=0,"",Planilha1!G867))</f>
        <v/>
      </c>
      <c r="N870" s="5">
        <f t="shared" si="105"/>
        <v>1</v>
      </c>
      <c r="O870" s="5">
        <f t="shared" si="106"/>
        <v>0</v>
      </c>
      <c r="P870" s="5">
        <f t="shared" si="107"/>
        <v>0</v>
      </c>
      <c r="Q870" s="5">
        <f t="shared" si="108"/>
        <v>2</v>
      </c>
      <c r="R870" s="8">
        <f t="shared" si="109"/>
        <v>0</v>
      </c>
      <c r="S870" s="8">
        <f t="shared" si="110"/>
        <v>0</v>
      </c>
      <c r="T870" s="3" t="str">
        <f t="shared" si="111"/>
        <v/>
      </c>
      <c r="V870" s="1" t="e">
        <f t="shared" si="112"/>
        <v>#VALUE!</v>
      </c>
    </row>
    <row r="871" spans="8:22" x14ac:dyDescent="0.3">
      <c r="H871" s="2" t="str">
        <f>IF(Planilha1!B868="","",Planilha1!B868)</f>
        <v>7:30p</v>
      </c>
      <c r="I871" s="2" t="str">
        <f>IF(Planilha1!C868="","",Planilha1!C868)</f>
        <v>San Antonio Spurs</v>
      </c>
      <c r="J871" s="2">
        <f>IF(Planilha1!D868="","",Planilha1!D868)</f>
        <v>0</v>
      </c>
      <c r="K871" s="10" t="str">
        <f>IF(Planilha1!E868="","",IF(Planilha1!E868=0,"",Planilha1!E868))</f>
        <v>Minnesota Timberwolves</v>
      </c>
      <c r="L871" s="10">
        <f>IF(Planilha1!F868="","",Planilha1!F868)</f>
        <v>0</v>
      </c>
      <c r="M871" s="10" t="str">
        <f>IF(Planilha1!G868="","",IF(Planilha1!G868=0,"",Planilha1!G868))</f>
        <v/>
      </c>
      <c r="N871" s="5">
        <f t="shared" si="105"/>
        <v>1</v>
      </c>
      <c r="O871" s="5">
        <f t="shared" si="106"/>
        <v>0</v>
      </c>
      <c r="P871" s="5">
        <f t="shared" si="107"/>
        <v>0</v>
      </c>
      <c r="Q871" s="5">
        <f t="shared" si="108"/>
        <v>2</v>
      </c>
      <c r="R871" s="8">
        <f t="shared" si="109"/>
        <v>0</v>
      </c>
      <c r="S871" s="8">
        <f t="shared" si="110"/>
        <v>0</v>
      </c>
      <c r="T871" s="3" t="str">
        <f t="shared" si="111"/>
        <v/>
      </c>
      <c r="V871" s="1" t="e">
        <f t="shared" si="112"/>
        <v>#VALUE!</v>
      </c>
    </row>
    <row r="872" spans="8:22" x14ac:dyDescent="0.3">
      <c r="H872" s="2" t="str">
        <f>IF(Planilha1!B869="","",Planilha1!B869)</f>
        <v>7:30p</v>
      </c>
      <c r="I872" s="2" t="str">
        <f>IF(Planilha1!C869="","",Planilha1!C869)</f>
        <v>New Orleans Pelicans</v>
      </c>
      <c r="J872" s="2">
        <f>IF(Planilha1!D869="","",Planilha1!D869)</f>
        <v>0</v>
      </c>
      <c r="K872" s="10" t="str">
        <f>IF(Planilha1!E869="","",IF(Planilha1!E869=0,"",Planilha1!E869))</f>
        <v>New York Knicks</v>
      </c>
      <c r="L872" s="10">
        <f>IF(Planilha1!F869="","",Planilha1!F869)</f>
        <v>0</v>
      </c>
      <c r="M872" s="10" t="str">
        <f>IF(Planilha1!G869="","",IF(Planilha1!G869=0,"",Planilha1!G869))</f>
        <v/>
      </c>
      <c r="N872" s="5">
        <f t="shared" si="105"/>
        <v>1</v>
      </c>
      <c r="O872" s="5">
        <f t="shared" si="106"/>
        <v>0</v>
      </c>
      <c r="P872" s="5">
        <f t="shared" si="107"/>
        <v>0</v>
      </c>
      <c r="Q872" s="5">
        <f t="shared" si="108"/>
        <v>2</v>
      </c>
      <c r="R872" s="8">
        <f t="shared" si="109"/>
        <v>0</v>
      </c>
      <c r="S872" s="8">
        <f t="shared" si="110"/>
        <v>0</v>
      </c>
      <c r="T872" s="3" t="str">
        <f t="shared" si="111"/>
        <v/>
      </c>
      <c r="V872" s="1" t="e">
        <f t="shared" si="112"/>
        <v>#VALUE!</v>
      </c>
    </row>
    <row r="873" spans="8:22" x14ac:dyDescent="0.3">
      <c r="H873" s="2" t="str">
        <f>IF(Planilha1!B870="","",Planilha1!B870)</f>
        <v>8:00p</v>
      </c>
      <c r="I873" s="2" t="str">
        <f>IF(Planilha1!C870="","",Planilha1!C870)</f>
        <v>Detroit Pistons</v>
      </c>
      <c r="J873" s="2">
        <f>IF(Planilha1!D870="","",Planilha1!D870)</f>
        <v>0</v>
      </c>
      <c r="K873" s="10" t="str">
        <f>IF(Planilha1!E870="","",IF(Planilha1!E870=0,"",Planilha1!E870))</f>
        <v>Chicago Bulls</v>
      </c>
      <c r="L873" s="10">
        <f>IF(Planilha1!F870="","",Planilha1!F870)</f>
        <v>0</v>
      </c>
      <c r="M873" s="10" t="str">
        <f>IF(Planilha1!G870="","",IF(Planilha1!G870=0,"",Planilha1!G870))</f>
        <v/>
      </c>
      <c r="N873" s="5">
        <f t="shared" si="105"/>
        <v>1</v>
      </c>
      <c r="O873" s="5">
        <f t="shared" si="106"/>
        <v>0</v>
      </c>
      <c r="P873" s="5">
        <f t="shared" si="107"/>
        <v>0</v>
      </c>
      <c r="Q873" s="5">
        <f t="shared" si="108"/>
        <v>2</v>
      </c>
      <c r="R873" s="8">
        <f t="shared" si="109"/>
        <v>0</v>
      </c>
      <c r="S873" s="8">
        <f t="shared" si="110"/>
        <v>0</v>
      </c>
      <c r="T873" s="3" t="str">
        <f t="shared" si="111"/>
        <v/>
      </c>
      <c r="V873" s="1" t="e">
        <f t="shared" si="112"/>
        <v>#VALUE!</v>
      </c>
    </row>
    <row r="874" spans="8:22" x14ac:dyDescent="0.3">
      <c r="H874" s="2" t="str">
        <f>IF(Planilha1!B871="","",Planilha1!B871)</f>
        <v>8:00p</v>
      </c>
      <c r="I874" s="2" t="str">
        <f>IF(Planilha1!C871="","",Planilha1!C871)</f>
        <v>Charlotte Hornets</v>
      </c>
      <c r="J874" s="2">
        <f>IF(Planilha1!D871="","",Planilha1!D871)</f>
        <v>0</v>
      </c>
      <c r="K874" s="10" t="str">
        <f>IF(Planilha1!E871="","",IF(Planilha1!E871=0,"",Planilha1!E871))</f>
        <v>Milwaukee Bucks</v>
      </c>
      <c r="L874" s="10">
        <f>IF(Planilha1!F871="","",Planilha1!F871)</f>
        <v>0</v>
      </c>
      <c r="M874" s="10" t="str">
        <f>IF(Planilha1!G871="","",IF(Planilha1!G871=0,"",Planilha1!G871))</f>
        <v/>
      </c>
      <c r="N874" s="5">
        <f t="shared" si="105"/>
        <v>1</v>
      </c>
      <c r="O874" s="5">
        <f t="shared" si="106"/>
        <v>0</v>
      </c>
      <c r="P874" s="5">
        <f t="shared" si="107"/>
        <v>0</v>
      </c>
      <c r="Q874" s="5">
        <f t="shared" si="108"/>
        <v>2</v>
      </c>
      <c r="R874" s="8">
        <f t="shared" si="109"/>
        <v>0</v>
      </c>
      <c r="S874" s="8">
        <f t="shared" si="110"/>
        <v>0</v>
      </c>
      <c r="T874" s="3" t="str">
        <f t="shared" si="111"/>
        <v/>
      </c>
      <c r="V874" s="1" t="e">
        <f t="shared" si="112"/>
        <v>#VALUE!</v>
      </c>
    </row>
    <row r="875" spans="8:22" x14ac:dyDescent="0.3">
      <c r="H875" s="2" t="str">
        <f>IF(Planilha1!B872="","",Planilha1!B872)</f>
        <v>10:00p</v>
      </c>
      <c r="I875" s="2" t="str">
        <f>IF(Planilha1!C872="","",Planilha1!C872)</f>
        <v>Houston Rockets</v>
      </c>
      <c r="J875" s="2">
        <f>IF(Planilha1!D872="","",Planilha1!D872)</f>
        <v>0</v>
      </c>
      <c r="K875" s="10" t="str">
        <f>IF(Planilha1!E872="","",IF(Planilha1!E872=0,"",Planilha1!E872))</f>
        <v>Oklahoma City Thunder</v>
      </c>
      <c r="L875" s="10">
        <f>IF(Planilha1!F872="","",Planilha1!F872)</f>
        <v>0</v>
      </c>
      <c r="M875" s="10" t="str">
        <f>IF(Planilha1!G872="","",IF(Planilha1!G872=0,"",Planilha1!G872))</f>
        <v/>
      </c>
      <c r="N875" s="5">
        <f t="shared" si="105"/>
        <v>1</v>
      </c>
      <c r="O875" s="5">
        <f t="shared" si="106"/>
        <v>0</v>
      </c>
      <c r="P875" s="5">
        <f t="shared" si="107"/>
        <v>0</v>
      </c>
      <c r="Q875" s="5">
        <f t="shared" si="108"/>
        <v>2</v>
      </c>
      <c r="R875" s="8">
        <f t="shared" si="109"/>
        <v>0</v>
      </c>
      <c r="S875" s="8">
        <f t="shared" si="110"/>
        <v>0</v>
      </c>
      <c r="T875" s="3" t="str">
        <f t="shared" si="111"/>
        <v/>
      </c>
      <c r="V875" s="1" t="e">
        <f t="shared" si="112"/>
        <v>#VALUE!</v>
      </c>
    </row>
    <row r="876" spans="8:22" x14ac:dyDescent="0.3">
      <c r="H876" s="2" t="str">
        <f>IF(Planilha1!B873="","",Planilha1!B873)</f>
        <v>10:00p</v>
      </c>
      <c r="I876" s="2" t="str">
        <f>IF(Planilha1!C873="","",Planilha1!C873)</f>
        <v>Miami Heat</v>
      </c>
      <c r="J876" s="2">
        <f>IF(Planilha1!D873="","",Planilha1!D873)</f>
        <v>0</v>
      </c>
      <c r="K876" s="10" t="str">
        <f>IF(Planilha1!E873="","",IF(Planilha1!E873=0,"",Planilha1!E873))</f>
        <v>Portland Trail Blazers</v>
      </c>
      <c r="L876" s="10">
        <f>IF(Planilha1!F873="","",Planilha1!F873)</f>
        <v>0</v>
      </c>
      <c r="M876" s="10" t="str">
        <f>IF(Planilha1!G873="","",IF(Planilha1!G873=0,"",Planilha1!G873))</f>
        <v/>
      </c>
      <c r="N876" s="5">
        <f t="shared" si="105"/>
        <v>1</v>
      </c>
      <c r="O876" s="5">
        <f t="shared" si="106"/>
        <v>0</v>
      </c>
      <c r="P876" s="5">
        <f t="shared" si="107"/>
        <v>0</v>
      </c>
      <c r="Q876" s="5">
        <f t="shared" si="108"/>
        <v>2</v>
      </c>
      <c r="R876" s="8">
        <f t="shared" si="109"/>
        <v>0</v>
      </c>
      <c r="S876" s="8">
        <f t="shared" si="110"/>
        <v>0</v>
      </c>
      <c r="T876" s="3" t="str">
        <f t="shared" si="111"/>
        <v/>
      </c>
      <c r="V876" s="1" t="e">
        <f t="shared" si="112"/>
        <v>#VALUE!</v>
      </c>
    </row>
    <row r="877" spans="8:22" x14ac:dyDescent="0.3">
      <c r="H877" s="2" t="str">
        <f>IF(Planilha1!B874="","",Planilha1!B874)</f>
        <v>7:00p</v>
      </c>
      <c r="I877" s="2" t="str">
        <f>IF(Planilha1!C874="","",Planilha1!C874)</f>
        <v>New Orleans Pelicans</v>
      </c>
      <c r="J877" s="2">
        <f>IF(Planilha1!D874="","",Planilha1!D874)</f>
        <v>0</v>
      </c>
      <c r="K877" s="10" t="str">
        <f>IF(Planilha1!E874="","",IF(Planilha1!E874=0,"",Planilha1!E874))</f>
        <v>Indiana Pacers</v>
      </c>
      <c r="L877" s="10">
        <f>IF(Planilha1!F874="","",Planilha1!F874)</f>
        <v>0</v>
      </c>
      <c r="M877" s="10" t="str">
        <f>IF(Planilha1!G874="","",IF(Planilha1!G874=0,"",Planilha1!G874))</f>
        <v/>
      </c>
      <c r="N877" s="5">
        <f t="shared" si="105"/>
        <v>1</v>
      </c>
      <c r="O877" s="5">
        <f t="shared" si="106"/>
        <v>0</v>
      </c>
      <c r="P877" s="5">
        <f t="shared" si="107"/>
        <v>0</v>
      </c>
      <c r="Q877" s="5">
        <f t="shared" si="108"/>
        <v>2</v>
      </c>
      <c r="R877" s="8">
        <f t="shared" si="109"/>
        <v>0</v>
      </c>
      <c r="S877" s="8">
        <f t="shared" si="110"/>
        <v>0</v>
      </c>
      <c r="T877" s="3" t="str">
        <f t="shared" si="111"/>
        <v/>
      </c>
      <c r="V877" s="1" t="e">
        <f t="shared" si="112"/>
        <v>#VALUE!</v>
      </c>
    </row>
    <row r="878" spans="8:22" x14ac:dyDescent="0.3">
      <c r="H878" s="2" t="str">
        <f>IF(Planilha1!B875="","",Planilha1!B875)</f>
        <v>7:30p</v>
      </c>
      <c r="I878" s="2" t="str">
        <f>IF(Planilha1!C875="","",Planilha1!C875)</f>
        <v>Memphis Grizzlies</v>
      </c>
      <c r="J878" s="2">
        <f>IF(Planilha1!D875="","",Planilha1!D875)</f>
        <v>0</v>
      </c>
      <c r="K878" s="10" t="str">
        <f>IF(Planilha1!E875="","",IF(Planilha1!E875=0,"",Planilha1!E875))</f>
        <v>Minnesota Timberwolves</v>
      </c>
      <c r="L878" s="10">
        <f>IF(Planilha1!F875="","",Planilha1!F875)</f>
        <v>0</v>
      </c>
      <c r="M878" s="10" t="str">
        <f>IF(Planilha1!G875="","",IF(Planilha1!G875=0,"",Planilha1!G875))</f>
        <v/>
      </c>
      <c r="N878" s="5">
        <f t="shared" si="105"/>
        <v>1</v>
      </c>
      <c r="O878" s="5">
        <f t="shared" si="106"/>
        <v>0</v>
      </c>
      <c r="P878" s="5">
        <f t="shared" si="107"/>
        <v>0</v>
      </c>
      <c r="Q878" s="5">
        <f t="shared" si="108"/>
        <v>2</v>
      </c>
      <c r="R878" s="8">
        <f t="shared" si="109"/>
        <v>0</v>
      </c>
      <c r="S878" s="8">
        <f t="shared" si="110"/>
        <v>0</v>
      </c>
      <c r="T878" s="3" t="str">
        <f t="shared" si="111"/>
        <v/>
      </c>
      <c r="V878" s="1" t="e">
        <f t="shared" si="112"/>
        <v>#VALUE!</v>
      </c>
    </row>
    <row r="879" spans="8:22" x14ac:dyDescent="0.3">
      <c r="H879" s="2" t="str">
        <f>IF(Planilha1!B876="","",Planilha1!B876)</f>
        <v>7:30p</v>
      </c>
      <c r="I879" s="2" t="str">
        <f>IF(Planilha1!C876="","",Planilha1!C876)</f>
        <v>Dallas Mavericks</v>
      </c>
      <c r="J879" s="2">
        <f>IF(Planilha1!D876="","",Planilha1!D876)</f>
        <v>0</v>
      </c>
      <c r="K879" s="10" t="str">
        <f>IF(Planilha1!E876="","",IF(Planilha1!E876=0,"",Planilha1!E876))</f>
        <v>Toronto Raptors</v>
      </c>
      <c r="L879" s="10">
        <f>IF(Planilha1!F876="","",Planilha1!F876)</f>
        <v>0</v>
      </c>
      <c r="M879" s="10" t="str">
        <f>IF(Planilha1!G876="","",IF(Planilha1!G876=0,"",Planilha1!G876))</f>
        <v/>
      </c>
      <c r="N879" s="5">
        <f t="shared" si="105"/>
        <v>1</v>
      </c>
      <c r="O879" s="5">
        <f t="shared" si="106"/>
        <v>0</v>
      </c>
      <c r="P879" s="5">
        <f t="shared" si="107"/>
        <v>0</v>
      </c>
      <c r="Q879" s="5">
        <f t="shared" si="108"/>
        <v>2</v>
      </c>
      <c r="R879" s="8">
        <f t="shared" si="109"/>
        <v>0</v>
      </c>
      <c r="S879" s="8">
        <f t="shared" si="110"/>
        <v>0</v>
      </c>
      <c r="T879" s="3" t="str">
        <f t="shared" si="111"/>
        <v/>
      </c>
      <c r="V879" s="1" t="e">
        <f t="shared" si="112"/>
        <v>#VALUE!</v>
      </c>
    </row>
    <row r="880" spans="8:22" x14ac:dyDescent="0.3">
      <c r="H880" s="2" t="str">
        <f>IF(Planilha1!B877="","",Planilha1!B877)</f>
        <v>8:00p</v>
      </c>
      <c r="I880" s="2" t="str">
        <f>IF(Planilha1!C877="","",Planilha1!C877)</f>
        <v>Cleveland Cavaliers</v>
      </c>
      <c r="J880" s="2">
        <f>IF(Planilha1!D877="","",Planilha1!D877)</f>
        <v>0</v>
      </c>
      <c r="K880" s="10" t="str">
        <f>IF(Planilha1!E877="","",IF(Planilha1!E877=0,"",Planilha1!E877))</f>
        <v>Chicago Bulls</v>
      </c>
      <c r="L880" s="10">
        <f>IF(Planilha1!F877="","",Planilha1!F877)</f>
        <v>0</v>
      </c>
      <c r="M880" s="10" t="str">
        <f>IF(Planilha1!G877="","",IF(Planilha1!G877=0,"",Planilha1!G877))</f>
        <v/>
      </c>
      <c r="N880" s="5">
        <f t="shared" si="105"/>
        <v>1</v>
      </c>
      <c r="O880" s="5">
        <f t="shared" si="106"/>
        <v>0</v>
      </c>
      <c r="P880" s="5">
        <f t="shared" si="107"/>
        <v>0</v>
      </c>
      <c r="Q880" s="5">
        <f t="shared" si="108"/>
        <v>2</v>
      </c>
      <c r="R880" s="8">
        <f t="shared" si="109"/>
        <v>0</v>
      </c>
      <c r="S880" s="8">
        <f t="shared" si="110"/>
        <v>0</v>
      </c>
      <c r="T880" s="3" t="str">
        <f t="shared" si="111"/>
        <v/>
      </c>
      <c r="V880" s="1" t="e">
        <f t="shared" si="112"/>
        <v>#VALUE!</v>
      </c>
    </row>
    <row r="881" spans="8:22" x14ac:dyDescent="0.3">
      <c r="H881" s="2" t="str">
        <f>IF(Planilha1!B878="","",Planilha1!B878)</f>
        <v>9:00p</v>
      </c>
      <c r="I881" s="2" t="str">
        <f>IF(Planilha1!C878="","",Planilha1!C878)</f>
        <v>Sacramento Kings</v>
      </c>
      <c r="J881" s="2">
        <f>IF(Planilha1!D878="","",Planilha1!D878)</f>
        <v>0</v>
      </c>
      <c r="K881" s="10" t="str">
        <f>IF(Planilha1!E878="","",IF(Planilha1!E878=0,"",Planilha1!E878))</f>
        <v>Denver Nuggets</v>
      </c>
      <c r="L881" s="10">
        <f>IF(Planilha1!F878="","",Planilha1!F878)</f>
        <v>0</v>
      </c>
      <c r="M881" s="10" t="str">
        <f>IF(Planilha1!G878="","",IF(Planilha1!G878=0,"",Planilha1!G878))</f>
        <v/>
      </c>
      <c r="N881" s="5">
        <f t="shared" si="105"/>
        <v>1</v>
      </c>
      <c r="O881" s="5">
        <f t="shared" si="106"/>
        <v>0</v>
      </c>
      <c r="P881" s="5">
        <f t="shared" si="107"/>
        <v>0</v>
      </c>
      <c r="Q881" s="5">
        <f t="shared" si="108"/>
        <v>2</v>
      </c>
      <c r="R881" s="8">
        <f t="shared" si="109"/>
        <v>0</v>
      </c>
      <c r="S881" s="8">
        <f t="shared" si="110"/>
        <v>0</v>
      </c>
      <c r="T881" s="3" t="str">
        <f t="shared" si="111"/>
        <v/>
      </c>
      <c r="V881" s="1" t="e">
        <f t="shared" si="112"/>
        <v>#VALUE!</v>
      </c>
    </row>
    <row r="882" spans="8:22" x14ac:dyDescent="0.3">
      <c r="H882" s="2" t="str">
        <f>IF(Planilha1!B879="","",Planilha1!B879)</f>
        <v>10:00p</v>
      </c>
      <c r="I882" s="2" t="str">
        <f>IF(Planilha1!C879="","",Planilha1!C879)</f>
        <v>Los Angeles Lakers</v>
      </c>
      <c r="J882" s="2">
        <f>IF(Planilha1!D879="","",Planilha1!D879)</f>
        <v>0</v>
      </c>
      <c r="K882" s="10" t="str">
        <f>IF(Planilha1!E879="","",IF(Planilha1!E879=0,"",Planilha1!E879))</f>
        <v>Los Angeles Clippers</v>
      </c>
      <c r="L882" s="10">
        <f>IF(Planilha1!F879="","",Planilha1!F879)</f>
        <v>0</v>
      </c>
      <c r="M882" s="10" t="str">
        <f>IF(Planilha1!G879="","",IF(Planilha1!G879=0,"",Planilha1!G879))</f>
        <v/>
      </c>
      <c r="N882" s="5">
        <f t="shared" si="105"/>
        <v>1</v>
      </c>
      <c r="O882" s="5">
        <f t="shared" si="106"/>
        <v>0</v>
      </c>
      <c r="P882" s="5">
        <f t="shared" si="107"/>
        <v>0</v>
      </c>
      <c r="Q882" s="5">
        <f t="shared" si="108"/>
        <v>2</v>
      </c>
      <c r="R882" s="8">
        <f t="shared" si="109"/>
        <v>0</v>
      </c>
      <c r="S882" s="8">
        <f t="shared" si="110"/>
        <v>0</v>
      </c>
      <c r="T882" s="3" t="str">
        <f t="shared" si="111"/>
        <v/>
      </c>
      <c r="V882" s="1" t="e">
        <f t="shared" si="112"/>
        <v>#VALUE!</v>
      </c>
    </row>
    <row r="883" spans="8:22" x14ac:dyDescent="0.3">
      <c r="H883" s="2" t="str">
        <f>IF(Planilha1!B880="","",Planilha1!B880)</f>
        <v>7:00p</v>
      </c>
      <c r="I883" s="2" t="str">
        <f>IF(Planilha1!C880="","",Planilha1!C880)</f>
        <v>Milwaukee Bucks</v>
      </c>
      <c r="J883" s="2">
        <f>IF(Planilha1!D880="","",Planilha1!D880)</f>
        <v>0</v>
      </c>
      <c r="K883" s="10" t="str">
        <f>IF(Planilha1!E880="","",IF(Planilha1!E880=0,"",Planilha1!E880))</f>
        <v>Charlotte Hornets</v>
      </c>
      <c r="L883" s="10">
        <f>IF(Planilha1!F880="","",Planilha1!F880)</f>
        <v>0</v>
      </c>
      <c r="M883" s="10" t="str">
        <f>IF(Planilha1!G880="","",IF(Planilha1!G880=0,"",Planilha1!G880))</f>
        <v/>
      </c>
      <c r="N883" s="5">
        <f t="shared" si="105"/>
        <v>1</v>
      </c>
      <c r="O883" s="5">
        <f t="shared" si="106"/>
        <v>0</v>
      </c>
      <c r="P883" s="5">
        <f t="shared" si="107"/>
        <v>0</v>
      </c>
      <c r="Q883" s="5">
        <f t="shared" si="108"/>
        <v>2</v>
      </c>
      <c r="R883" s="8">
        <f t="shared" si="109"/>
        <v>0</v>
      </c>
      <c r="S883" s="8">
        <f t="shared" si="110"/>
        <v>0</v>
      </c>
      <c r="T883" s="3" t="str">
        <f t="shared" si="111"/>
        <v/>
      </c>
      <c r="V883" s="1" t="e">
        <f t="shared" si="112"/>
        <v>#VALUE!</v>
      </c>
    </row>
    <row r="884" spans="8:22" x14ac:dyDescent="0.3">
      <c r="H884" s="2" t="str">
        <f>IF(Planilha1!B881="","",Planilha1!B881)</f>
        <v>7:00p</v>
      </c>
      <c r="I884" s="2" t="str">
        <f>IF(Planilha1!C881="","",Planilha1!C881)</f>
        <v>Utah Jazz</v>
      </c>
      <c r="J884" s="2">
        <f>IF(Planilha1!D881="","",Planilha1!D881)</f>
        <v>0</v>
      </c>
      <c r="K884" s="10" t="str">
        <f>IF(Planilha1!E881="","",IF(Planilha1!E881=0,"",Planilha1!E881))</f>
        <v>Orlando Magic</v>
      </c>
      <c r="L884" s="10">
        <f>IF(Planilha1!F881="","",Planilha1!F881)</f>
        <v>0</v>
      </c>
      <c r="M884" s="10" t="str">
        <f>IF(Planilha1!G881="","",IF(Planilha1!G881=0,"",Planilha1!G881))</f>
        <v/>
      </c>
      <c r="N884" s="5">
        <f t="shared" si="105"/>
        <v>1</v>
      </c>
      <c r="O884" s="5">
        <f t="shared" si="106"/>
        <v>0</v>
      </c>
      <c r="P884" s="5">
        <f t="shared" si="107"/>
        <v>0</v>
      </c>
      <c r="Q884" s="5">
        <f t="shared" si="108"/>
        <v>2</v>
      </c>
      <c r="R884" s="8">
        <f t="shared" si="109"/>
        <v>0</v>
      </c>
      <c r="S884" s="8">
        <f t="shared" si="110"/>
        <v>0</v>
      </c>
      <c r="T884" s="3" t="str">
        <f t="shared" si="111"/>
        <v/>
      </c>
      <c r="V884" s="1" t="e">
        <f t="shared" si="112"/>
        <v>#VALUE!</v>
      </c>
    </row>
    <row r="885" spans="8:22" x14ac:dyDescent="0.3">
      <c r="H885" s="2" t="str">
        <f>IF(Planilha1!B882="","",Planilha1!B882)</f>
        <v>7:30p</v>
      </c>
      <c r="I885" s="2" t="str">
        <f>IF(Planilha1!C882="","",Planilha1!C882)</f>
        <v>Atlanta Hawks</v>
      </c>
      <c r="J885" s="2">
        <f>IF(Planilha1!D882="","",Planilha1!D882)</f>
        <v>0</v>
      </c>
      <c r="K885" s="10" t="str">
        <f>IF(Planilha1!E882="","",IF(Planilha1!E882=0,"",Planilha1!E882))</f>
        <v>Brooklyn Nets</v>
      </c>
      <c r="L885" s="10">
        <f>IF(Planilha1!F882="","",Planilha1!F882)</f>
        <v>0</v>
      </c>
      <c r="M885" s="10" t="str">
        <f>IF(Planilha1!G882="","",IF(Planilha1!G882=0,"",Planilha1!G882))</f>
        <v/>
      </c>
      <c r="N885" s="5">
        <f t="shared" si="105"/>
        <v>1</v>
      </c>
      <c r="O885" s="5">
        <f t="shared" si="106"/>
        <v>0</v>
      </c>
      <c r="P885" s="5">
        <f t="shared" si="107"/>
        <v>0</v>
      </c>
      <c r="Q885" s="5">
        <f t="shared" si="108"/>
        <v>2</v>
      </c>
      <c r="R885" s="8">
        <f t="shared" si="109"/>
        <v>0</v>
      </c>
      <c r="S885" s="8">
        <f t="shared" si="110"/>
        <v>0</v>
      </c>
      <c r="T885" s="3" t="str">
        <f t="shared" si="111"/>
        <v/>
      </c>
      <c r="V885" s="1" t="e">
        <f t="shared" si="112"/>
        <v>#VALUE!</v>
      </c>
    </row>
    <row r="886" spans="8:22" x14ac:dyDescent="0.3">
      <c r="H886" s="2" t="str">
        <f>IF(Planilha1!B883="","",Planilha1!B883)</f>
        <v>7:30p</v>
      </c>
      <c r="I886" s="2" t="str">
        <f>IF(Planilha1!C883="","",Planilha1!C883)</f>
        <v>Golden State Warriors</v>
      </c>
      <c r="J886" s="2">
        <f>IF(Planilha1!D883="","",Planilha1!D883)</f>
        <v>0</v>
      </c>
      <c r="K886" s="10" t="str">
        <f>IF(Planilha1!E883="","",IF(Planilha1!E883=0,"",Planilha1!E883))</f>
        <v>New York Knicks</v>
      </c>
      <c r="L886" s="10">
        <f>IF(Planilha1!F883="","",Planilha1!F883)</f>
        <v>0</v>
      </c>
      <c r="M886" s="10" t="str">
        <f>IF(Planilha1!G883="","",IF(Planilha1!G883=0,"",Planilha1!G883))</f>
        <v/>
      </c>
      <c r="N886" s="5">
        <f t="shared" si="105"/>
        <v>1</v>
      </c>
      <c r="O886" s="5">
        <f t="shared" si="106"/>
        <v>0</v>
      </c>
      <c r="P886" s="5">
        <f t="shared" si="107"/>
        <v>0</v>
      </c>
      <c r="Q886" s="5">
        <f t="shared" si="108"/>
        <v>2</v>
      </c>
      <c r="R886" s="8">
        <f t="shared" si="109"/>
        <v>0</v>
      </c>
      <c r="S886" s="8">
        <f t="shared" si="110"/>
        <v>0</v>
      </c>
      <c r="T886" s="3" t="str">
        <f t="shared" si="111"/>
        <v/>
      </c>
      <c r="V886" s="1" t="e">
        <f t="shared" si="112"/>
        <v>#VALUE!</v>
      </c>
    </row>
    <row r="887" spans="8:22" x14ac:dyDescent="0.3">
      <c r="H887" s="2" t="str">
        <f>IF(Planilha1!B884="","",Planilha1!B884)</f>
        <v>8:30p</v>
      </c>
      <c r="I887" s="2" t="str">
        <f>IF(Planilha1!C884="","",Planilha1!C884)</f>
        <v>Oklahoma City Thunder</v>
      </c>
      <c r="J887" s="2">
        <f>IF(Planilha1!D884="","",Planilha1!D884)</f>
        <v>0</v>
      </c>
      <c r="K887" s="10" t="str">
        <f>IF(Planilha1!E884="","",IF(Planilha1!E884=0,"",Planilha1!E884))</f>
        <v>San Antonio Spurs</v>
      </c>
      <c r="L887" s="10">
        <f>IF(Planilha1!F884="","",Planilha1!F884)</f>
        <v>0</v>
      </c>
      <c r="M887" s="10" t="str">
        <f>IF(Planilha1!G884="","",IF(Planilha1!G884=0,"",Planilha1!G884))</f>
        <v/>
      </c>
      <c r="N887" s="5">
        <f t="shared" si="105"/>
        <v>1</v>
      </c>
      <c r="O887" s="5">
        <f t="shared" si="106"/>
        <v>0</v>
      </c>
      <c r="P887" s="5">
        <f t="shared" si="107"/>
        <v>0</v>
      </c>
      <c r="Q887" s="5">
        <f t="shared" si="108"/>
        <v>2</v>
      </c>
      <c r="R887" s="8">
        <f t="shared" si="109"/>
        <v>0</v>
      </c>
      <c r="S887" s="8">
        <f t="shared" si="110"/>
        <v>0</v>
      </c>
      <c r="T887" s="3" t="str">
        <f t="shared" si="111"/>
        <v/>
      </c>
      <c r="V887" s="1" t="e">
        <f t="shared" si="112"/>
        <v>#VALUE!</v>
      </c>
    </row>
    <row r="888" spans="8:22" x14ac:dyDescent="0.3">
      <c r="H888" s="2" t="str">
        <f>IF(Planilha1!B885="","",Planilha1!B885)</f>
        <v>9:00p</v>
      </c>
      <c r="I888" s="2" t="str">
        <f>IF(Planilha1!C885="","",Planilha1!C885)</f>
        <v>Houston Rockets</v>
      </c>
      <c r="J888" s="2">
        <f>IF(Planilha1!D885="","",Planilha1!D885)</f>
        <v>0</v>
      </c>
      <c r="K888" s="10" t="str">
        <f>IF(Planilha1!E885="","",IF(Planilha1!E885=0,"",Planilha1!E885))</f>
        <v>Phoenix Suns</v>
      </c>
      <c r="L888" s="10">
        <f>IF(Planilha1!F885="","",Planilha1!F885)</f>
        <v>0</v>
      </c>
      <c r="M888" s="10" t="str">
        <f>IF(Planilha1!G885="","",IF(Planilha1!G885=0,"",Planilha1!G885))</f>
        <v/>
      </c>
      <c r="N888" s="5">
        <f t="shared" si="105"/>
        <v>1</v>
      </c>
      <c r="O888" s="5">
        <f t="shared" si="106"/>
        <v>0</v>
      </c>
      <c r="P888" s="5">
        <f t="shared" si="107"/>
        <v>0</v>
      </c>
      <c r="Q888" s="5">
        <f t="shared" si="108"/>
        <v>2</v>
      </c>
      <c r="R888" s="8">
        <f t="shared" si="109"/>
        <v>0</v>
      </c>
      <c r="S888" s="8">
        <f t="shared" si="110"/>
        <v>0</v>
      </c>
      <c r="T888" s="3" t="str">
        <f t="shared" si="111"/>
        <v/>
      </c>
      <c r="V888" s="1" t="e">
        <f t="shared" si="112"/>
        <v>#VALUE!</v>
      </c>
    </row>
    <row r="889" spans="8:22" x14ac:dyDescent="0.3">
      <c r="H889" s="2" t="str">
        <f>IF(Planilha1!B886="","",Planilha1!B886)</f>
        <v>10:00p</v>
      </c>
      <c r="I889" s="2" t="str">
        <f>IF(Planilha1!C886="","",Planilha1!C886)</f>
        <v>Miami Heat</v>
      </c>
      <c r="J889" s="2">
        <f>IF(Planilha1!D886="","",Planilha1!D886)</f>
        <v>0</v>
      </c>
      <c r="K889" s="10" t="str">
        <f>IF(Planilha1!E886="","",IF(Planilha1!E886=0,"",Planilha1!E886))</f>
        <v>Denver Nuggets</v>
      </c>
      <c r="L889" s="10">
        <f>IF(Planilha1!F886="","",Planilha1!F886)</f>
        <v>0</v>
      </c>
      <c r="M889" s="10" t="str">
        <f>IF(Planilha1!G886="","",IF(Planilha1!G886=0,"",Planilha1!G886))</f>
        <v/>
      </c>
      <c r="N889" s="5">
        <f t="shared" si="105"/>
        <v>1</v>
      </c>
      <c r="O889" s="5">
        <f t="shared" si="106"/>
        <v>0</v>
      </c>
      <c r="P889" s="5">
        <f t="shared" si="107"/>
        <v>0</v>
      </c>
      <c r="Q889" s="5">
        <f t="shared" si="108"/>
        <v>2</v>
      </c>
      <c r="R889" s="8">
        <f t="shared" si="109"/>
        <v>0</v>
      </c>
      <c r="S889" s="8">
        <f t="shared" si="110"/>
        <v>0</v>
      </c>
      <c r="T889" s="3" t="str">
        <f t="shared" si="111"/>
        <v/>
      </c>
      <c r="V889" s="1" t="e">
        <f t="shared" si="112"/>
        <v>#VALUE!</v>
      </c>
    </row>
    <row r="890" spans="8:22" x14ac:dyDescent="0.3">
      <c r="H890" s="2" t="str">
        <f>IF(Planilha1!B887="","",Planilha1!B887)</f>
        <v>10:30p</v>
      </c>
      <c r="I890" s="2" t="str">
        <f>IF(Planilha1!C887="","",Planilha1!C887)</f>
        <v>Washington Wizards</v>
      </c>
      <c r="J890" s="2">
        <f>IF(Planilha1!D887="","",Planilha1!D887)</f>
        <v>0</v>
      </c>
      <c r="K890" s="10" t="str">
        <f>IF(Planilha1!E887="","",IF(Planilha1!E887=0,"",Planilha1!E887))</f>
        <v>Los Angeles Lakers</v>
      </c>
      <c r="L890" s="10">
        <f>IF(Planilha1!F887="","",Planilha1!F887)</f>
        <v>0</v>
      </c>
      <c r="M890" s="10" t="str">
        <f>IF(Planilha1!G887="","",IF(Planilha1!G887=0,"",Planilha1!G887))</f>
        <v/>
      </c>
      <c r="N890" s="5">
        <f t="shared" si="105"/>
        <v>1</v>
      </c>
      <c r="O890" s="5">
        <f t="shared" si="106"/>
        <v>0</v>
      </c>
      <c r="P890" s="5">
        <f t="shared" si="107"/>
        <v>0</v>
      </c>
      <c r="Q890" s="5">
        <f t="shared" si="108"/>
        <v>2</v>
      </c>
      <c r="R890" s="8">
        <f t="shared" si="109"/>
        <v>0</v>
      </c>
      <c r="S890" s="8">
        <f t="shared" si="110"/>
        <v>0</v>
      </c>
      <c r="T890" s="3" t="str">
        <f t="shared" si="111"/>
        <v/>
      </c>
      <c r="V890" s="1" t="e">
        <f t="shared" si="112"/>
        <v>#VALUE!</v>
      </c>
    </row>
    <row r="891" spans="8:22" x14ac:dyDescent="0.3">
      <c r="H891" s="2" t="str">
        <f>IF(Planilha1!B888="","",Planilha1!B888)</f>
        <v>7:00p</v>
      </c>
      <c r="I891" s="2" t="str">
        <f>IF(Planilha1!C888="","",Planilha1!C888)</f>
        <v>Cleveland Cavaliers</v>
      </c>
      <c r="J891" s="2">
        <f>IF(Planilha1!D888="","",Planilha1!D888)</f>
        <v>0</v>
      </c>
      <c r="K891" s="10" t="str">
        <f>IF(Planilha1!E888="","",IF(Planilha1!E888=0,"",Planilha1!E888))</f>
        <v>Detroit Pistons</v>
      </c>
      <c r="L891" s="10">
        <f>IF(Planilha1!F888="","",Planilha1!F888)</f>
        <v>0</v>
      </c>
      <c r="M891" s="10" t="str">
        <f>IF(Planilha1!G888="","",IF(Planilha1!G888=0,"",Planilha1!G888))</f>
        <v/>
      </c>
      <c r="N891" s="5">
        <f t="shared" si="105"/>
        <v>1</v>
      </c>
      <c r="O891" s="5">
        <f t="shared" si="106"/>
        <v>0</v>
      </c>
      <c r="P891" s="5">
        <f t="shared" si="107"/>
        <v>0</v>
      </c>
      <c r="Q891" s="5">
        <f t="shared" si="108"/>
        <v>2</v>
      </c>
      <c r="R891" s="8">
        <f t="shared" si="109"/>
        <v>0</v>
      </c>
      <c r="S891" s="8">
        <f t="shared" si="110"/>
        <v>0</v>
      </c>
      <c r="T891" s="3" t="str">
        <f t="shared" si="111"/>
        <v/>
      </c>
      <c r="V891" s="1" t="e">
        <f t="shared" si="112"/>
        <v>#VALUE!</v>
      </c>
    </row>
    <row r="892" spans="8:22" x14ac:dyDescent="0.3">
      <c r="H892" s="2" t="str">
        <f>IF(Planilha1!B889="","",Planilha1!B889)</f>
        <v>7:00p</v>
      </c>
      <c r="I892" s="2" t="str">
        <f>IF(Planilha1!C889="","",Planilha1!C889)</f>
        <v>Charlotte Hornets</v>
      </c>
      <c r="J892" s="2">
        <f>IF(Planilha1!D889="","",Planilha1!D889)</f>
        <v>0</v>
      </c>
      <c r="K892" s="10" t="str">
        <f>IF(Planilha1!E889="","",IF(Planilha1!E889=0,"",Planilha1!E889))</f>
        <v>Philadelphia 76ers</v>
      </c>
      <c r="L892" s="10">
        <f>IF(Planilha1!F889="","",Planilha1!F889)</f>
        <v>0</v>
      </c>
      <c r="M892" s="10" t="str">
        <f>IF(Planilha1!G889="","",IF(Planilha1!G889=0,"",Planilha1!G889))</f>
        <v/>
      </c>
      <c r="N892" s="5">
        <f t="shared" si="105"/>
        <v>1</v>
      </c>
      <c r="O892" s="5">
        <f t="shared" si="106"/>
        <v>0</v>
      </c>
      <c r="P892" s="5">
        <f t="shared" si="107"/>
        <v>0</v>
      </c>
      <c r="Q892" s="5">
        <f t="shared" si="108"/>
        <v>2</v>
      </c>
      <c r="R892" s="8">
        <f t="shared" si="109"/>
        <v>0</v>
      </c>
      <c r="S892" s="8">
        <f t="shared" si="110"/>
        <v>0</v>
      </c>
      <c r="T892" s="3" t="str">
        <f t="shared" si="111"/>
        <v/>
      </c>
      <c r="V892" s="1" t="e">
        <f t="shared" si="112"/>
        <v>#VALUE!</v>
      </c>
    </row>
    <row r="893" spans="8:22" x14ac:dyDescent="0.3">
      <c r="H893" s="2" t="str">
        <f>IF(Planilha1!B890="","",Planilha1!B890)</f>
        <v>7:30p</v>
      </c>
      <c r="I893" s="2" t="str">
        <f>IF(Planilha1!C890="","",Planilha1!C890)</f>
        <v>Dallas Mavericks</v>
      </c>
      <c r="J893" s="2">
        <f>IF(Planilha1!D890="","",Planilha1!D890)</f>
        <v>0</v>
      </c>
      <c r="K893" s="10" t="str">
        <f>IF(Planilha1!E890="","",IF(Planilha1!E890=0,"",Planilha1!E890))</f>
        <v>Boston Celtics</v>
      </c>
      <c r="L893" s="10">
        <f>IF(Planilha1!F890="","",Planilha1!F890)</f>
        <v>0</v>
      </c>
      <c r="M893" s="10" t="str">
        <f>IF(Planilha1!G890="","",IF(Planilha1!G890=0,"",Planilha1!G890))</f>
        <v/>
      </c>
      <c r="N893" s="5">
        <f t="shared" si="105"/>
        <v>1</v>
      </c>
      <c r="O893" s="5">
        <f t="shared" si="106"/>
        <v>0</v>
      </c>
      <c r="P893" s="5">
        <f t="shared" si="107"/>
        <v>0</v>
      </c>
      <c r="Q893" s="5">
        <f t="shared" si="108"/>
        <v>2</v>
      </c>
      <c r="R893" s="8">
        <f t="shared" si="109"/>
        <v>0</v>
      </c>
      <c r="S893" s="8">
        <f t="shared" si="110"/>
        <v>0</v>
      </c>
      <c r="T893" s="3" t="str">
        <f t="shared" si="111"/>
        <v/>
      </c>
      <c r="V893" s="1" t="e">
        <f t="shared" si="112"/>
        <v>#VALUE!</v>
      </c>
    </row>
    <row r="894" spans="8:22" x14ac:dyDescent="0.3">
      <c r="H894" s="2" t="str">
        <f>IF(Planilha1!B891="","",Planilha1!B891)</f>
        <v>7:30p</v>
      </c>
      <c r="I894" s="2" t="str">
        <f>IF(Planilha1!C891="","",Planilha1!C891)</f>
        <v>Golden State Warriors</v>
      </c>
      <c r="J894" s="2">
        <f>IF(Planilha1!D891="","",Planilha1!D891)</f>
        <v>0</v>
      </c>
      <c r="K894" s="10" t="str">
        <f>IF(Planilha1!E891="","",IF(Planilha1!E891=0,"",Planilha1!E891))</f>
        <v>Toronto Raptors</v>
      </c>
      <c r="L894" s="10">
        <f>IF(Planilha1!F891="","",Planilha1!F891)</f>
        <v>0</v>
      </c>
      <c r="M894" s="10" t="str">
        <f>IF(Planilha1!G891="","",IF(Planilha1!G891=0,"",Planilha1!G891))</f>
        <v/>
      </c>
      <c r="N894" s="5">
        <f t="shared" si="105"/>
        <v>1</v>
      </c>
      <c r="O894" s="5">
        <f t="shared" si="106"/>
        <v>0</v>
      </c>
      <c r="P894" s="5">
        <f t="shared" si="107"/>
        <v>0</v>
      </c>
      <c r="Q894" s="5">
        <f t="shared" si="108"/>
        <v>2</v>
      </c>
      <c r="R894" s="8">
        <f t="shared" si="109"/>
        <v>0</v>
      </c>
      <c r="S894" s="8">
        <f t="shared" si="110"/>
        <v>0</v>
      </c>
      <c r="T894" s="3" t="str">
        <f t="shared" si="111"/>
        <v/>
      </c>
      <c r="V894" s="1" t="e">
        <f t="shared" si="112"/>
        <v>#VALUE!</v>
      </c>
    </row>
    <row r="895" spans="8:22" x14ac:dyDescent="0.3">
      <c r="H895" s="2" t="str">
        <f>IF(Planilha1!B892="","",Planilha1!B892)</f>
        <v>8:00p</v>
      </c>
      <c r="I895" s="2" t="str">
        <f>IF(Planilha1!C892="","",Planilha1!C892)</f>
        <v>Portland Trail Blazers</v>
      </c>
      <c r="J895" s="2">
        <f>IF(Planilha1!D892="","",Planilha1!D892)</f>
        <v>0</v>
      </c>
      <c r="K895" s="10" t="str">
        <f>IF(Planilha1!E892="","",IF(Planilha1!E892=0,"",Planilha1!E892))</f>
        <v>Memphis Grizzlies</v>
      </c>
      <c r="L895" s="10">
        <f>IF(Planilha1!F892="","",Planilha1!F892)</f>
        <v>0</v>
      </c>
      <c r="M895" s="10" t="str">
        <f>IF(Planilha1!G892="","",IF(Planilha1!G892=0,"",Planilha1!G892))</f>
        <v/>
      </c>
      <c r="N895" s="5">
        <f t="shared" si="105"/>
        <v>1</v>
      </c>
      <c r="O895" s="5">
        <f t="shared" si="106"/>
        <v>0</v>
      </c>
      <c r="P895" s="5">
        <f t="shared" si="107"/>
        <v>0</v>
      </c>
      <c r="Q895" s="5">
        <f t="shared" si="108"/>
        <v>2</v>
      </c>
      <c r="R895" s="8">
        <f t="shared" si="109"/>
        <v>0</v>
      </c>
      <c r="S895" s="8">
        <f t="shared" si="110"/>
        <v>0</v>
      </c>
      <c r="T895" s="3" t="str">
        <f t="shared" si="111"/>
        <v/>
      </c>
      <c r="V895" s="1" t="e">
        <f t="shared" si="112"/>
        <v>#VALUE!</v>
      </c>
    </row>
    <row r="896" spans="8:22" x14ac:dyDescent="0.3">
      <c r="H896" s="2" t="str">
        <f>IF(Planilha1!B893="","",Planilha1!B893)</f>
        <v>8:00p</v>
      </c>
      <c r="I896" s="2" t="str">
        <f>IF(Planilha1!C893="","",Planilha1!C893)</f>
        <v>Sacramento Kings</v>
      </c>
      <c r="J896" s="2">
        <f>IF(Planilha1!D893="","",Planilha1!D893)</f>
        <v>0</v>
      </c>
      <c r="K896" s="10" t="str">
        <f>IF(Planilha1!E893="","",IF(Planilha1!E893=0,"",Planilha1!E893))</f>
        <v>Minnesota Timberwolves</v>
      </c>
      <c r="L896" s="10">
        <f>IF(Planilha1!F893="","",Planilha1!F893)</f>
        <v>0</v>
      </c>
      <c r="M896" s="10" t="str">
        <f>IF(Planilha1!G893="","",IF(Planilha1!G893=0,"",Planilha1!G893))</f>
        <v/>
      </c>
      <c r="N896" s="5">
        <f t="shared" si="105"/>
        <v>1</v>
      </c>
      <c r="O896" s="5">
        <f t="shared" si="106"/>
        <v>0</v>
      </c>
      <c r="P896" s="5">
        <f t="shared" si="107"/>
        <v>0</v>
      </c>
      <c r="Q896" s="5">
        <f t="shared" si="108"/>
        <v>2</v>
      </c>
      <c r="R896" s="8">
        <f t="shared" si="109"/>
        <v>0</v>
      </c>
      <c r="S896" s="8">
        <f t="shared" si="110"/>
        <v>0</v>
      </c>
      <c r="T896" s="3" t="str">
        <f t="shared" si="111"/>
        <v/>
      </c>
      <c r="V896" s="1" t="e">
        <f t="shared" si="112"/>
        <v>#VALUE!</v>
      </c>
    </row>
    <row r="897" spans="8:22" x14ac:dyDescent="0.3">
      <c r="H897" s="2" t="str">
        <f>IF(Planilha1!B894="","",Planilha1!B894)</f>
        <v>8:00p</v>
      </c>
      <c r="I897" s="2" t="str">
        <f>IF(Planilha1!C894="","",Planilha1!C894)</f>
        <v>Indiana Pacers</v>
      </c>
      <c r="J897" s="2">
        <f>IF(Planilha1!D894="","",Planilha1!D894)</f>
        <v>0</v>
      </c>
      <c r="K897" s="10" t="str">
        <f>IF(Planilha1!E894="","",IF(Planilha1!E894=0,"",Planilha1!E894))</f>
        <v>New Orleans Pelicans</v>
      </c>
      <c r="L897" s="10">
        <f>IF(Planilha1!F894="","",Planilha1!F894)</f>
        <v>0</v>
      </c>
      <c r="M897" s="10" t="str">
        <f>IF(Planilha1!G894="","",IF(Planilha1!G894=0,"",Planilha1!G894))</f>
        <v/>
      </c>
      <c r="N897" s="5">
        <f t="shared" si="105"/>
        <v>1</v>
      </c>
      <c r="O897" s="5">
        <f t="shared" si="106"/>
        <v>0</v>
      </c>
      <c r="P897" s="5">
        <f t="shared" si="107"/>
        <v>0</v>
      </c>
      <c r="Q897" s="5">
        <f t="shared" si="108"/>
        <v>2</v>
      </c>
      <c r="R897" s="8">
        <f t="shared" si="109"/>
        <v>0</v>
      </c>
      <c r="S897" s="8">
        <f t="shared" si="110"/>
        <v>0</v>
      </c>
      <c r="T897" s="3" t="str">
        <f t="shared" si="111"/>
        <v/>
      </c>
      <c r="V897" s="1" t="e">
        <f t="shared" si="112"/>
        <v>#VALUE!</v>
      </c>
    </row>
    <row r="898" spans="8:22" x14ac:dyDescent="0.3">
      <c r="H898" s="2" t="str">
        <f>IF(Planilha1!B895="","",Planilha1!B895)</f>
        <v>10:00p</v>
      </c>
      <c r="I898" s="2" t="str">
        <f>IF(Planilha1!C895="","",Planilha1!C895)</f>
        <v>Milwaukee Bucks</v>
      </c>
      <c r="J898" s="2">
        <f>IF(Planilha1!D895="","",Planilha1!D895)</f>
        <v>0</v>
      </c>
      <c r="K898" s="10" t="str">
        <f>IF(Planilha1!E895="","",IF(Planilha1!E895=0,"",Planilha1!E895))</f>
        <v>Chicago Bulls</v>
      </c>
      <c r="L898" s="10">
        <f>IF(Planilha1!F895="","",Planilha1!F895)</f>
        <v>0</v>
      </c>
      <c r="M898" s="10" t="str">
        <f>IF(Planilha1!G895="","",IF(Planilha1!G895=0,"",Planilha1!G895))</f>
        <v/>
      </c>
      <c r="N898" s="5">
        <f t="shared" si="105"/>
        <v>1</v>
      </c>
      <c r="O898" s="5">
        <f t="shared" si="106"/>
        <v>0</v>
      </c>
      <c r="P898" s="5">
        <f t="shared" si="107"/>
        <v>0</v>
      </c>
      <c r="Q898" s="5">
        <f t="shared" si="108"/>
        <v>2</v>
      </c>
      <c r="R898" s="8">
        <f t="shared" si="109"/>
        <v>0</v>
      </c>
      <c r="S898" s="8">
        <f t="shared" si="110"/>
        <v>0</v>
      </c>
      <c r="T898" s="3" t="str">
        <f t="shared" si="111"/>
        <v/>
      </c>
      <c r="V898" s="1" t="e">
        <f t="shared" si="112"/>
        <v>#VALUE!</v>
      </c>
    </row>
    <row r="899" spans="8:22" x14ac:dyDescent="0.3">
      <c r="H899" s="2" t="str">
        <f>IF(Planilha1!B896="","",Planilha1!B896)</f>
        <v>10:30p</v>
      </c>
      <c r="I899" s="2" t="str">
        <f>IF(Planilha1!C896="","",Planilha1!C896)</f>
        <v>Washington Wizards</v>
      </c>
      <c r="J899" s="2">
        <f>IF(Planilha1!D896="","",Planilha1!D896)</f>
        <v>0</v>
      </c>
      <c r="K899" s="10" t="str">
        <f>IF(Planilha1!E896="","",IF(Planilha1!E896=0,"",Planilha1!E896))</f>
        <v>Los Angeles Clippers</v>
      </c>
      <c r="L899" s="10">
        <f>IF(Planilha1!F896="","",Planilha1!F896)</f>
        <v>0</v>
      </c>
      <c r="M899" s="10" t="str">
        <f>IF(Planilha1!G896="","",IF(Planilha1!G896=0,"",Planilha1!G896))</f>
        <v/>
      </c>
      <c r="N899" s="5">
        <f t="shared" si="105"/>
        <v>1</v>
      </c>
      <c r="O899" s="5">
        <f t="shared" si="106"/>
        <v>0</v>
      </c>
      <c r="P899" s="5">
        <f t="shared" si="107"/>
        <v>0</v>
      </c>
      <c r="Q899" s="5">
        <f t="shared" si="108"/>
        <v>2</v>
      </c>
      <c r="R899" s="8">
        <f t="shared" si="109"/>
        <v>0</v>
      </c>
      <c r="S899" s="8">
        <f t="shared" si="110"/>
        <v>0</v>
      </c>
      <c r="T899" s="3" t="str">
        <f t="shared" si="111"/>
        <v/>
      </c>
      <c r="V899" s="1" t="e">
        <f t="shared" si="112"/>
        <v>#VALUE!</v>
      </c>
    </row>
    <row r="900" spans="8:22" x14ac:dyDescent="0.3">
      <c r="H900" s="2" t="str">
        <f>IF(Planilha1!B897="","",Planilha1!B897)</f>
        <v>3:00p</v>
      </c>
      <c r="I900" s="2" t="str">
        <f>IF(Planilha1!C897="","",Planilha1!C897)</f>
        <v>Atlanta Hawks</v>
      </c>
      <c r="J900" s="2">
        <f>IF(Planilha1!D897="","",Planilha1!D897)</f>
        <v>0</v>
      </c>
      <c r="K900" s="10" t="str">
        <f>IF(Planilha1!E897="","",IF(Planilha1!E897=0,"",Planilha1!E897))</f>
        <v>Brooklyn Nets</v>
      </c>
      <c r="L900" s="10">
        <f>IF(Planilha1!F897="","",Planilha1!F897)</f>
        <v>0</v>
      </c>
      <c r="M900" s="10" t="str">
        <f>IF(Planilha1!G897="","",IF(Planilha1!G897=0,"",Planilha1!G897))</f>
        <v/>
      </c>
      <c r="N900" s="5">
        <f t="shared" si="105"/>
        <v>1</v>
      </c>
      <c r="O900" s="5">
        <f t="shared" si="106"/>
        <v>0</v>
      </c>
      <c r="P900" s="5">
        <f t="shared" si="107"/>
        <v>0</v>
      </c>
      <c r="Q900" s="5">
        <f t="shared" si="108"/>
        <v>2</v>
      </c>
      <c r="R900" s="8">
        <f t="shared" si="109"/>
        <v>0</v>
      </c>
      <c r="S900" s="8">
        <f t="shared" si="110"/>
        <v>0</v>
      </c>
      <c r="T900" s="3" t="str">
        <f t="shared" si="111"/>
        <v/>
      </c>
      <c r="V900" s="1" t="e">
        <f t="shared" si="112"/>
        <v>#VALUE!</v>
      </c>
    </row>
    <row r="901" spans="8:22" x14ac:dyDescent="0.3">
      <c r="H901" s="2" t="str">
        <f>IF(Planilha1!B898="","",Planilha1!B898)</f>
        <v>5:00p</v>
      </c>
      <c r="I901" s="2" t="str">
        <f>IF(Planilha1!C898="","",Planilha1!C898)</f>
        <v>Utah Jazz</v>
      </c>
      <c r="J901" s="2">
        <f>IF(Planilha1!D898="","",Planilha1!D898)</f>
        <v>0</v>
      </c>
      <c r="K901" s="10" t="str">
        <f>IF(Planilha1!E898="","",IF(Planilha1!E898=0,"",Planilha1!E898))</f>
        <v>Miami Heat</v>
      </c>
      <c r="L901" s="10">
        <f>IF(Planilha1!F898="","",Planilha1!F898)</f>
        <v>0</v>
      </c>
      <c r="M901" s="10" t="str">
        <f>IF(Planilha1!G898="","",IF(Planilha1!G898=0,"",Planilha1!G898))</f>
        <v/>
      </c>
      <c r="N901" s="5">
        <f t="shared" si="105"/>
        <v>1</v>
      </c>
      <c r="O901" s="5">
        <f t="shared" si="106"/>
        <v>0</v>
      </c>
      <c r="P901" s="5">
        <f t="shared" si="107"/>
        <v>0</v>
      </c>
      <c r="Q901" s="5">
        <f t="shared" si="108"/>
        <v>2</v>
      </c>
      <c r="R901" s="8">
        <f t="shared" si="109"/>
        <v>0</v>
      </c>
      <c r="S901" s="8">
        <f t="shared" si="110"/>
        <v>0</v>
      </c>
      <c r="T901" s="3" t="str">
        <f t="shared" si="111"/>
        <v/>
      </c>
      <c r="V901" s="1" t="e">
        <f t="shared" si="112"/>
        <v>#VALUE!</v>
      </c>
    </row>
    <row r="902" spans="8:22" x14ac:dyDescent="0.3">
      <c r="H902" s="2" t="str">
        <f>IF(Planilha1!B899="","",Planilha1!B899)</f>
        <v>8:00p</v>
      </c>
      <c r="I902" s="2" t="str">
        <f>IF(Planilha1!C899="","",Planilha1!C899)</f>
        <v>Portland Trail Blazers</v>
      </c>
      <c r="J902" s="2">
        <f>IF(Planilha1!D899="","",Planilha1!D899)</f>
        <v>0</v>
      </c>
      <c r="K902" s="10" t="str">
        <f>IF(Planilha1!E899="","",IF(Planilha1!E899=0,"",Planilha1!E899))</f>
        <v>Memphis Grizzlies</v>
      </c>
      <c r="L902" s="10">
        <f>IF(Planilha1!F899="","",Planilha1!F899)</f>
        <v>0</v>
      </c>
      <c r="M902" s="10" t="str">
        <f>IF(Planilha1!G899="","",IF(Planilha1!G899=0,"",Planilha1!G899))</f>
        <v/>
      </c>
      <c r="N902" s="5">
        <f t="shared" ref="N902:N965" si="113">IF(K902="","",IF(K902&gt;M902,100%,0%))</f>
        <v>1</v>
      </c>
      <c r="O902" s="5">
        <f t="shared" ref="O902:O965" si="114">IF(K902="","",IF(K902&lt;M902,100%,0%))</f>
        <v>0</v>
      </c>
      <c r="P902" s="5">
        <f t="shared" ref="P902:P965" si="115">IF(M902="",IF(R902&gt;S902,2,0),IF(K902&lt;M902,2,0))</f>
        <v>0</v>
      </c>
      <c r="Q902" s="5">
        <f t="shared" ref="Q902:Q965" si="116">IF(M902="",IF(R902&gt;S902,0,2),IF(K902&gt;M902,2,0))</f>
        <v>2</v>
      </c>
      <c r="R902" s="8">
        <f t="shared" ref="R902:R965" si="117">SUMIF($B:$B,J902,$C:$C)+(SUMIF($B:$B,L902,$F:$F))</f>
        <v>0</v>
      </c>
      <c r="S902" s="8">
        <f t="shared" ref="S902:S965" si="118">SUMIF($B:$B,L902,$E:$E)+(SUMIF($B:$B,J902,$D:$D))</f>
        <v>0</v>
      </c>
      <c r="T902" s="3" t="str">
        <f t="shared" ref="T902:T965" si="119">IF(M902="","",(K902-S902)^2+(M902-R902)^2)</f>
        <v/>
      </c>
      <c r="V902" s="1" t="e">
        <f t="shared" ref="V902:V965" si="120">IF(O902="","",1/((M902-K902)/(R902-S902)))</f>
        <v>#VALUE!</v>
      </c>
    </row>
    <row r="903" spans="8:22" x14ac:dyDescent="0.3">
      <c r="H903" s="2" t="str">
        <f>IF(Planilha1!B900="","",Planilha1!B900)</f>
        <v>8:30p</v>
      </c>
      <c r="I903" s="2" t="str">
        <f>IF(Planilha1!C900="","",Planilha1!C900)</f>
        <v>Denver Nuggets</v>
      </c>
      <c r="J903" s="2">
        <f>IF(Planilha1!D900="","",Planilha1!D900)</f>
        <v>0</v>
      </c>
      <c r="K903" s="10" t="str">
        <f>IF(Planilha1!E900="","",IF(Planilha1!E900=0,"",Planilha1!E900))</f>
        <v>Los Angeles Lakers</v>
      </c>
      <c r="L903" s="10">
        <f>IF(Planilha1!F900="","",Planilha1!F900)</f>
        <v>0</v>
      </c>
      <c r="M903" s="10" t="str">
        <f>IF(Planilha1!G900="","",IF(Planilha1!G900=0,"",Planilha1!G900))</f>
        <v/>
      </c>
      <c r="N903" s="5">
        <f t="shared" si="113"/>
        <v>1</v>
      </c>
      <c r="O903" s="5">
        <f t="shared" si="114"/>
        <v>0</v>
      </c>
      <c r="P903" s="5">
        <f t="shared" si="115"/>
        <v>0</v>
      </c>
      <c r="Q903" s="5">
        <f t="shared" si="116"/>
        <v>2</v>
      </c>
      <c r="R903" s="8">
        <f t="shared" si="117"/>
        <v>0</v>
      </c>
      <c r="S903" s="8">
        <f t="shared" si="118"/>
        <v>0</v>
      </c>
      <c r="T903" s="3" t="str">
        <f t="shared" si="119"/>
        <v/>
      </c>
      <c r="V903" s="1" t="e">
        <f t="shared" si="120"/>
        <v>#VALUE!</v>
      </c>
    </row>
    <row r="904" spans="8:22" x14ac:dyDescent="0.3">
      <c r="H904" s="2" t="str">
        <f>IF(Planilha1!B901="","",Planilha1!B901)</f>
        <v>9:00p</v>
      </c>
      <c r="I904" s="2" t="str">
        <f>IF(Planilha1!C901="","",Planilha1!C901)</f>
        <v>Houston Rockets</v>
      </c>
      <c r="J904" s="2">
        <f>IF(Planilha1!D901="","",Planilha1!D901)</f>
        <v>0</v>
      </c>
      <c r="K904" s="10" t="str">
        <f>IF(Planilha1!E901="","",IF(Planilha1!E901=0,"",Planilha1!E901))</f>
        <v>Phoenix Suns</v>
      </c>
      <c r="L904" s="10">
        <f>IF(Planilha1!F901="","",Planilha1!F901)</f>
        <v>0</v>
      </c>
      <c r="M904" s="10" t="str">
        <f>IF(Planilha1!G901="","",IF(Planilha1!G901=0,"",Planilha1!G901))</f>
        <v/>
      </c>
      <c r="N904" s="5">
        <f t="shared" si="113"/>
        <v>1</v>
      </c>
      <c r="O904" s="5">
        <f t="shared" si="114"/>
        <v>0</v>
      </c>
      <c r="P904" s="5">
        <f t="shared" si="115"/>
        <v>0</v>
      </c>
      <c r="Q904" s="5">
        <f t="shared" si="116"/>
        <v>2</v>
      </c>
      <c r="R904" s="8">
        <f t="shared" si="117"/>
        <v>0</v>
      </c>
      <c r="S904" s="8">
        <f t="shared" si="118"/>
        <v>0</v>
      </c>
      <c r="T904" s="3" t="str">
        <f t="shared" si="119"/>
        <v/>
      </c>
      <c r="V904" s="1" t="e">
        <f t="shared" si="120"/>
        <v>#VALUE!</v>
      </c>
    </row>
    <row r="905" spans="8:22" x14ac:dyDescent="0.3">
      <c r="H905" s="2" t="str">
        <f>IF(Planilha1!B902="","",Planilha1!B902)</f>
        <v>1:00p</v>
      </c>
      <c r="I905" s="2" t="str">
        <f>IF(Planilha1!C902="","",Planilha1!C902)</f>
        <v>Philadelphia 76ers</v>
      </c>
      <c r="J905" s="2">
        <f>IF(Planilha1!D902="","",Planilha1!D902)</f>
        <v>0</v>
      </c>
      <c r="K905" s="10" t="str">
        <f>IF(Planilha1!E902="","",IF(Planilha1!E902=0,"",Planilha1!E902))</f>
        <v>Dallas Mavericks</v>
      </c>
      <c r="L905" s="10">
        <f>IF(Planilha1!F902="","",Planilha1!F902)</f>
        <v>0</v>
      </c>
      <c r="M905" s="10" t="str">
        <f>IF(Planilha1!G902="","",IF(Planilha1!G902=0,"",Planilha1!G902))</f>
        <v/>
      </c>
      <c r="N905" s="5">
        <f t="shared" si="113"/>
        <v>1</v>
      </c>
      <c r="O905" s="5">
        <f t="shared" si="114"/>
        <v>0</v>
      </c>
      <c r="P905" s="5">
        <f t="shared" si="115"/>
        <v>0</v>
      </c>
      <c r="Q905" s="5">
        <f t="shared" si="116"/>
        <v>2</v>
      </c>
      <c r="R905" s="8">
        <f t="shared" si="117"/>
        <v>0</v>
      </c>
      <c r="S905" s="8">
        <f t="shared" si="118"/>
        <v>0</v>
      </c>
      <c r="T905" s="3" t="str">
        <f t="shared" si="119"/>
        <v/>
      </c>
      <c r="V905" s="1" t="e">
        <f t="shared" si="120"/>
        <v>#VALUE!</v>
      </c>
    </row>
    <row r="906" spans="8:22" x14ac:dyDescent="0.3">
      <c r="H906" s="2" t="str">
        <f>IF(Planilha1!B903="","",Planilha1!B903)</f>
        <v>3:30p</v>
      </c>
      <c r="I906" s="2" t="str">
        <f>IF(Planilha1!C903="","",Planilha1!C903)</f>
        <v>Golden State Warriors</v>
      </c>
      <c r="J906" s="2">
        <f>IF(Planilha1!D903="","",Planilha1!D903)</f>
        <v>0</v>
      </c>
      <c r="K906" s="10" t="str">
        <f>IF(Planilha1!E903="","",IF(Planilha1!E903=0,"",Planilha1!E903))</f>
        <v>Boston Celtics</v>
      </c>
      <c r="L906" s="10">
        <f>IF(Planilha1!F903="","",Planilha1!F903)</f>
        <v>0</v>
      </c>
      <c r="M906" s="10" t="str">
        <f>IF(Planilha1!G903="","",IF(Planilha1!G903=0,"",Planilha1!G903))</f>
        <v/>
      </c>
      <c r="N906" s="5">
        <f t="shared" si="113"/>
        <v>1</v>
      </c>
      <c r="O906" s="5">
        <f t="shared" si="114"/>
        <v>0</v>
      </c>
      <c r="P906" s="5">
        <f t="shared" si="115"/>
        <v>0</v>
      </c>
      <c r="Q906" s="5">
        <f t="shared" si="116"/>
        <v>2</v>
      </c>
      <c r="R906" s="8">
        <f t="shared" si="117"/>
        <v>0</v>
      </c>
      <c r="S906" s="8">
        <f t="shared" si="118"/>
        <v>0</v>
      </c>
      <c r="T906" s="3" t="str">
        <f t="shared" si="119"/>
        <v/>
      </c>
      <c r="V906" s="1" t="e">
        <f t="shared" si="120"/>
        <v>#VALUE!</v>
      </c>
    </row>
    <row r="907" spans="8:22" x14ac:dyDescent="0.3">
      <c r="H907" s="2" t="str">
        <f>IF(Planilha1!B904="","",Planilha1!B904)</f>
        <v>3:30p</v>
      </c>
      <c r="I907" s="2" t="str">
        <f>IF(Planilha1!C904="","",Planilha1!C904)</f>
        <v>Los Angeles Clippers</v>
      </c>
      <c r="J907" s="2">
        <f>IF(Planilha1!D904="","",Planilha1!D904)</f>
        <v>0</v>
      </c>
      <c r="K907" s="10" t="str">
        <f>IF(Planilha1!E904="","",IF(Planilha1!E904=0,"",Planilha1!E904))</f>
        <v>Minnesota Timberwolves</v>
      </c>
      <c r="L907" s="10">
        <f>IF(Planilha1!F904="","",Planilha1!F904)</f>
        <v>0</v>
      </c>
      <c r="M907" s="10" t="str">
        <f>IF(Planilha1!G904="","",IF(Planilha1!G904=0,"",Planilha1!G904))</f>
        <v/>
      </c>
      <c r="N907" s="5">
        <f t="shared" si="113"/>
        <v>1</v>
      </c>
      <c r="O907" s="5">
        <f t="shared" si="114"/>
        <v>0</v>
      </c>
      <c r="P907" s="5">
        <f t="shared" si="115"/>
        <v>0</v>
      </c>
      <c r="Q907" s="5">
        <f t="shared" si="116"/>
        <v>2</v>
      </c>
      <c r="R907" s="8">
        <f t="shared" si="117"/>
        <v>0</v>
      </c>
      <c r="S907" s="8">
        <f t="shared" si="118"/>
        <v>0</v>
      </c>
      <c r="T907" s="3" t="str">
        <f t="shared" si="119"/>
        <v/>
      </c>
      <c r="V907" s="1" t="e">
        <f t="shared" si="120"/>
        <v>#VALUE!</v>
      </c>
    </row>
    <row r="908" spans="8:22" x14ac:dyDescent="0.3">
      <c r="H908" s="2" t="str">
        <f>IF(Planilha1!B905="","",Planilha1!B905)</f>
        <v>6:00p</v>
      </c>
      <c r="I908" s="2" t="str">
        <f>IF(Planilha1!C905="","",Planilha1!C905)</f>
        <v>Detroit Pistons</v>
      </c>
      <c r="J908" s="2">
        <f>IF(Planilha1!D905="","",Planilha1!D905)</f>
        <v>0</v>
      </c>
      <c r="K908" s="10" t="str">
        <f>IF(Planilha1!E905="","",IF(Planilha1!E905=0,"",Planilha1!E905))</f>
        <v>Orlando Magic</v>
      </c>
      <c r="L908" s="10">
        <f>IF(Planilha1!F905="","",Planilha1!F905)</f>
        <v>0</v>
      </c>
      <c r="M908" s="10" t="str">
        <f>IF(Planilha1!G905="","",IF(Planilha1!G905=0,"",Planilha1!G905))</f>
        <v/>
      </c>
      <c r="N908" s="5">
        <f t="shared" si="113"/>
        <v>1</v>
      </c>
      <c r="O908" s="5">
        <f t="shared" si="114"/>
        <v>0</v>
      </c>
      <c r="P908" s="5">
        <f t="shared" si="115"/>
        <v>0</v>
      </c>
      <c r="Q908" s="5">
        <f t="shared" si="116"/>
        <v>2</v>
      </c>
      <c r="R908" s="8">
        <f t="shared" si="117"/>
        <v>0</v>
      </c>
      <c r="S908" s="8">
        <f t="shared" si="118"/>
        <v>0</v>
      </c>
      <c r="T908" s="3" t="str">
        <f t="shared" si="119"/>
        <v/>
      </c>
      <c r="V908" s="1" t="e">
        <f t="shared" si="120"/>
        <v>#VALUE!</v>
      </c>
    </row>
    <row r="909" spans="8:22" x14ac:dyDescent="0.3">
      <c r="H909" s="2" t="str">
        <f>IF(Planilha1!B906="","",Planilha1!B906)</f>
        <v>6:00p</v>
      </c>
      <c r="I909" s="2" t="str">
        <f>IF(Planilha1!C906="","",Planilha1!C906)</f>
        <v>Charlotte Hornets</v>
      </c>
      <c r="J909" s="2">
        <f>IF(Planilha1!D906="","",Planilha1!D906)</f>
        <v>0</v>
      </c>
      <c r="K909" s="10" t="str">
        <f>IF(Planilha1!E906="","",IF(Planilha1!E906=0,"",Planilha1!E906))</f>
        <v>Toronto Raptors</v>
      </c>
      <c r="L909" s="10">
        <f>IF(Planilha1!F906="","",Planilha1!F906)</f>
        <v>0</v>
      </c>
      <c r="M909" s="10" t="str">
        <f>IF(Planilha1!G906="","",IF(Planilha1!G906=0,"",Planilha1!G906))</f>
        <v/>
      </c>
      <c r="N909" s="5">
        <f t="shared" si="113"/>
        <v>1</v>
      </c>
      <c r="O909" s="5">
        <f t="shared" si="114"/>
        <v>0</v>
      </c>
      <c r="P909" s="5">
        <f t="shared" si="115"/>
        <v>0</v>
      </c>
      <c r="Q909" s="5">
        <f t="shared" si="116"/>
        <v>2</v>
      </c>
      <c r="R909" s="8">
        <f t="shared" si="117"/>
        <v>0</v>
      </c>
      <c r="S909" s="8">
        <f t="shared" si="118"/>
        <v>0</v>
      </c>
      <c r="T909" s="3" t="str">
        <f t="shared" si="119"/>
        <v/>
      </c>
      <c r="V909" s="1" t="e">
        <f t="shared" si="120"/>
        <v>#VALUE!</v>
      </c>
    </row>
    <row r="910" spans="8:22" x14ac:dyDescent="0.3">
      <c r="H910" s="2" t="str">
        <f>IF(Planilha1!B907="","",Planilha1!B907)</f>
        <v>7:00p</v>
      </c>
      <c r="I910" s="2" t="str">
        <f>IF(Planilha1!C907="","",Planilha1!C907)</f>
        <v>New York Knicks</v>
      </c>
      <c r="J910" s="2">
        <f>IF(Planilha1!D907="","",Planilha1!D907)</f>
        <v>0</v>
      </c>
      <c r="K910" s="10" t="str">
        <f>IF(Planilha1!E907="","",IF(Planilha1!E907=0,"",Planilha1!E907))</f>
        <v>Cleveland Cavaliers</v>
      </c>
      <c r="L910" s="10">
        <f>IF(Planilha1!F907="","",Planilha1!F907)</f>
        <v>0</v>
      </c>
      <c r="M910" s="10" t="str">
        <f>IF(Planilha1!G907="","",IF(Planilha1!G907=0,"",Planilha1!G907))</f>
        <v/>
      </c>
      <c r="N910" s="5">
        <f t="shared" si="113"/>
        <v>1</v>
      </c>
      <c r="O910" s="5">
        <f t="shared" si="114"/>
        <v>0</v>
      </c>
      <c r="P910" s="5">
        <f t="shared" si="115"/>
        <v>0</v>
      </c>
      <c r="Q910" s="5">
        <f t="shared" si="116"/>
        <v>2</v>
      </c>
      <c r="R910" s="8">
        <f t="shared" si="117"/>
        <v>0</v>
      </c>
      <c r="S910" s="8">
        <f t="shared" si="118"/>
        <v>0</v>
      </c>
      <c r="T910" s="3" t="str">
        <f t="shared" si="119"/>
        <v/>
      </c>
      <c r="V910" s="1" t="e">
        <f t="shared" si="120"/>
        <v>#VALUE!</v>
      </c>
    </row>
    <row r="911" spans="8:22" x14ac:dyDescent="0.3">
      <c r="H911" s="2" t="str">
        <f>IF(Planilha1!B908="","",Planilha1!B908)</f>
        <v>7:00p</v>
      </c>
      <c r="I911" s="2" t="str">
        <f>IF(Planilha1!C908="","",Planilha1!C908)</f>
        <v>Indiana Pacers</v>
      </c>
      <c r="J911" s="2">
        <f>IF(Planilha1!D908="","",Planilha1!D908)</f>
        <v>0</v>
      </c>
      <c r="K911" s="10" t="str">
        <f>IF(Planilha1!E908="","",IF(Planilha1!E908=0,"",Planilha1!E908))</f>
        <v>San Antonio Spurs</v>
      </c>
      <c r="L911" s="10">
        <f>IF(Planilha1!F908="","",Planilha1!F908)</f>
        <v>0</v>
      </c>
      <c r="M911" s="10" t="str">
        <f>IF(Planilha1!G908="","",IF(Planilha1!G908=0,"",Planilha1!G908))</f>
        <v/>
      </c>
      <c r="N911" s="5">
        <f t="shared" si="113"/>
        <v>1</v>
      </c>
      <c r="O911" s="5">
        <f t="shared" si="114"/>
        <v>0</v>
      </c>
      <c r="P911" s="5">
        <f t="shared" si="115"/>
        <v>0</v>
      </c>
      <c r="Q911" s="5">
        <f t="shared" si="116"/>
        <v>2</v>
      </c>
      <c r="R911" s="8">
        <f t="shared" si="117"/>
        <v>0</v>
      </c>
      <c r="S911" s="8">
        <f t="shared" si="118"/>
        <v>0</v>
      </c>
      <c r="T911" s="3" t="str">
        <f t="shared" si="119"/>
        <v/>
      </c>
      <c r="V911" s="1" t="e">
        <f t="shared" si="120"/>
        <v>#VALUE!</v>
      </c>
    </row>
    <row r="912" spans="8:22" x14ac:dyDescent="0.3">
      <c r="H912" s="2" t="str">
        <f>IF(Planilha1!B909="","",Planilha1!B909)</f>
        <v>9:30p</v>
      </c>
      <c r="I912" s="2" t="str">
        <f>IF(Planilha1!C909="","",Planilha1!C909)</f>
        <v>Oklahoma City Thunder</v>
      </c>
      <c r="J912" s="2">
        <f>IF(Planilha1!D909="","",Planilha1!D909)</f>
        <v>0</v>
      </c>
      <c r="K912" s="10" t="str">
        <f>IF(Planilha1!E909="","",IF(Planilha1!E909=0,"",Planilha1!E909))</f>
        <v>Phoenix Suns</v>
      </c>
      <c r="L912" s="10">
        <f>IF(Planilha1!F909="","",Planilha1!F909)</f>
        <v>0</v>
      </c>
      <c r="M912" s="10" t="str">
        <f>IF(Planilha1!G909="","",IF(Planilha1!G909=0,"",Planilha1!G909))</f>
        <v/>
      </c>
      <c r="N912" s="5">
        <f t="shared" si="113"/>
        <v>1</v>
      </c>
      <c r="O912" s="5">
        <f t="shared" si="114"/>
        <v>0</v>
      </c>
      <c r="P912" s="5">
        <f t="shared" si="115"/>
        <v>0</v>
      </c>
      <c r="Q912" s="5">
        <f t="shared" si="116"/>
        <v>2</v>
      </c>
      <c r="R912" s="8">
        <f t="shared" si="117"/>
        <v>0</v>
      </c>
      <c r="S912" s="8">
        <f t="shared" si="118"/>
        <v>0</v>
      </c>
      <c r="T912" s="3" t="str">
        <f t="shared" si="119"/>
        <v/>
      </c>
      <c r="V912" s="1" t="e">
        <f t="shared" si="120"/>
        <v>#VALUE!</v>
      </c>
    </row>
    <row r="913" spans="8:22" x14ac:dyDescent="0.3">
      <c r="H913" s="2" t="str">
        <f>IF(Planilha1!B910="","",Planilha1!B910)</f>
        <v>7:30p</v>
      </c>
      <c r="I913" s="2" t="str">
        <f>IF(Planilha1!C910="","",Planilha1!C910)</f>
        <v>Memphis Grizzlies</v>
      </c>
      <c r="J913" s="2">
        <f>IF(Planilha1!D910="","",Planilha1!D910)</f>
        <v>0</v>
      </c>
      <c r="K913" s="10" t="str">
        <f>IF(Planilha1!E910="","",IF(Planilha1!E910=0,"",Planilha1!E910))</f>
        <v>Brooklyn Nets</v>
      </c>
      <c r="L913" s="10">
        <f>IF(Planilha1!F910="","",Planilha1!F910)</f>
        <v>0</v>
      </c>
      <c r="M913" s="10" t="str">
        <f>IF(Planilha1!G910="","",IF(Planilha1!G910=0,"",Planilha1!G910))</f>
        <v/>
      </c>
      <c r="N913" s="5">
        <f t="shared" si="113"/>
        <v>1</v>
      </c>
      <c r="O913" s="5">
        <f t="shared" si="114"/>
        <v>0</v>
      </c>
      <c r="P913" s="5">
        <f t="shared" si="115"/>
        <v>0</v>
      </c>
      <c r="Q913" s="5">
        <f t="shared" si="116"/>
        <v>2</v>
      </c>
      <c r="R913" s="8">
        <f t="shared" si="117"/>
        <v>0</v>
      </c>
      <c r="S913" s="8">
        <f t="shared" si="118"/>
        <v>0</v>
      </c>
      <c r="T913" s="3" t="str">
        <f t="shared" si="119"/>
        <v/>
      </c>
      <c r="V913" s="1" t="e">
        <f t="shared" si="120"/>
        <v>#VALUE!</v>
      </c>
    </row>
    <row r="914" spans="8:22" x14ac:dyDescent="0.3">
      <c r="H914" s="2" t="str">
        <f>IF(Planilha1!B911="","",Planilha1!B911)</f>
        <v>8:00p</v>
      </c>
      <c r="I914" s="2" t="str">
        <f>IF(Planilha1!C911="","",Planilha1!C911)</f>
        <v>Los Angeles Clippers</v>
      </c>
      <c r="J914" s="2">
        <f>IF(Planilha1!D911="","",Planilha1!D911)</f>
        <v>0</v>
      </c>
      <c r="K914" s="10" t="str">
        <f>IF(Planilha1!E911="","",IF(Planilha1!E911=0,"",Planilha1!E911))</f>
        <v>Milwaukee Bucks</v>
      </c>
      <c r="L914" s="10">
        <f>IF(Planilha1!F911="","",Planilha1!F911)</f>
        <v>0</v>
      </c>
      <c r="M914" s="10" t="str">
        <f>IF(Planilha1!G911="","",IF(Planilha1!G911=0,"",Planilha1!G911))</f>
        <v/>
      </c>
      <c r="N914" s="5">
        <f t="shared" si="113"/>
        <v>1</v>
      </c>
      <c r="O914" s="5">
        <f t="shared" si="114"/>
        <v>0</v>
      </c>
      <c r="P914" s="5">
        <f t="shared" si="115"/>
        <v>0</v>
      </c>
      <c r="Q914" s="5">
        <f t="shared" si="116"/>
        <v>2</v>
      </c>
      <c r="R914" s="8">
        <f t="shared" si="117"/>
        <v>0</v>
      </c>
      <c r="S914" s="8">
        <f t="shared" si="118"/>
        <v>0</v>
      </c>
      <c r="T914" s="3" t="str">
        <f t="shared" si="119"/>
        <v/>
      </c>
      <c r="V914" s="1" t="e">
        <f t="shared" si="120"/>
        <v>#VALUE!</v>
      </c>
    </row>
    <row r="915" spans="8:22" x14ac:dyDescent="0.3">
      <c r="H915" s="2" t="str">
        <f>IF(Planilha1!B912="","",Planilha1!B912)</f>
        <v>8:00p</v>
      </c>
      <c r="I915" s="2" t="str">
        <f>IF(Planilha1!C912="","",Planilha1!C912)</f>
        <v>Portland Trail Blazers</v>
      </c>
      <c r="J915" s="2">
        <f>IF(Planilha1!D912="","",Planilha1!D912)</f>
        <v>0</v>
      </c>
      <c r="K915" s="10" t="str">
        <f>IF(Planilha1!E912="","",IF(Planilha1!E912=0,"",Planilha1!E912))</f>
        <v>Minnesota Timberwolves</v>
      </c>
      <c r="L915" s="10">
        <f>IF(Planilha1!F912="","",Planilha1!F912)</f>
        <v>0</v>
      </c>
      <c r="M915" s="10" t="str">
        <f>IF(Planilha1!G912="","",IF(Planilha1!G912=0,"",Planilha1!G912))</f>
        <v/>
      </c>
      <c r="N915" s="5">
        <f t="shared" si="113"/>
        <v>1</v>
      </c>
      <c r="O915" s="5">
        <f t="shared" si="114"/>
        <v>0</v>
      </c>
      <c r="P915" s="5">
        <f t="shared" si="115"/>
        <v>0</v>
      </c>
      <c r="Q915" s="5">
        <f t="shared" si="116"/>
        <v>2</v>
      </c>
      <c r="R915" s="8">
        <f t="shared" si="117"/>
        <v>0</v>
      </c>
      <c r="S915" s="8">
        <f t="shared" si="118"/>
        <v>0</v>
      </c>
      <c r="T915" s="3" t="str">
        <f t="shared" si="119"/>
        <v/>
      </c>
      <c r="V915" s="1" t="e">
        <f t="shared" si="120"/>
        <v>#VALUE!</v>
      </c>
    </row>
    <row r="916" spans="8:22" x14ac:dyDescent="0.3">
      <c r="H916" s="2" t="str">
        <f>IF(Planilha1!B913="","",Planilha1!B913)</f>
        <v>9:00p</v>
      </c>
      <c r="I916" s="2" t="str">
        <f>IF(Planilha1!C913="","",Planilha1!C913)</f>
        <v>Washington Wizards</v>
      </c>
      <c r="J916" s="2">
        <f>IF(Planilha1!D913="","",Planilha1!D913)</f>
        <v>0</v>
      </c>
      <c r="K916" s="10" t="str">
        <f>IF(Planilha1!E913="","",IF(Planilha1!E913=0,"",Planilha1!E913))</f>
        <v>Utah Jazz</v>
      </c>
      <c r="L916" s="10">
        <f>IF(Planilha1!F913="","",Planilha1!F913)</f>
        <v>0</v>
      </c>
      <c r="M916" s="10" t="str">
        <f>IF(Planilha1!G913="","",IF(Planilha1!G913=0,"",Planilha1!G913))</f>
        <v/>
      </c>
      <c r="N916" s="5">
        <f t="shared" si="113"/>
        <v>1</v>
      </c>
      <c r="O916" s="5">
        <f t="shared" si="114"/>
        <v>0</v>
      </c>
      <c r="P916" s="5">
        <f t="shared" si="115"/>
        <v>0</v>
      </c>
      <c r="Q916" s="5">
        <f t="shared" si="116"/>
        <v>2</v>
      </c>
      <c r="R916" s="8">
        <f t="shared" si="117"/>
        <v>0</v>
      </c>
      <c r="S916" s="8">
        <f t="shared" si="118"/>
        <v>0</v>
      </c>
      <c r="T916" s="3" t="str">
        <f t="shared" si="119"/>
        <v/>
      </c>
      <c r="V916" s="1" t="e">
        <f t="shared" si="120"/>
        <v>#VALUE!</v>
      </c>
    </row>
    <row r="917" spans="8:22" x14ac:dyDescent="0.3">
      <c r="H917" s="2" t="str">
        <f>IF(Planilha1!B914="","",Planilha1!B914)</f>
        <v>10:00p</v>
      </c>
      <c r="I917" s="2" t="str">
        <f>IF(Planilha1!C914="","",Planilha1!C914)</f>
        <v>Chicago Bulls</v>
      </c>
      <c r="J917" s="2">
        <f>IF(Planilha1!D914="","",Planilha1!D914)</f>
        <v>0</v>
      </c>
      <c r="K917" s="10" t="str">
        <f>IF(Planilha1!E914="","",IF(Planilha1!E914=0,"",Planilha1!E914))</f>
        <v>Sacramento Kings</v>
      </c>
      <c r="L917" s="10">
        <f>IF(Planilha1!F914="","",Planilha1!F914)</f>
        <v>0</v>
      </c>
      <c r="M917" s="10" t="str">
        <f>IF(Planilha1!G914="","",IF(Planilha1!G914=0,"",Planilha1!G914))</f>
        <v/>
      </c>
      <c r="N917" s="5">
        <f t="shared" si="113"/>
        <v>1</v>
      </c>
      <c r="O917" s="5">
        <f t="shared" si="114"/>
        <v>0</v>
      </c>
      <c r="P917" s="5">
        <f t="shared" si="115"/>
        <v>0</v>
      </c>
      <c r="Q917" s="5">
        <f t="shared" si="116"/>
        <v>2</v>
      </c>
      <c r="R917" s="8">
        <f t="shared" si="117"/>
        <v>0</v>
      </c>
      <c r="S917" s="8">
        <f t="shared" si="118"/>
        <v>0</v>
      </c>
      <c r="T917" s="3" t="str">
        <f t="shared" si="119"/>
        <v/>
      </c>
      <c r="V917" s="1" t="e">
        <f t="shared" si="120"/>
        <v>#VALUE!</v>
      </c>
    </row>
    <row r="918" spans="8:22" x14ac:dyDescent="0.3">
      <c r="H918" s="2" t="str">
        <f>IF(Planilha1!B915="","",Planilha1!B915)</f>
        <v>10:30p</v>
      </c>
      <c r="I918" s="2" t="str">
        <f>IF(Planilha1!C915="","",Planilha1!C915)</f>
        <v>Oklahoma City Thunder</v>
      </c>
      <c r="J918" s="2">
        <f>IF(Planilha1!D915="","",Planilha1!D915)</f>
        <v>0</v>
      </c>
      <c r="K918" s="10" t="str">
        <f>IF(Planilha1!E915="","",IF(Planilha1!E915=0,"",Planilha1!E915))</f>
        <v>Los Angeles Lakers</v>
      </c>
      <c r="L918" s="10">
        <f>IF(Planilha1!F915="","",Planilha1!F915)</f>
        <v>0</v>
      </c>
      <c r="M918" s="10" t="str">
        <f>IF(Planilha1!G915="","",IF(Planilha1!G915=0,"",Planilha1!G915))</f>
        <v/>
      </c>
      <c r="N918" s="5">
        <f t="shared" si="113"/>
        <v>1</v>
      </c>
      <c r="O918" s="5">
        <f t="shared" si="114"/>
        <v>0</v>
      </c>
      <c r="P918" s="5">
        <f t="shared" si="115"/>
        <v>0</v>
      </c>
      <c r="Q918" s="5">
        <f t="shared" si="116"/>
        <v>2</v>
      </c>
      <c r="R918" s="8">
        <f t="shared" si="117"/>
        <v>0</v>
      </c>
      <c r="S918" s="8">
        <f t="shared" si="118"/>
        <v>0</v>
      </c>
      <c r="T918" s="3" t="str">
        <f t="shared" si="119"/>
        <v/>
      </c>
      <c r="V918" s="1" t="e">
        <f t="shared" si="120"/>
        <v>#VALUE!</v>
      </c>
    </row>
    <row r="919" spans="8:22" x14ac:dyDescent="0.3">
      <c r="H919" s="2" t="str">
        <f>IF(Planilha1!B916="","",Planilha1!B916)</f>
        <v>7:00p</v>
      </c>
      <c r="I919" s="2" t="str">
        <f>IF(Planilha1!C916="","",Planilha1!C916)</f>
        <v>Orlando Magic</v>
      </c>
      <c r="J919" s="2">
        <f>IF(Planilha1!D916="","",Planilha1!D916)</f>
        <v>0</v>
      </c>
      <c r="K919" s="10" t="str">
        <f>IF(Planilha1!E916="","",IF(Planilha1!E916=0,"",Planilha1!E916))</f>
        <v>Charlotte Hornets</v>
      </c>
      <c r="L919" s="10">
        <f>IF(Planilha1!F916="","",Planilha1!F916)</f>
        <v>0</v>
      </c>
      <c r="M919" s="10" t="str">
        <f>IF(Planilha1!G916="","",IF(Planilha1!G916=0,"",Planilha1!G916))</f>
        <v/>
      </c>
      <c r="N919" s="5">
        <f t="shared" si="113"/>
        <v>1</v>
      </c>
      <c r="O919" s="5">
        <f t="shared" si="114"/>
        <v>0</v>
      </c>
      <c r="P919" s="5">
        <f t="shared" si="115"/>
        <v>0</v>
      </c>
      <c r="Q919" s="5">
        <f t="shared" si="116"/>
        <v>2</v>
      </c>
      <c r="R919" s="8">
        <f t="shared" si="117"/>
        <v>0</v>
      </c>
      <c r="S919" s="8">
        <f t="shared" si="118"/>
        <v>0</v>
      </c>
      <c r="T919" s="3" t="str">
        <f t="shared" si="119"/>
        <v/>
      </c>
      <c r="V919" s="1" t="e">
        <f t="shared" si="120"/>
        <v>#VALUE!</v>
      </c>
    </row>
    <row r="920" spans="8:22" x14ac:dyDescent="0.3">
      <c r="H920" s="2" t="str">
        <f>IF(Planilha1!B917="","",Planilha1!B917)</f>
        <v>7:00p</v>
      </c>
      <c r="I920" s="2" t="str">
        <f>IF(Planilha1!C917="","",Planilha1!C917)</f>
        <v>Boston Celtics</v>
      </c>
      <c r="J920" s="2">
        <f>IF(Planilha1!D917="","",Planilha1!D917)</f>
        <v>0</v>
      </c>
      <c r="K920" s="10" t="str">
        <f>IF(Planilha1!E917="","",IF(Planilha1!E917=0,"",Planilha1!E917))</f>
        <v>Cleveland Cavaliers</v>
      </c>
      <c r="L920" s="10">
        <f>IF(Planilha1!F917="","",Planilha1!F917)</f>
        <v>0</v>
      </c>
      <c r="M920" s="10" t="str">
        <f>IF(Planilha1!G917="","",IF(Planilha1!G917=0,"",Planilha1!G917))</f>
        <v/>
      </c>
      <c r="N920" s="5">
        <f t="shared" si="113"/>
        <v>1</v>
      </c>
      <c r="O920" s="5">
        <f t="shared" si="114"/>
        <v>0</v>
      </c>
      <c r="P920" s="5">
        <f t="shared" si="115"/>
        <v>0</v>
      </c>
      <c r="Q920" s="5">
        <f t="shared" si="116"/>
        <v>2</v>
      </c>
      <c r="R920" s="8">
        <f t="shared" si="117"/>
        <v>0</v>
      </c>
      <c r="S920" s="8">
        <f t="shared" si="118"/>
        <v>0</v>
      </c>
      <c r="T920" s="3" t="str">
        <f t="shared" si="119"/>
        <v/>
      </c>
      <c r="V920" s="1" t="e">
        <f t="shared" si="120"/>
        <v>#VALUE!</v>
      </c>
    </row>
    <row r="921" spans="8:22" x14ac:dyDescent="0.3">
      <c r="H921" s="2" t="str">
        <f>IF(Planilha1!B918="","",Planilha1!B918)</f>
        <v>7:30p</v>
      </c>
      <c r="I921" s="2" t="str">
        <f>IF(Planilha1!C918="","",Planilha1!C918)</f>
        <v>Philadelphia 76ers</v>
      </c>
      <c r="J921" s="2">
        <f>IF(Planilha1!D918="","",Planilha1!D918)</f>
        <v>0</v>
      </c>
      <c r="K921" s="10" t="str">
        <f>IF(Planilha1!E918="","",IF(Planilha1!E918=0,"",Planilha1!E918))</f>
        <v>Brooklyn Nets</v>
      </c>
      <c r="L921" s="10">
        <f>IF(Planilha1!F918="","",Planilha1!F918)</f>
        <v>0</v>
      </c>
      <c r="M921" s="10" t="str">
        <f>IF(Planilha1!G918="","",IF(Planilha1!G918=0,"",Planilha1!G918))</f>
        <v/>
      </c>
      <c r="N921" s="5">
        <f t="shared" si="113"/>
        <v>1</v>
      </c>
      <c r="O921" s="5">
        <f t="shared" si="114"/>
        <v>0</v>
      </c>
      <c r="P921" s="5">
        <f t="shared" si="115"/>
        <v>0</v>
      </c>
      <c r="Q921" s="5">
        <f t="shared" si="116"/>
        <v>2</v>
      </c>
      <c r="R921" s="8">
        <f t="shared" si="117"/>
        <v>0</v>
      </c>
      <c r="S921" s="8">
        <f t="shared" si="118"/>
        <v>0</v>
      </c>
      <c r="T921" s="3" t="str">
        <f t="shared" si="119"/>
        <v/>
      </c>
      <c r="V921" s="1" t="e">
        <f t="shared" si="120"/>
        <v>#VALUE!</v>
      </c>
    </row>
    <row r="922" spans="8:22" x14ac:dyDescent="0.3">
      <c r="H922" s="2" t="str">
        <f>IF(Planilha1!B919="","",Planilha1!B919)</f>
        <v>7:30p</v>
      </c>
      <c r="I922" s="2" t="str">
        <f>IF(Planilha1!C919="","",Planilha1!C919)</f>
        <v>Detroit Pistons</v>
      </c>
      <c r="J922" s="2">
        <f>IF(Planilha1!D919="","",Planilha1!D919)</f>
        <v>0</v>
      </c>
      <c r="K922" s="10" t="str">
        <f>IF(Planilha1!E919="","",IF(Planilha1!E919=0,"",Planilha1!E919))</f>
        <v>Miami Heat</v>
      </c>
      <c r="L922" s="10">
        <f>IF(Planilha1!F919="","",Planilha1!F919)</f>
        <v>0</v>
      </c>
      <c r="M922" s="10" t="str">
        <f>IF(Planilha1!G919="","",IF(Planilha1!G919=0,"",Planilha1!G919))</f>
        <v/>
      </c>
      <c r="N922" s="5">
        <f t="shared" si="113"/>
        <v>1</v>
      </c>
      <c r="O922" s="5">
        <f t="shared" si="114"/>
        <v>0</v>
      </c>
      <c r="P922" s="5">
        <f t="shared" si="115"/>
        <v>0</v>
      </c>
      <c r="Q922" s="5">
        <f t="shared" si="116"/>
        <v>2</v>
      </c>
      <c r="R922" s="8">
        <f t="shared" si="117"/>
        <v>0</v>
      </c>
      <c r="S922" s="8">
        <f t="shared" si="118"/>
        <v>0</v>
      </c>
      <c r="T922" s="3" t="str">
        <f t="shared" si="119"/>
        <v/>
      </c>
      <c r="V922" s="1" t="e">
        <f t="shared" si="120"/>
        <v>#VALUE!</v>
      </c>
    </row>
    <row r="923" spans="8:22" x14ac:dyDescent="0.3">
      <c r="H923" s="2" t="str">
        <f>IF(Planilha1!B920="","",Planilha1!B920)</f>
        <v>7:30p</v>
      </c>
      <c r="I923" s="2" t="str">
        <f>IF(Planilha1!C920="","",Planilha1!C920)</f>
        <v>Atlanta Hawks</v>
      </c>
      <c r="J923" s="2">
        <f>IF(Planilha1!D920="","",Planilha1!D920)</f>
        <v>0</v>
      </c>
      <c r="K923" s="10" t="str">
        <f>IF(Planilha1!E920="","",IF(Planilha1!E920=0,"",Planilha1!E920))</f>
        <v>New York Knicks</v>
      </c>
      <c r="L923" s="10">
        <f>IF(Planilha1!F920="","",Planilha1!F920)</f>
        <v>0</v>
      </c>
      <c r="M923" s="10" t="str">
        <f>IF(Planilha1!G920="","",IF(Planilha1!G920=0,"",Planilha1!G920))</f>
        <v/>
      </c>
      <c r="N923" s="5">
        <f t="shared" si="113"/>
        <v>1</v>
      </c>
      <c r="O923" s="5">
        <f t="shared" si="114"/>
        <v>0</v>
      </c>
      <c r="P923" s="5">
        <f t="shared" si="115"/>
        <v>0</v>
      </c>
      <c r="Q923" s="5">
        <f t="shared" si="116"/>
        <v>2</v>
      </c>
      <c r="R923" s="8">
        <f t="shared" si="117"/>
        <v>0</v>
      </c>
      <c r="S923" s="8">
        <f t="shared" si="118"/>
        <v>0</v>
      </c>
      <c r="T923" s="3" t="str">
        <f t="shared" si="119"/>
        <v/>
      </c>
      <c r="V923" s="1" t="e">
        <f t="shared" si="120"/>
        <v>#VALUE!</v>
      </c>
    </row>
    <row r="924" spans="8:22" x14ac:dyDescent="0.3">
      <c r="H924" s="2" t="str">
        <f>IF(Planilha1!B921="","",Planilha1!B921)</f>
        <v>7:30p</v>
      </c>
      <c r="I924" s="2" t="str">
        <f>IF(Planilha1!C921="","",Planilha1!C921)</f>
        <v>New Orleans Pelicans</v>
      </c>
      <c r="J924" s="2">
        <f>IF(Planilha1!D921="","",Planilha1!D921)</f>
        <v>0</v>
      </c>
      <c r="K924" s="10" t="str">
        <f>IF(Planilha1!E921="","",IF(Planilha1!E921=0,"",Planilha1!E921))</f>
        <v>Toronto Raptors</v>
      </c>
      <c r="L924" s="10">
        <f>IF(Planilha1!F921="","",Planilha1!F921)</f>
        <v>0</v>
      </c>
      <c r="M924" s="10" t="str">
        <f>IF(Planilha1!G921="","",IF(Planilha1!G921=0,"",Planilha1!G921))</f>
        <v/>
      </c>
      <c r="N924" s="5">
        <f t="shared" si="113"/>
        <v>1</v>
      </c>
      <c r="O924" s="5">
        <f t="shared" si="114"/>
        <v>0</v>
      </c>
      <c r="P924" s="5">
        <f t="shared" si="115"/>
        <v>0</v>
      </c>
      <c r="Q924" s="5">
        <f t="shared" si="116"/>
        <v>2</v>
      </c>
      <c r="R924" s="8">
        <f t="shared" si="117"/>
        <v>0</v>
      </c>
      <c r="S924" s="8">
        <f t="shared" si="118"/>
        <v>0</v>
      </c>
      <c r="T924" s="3" t="str">
        <f t="shared" si="119"/>
        <v/>
      </c>
      <c r="V924" s="1" t="e">
        <f t="shared" si="120"/>
        <v>#VALUE!</v>
      </c>
    </row>
    <row r="925" spans="8:22" x14ac:dyDescent="0.3">
      <c r="H925" s="2" t="str">
        <f>IF(Planilha1!B922="","",Planilha1!B922)</f>
        <v>8:00p</v>
      </c>
      <c r="I925" s="2" t="str">
        <f>IF(Planilha1!C922="","",Planilha1!C922)</f>
        <v>San Antonio Spurs</v>
      </c>
      <c r="J925" s="2">
        <f>IF(Planilha1!D922="","",Planilha1!D922)</f>
        <v>0</v>
      </c>
      <c r="K925" s="10" t="str">
        <f>IF(Planilha1!E922="","",IF(Planilha1!E922=0,"",Planilha1!E922))</f>
        <v>Houston Rockets</v>
      </c>
      <c r="L925" s="10">
        <f>IF(Planilha1!F922="","",Planilha1!F922)</f>
        <v>0</v>
      </c>
      <c r="M925" s="10" t="str">
        <f>IF(Planilha1!G922="","",IF(Planilha1!G922=0,"",Planilha1!G922))</f>
        <v/>
      </c>
      <c r="N925" s="5">
        <f t="shared" si="113"/>
        <v>1</v>
      </c>
      <c r="O925" s="5">
        <f t="shared" si="114"/>
        <v>0</v>
      </c>
      <c r="P925" s="5">
        <f t="shared" si="115"/>
        <v>0</v>
      </c>
      <c r="Q925" s="5">
        <f t="shared" si="116"/>
        <v>2</v>
      </c>
      <c r="R925" s="8">
        <f t="shared" si="117"/>
        <v>0</v>
      </c>
      <c r="S925" s="8">
        <f t="shared" si="118"/>
        <v>0</v>
      </c>
      <c r="T925" s="3" t="str">
        <f t="shared" si="119"/>
        <v/>
      </c>
      <c r="V925" s="1" t="e">
        <f t="shared" si="120"/>
        <v>#VALUE!</v>
      </c>
    </row>
    <row r="926" spans="8:22" x14ac:dyDescent="0.3">
      <c r="H926" s="2" t="str">
        <f>IF(Planilha1!B923="","",Planilha1!B923)</f>
        <v>8:30p</v>
      </c>
      <c r="I926" s="2" t="str">
        <f>IF(Planilha1!C923="","",Planilha1!C923)</f>
        <v>Indiana Pacers</v>
      </c>
      <c r="J926" s="2">
        <f>IF(Planilha1!D923="","",Planilha1!D923)</f>
        <v>0</v>
      </c>
      <c r="K926" s="10" t="str">
        <f>IF(Planilha1!E923="","",IF(Planilha1!E923=0,"",Planilha1!E923))</f>
        <v>Dallas Mavericks</v>
      </c>
      <c r="L926" s="10">
        <f>IF(Planilha1!F923="","",Planilha1!F923)</f>
        <v>0</v>
      </c>
      <c r="M926" s="10" t="str">
        <f>IF(Planilha1!G923="","",IF(Planilha1!G923=0,"",Planilha1!G923))</f>
        <v/>
      </c>
      <c r="N926" s="5">
        <f t="shared" si="113"/>
        <v>1</v>
      </c>
      <c r="O926" s="5">
        <f t="shared" si="114"/>
        <v>0</v>
      </c>
      <c r="P926" s="5">
        <f t="shared" si="115"/>
        <v>0</v>
      </c>
      <c r="Q926" s="5">
        <f t="shared" si="116"/>
        <v>2</v>
      </c>
      <c r="R926" s="8">
        <f t="shared" si="117"/>
        <v>0</v>
      </c>
      <c r="S926" s="8">
        <f t="shared" si="118"/>
        <v>0</v>
      </c>
      <c r="T926" s="3" t="str">
        <f t="shared" si="119"/>
        <v/>
      </c>
      <c r="V926" s="1" t="e">
        <f t="shared" si="120"/>
        <v>#VALUE!</v>
      </c>
    </row>
    <row r="927" spans="8:22" x14ac:dyDescent="0.3">
      <c r="H927" s="2" t="str">
        <f>IF(Planilha1!B924="","",Planilha1!B924)</f>
        <v>10:00p</v>
      </c>
      <c r="I927" s="2" t="str">
        <f>IF(Planilha1!C924="","",Planilha1!C924)</f>
        <v>Phoenix Suns</v>
      </c>
      <c r="J927" s="2">
        <f>IF(Planilha1!D924="","",Planilha1!D924)</f>
        <v>0</v>
      </c>
      <c r="K927" s="10" t="str">
        <f>IF(Planilha1!E924="","",IF(Planilha1!E924=0,"",Planilha1!E924))</f>
        <v>Denver Nuggets</v>
      </c>
      <c r="L927" s="10">
        <f>IF(Planilha1!F924="","",Planilha1!F924)</f>
        <v>0</v>
      </c>
      <c r="M927" s="10" t="str">
        <f>IF(Planilha1!G924="","",IF(Planilha1!G924=0,"",Planilha1!G924))</f>
        <v/>
      </c>
      <c r="N927" s="5">
        <f t="shared" si="113"/>
        <v>1</v>
      </c>
      <c r="O927" s="5">
        <f t="shared" si="114"/>
        <v>0</v>
      </c>
      <c r="P927" s="5">
        <f t="shared" si="115"/>
        <v>0</v>
      </c>
      <c r="Q927" s="5">
        <f t="shared" si="116"/>
        <v>2</v>
      </c>
      <c r="R927" s="8">
        <f t="shared" si="117"/>
        <v>0</v>
      </c>
      <c r="S927" s="8">
        <f t="shared" si="118"/>
        <v>0</v>
      </c>
      <c r="T927" s="3" t="str">
        <f t="shared" si="119"/>
        <v/>
      </c>
      <c r="V927" s="1" t="e">
        <f t="shared" si="120"/>
        <v>#VALUE!</v>
      </c>
    </row>
    <row r="928" spans="8:22" x14ac:dyDescent="0.3">
      <c r="H928" s="2" t="str">
        <f>IF(Planilha1!B925="","",Planilha1!B925)</f>
        <v>7:00p</v>
      </c>
      <c r="I928" s="2" t="str">
        <f>IF(Planilha1!C925="","",Planilha1!C925)</f>
        <v>Orlando Magic</v>
      </c>
      <c r="J928" s="2">
        <f>IF(Planilha1!D925="","",Planilha1!D925)</f>
        <v>0</v>
      </c>
      <c r="K928" s="10" t="str">
        <f>IF(Planilha1!E925="","",IF(Planilha1!E925=0,"",Planilha1!E925))</f>
        <v>Washington Wizards</v>
      </c>
      <c r="L928" s="10">
        <f>IF(Planilha1!F925="","",Planilha1!F925)</f>
        <v>0</v>
      </c>
      <c r="M928" s="10" t="str">
        <f>IF(Planilha1!G925="","",IF(Planilha1!G925=0,"",Planilha1!G925))</f>
        <v/>
      </c>
      <c r="N928" s="5">
        <f t="shared" si="113"/>
        <v>1</v>
      </c>
      <c r="O928" s="5">
        <f t="shared" si="114"/>
        <v>0</v>
      </c>
      <c r="P928" s="5">
        <f t="shared" si="115"/>
        <v>0</v>
      </c>
      <c r="Q928" s="5">
        <f t="shared" si="116"/>
        <v>2</v>
      </c>
      <c r="R928" s="8">
        <f t="shared" si="117"/>
        <v>0</v>
      </c>
      <c r="S928" s="8">
        <f t="shared" si="118"/>
        <v>0</v>
      </c>
      <c r="T928" s="3" t="str">
        <f t="shared" si="119"/>
        <v/>
      </c>
      <c r="V928" s="1" t="e">
        <f t="shared" si="120"/>
        <v>#VALUE!</v>
      </c>
    </row>
    <row r="929" spans="8:22" x14ac:dyDescent="0.3">
      <c r="H929" s="2" t="str">
        <f>IF(Planilha1!B926="","",Planilha1!B926)</f>
        <v>7:30p</v>
      </c>
      <c r="I929" s="2" t="str">
        <f>IF(Planilha1!C926="","",Planilha1!C926)</f>
        <v>Cleveland Cavaliers</v>
      </c>
      <c r="J929" s="2">
        <f>IF(Planilha1!D926="","",Planilha1!D926)</f>
        <v>0</v>
      </c>
      <c r="K929" s="10" t="str">
        <f>IF(Planilha1!E926="","",IF(Planilha1!E926=0,"",Planilha1!E926))</f>
        <v>Atlanta Hawks</v>
      </c>
      <c r="L929" s="10">
        <f>IF(Planilha1!F926="","",Planilha1!F926)</f>
        <v>0</v>
      </c>
      <c r="M929" s="10" t="str">
        <f>IF(Planilha1!G926="","",IF(Planilha1!G926=0,"",Planilha1!G926))</f>
        <v/>
      </c>
      <c r="N929" s="5">
        <f t="shared" si="113"/>
        <v>1</v>
      </c>
      <c r="O929" s="5">
        <f t="shared" si="114"/>
        <v>0</v>
      </c>
      <c r="P929" s="5">
        <f t="shared" si="115"/>
        <v>0</v>
      </c>
      <c r="Q929" s="5">
        <f t="shared" si="116"/>
        <v>2</v>
      </c>
      <c r="R929" s="8">
        <f t="shared" si="117"/>
        <v>0</v>
      </c>
      <c r="S929" s="8">
        <f t="shared" si="118"/>
        <v>0</v>
      </c>
      <c r="T929" s="3" t="str">
        <f t="shared" si="119"/>
        <v/>
      </c>
      <c r="V929" s="1" t="e">
        <f t="shared" si="120"/>
        <v>#VALUE!</v>
      </c>
    </row>
    <row r="930" spans="8:22" x14ac:dyDescent="0.3">
      <c r="H930" s="2" t="str">
        <f>IF(Planilha1!B927="","",Planilha1!B927)</f>
        <v>7:30p</v>
      </c>
      <c r="I930" s="2" t="str">
        <f>IF(Planilha1!C927="","",Planilha1!C927)</f>
        <v>Memphis Grizzlies</v>
      </c>
      <c r="J930" s="2">
        <f>IF(Planilha1!D927="","",Planilha1!D927)</f>
        <v>0</v>
      </c>
      <c r="K930" s="10" t="str">
        <f>IF(Planilha1!E927="","",IF(Planilha1!E927=0,"",Planilha1!E927))</f>
        <v>Philadelphia 76ers</v>
      </c>
      <c r="L930" s="10">
        <f>IF(Planilha1!F927="","",Planilha1!F927)</f>
        <v>0</v>
      </c>
      <c r="M930" s="10" t="str">
        <f>IF(Planilha1!G927="","",IF(Planilha1!G927=0,"",Planilha1!G927))</f>
        <v/>
      </c>
      <c r="N930" s="5">
        <f t="shared" si="113"/>
        <v>1</v>
      </c>
      <c r="O930" s="5">
        <f t="shared" si="114"/>
        <v>0</v>
      </c>
      <c r="P930" s="5">
        <f t="shared" si="115"/>
        <v>0</v>
      </c>
      <c r="Q930" s="5">
        <f t="shared" si="116"/>
        <v>2</v>
      </c>
      <c r="R930" s="8">
        <f t="shared" si="117"/>
        <v>0</v>
      </c>
      <c r="S930" s="8">
        <f t="shared" si="118"/>
        <v>0</v>
      </c>
      <c r="T930" s="3" t="str">
        <f t="shared" si="119"/>
        <v/>
      </c>
      <c r="V930" s="1" t="e">
        <f t="shared" si="120"/>
        <v>#VALUE!</v>
      </c>
    </row>
    <row r="931" spans="8:22" x14ac:dyDescent="0.3">
      <c r="H931" s="2" t="str">
        <f>IF(Planilha1!B928="","",Planilha1!B928)</f>
        <v>8:00p</v>
      </c>
      <c r="I931" s="2" t="str">
        <f>IF(Planilha1!C928="","",Planilha1!C928)</f>
        <v>Los Angeles Clippers</v>
      </c>
      <c r="J931" s="2">
        <f>IF(Planilha1!D928="","",Planilha1!D928)</f>
        <v>0</v>
      </c>
      <c r="K931" s="10" t="str">
        <f>IF(Planilha1!E928="","",IF(Planilha1!E928=0,"",Planilha1!E928))</f>
        <v>Houston Rockets</v>
      </c>
      <c r="L931" s="10">
        <f>IF(Planilha1!F928="","",Planilha1!F928)</f>
        <v>0</v>
      </c>
      <c r="M931" s="10" t="str">
        <f>IF(Planilha1!G928="","",IF(Planilha1!G928=0,"",Planilha1!G928))</f>
        <v/>
      </c>
      <c r="N931" s="5">
        <f t="shared" si="113"/>
        <v>1</v>
      </c>
      <c r="O931" s="5">
        <f t="shared" si="114"/>
        <v>0</v>
      </c>
      <c r="P931" s="5">
        <f t="shared" si="115"/>
        <v>0</v>
      </c>
      <c r="Q931" s="5">
        <f t="shared" si="116"/>
        <v>2</v>
      </c>
      <c r="R931" s="8">
        <f t="shared" si="117"/>
        <v>0</v>
      </c>
      <c r="S931" s="8">
        <f t="shared" si="118"/>
        <v>0</v>
      </c>
      <c r="T931" s="3" t="str">
        <f t="shared" si="119"/>
        <v/>
      </c>
      <c r="V931" s="1" t="e">
        <f t="shared" si="120"/>
        <v>#VALUE!</v>
      </c>
    </row>
    <row r="932" spans="8:22" x14ac:dyDescent="0.3">
      <c r="H932" s="2" t="str">
        <f>IF(Planilha1!B929="","",Planilha1!B929)</f>
        <v>9:00p</v>
      </c>
      <c r="I932" s="2" t="str">
        <f>IF(Planilha1!C929="","",Planilha1!C929)</f>
        <v>Chicago Bulls</v>
      </c>
      <c r="J932" s="2">
        <f>IF(Planilha1!D929="","",Planilha1!D929)</f>
        <v>0</v>
      </c>
      <c r="K932" s="10" t="str">
        <f>IF(Planilha1!E929="","",IF(Planilha1!E929=0,"",Planilha1!E929))</f>
        <v>Utah Jazz</v>
      </c>
      <c r="L932" s="10">
        <f>IF(Planilha1!F929="","",Planilha1!F929)</f>
        <v>0</v>
      </c>
      <c r="M932" s="10" t="str">
        <f>IF(Planilha1!G929="","",IF(Planilha1!G929=0,"",Planilha1!G929))</f>
        <v/>
      </c>
      <c r="N932" s="5">
        <f t="shared" si="113"/>
        <v>1</v>
      </c>
      <c r="O932" s="5">
        <f t="shared" si="114"/>
        <v>0</v>
      </c>
      <c r="P932" s="5">
        <f t="shared" si="115"/>
        <v>0</v>
      </c>
      <c r="Q932" s="5">
        <f t="shared" si="116"/>
        <v>2</v>
      </c>
      <c r="R932" s="8">
        <f t="shared" si="117"/>
        <v>0</v>
      </c>
      <c r="S932" s="8">
        <f t="shared" si="118"/>
        <v>0</v>
      </c>
      <c r="T932" s="3" t="str">
        <f t="shared" si="119"/>
        <v/>
      </c>
      <c r="V932" s="1" t="e">
        <f t="shared" si="120"/>
        <v>#VALUE!</v>
      </c>
    </row>
    <row r="933" spans="8:22" x14ac:dyDescent="0.3">
      <c r="H933" s="2" t="str">
        <f>IF(Planilha1!B930="","",Planilha1!B930)</f>
        <v>10:00p</v>
      </c>
      <c r="I933" s="2" t="str">
        <f>IF(Planilha1!C930="","",Planilha1!C930)</f>
        <v>Milwaukee Bucks</v>
      </c>
      <c r="J933" s="2">
        <f>IF(Planilha1!D930="","",Planilha1!D930)</f>
        <v>0</v>
      </c>
      <c r="K933" s="10" t="str">
        <f>IF(Planilha1!E930="","",IF(Planilha1!E930=0,"",Planilha1!E930))</f>
        <v>Golden State Warriors</v>
      </c>
      <c r="L933" s="10">
        <f>IF(Planilha1!F930="","",Planilha1!F930)</f>
        <v>0</v>
      </c>
      <c r="M933" s="10" t="str">
        <f>IF(Planilha1!G930="","",IF(Planilha1!G930=0,"",Planilha1!G930))</f>
        <v/>
      </c>
      <c r="N933" s="5">
        <f t="shared" si="113"/>
        <v>1</v>
      </c>
      <c r="O933" s="5">
        <f t="shared" si="114"/>
        <v>0</v>
      </c>
      <c r="P933" s="5">
        <f t="shared" si="115"/>
        <v>0</v>
      </c>
      <c r="Q933" s="5">
        <f t="shared" si="116"/>
        <v>2</v>
      </c>
      <c r="R933" s="8">
        <f t="shared" si="117"/>
        <v>0</v>
      </c>
      <c r="S933" s="8">
        <f t="shared" si="118"/>
        <v>0</v>
      </c>
      <c r="T933" s="3" t="str">
        <f t="shared" si="119"/>
        <v/>
      </c>
      <c r="V933" s="1" t="e">
        <f t="shared" si="120"/>
        <v>#VALUE!</v>
      </c>
    </row>
    <row r="934" spans="8:22" x14ac:dyDescent="0.3">
      <c r="H934" s="2" t="str">
        <f>IF(Planilha1!B931="","",Planilha1!B931)</f>
        <v>10:00p</v>
      </c>
      <c r="I934" s="2" t="str">
        <f>IF(Planilha1!C931="","",Planilha1!C931)</f>
        <v>Oklahoma City Thunder</v>
      </c>
      <c r="J934" s="2">
        <f>IF(Planilha1!D931="","",Planilha1!D931)</f>
        <v>0</v>
      </c>
      <c r="K934" s="10" t="str">
        <f>IF(Planilha1!E931="","",IF(Planilha1!E931=0,"",Planilha1!E931))</f>
        <v>Portland Trail Blazers</v>
      </c>
      <c r="L934" s="10">
        <f>IF(Planilha1!F931="","",Planilha1!F931)</f>
        <v>0</v>
      </c>
      <c r="M934" s="10" t="str">
        <f>IF(Planilha1!G931="","",IF(Planilha1!G931=0,"",Planilha1!G931))</f>
        <v/>
      </c>
      <c r="N934" s="5">
        <f t="shared" si="113"/>
        <v>1</v>
      </c>
      <c r="O934" s="5">
        <f t="shared" si="114"/>
        <v>0</v>
      </c>
      <c r="P934" s="5">
        <f t="shared" si="115"/>
        <v>0</v>
      </c>
      <c r="Q934" s="5">
        <f t="shared" si="116"/>
        <v>2</v>
      </c>
      <c r="R934" s="8">
        <f t="shared" si="117"/>
        <v>0</v>
      </c>
      <c r="S934" s="8">
        <f t="shared" si="118"/>
        <v>0</v>
      </c>
      <c r="T934" s="3" t="str">
        <f t="shared" si="119"/>
        <v/>
      </c>
      <c r="V934" s="1" t="e">
        <f t="shared" si="120"/>
        <v>#VALUE!</v>
      </c>
    </row>
    <row r="935" spans="8:22" x14ac:dyDescent="0.3">
      <c r="H935" s="2" t="str">
        <f>IF(Planilha1!B932="","",Planilha1!B932)</f>
        <v>10:30p</v>
      </c>
      <c r="I935" s="2" t="str">
        <f>IF(Planilha1!C932="","",Planilha1!C932)</f>
        <v>Sacramento Kings</v>
      </c>
      <c r="J935" s="2">
        <f>IF(Planilha1!D932="","",Planilha1!D932)</f>
        <v>0</v>
      </c>
      <c r="K935" s="10" t="str">
        <f>IF(Planilha1!E932="","",IF(Planilha1!E932=0,"",Planilha1!E932))</f>
        <v>Los Angeles Lakers</v>
      </c>
      <c r="L935" s="10">
        <f>IF(Planilha1!F932="","",Planilha1!F932)</f>
        <v>0</v>
      </c>
      <c r="M935" s="10" t="str">
        <f>IF(Planilha1!G932="","",IF(Planilha1!G932=0,"",Planilha1!G932))</f>
        <v/>
      </c>
      <c r="N935" s="5">
        <f t="shared" si="113"/>
        <v>1</v>
      </c>
      <c r="O935" s="5">
        <f t="shared" si="114"/>
        <v>0</v>
      </c>
      <c r="P935" s="5">
        <f t="shared" si="115"/>
        <v>0</v>
      </c>
      <c r="Q935" s="5">
        <f t="shared" si="116"/>
        <v>2</v>
      </c>
      <c r="R935" s="8">
        <f t="shared" si="117"/>
        <v>0</v>
      </c>
      <c r="S935" s="8">
        <f t="shared" si="118"/>
        <v>0</v>
      </c>
      <c r="T935" s="3" t="str">
        <f t="shared" si="119"/>
        <v/>
      </c>
      <c r="V935" s="1" t="e">
        <f t="shared" si="120"/>
        <v>#VALUE!</v>
      </c>
    </row>
    <row r="936" spans="8:22" x14ac:dyDescent="0.3">
      <c r="H936" s="2" t="str">
        <f>IF(Planilha1!B933="","",Planilha1!B933)</f>
        <v>7:00p</v>
      </c>
      <c r="I936" s="2" t="str">
        <f>IF(Planilha1!C933="","",Planilha1!C933)</f>
        <v>Brooklyn Nets</v>
      </c>
      <c r="J936" s="2">
        <f>IF(Planilha1!D933="","",Planilha1!D933)</f>
        <v>0</v>
      </c>
      <c r="K936" s="10" t="str">
        <f>IF(Planilha1!E933="","",IF(Planilha1!E933=0,"",Planilha1!E933))</f>
        <v>Detroit Pistons</v>
      </c>
      <c r="L936" s="10">
        <f>IF(Planilha1!F933="","",Planilha1!F933)</f>
        <v>0</v>
      </c>
      <c r="M936" s="10" t="str">
        <f>IF(Planilha1!G933="","",IF(Planilha1!G933=0,"",Planilha1!G933))</f>
        <v/>
      </c>
      <c r="N936" s="5">
        <f t="shared" si="113"/>
        <v>1</v>
      </c>
      <c r="O936" s="5">
        <f t="shared" si="114"/>
        <v>0</v>
      </c>
      <c r="P936" s="5">
        <f t="shared" si="115"/>
        <v>0</v>
      </c>
      <c r="Q936" s="5">
        <f t="shared" si="116"/>
        <v>2</v>
      </c>
      <c r="R936" s="8">
        <f t="shared" si="117"/>
        <v>0</v>
      </c>
      <c r="S936" s="8">
        <f t="shared" si="118"/>
        <v>0</v>
      </c>
      <c r="T936" s="3" t="str">
        <f t="shared" si="119"/>
        <v/>
      </c>
      <c r="V936" s="1" t="e">
        <f t="shared" si="120"/>
        <v>#VALUE!</v>
      </c>
    </row>
    <row r="937" spans="8:22" x14ac:dyDescent="0.3">
      <c r="H937" s="2" t="str">
        <f>IF(Planilha1!B934="","",Planilha1!B934)</f>
        <v>7:00p</v>
      </c>
      <c r="I937" s="2" t="str">
        <f>IF(Planilha1!C934="","",Planilha1!C934)</f>
        <v>Minnesota Timberwolves</v>
      </c>
      <c r="J937" s="2">
        <f>IF(Planilha1!D934="","",Planilha1!D934)</f>
        <v>0</v>
      </c>
      <c r="K937" s="10" t="str">
        <f>IF(Planilha1!E934="","",IF(Planilha1!E934=0,"",Planilha1!E934))</f>
        <v>Indiana Pacers</v>
      </c>
      <c r="L937" s="10">
        <f>IF(Planilha1!F934="","",Planilha1!F934)</f>
        <v>0</v>
      </c>
      <c r="M937" s="10" t="str">
        <f>IF(Planilha1!G934="","",IF(Planilha1!G934=0,"",Planilha1!G934))</f>
        <v/>
      </c>
      <c r="N937" s="5">
        <f t="shared" si="113"/>
        <v>1</v>
      </c>
      <c r="O937" s="5">
        <f t="shared" si="114"/>
        <v>0</v>
      </c>
      <c r="P937" s="5">
        <f t="shared" si="115"/>
        <v>0</v>
      </c>
      <c r="Q937" s="5">
        <f t="shared" si="116"/>
        <v>2</v>
      </c>
      <c r="R937" s="8">
        <f t="shared" si="117"/>
        <v>0</v>
      </c>
      <c r="S937" s="8">
        <f t="shared" si="118"/>
        <v>0</v>
      </c>
      <c r="T937" s="3" t="str">
        <f t="shared" si="119"/>
        <v/>
      </c>
      <c r="V937" s="1" t="e">
        <f t="shared" si="120"/>
        <v>#VALUE!</v>
      </c>
    </row>
    <row r="938" spans="8:22" x14ac:dyDescent="0.3">
      <c r="H938" s="2" t="str">
        <f>IF(Planilha1!B935="","",Planilha1!B935)</f>
        <v>7:30p</v>
      </c>
      <c r="I938" s="2" t="str">
        <f>IF(Planilha1!C935="","",Planilha1!C935)</f>
        <v>Miami Heat</v>
      </c>
      <c r="J938" s="2">
        <f>IF(Planilha1!D935="","",Planilha1!D935)</f>
        <v>0</v>
      </c>
      <c r="K938" s="10" t="str">
        <f>IF(Planilha1!E935="","",IF(Planilha1!E935=0,"",Planilha1!E935))</f>
        <v>Dallas Mavericks</v>
      </c>
      <c r="L938" s="10">
        <f>IF(Planilha1!F935="","",Planilha1!F935)</f>
        <v>0</v>
      </c>
      <c r="M938" s="10" t="str">
        <f>IF(Planilha1!G935="","",IF(Planilha1!G935=0,"",Planilha1!G935))</f>
        <v/>
      </c>
      <c r="N938" s="5">
        <f t="shared" si="113"/>
        <v>1</v>
      </c>
      <c r="O938" s="5">
        <f t="shared" si="114"/>
        <v>0</v>
      </c>
      <c r="P938" s="5">
        <f t="shared" si="115"/>
        <v>0</v>
      </c>
      <c r="Q938" s="5">
        <f t="shared" si="116"/>
        <v>2</v>
      </c>
      <c r="R938" s="8">
        <f t="shared" si="117"/>
        <v>0</v>
      </c>
      <c r="S938" s="8">
        <f t="shared" si="118"/>
        <v>0</v>
      </c>
      <c r="T938" s="3" t="str">
        <f t="shared" si="119"/>
        <v/>
      </c>
      <c r="V938" s="1" t="e">
        <f t="shared" si="120"/>
        <v>#VALUE!</v>
      </c>
    </row>
    <row r="939" spans="8:22" x14ac:dyDescent="0.3">
      <c r="H939" s="2" t="str">
        <f>IF(Planilha1!B936="","",Planilha1!B936)</f>
        <v>9:00p</v>
      </c>
      <c r="I939" s="2" t="str">
        <f>IF(Planilha1!C936="","",Planilha1!C936)</f>
        <v>Toronto Raptors</v>
      </c>
      <c r="J939" s="2">
        <f>IF(Planilha1!D936="","",Planilha1!D936)</f>
        <v>0</v>
      </c>
      <c r="K939" s="10" t="str">
        <f>IF(Planilha1!E936="","",IF(Planilha1!E936=0,"",Planilha1!E936))</f>
        <v>Phoenix Suns</v>
      </c>
      <c r="L939" s="10">
        <f>IF(Planilha1!F936="","",Planilha1!F936)</f>
        <v>0</v>
      </c>
      <c r="M939" s="10" t="str">
        <f>IF(Planilha1!G936="","",IF(Planilha1!G936=0,"",Planilha1!G936))</f>
        <v/>
      </c>
      <c r="N939" s="5">
        <f t="shared" si="113"/>
        <v>1</v>
      </c>
      <c r="O939" s="5">
        <f t="shared" si="114"/>
        <v>0</v>
      </c>
      <c r="P939" s="5">
        <f t="shared" si="115"/>
        <v>0</v>
      </c>
      <c r="Q939" s="5">
        <f t="shared" si="116"/>
        <v>2</v>
      </c>
      <c r="R939" s="8">
        <f t="shared" si="117"/>
        <v>0</v>
      </c>
      <c r="S939" s="8">
        <f t="shared" si="118"/>
        <v>0</v>
      </c>
      <c r="T939" s="3" t="str">
        <f t="shared" si="119"/>
        <v/>
      </c>
      <c r="V939" s="1" t="e">
        <f t="shared" si="120"/>
        <v>#VALUE!</v>
      </c>
    </row>
    <row r="940" spans="8:22" x14ac:dyDescent="0.3">
      <c r="H940" s="2" t="str">
        <f>IF(Planilha1!B937="","",Planilha1!B937)</f>
        <v>10:00p</v>
      </c>
      <c r="I940" s="2" t="str">
        <f>IF(Planilha1!C937="","",Planilha1!C937)</f>
        <v>Boston Celtics</v>
      </c>
      <c r="J940" s="2">
        <f>IF(Planilha1!D937="","",Planilha1!D937)</f>
        <v>0</v>
      </c>
      <c r="K940" s="10" t="str">
        <f>IF(Planilha1!E937="","",IF(Planilha1!E937=0,"",Planilha1!E937))</f>
        <v>Denver Nuggets</v>
      </c>
      <c r="L940" s="10">
        <f>IF(Planilha1!F937="","",Planilha1!F937)</f>
        <v>0</v>
      </c>
      <c r="M940" s="10" t="str">
        <f>IF(Planilha1!G937="","",IF(Planilha1!G937=0,"",Planilha1!G937))</f>
        <v/>
      </c>
      <c r="N940" s="5">
        <f t="shared" si="113"/>
        <v>1</v>
      </c>
      <c r="O940" s="5">
        <f t="shared" si="114"/>
        <v>0</v>
      </c>
      <c r="P940" s="5">
        <f t="shared" si="115"/>
        <v>0</v>
      </c>
      <c r="Q940" s="5">
        <f t="shared" si="116"/>
        <v>2</v>
      </c>
      <c r="R940" s="8">
        <f t="shared" si="117"/>
        <v>0</v>
      </c>
      <c r="S940" s="8">
        <f t="shared" si="118"/>
        <v>0</v>
      </c>
      <c r="T940" s="3" t="str">
        <f t="shared" si="119"/>
        <v/>
      </c>
      <c r="V940" s="1" t="e">
        <f t="shared" si="120"/>
        <v>#VALUE!</v>
      </c>
    </row>
    <row r="941" spans="8:22" x14ac:dyDescent="0.3">
      <c r="H941" s="2" t="str">
        <f>IF(Planilha1!B938="","",Planilha1!B938)</f>
        <v>10:00p</v>
      </c>
      <c r="I941" s="2" t="str">
        <f>IF(Planilha1!C938="","",Planilha1!C938)</f>
        <v>Chicago Bulls</v>
      </c>
      <c r="J941" s="2">
        <f>IF(Planilha1!D938="","",Planilha1!D938)</f>
        <v>0</v>
      </c>
      <c r="K941" s="10" t="str">
        <f>IF(Planilha1!E938="","",IF(Planilha1!E938=0,"",Planilha1!E938))</f>
        <v>Golden State Warriors</v>
      </c>
      <c r="L941" s="10">
        <f>IF(Planilha1!F938="","",Planilha1!F938)</f>
        <v>0</v>
      </c>
      <c r="M941" s="10" t="str">
        <f>IF(Planilha1!G938="","",IF(Planilha1!G938=0,"",Planilha1!G938))</f>
        <v/>
      </c>
      <c r="N941" s="5">
        <f t="shared" si="113"/>
        <v>1</v>
      </c>
      <c r="O941" s="5">
        <f t="shared" si="114"/>
        <v>0</v>
      </c>
      <c r="P941" s="5">
        <f t="shared" si="115"/>
        <v>0</v>
      </c>
      <c r="Q941" s="5">
        <f t="shared" si="116"/>
        <v>2</v>
      </c>
      <c r="R941" s="8">
        <f t="shared" si="117"/>
        <v>0</v>
      </c>
      <c r="S941" s="8">
        <f t="shared" si="118"/>
        <v>0</v>
      </c>
      <c r="T941" s="3" t="str">
        <f t="shared" si="119"/>
        <v/>
      </c>
      <c r="V941" s="1" t="e">
        <f t="shared" si="120"/>
        <v>#VALUE!</v>
      </c>
    </row>
    <row r="942" spans="8:22" x14ac:dyDescent="0.3">
      <c r="H942" s="2" t="str">
        <f>IF(Planilha1!B939="","",Planilha1!B939)</f>
        <v>10:00p</v>
      </c>
      <c r="I942" s="2" t="str">
        <f>IF(Planilha1!C939="","",Planilha1!C939)</f>
        <v>San Antonio Spurs</v>
      </c>
      <c r="J942" s="2">
        <f>IF(Planilha1!D939="","",Planilha1!D939)</f>
        <v>0</v>
      </c>
      <c r="K942" s="10" t="str">
        <f>IF(Planilha1!E939="","",IF(Planilha1!E939=0,"",Planilha1!E939))</f>
        <v>Sacramento Kings</v>
      </c>
      <c r="L942" s="10">
        <f>IF(Planilha1!F939="","",Planilha1!F939)</f>
        <v>0</v>
      </c>
      <c r="M942" s="10" t="str">
        <f>IF(Planilha1!G939="","",IF(Planilha1!G939=0,"",Planilha1!G939))</f>
        <v/>
      </c>
      <c r="N942" s="5">
        <f t="shared" si="113"/>
        <v>1</v>
      </c>
      <c r="O942" s="5">
        <f t="shared" si="114"/>
        <v>0</v>
      </c>
      <c r="P942" s="5">
        <f t="shared" si="115"/>
        <v>0</v>
      </c>
      <c r="Q942" s="5">
        <f t="shared" si="116"/>
        <v>2</v>
      </c>
      <c r="R942" s="8">
        <f t="shared" si="117"/>
        <v>0</v>
      </c>
      <c r="S942" s="8">
        <f t="shared" si="118"/>
        <v>0</v>
      </c>
      <c r="T942" s="3" t="str">
        <f t="shared" si="119"/>
        <v/>
      </c>
      <c r="V942" s="1" t="e">
        <f t="shared" si="120"/>
        <v>#VALUE!</v>
      </c>
    </row>
    <row r="943" spans="8:22" x14ac:dyDescent="0.3">
      <c r="H943" s="2" t="str">
        <f>IF(Planilha1!B940="","",Planilha1!B940)</f>
        <v>7:00p</v>
      </c>
      <c r="I943" s="2" t="str">
        <f>IF(Planilha1!C940="","",Planilha1!C940)</f>
        <v>New Orleans Pelicans</v>
      </c>
      <c r="J943" s="2">
        <f>IF(Planilha1!D940="","",Planilha1!D940)</f>
        <v>0</v>
      </c>
      <c r="K943" s="10" t="str">
        <f>IF(Planilha1!E940="","",IF(Planilha1!E940=0,"",Planilha1!E940))</f>
        <v>Philadelphia 76ers</v>
      </c>
      <c r="L943" s="10">
        <f>IF(Planilha1!F940="","",Planilha1!F940)</f>
        <v>0</v>
      </c>
      <c r="M943" s="10" t="str">
        <f>IF(Planilha1!G940="","",IF(Planilha1!G940=0,"",Planilha1!G940))</f>
        <v/>
      </c>
      <c r="N943" s="5">
        <f t="shared" si="113"/>
        <v>1</v>
      </c>
      <c r="O943" s="5">
        <f t="shared" si="114"/>
        <v>0</v>
      </c>
      <c r="P943" s="5">
        <f t="shared" si="115"/>
        <v>0</v>
      </c>
      <c r="Q943" s="5">
        <f t="shared" si="116"/>
        <v>2</v>
      </c>
      <c r="R943" s="8">
        <f t="shared" si="117"/>
        <v>0</v>
      </c>
      <c r="S943" s="8">
        <f t="shared" si="118"/>
        <v>0</v>
      </c>
      <c r="T943" s="3" t="str">
        <f t="shared" si="119"/>
        <v/>
      </c>
      <c r="V943" s="1" t="e">
        <f t="shared" si="120"/>
        <v>#VALUE!</v>
      </c>
    </row>
    <row r="944" spans="8:22" x14ac:dyDescent="0.3">
      <c r="H944" s="2" t="str">
        <f>IF(Planilha1!B941="","",Planilha1!B941)</f>
        <v>7:00p</v>
      </c>
      <c r="I944" s="2" t="str">
        <f>IF(Planilha1!C941="","",Planilha1!C941)</f>
        <v>Charlotte Hornets</v>
      </c>
      <c r="J944" s="2">
        <f>IF(Planilha1!D941="","",Planilha1!D941)</f>
        <v>0</v>
      </c>
      <c r="K944" s="10" t="str">
        <f>IF(Planilha1!E941="","",IF(Planilha1!E941=0,"",Planilha1!E941))</f>
        <v>Washington Wizards</v>
      </c>
      <c r="L944" s="10">
        <f>IF(Planilha1!F941="","",Planilha1!F941)</f>
        <v>0</v>
      </c>
      <c r="M944" s="10" t="str">
        <f>IF(Planilha1!G941="","",IF(Planilha1!G941=0,"",Planilha1!G941))</f>
        <v/>
      </c>
      <c r="N944" s="5">
        <f t="shared" si="113"/>
        <v>1</v>
      </c>
      <c r="O944" s="5">
        <f t="shared" si="114"/>
        <v>0</v>
      </c>
      <c r="P944" s="5">
        <f t="shared" si="115"/>
        <v>0</v>
      </c>
      <c r="Q944" s="5">
        <f t="shared" si="116"/>
        <v>2</v>
      </c>
      <c r="R944" s="8">
        <f t="shared" si="117"/>
        <v>0</v>
      </c>
      <c r="S944" s="8">
        <f t="shared" si="118"/>
        <v>0</v>
      </c>
      <c r="T944" s="3" t="str">
        <f t="shared" si="119"/>
        <v/>
      </c>
      <c r="V944" s="1" t="e">
        <f t="shared" si="120"/>
        <v>#VALUE!</v>
      </c>
    </row>
    <row r="945" spans="8:22" x14ac:dyDescent="0.3">
      <c r="H945" s="2" t="str">
        <f>IF(Planilha1!B942="","",Planilha1!B942)</f>
        <v>7:30p</v>
      </c>
      <c r="I945" s="2" t="str">
        <f>IF(Planilha1!C942="","",Planilha1!C942)</f>
        <v>Minnesota Timberwolves</v>
      </c>
      <c r="J945" s="2">
        <f>IF(Planilha1!D942="","",Planilha1!D942)</f>
        <v>0</v>
      </c>
      <c r="K945" s="10" t="str">
        <f>IF(Planilha1!E942="","",IF(Planilha1!E942=0,"",Planilha1!E942))</f>
        <v>Cleveland Cavaliers</v>
      </c>
      <c r="L945" s="10">
        <f>IF(Planilha1!F942="","",Planilha1!F942)</f>
        <v>0</v>
      </c>
      <c r="M945" s="10" t="str">
        <f>IF(Planilha1!G942="","",IF(Planilha1!G942=0,"",Planilha1!G942))</f>
        <v/>
      </c>
      <c r="N945" s="5">
        <f t="shared" si="113"/>
        <v>1</v>
      </c>
      <c r="O945" s="5">
        <f t="shared" si="114"/>
        <v>0</v>
      </c>
      <c r="P945" s="5">
        <f t="shared" si="115"/>
        <v>0</v>
      </c>
      <c r="Q945" s="5">
        <f t="shared" si="116"/>
        <v>2</v>
      </c>
      <c r="R945" s="8">
        <f t="shared" si="117"/>
        <v>0</v>
      </c>
      <c r="S945" s="8">
        <f t="shared" si="118"/>
        <v>0</v>
      </c>
      <c r="T945" s="3" t="str">
        <f t="shared" si="119"/>
        <v/>
      </c>
      <c r="V945" s="1" t="e">
        <f t="shared" si="120"/>
        <v>#VALUE!</v>
      </c>
    </row>
    <row r="946" spans="8:22" x14ac:dyDescent="0.3">
      <c r="H946" s="2" t="str">
        <f>IF(Planilha1!B943="","",Planilha1!B943)</f>
        <v>7:30p</v>
      </c>
      <c r="I946" s="2" t="str">
        <f>IF(Planilha1!C943="","",Planilha1!C943)</f>
        <v>Atlanta Hawks</v>
      </c>
      <c r="J946" s="2">
        <f>IF(Planilha1!D943="","",Planilha1!D943)</f>
        <v>0</v>
      </c>
      <c r="K946" s="10" t="str">
        <f>IF(Planilha1!E943="","",IF(Planilha1!E943=0,"",Planilha1!E943))</f>
        <v>Memphis Grizzlies</v>
      </c>
      <c r="L946" s="10">
        <f>IF(Planilha1!F943="","",Planilha1!F943)</f>
        <v>0</v>
      </c>
      <c r="M946" s="10" t="str">
        <f>IF(Planilha1!G943="","",IF(Planilha1!G943=0,"",Planilha1!G943))</f>
        <v/>
      </c>
      <c r="N946" s="5">
        <f t="shared" si="113"/>
        <v>1</v>
      </c>
      <c r="O946" s="5">
        <f t="shared" si="114"/>
        <v>0</v>
      </c>
      <c r="P946" s="5">
        <f t="shared" si="115"/>
        <v>0</v>
      </c>
      <c r="Q946" s="5">
        <f t="shared" si="116"/>
        <v>2</v>
      </c>
      <c r="R946" s="8">
        <f t="shared" si="117"/>
        <v>0</v>
      </c>
      <c r="S946" s="8">
        <f t="shared" si="118"/>
        <v>0</v>
      </c>
      <c r="T946" s="3" t="str">
        <f t="shared" si="119"/>
        <v/>
      </c>
      <c r="V946" s="1" t="e">
        <f t="shared" si="120"/>
        <v>#VALUE!</v>
      </c>
    </row>
    <row r="947" spans="8:22" x14ac:dyDescent="0.3">
      <c r="H947" s="2" t="str">
        <f>IF(Planilha1!B944="","",Planilha1!B944)</f>
        <v>7:30p</v>
      </c>
      <c r="I947" s="2" t="str">
        <f>IF(Planilha1!C944="","",Planilha1!C944)</f>
        <v>Orlando Magic</v>
      </c>
      <c r="J947" s="2">
        <f>IF(Planilha1!D944="","",Planilha1!D944)</f>
        <v>0</v>
      </c>
      <c r="K947" s="10" t="str">
        <f>IF(Planilha1!E944="","",IF(Planilha1!E944=0,"",Planilha1!E944))</f>
        <v>New York Knicks</v>
      </c>
      <c r="L947" s="10">
        <f>IF(Planilha1!F944="","",Planilha1!F944)</f>
        <v>0</v>
      </c>
      <c r="M947" s="10" t="str">
        <f>IF(Planilha1!G944="","",IF(Planilha1!G944=0,"",Planilha1!G944))</f>
        <v/>
      </c>
      <c r="N947" s="5">
        <f t="shared" si="113"/>
        <v>1</v>
      </c>
      <c r="O947" s="5">
        <f t="shared" si="114"/>
        <v>0</v>
      </c>
      <c r="P947" s="5">
        <f t="shared" si="115"/>
        <v>0</v>
      </c>
      <c r="Q947" s="5">
        <f t="shared" si="116"/>
        <v>2</v>
      </c>
      <c r="R947" s="8">
        <f t="shared" si="117"/>
        <v>0</v>
      </c>
      <c r="S947" s="8">
        <f t="shared" si="118"/>
        <v>0</v>
      </c>
      <c r="T947" s="3" t="str">
        <f t="shared" si="119"/>
        <v/>
      </c>
      <c r="V947" s="1" t="e">
        <f t="shared" si="120"/>
        <v>#VALUE!</v>
      </c>
    </row>
    <row r="948" spans="8:22" x14ac:dyDescent="0.3">
      <c r="H948" s="2" t="str">
        <f>IF(Planilha1!B945="","",Planilha1!B945)</f>
        <v>8:00p</v>
      </c>
      <c r="I948" s="2" t="str">
        <f>IF(Planilha1!C945="","",Planilha1!C945)</f>
        <v>Miami Heat</v>
      </c>
      <c r="J948" s="2">
        <f>IF(Planilha1!D945="","",Planilha1!D945)</f>
        <v>0</v>
      </c>
      <c r="K948" s="10" t="str">
        <f>IF(Planilha1!E945="","",IF(Planilha1!E945=0,"",Planilha1!E945))</f>
        <v>Oklahoma City Thunder</v>
      </c>
      <c r="L948" s="10">
        <f>IF(Planilha1!F945="","",Planilha1!F945)</f>
        <v>0</v>
      </c>
      <c r="M948" s="10" t="str">
        <f>IF(Planilha1!G945="","",IF(Planilha1!G945=0,"",Planilha1!G945))</f>
        <v/>
      </c>
      <c r="N948" s="5">
        <f t="shared" si="113"/>
        <v>1</v>
      </c>
      <c r="O948" s="5">
        <f t="shared" si="114"/>
        <v>0</v>
      </c>
      <c r="P948" s="5">
        <f t="shared" si="115"/>
        <v>0</v>
      </c>
      <c r="Q948" s="5">
        <f t="shared" si="116"/>
        <v>2</v>
      </c>
      <c r="R948" s="8">
        <f t="shared" si="117"/>
        <v>0</v>
      </c>
      <c r="S948" s="8">
        <f t="shared" si="118"/>
        <v>0</v>
      </c>
      <c r="T948" s="3" t="str">
        <f t="shared" si="119"/>
        <v/>
      </c>
      <c r="V948" s="1" t="e">
        <f t="shared" si="120"/>
        <v>#VALUE!</v>
      </c>
    </row>
    <row r="949" spans="8:22" x14ac:dyDescent="0.3">
      <c r="H949" s="2" t="str">
        <f>IF(Planilha1!B946="","",Planilha1!B946)</f>
        <v>10:00p</v>
      </c>
      <c r="I949" s="2" t="str">
        <f>IF(Planilha1!C946="","",Planilha1!C946)</f>
        <v>Milwaukee Bucks</v>
      </c>
      <c r="J949" s="2">
        <f>IF(Planilha1!D946="","",Planilha1!D946)</f>
        <v>0</v>
      </c>
      <c r="K949" s="10" t="str">
        <f>IF(Planilha1!E946="","",IF(Planilha1!E946=0,"",Planilha1!E946))</f>
        <v>Los Angeles Lakers</v>
      </c>
      <c r="L949" s="10">
        <f>IF(Planilha1!F946="","",Planilha1!F946)</f>
        <v>0</v>
      </c>
      <c r="M949" s="10" t="str">
        <f>IF(Planilha1!G946="","",IF(Planilha1!G946=0,"",Planilha1!G946))</f>
        <v/>
      </c>
      <c r="N949" s="5">
        <f t="shared" si="113"/>
        <v>1</v>
      </c>
      <c r="O949" s="5">
        <f t="shared" si="114"/>
        <v>0</v>
      </c>
      <c r="P949" s="5">
        <f t="shared" si="115"/>
        <v>0</v>
      </c>
      <c r="Q949" s="5">
        <f t="shared" si="116"/>
        <v>2</v>
      </c>
      <c r="R949" s="8">
        <f t="shared" si="117"/>
        <v>0</v>
      </c>
      <c r="S949" s="8">
        <f t="shared" si="118"/>
        <v>0</v>
      </c>
      <c r="T949" s="3" t="str">
        <f t="shared" si="119"/>
        <v/>
      </c>
      <c r="V949" s="1" t="e">
        <f t="shared" si="120"/>
        <v>#VALUE!</v>
      </c>
    </row>
    <row r="950" spans="8:22" x14ac:dyDescent="0.3">
      <c r="H950" s="2" t="str">
        <f>IF(Planilha1!B947="","",Planilha1!B947)</f>
        <v>10:00p</v>
      </c>
      <c r="I950" s="2" t="str">
        <f>IF(Planilha1!C947="","",Planilha1!C947)</f>
        <v>Houston Rockets</v>
      </c>
      <c r="J950" s="2">
        <f>IF(Planilha1!D947="","",Planilha1!D947)</f>
        <v>0</v>
      </c>
      <c r="K950" s="10" t="str">
        <f>IF(Planilha1!E947="","",IF(Planilha1!E947=0,"",Planilha1!E947))</f>
        <v>Portland Trail Blazers</v>
      </c>
      <c r="L950" s="10">
        <f>IF(Planilha1!F947="","",Planilha1!F947)</f>
        <v>0</v>
      </c>
      <c r="M950" s="10" t="str">
        <f>IF(Planilha1!G947="","",IF(Planilha1!G947=0,"",Planilha1!G947))</f>
        <v/>
      </c>
      <c r="N950" s="5">
        <f t="shared" si="113"/>
        <v>1</v>
      </c>
      <c r="O950" s="5">
        <f t="shared" si="114"/>
        <v>0</v>
      </c>
      <c r="P950" s="5">
        <f t="shared" si="115"/>
        <v>0</v>
      </c>
      <c r="Q950" s="5">
        <f t="shared" si="116"/>
        <v>2</v>
      </c>
      <c r="R950" s="8">
        <f t="shared" si="117"/>
        <v>0</v>
      </c>
      <c r="S950" s="8">
        <f t="shared" si="118"/>
        <v>0</v>
      </c>
      <c r="T950" s="3" t="str">
        <f t="shared" si="119"/>
        <v/>
      </c>
      <c r="V950" s="1" t="e">
        <f t="shared" si="120"/>
        <v>#VALUE!</v>
      </c>
    </row>
    <row r="951" spans="8:22" x14ac:dyDescent="0.3">
      <c r="H951" s="2" t="str">
        <f>IF(Planilha1!B948="","",Planilha1!B948)</f>
        <v>4:00p</v>
      </c>
      <c r="I951" s="2" t="str">
        <f>IF(Planilha1!C948="","",Planilha1!C948)</f>
        <v>Chicago Bulls</v>
      </c>
      <c r="J951" s="2">
        <f>IF(Planilha1!D948="","",Planilha1!D948)</f>
        <v>0</v>
      </c>
      <c r="K951" s="10" t="str">
        <f>IF(Planilha1!E948="","",IF(Planilha1!E948=0,"",Planilha1!E948))</f>
        <v>Los Angeles Clippers</v>
      </c>
      <c r="L951" s="10">
        <f>IF(Planilha1!F948="","",Planilha1!F948)</f>
        <v>0</v>
      </c>
      <c r="M951" s="10" t="str">
        <f>IF(Planilha1!G948="","",IF(Planilha1!G948=0,"",Planilha1!G948))</f>
        <v/>
      </c>
      <c r="N951" s="5">
        <f t="shared" si="113"/>
        <v>1</v>
      </c>
      <c r="O951" s="5">
        <f t="shared" si="114"/>
        <v>0</v>
      </c>
      <c r="P951" s="5">
        <f t="shared" si="115"/>
        <v>0</v>
      </c>
      <c r="Q951" s="5">
        <f t="shared" si="116"/>
        <v>2</v>
      </c>
      <c r="R951" s="8">
        <f t="shared" si="117"/>
        <v>0</v>
      </c>
      <c r="S951" s="8">
        <f t="shared" si="118"/>
        <v>0</v>
      </c>
      <c r="T951" s="3" t="str">
        <f t="shared" si="119"/>
        <v/>
      </c>
      <c r="V951" s="1" t="e">
        <f t="shared" si="120"/>
        <v>#VALUE!</v>
      </c>
    </row>
    <row r="952" spans="8:22" x14ac:dyDescent="0.3">
      <c r="H952" s="2" t="str">
        <f>IF(Planilha1!B949="","",Planilha1!B949)</f>
        <v>7:00p</v>
      </c>
      <c r="I952" s="2" t="str">
        <f>IF(Planilha1!C949="","",Planilha1!C949)</f>
        <v>Brooklyn Nets</v>
      </c>
      <c r="J952" s="2">
        <f>IF(Planilha1!D949="","",Planilha1!D949)</f>
        <v>0</v>
      </c>
      <c r="K952" s="10" t="str">
        <f>IF(Planilha1!E949="","",IF(Planilha1!E949=0,"",Planilha1!E949))</f>
        <v>Charlotte Hornets</v>
      </c>
      <c r="L952" s="10">
        <f>IF(Planilha1!F949="","",Planilha1!F949)</f>
        <v>0</v>
      </c>
      <c r="M952" s="10" t="str">
        <f>IF(Planilha1!G949="","",IF(Planilha1!G949=0,"",Planilha1!G949))</f>
        <v/>
      </c>
      <c r="N952" s="5">
        <f t="shared" si="113"/>
        <v>1</v>
      </c>
      <c r="O952" s="5">
        <f t="shared" si="114"/>
        <v>0</v>
      </c>
      <c r="P952" s="5">
        <f t="shared" si="115"/>
        <v>0</v>
      </c>
      <c r="Q952" s="5">
        <f t="shared" si="116"/>
        <v>2</v>
      </c>
      <c r="R952" s="8">
        <f t="shared" si="117"/>
        <v>0</v>
      </c>
      <c r="S952" s="8">
        <f t="shared" si="118"/>
        <v>0</v>
      </c>
      <c r="T952" s="3" t="str">
        <f t="shared" si="119"/>
        <v/>
      </c>
      <c r="V952" s="1" t="e">
        <f t="shared" si="120"/>
        <v>#VALUE!</v>
      </c>
    </row>
    <row r="953" spans="8:22" x14ac:dyDescent="0.3">
      <c r="H953" s="2" t="str">
        <f>IF(Planilha1!B950="","",Planilha1!B950)</f>
        <v>7:00p</v>
      </c>
      <c r="I953" s="2" t="str">
        <f>IF(Planilha1!C950="","",Planilha1!C950)</f>
        <v>Dallas Mavericks</v>
      </c>
      <c r="J953" s="2">
        <f>IF(Planilha1!D950="","",Planilha1!D950)</f>
        <v>0</v>
      </c>
      <c r="K953" s="10" t="str">
        <f>IF(Planilha1!E950="","",IF(Planilha1!E950=0,"",Planilha1!E950))</f>
        <v>Detroit Pistons</v>
      </c>
      <c r="L953" s="10">
        <f>IF(Planilha1!F950="","",Planilha1!F950)</f>
        <v>0</v>
      </c>
      <c r="M953" s="10" t="str">
        <f>IF(Planilha1!G950="","",IF(Planilha1!G950=0,"",Planilha1!G950))</f>
        <v/>
      </c>
      <c r="N953" s="5">
        <f t="shared" si="113"/>
        <v>1</v>
      </c>
      <c r="O953" s="5">
        <f t="shared" si="114"/>
        <v>0</v>
      </c>
      <c r="P953" s="5">
        <f t="shared" si="115"/>
        <v>0</v>
      </c>
      <c r="Q953" s="5">
        <f t="shared" si="116"/>
        <v>2</v>
      </c>
      <c r="R953" s="8">
        <f t="shared" si="117"/>
        <v>0</v>
      </c>
      <c r="S953" s="8">
        <f t="shared" si="118"/>
        <v>0</v>
      </c>
      <c r="T953" s="3" t="str">
        <f t="shared" si="119"/>
        <v/>
      </c>
      <c r="V953" s="1" t="e">
        <f t="shared" si="120"/>
        <v>#VALUE!</v>
      </c>
    </row>
    <row r="954" spans="8:22" x14ac:dyDescent="0.3">
      <c r="H954" s="2" t="str">
        <f>IF(Planilha1!B951="","",Planilha1!B951)</f>
        <v>8:30p</v>
      </c>
      <c r="I954" s="2" t="str">
        <f>IF(Planilha1!C951="","",Planilha1!C951)</f>
        <v>San Antonio Spurs</v>
      </c>
      <c r="J954" s="2">
        <f>IF(Planilha1!D951="","",Planilha1!D951)</f>
        <v>0</v>
      </c>
      <c r="K954" s="10" t="str">
        <f>IF(Planilha1!E951="","",IF(Planilha1!E951=0,"",Planilha1!E951))</f>
        <v>Golden State Warriors</v>
      </c>
      <c r="L954" s="10">
        <f>IF(Planilha1!F951="","",Planilha1!F951)</f>
        <v>0</v>
      </c>
      <c r="M954" s="10" t="str">
        <f>IF(Planilha1!G951="","",IF(Planilha1!G951=0,"",Planilha1!G951))</f>
        <v/>
      </c>
      <c r="N954" s="5">
        <f t="shared" si="113"/>
        <v>1</v>
      </c>
      <c r="O954" s="5">
        <f t="shared" si="114"/>
        <v>0</v>
      </c>
      <c r="P954" s="5">
        <f t="shared" si="115"/>
        <v>0</v>
      </c>
      <c r="Q954" s="5">
        <f t="shared" si="116"/>
        <v>2</v>
      </c>
      <c r="R954" s="8">
        <f t="shared" si="117"/>
        <v>0</v>
      </c>
      <c r="S954" s="8">
        <f t="shared" si="118"/>
        <v>0</v>
      </c>
      <c r="T954" s="3" t="str">
        <f t="shared" si="119"/>
        <v/>
      </c>
      <c r="V954" s="1" t="e">
        <f t="shared" si="120"/>
        <v>#VALUE!</v>
      </c>
    </row>
    <row r="955" spans="8:22" x14ac:dyDescent="0.3">
      <c r="H955" s="2" t="str">
        <f>IF(Planilha1!B952="","",Planilha1!B952)</f>
        <v>8:30p</v>
      </c>
      <c r="I955" s="2" t="str">
        <f>IF(Planilha1!C952="","",Planilha1!C952)</f>
        <v>Boston Celtics</v>
      </c>
      <c r="J955" s="2">
        <f>IF(Planilha1!D952="","",Planilha1!D952)</f>
        <v>0</v>
      </c>
      <c r="K955" s="10" t="str">
        <f>IF(Planilha1!E952="","",IF(Planilha1!E952=0,"",Planilha1!E952))</f>
        <v>Phoenix Suns</v>
      </c>
      <c r="L955" s="10">
        <f>IF(Planilha1!F952="","",Planilha1!F952)</f>
        <v>0</v>
      </c>
      <c r="M955" s="10" t="str">
        <f>IF(Planilha1!G952="","",IF(Planilha1!G952=0,"",Planilha1!G952))</f>
        <v/>
      </c>
      <c r="N955" s="5">
        <f t="shared" si="113"/>
        <v>1</v>
      </c>
      <c r="O955" s="5">
        <f t="shared" si="114"/>
        <v>0</v>
      </c>
      <c r="P955" s="5">
        <f t="shared" si="115"/>
        <v>0</v>
      </c>
      <c r="Q955" s="5">
        <f t="shared" si="116"/>
        <v>2</v>
      </c>
      <c r="R955" s="8">
        <f t="shared" si="117"/>
        <v>0</v>
      </c>
      <c r="S955" s="8">
        <f t="shared" si="118"/>
        <v>0</v>
      </c>
      <c r="T955" s="3" t="str">
        <f t="shared" si="119"/>
        <v/>
      </c>
      <c r="V955" s="1" t="e">
        <f t="shared" si="120"/>
        <v>#VALUE!</v>
      </c>
    </row>
    <row r="956" spans="8:22" x14ac:dyDescent="0.3">
      <c r="H956" s="2" t="str">
        <f>IF(Planilha1!B953="","",Planilha1!B953)</f>
        <v>10:00p</v>
      </c>
      <c r="I956" s="2" t="str">
        <f>IF(Planilha1!C953="","",Planilha1!C953)</f>
        <v>Utah Jazz</v>
      </c>
      <c r="J956" s="2">
        <f>IF(Planilha1!D953="","",Planilha1!D953)</f>
        <v>0</v>
      </c>
      <c r="K956" s="10" t="str">
        <f>IF(Planilha1!E953="","",IF(Planilha1!E953=0,"",Planilha1!E953))</f>
        <v>Denver Nuggets</v>
      </c>
      <c r="L956" s="10">
        <f>IF(Planilha1!F953="","",Planilha1!F953)</f>
        <v>0</v>
      </c>
      <c r="M956" s="10" t="str">
        <f>IF(Planilha1!G953="","",IF(Planilha1!G953=0,"",Planilha1!G953))</f>
        <v/>
      </c>
      <c r="N956" s="5">
        <f t="shared" si="113"/>
        <v>1</v>
      </c>
      <c r="O956" s="5">
        <f t="shared" si="114"/>
        <v>0</v>
      </c>
      <c r="P956" s="5">
        <f t="shared" si="115"/>
        <v>0</v>
      </c>
      <c r="Q956" s="5">
        <f t="shared" si="116"/>
        <v>2</v>
      </c>
      <c r="R956" s="8">
        <f t="shared" si="117"/>
        <v>0</v>
      </c>
      <c r="S956" s="8">
        <f t="shared" si="118"/>
        <v>0</v>
      </c>
      <c r="T956" s="3" t="str">
        <f t="shared" si="119"/>
        <v/>
      </c>
      <c r="V956" s="1" t="e">
        <f t="shared" si="120"/>
        <v>#VALUE!</v>
      </c>
    </row>
    <row r="957" spans="8:22" x14ac:dyDescent="0.3">
      <c r="H957" s="2" t="str">
        <f>IF(Planilha1!B954="","",Planilha1!B954)</f>
        <v>10:00p</v>
      </c>
      <c r="I957" s="2" t="str">
        <f>IF(Planilha1!C954="","",Planilha1!C954)</f>
        <v>Toronto Raptors</v>
      </c>
      <c r="J957" s="2">
        <f>IF(Planilha1!D954="","",Planilha1!D954)</f>
        <v>0</v>
      </c>
      <c r="K957" s="10" t="str">
        <f>IF(Planilha1!E954="","",IF(Planilha1!E954=0,"",Planilha1!E954))</f>
        <v>Portland Trail Blazers</v>
      </c>
      <c r="L957" s="10">
        <f>IF(Planilha1!F954="","",Planilha1!F954)</f>
        <v>0</v>
      </c>
      <c r="M957" s="10" t="str">
        <f>IF(Planilha1!G954="","",IF(Planilha1!G954=0,"",Planilha1!G954))</f>
        <v/>
      </c>
      <c r="N957" s="5">
        <f t="shared" si="113"/>
        <v>1</v>
      </c>
      <c r="O957" s="5">
        <f t="shared" si="114"/>
        <v>0</v>
      </c>
      <c r="P957" s="5">
        <f t="shared" si="115"/>
        <v>0</v>
      </c>
      <c r="Q957" s="5">
        <f t="shared" si="116"/>
        <v>2</v>
      </c>
      <c r="R957" s="8">
        <f t="shared" si="117"/>
        <v>0</v>
      </c>
      <c r="S957" s="8">
        <f t="shared" si="118"/>
        <v>0</v>
      </c>
      <c r="T957" s="3" t="str">
        <f t="shared" si="119"/>
        <v/>
      </c>
      <c r="V957" s="1" t="e">
        <f t="shared" si="120"/>
        <v>#VALUE!</v>
      </c>
    </row>
    <row r="958" spans="8:22" x14ac:dyDescent="0.3">
      <c r="H958" s="2" t="str">
        <f>IF(Planilha1!B955="","",Planilha1!B955)</f>
        <v>3:00p</v>
      </c>
      <c r="I958" s="2" t="str">
        <f>IF(Planilha1!C955="","",Planilha1!C955)</f>
        <v>Milwaukee Bucks</v>
      </c>
      <c r="J958" s="2">
        <f>IF(Planilha1!D955="","",Planilha1!D955)</f>
        <v>0</v>
      </c>
      <c r="K958" s="10" t="str">
        <f>IF(Planilha1!E955="","",IF(Planilha1!E955=0,"",Planilha1!E955))</f>
        <v>Los Angeles Clippers</v>
      </c>
      <c r="L958" s="10">
        <f>IF(Planilha1!F955="","",Planilha1!F955)</f>
        <v>0</v>
      </c>
      <c r="M958" s="10" t="str">
        <f>IF(Planilha1!G955="","",IF(Planilha1!G955=0,"",Planilha1!G955))</f>
        <v/>
      </c>
      <c r="N958" s="5">
        <f t="shared" si="113"/>
        <v>1</v>
      </c>
      <c r="O958" s="5">
        <f t="shared" si="114"/>
        <v>0</v>
      </c>
      <c r="P958" s="5">
        <f t="shared" si="115"/>
        <v>0</v>
      </c>
      <c r="Q958" s="5">
        <f t="shared" si="116"/>
        <v>2</v>
      </c>
      <c r="R958" s="8">
        <f t="shared" si="117"/>
        <v>0</v>
      </c>
      <c r="S958" s="8">
        <f t="shared" si="118"/>
        <v>0</v>
      </c>
      <c r="T958" s="3" t="str">
        <f t="shared" si="119"/>
        <v/>
      </c>
      <c r="V958" s="1" t="e">
        <f t="shared" si="120"/>
        <v>#VALUE!</v>
      </c>
    </row>
    <row r="959" spans="8:22" x14ac:dyDescent="0.3">
      <c r="H959" s="2" t="str">
        <f>IF(Planilha1!B956="","",Planilha1!B956)</f>
        <v>6:00p</v>
      </c>
      <c r="I959" s="2" t="str">
        <f>IF(Planilha1!C956="","",Planilha1!C956)</f>
        <v>New Orleans Pelicans</v>
      </c>
      <c r="J959" s="2">
        <f>IF(Planilha1!D956="","",Planilha1!D956)</f>
        <v>0</v>
      </c>
      <c r="K959" s="10" t="str">
        <f>IF(Planilha1!E956="","",IF(Planilha1!E956=0,"",Planilha1!E956))</f>
        <v>Atlanta Hawks</v>
      </c>
      <c r="L959" s="10">
        <f>IF(Planilha1!F956="","",Planilha1!F956)</f>
        <v>0</v>
      </c>
      <c r="M959" s="10" t="str">
        <f>IF(Planilha1!G956="","",IF(Planilha1!G956=0,"",Planilha1!G956))</f>
        <v/>
      </c>
      <c r="N959" s="5">
        <f t="shared" si="113"/>
        <v>1</v>
      </c>
      <c r="O959" s="5">
        <f t="shared" si="114"/>
        <v>0</v>
      </c>
      <c r="P959" s="5">
        <f t="shared" si="115"/>
        <v>0</v>
      </c>
      <c r="Q959" s="5">
        <f t="shared" si="116"/>
        <v>2</v>
      </c>
      <c r="R959" s="8">
        <f t="shared" si="117"/>
        <v>0</v>
      </c>
      <c r="S959" s="8">
        <f t="shared" si="118"/>
        <v>0</v>
      </c>
      <c r="T959" s="3" t="str">
        <f t="shared" si="119"/>
        <v/>
      </c>
      <c r="V959" s="1" t="e">
        <f t="shared" si="120"/>
        <v>#VALUE!</v>
      </c>
    </row>
    <row r="960" spans="8:22" x14ac:dyDescent="0.3">
      <c r="H960" s="2" t="str">
        <f>IF(Planilha1!B957="","",Planilha1!B957)</f>
        <v>6:00p</v>
      </c>
      <c r="I960" s="2" t="str">
        <f>IF(Planilha1!C957="","",Planilha1!C957)</f>
        <v>Washington Wizards</v>
      </c>
      <c r="J960" s="2">
        <f>IF(Planilha1!D957="","",Planilha1!D957)</f>
        <v>0</v>
      </c>
      <c r="K960" s="10" t="str">
        <f>IF(Planilha1!E957="","",IF(Planilha1!E957=0,"",Planilha1!E957))</f>
        <v>Miami Heat</v>
      </c>
      <c r="L960" s="10">
        <f>IF(Planilha1!F957="","",Planilha1!F957)</f>
        <v>0</v>
      </c>
      <c r="M960" s="10" t="str">
        <f>IF(Planilha1!G957="","",IF(Planilha1!G957=0,"",Planilha1!G957))</f>
        <v/>
      </c>
      <c r="N960" s="5">
        <f t="shared" si="113"/>
        <v>1</v>
      </c>
      <c r="O960" s="5">
        <f t="shared" si="114"/>
        <v>0</v>
      </c>
      <c r="P960" s="5">
        <f t="shared" si="115"/>
        <v>0</v>
      </c>
      <c r="Q960" s="5">
        <f t="shared" si="116"/>
        <v>2</v>
      </c>
      <c r="R960" s="8">
        <f t="shared" si="117"/>
        <v>0</v>
      </c>
      <c r="S960" s="8">
        <f t="shared" si="118"/>
        <v>0</v>
      </c>
      <c r="T960" s="3" t="str">
        <f t="shared" si="119"/>
        <v/>
      </c>
      <c r="V960" s="1" t="e">
        <f t="shared" si="120"/>
        <v>#VALUE!</v>
      </c>
    </row>
    <row r="961" spans="8:22" x14ac:dyDescent="0.3">
      <c r="H961" s="2" t="str">
        <f>IF(Planilha1!B958="","",Planilha1!B958)</f>
        <v>6:00p</v>
      </c>
      <c r="I961" s="2" t="str">
        <f>IF(Planilha1!C958="","",Planilha1!C958)</f>
        <v>Philadelphia 76ers</v>
      </c>
      <c r="J961" s="2">
        <f>IF(Planilha1!D958="","",Planilha1!D958)</f>
        <v>0</v>
      </c>
      <c r="K961" s="10" t="str">
        <f>IF(Planilha1!E958="","",IF(Planilha1!E958=0,"",Planilha1!E958))</f>
        <v>New York Knicks</v>
      </c>
      <c r="L961" s="10">
        <f>IF(Planilha1!F958="","",Planilha1!F958)</f>
        <v>0</v>
      </c>
      <c r="M961" s="10" t="str">
        <f>IF(Planilha1!G958="","",IF(Planilha1!G958=0,"",Planilha1!G958))</f>
        <v/>
      </c>
      <c r="N961" s="5">
        <f t="shared" si="113"/>
        <v>1</v>
      </c>
      <c r="O961" s="5">
        <f t="shared" si="114"/>
        <v>0</v>
      </c>
      <c r="P961" s="5">
        <f t="shared" si="115"/>
        <v>0</v>
      </c>
      <c r="Q961" s="5">
        <f t="shared" si="116"/>
        <v>2</v>
      </c>
      <c r="R961" s="8">
        <f t="shared" si="117"/>
        <v>0</v>
      </c>
      <c r="S961" s="8">
        <f t="shared" si="118"/>
        <v>0</v>
      </c>
      <c r="T961" s="3" t="str">
        <f t="shared" si="119"/>
        <v/>
      </c>
      <c r="V961" s="1" t="e">
        <f t="shared" si="120"/>
        <v>#VALUE!</v>
      </c>
    </row>
    <row r="962" spans="8:22" x14ac:dyDescent="0.3">
      <c r="H962" s="2" t="str">
        <f>IF(Planilha1!B959="","",Planilha1!B959)</f>
        <v>6:00p</v>
      </c>
      <c r="I962" s="2" t="str">
        <f>IF(Planilha1!C959="","",Planilha1!C959)</f>
        <v>Indiana Pacers</v>
      </c>
      <c r="J962" s="2">
        <f>IF(Planilha1!D959="","",Planilha1!D959)</f>
        <v>0</v>
      </c>
      <c r="K962" s="10" t="str">
        <f>IF(Planilha1!E959="","",IF(Planilha1!E959=0,"",Planilha1!E959))</f>
        <v>Orlando Magic</v>
      </c>
      <c r="L962" s="10">
        <f>IF(Planilha1!F959="","",Planilha1!F959)</f>
        <v>0</v>
      </c>
      <c r="M962" s="10" t="str">
        <f>IF(Planilha1!G959="","",IF(Planilha1!G959=0,"",Planilha1!G959))</f>
        <v/>
      </c>
      <c r="N962" s="5">
        <f t="shared" si="113"/>
        <v>1</v>
      </c>
      <c r="O962" s="5">
        <f t="shared" si="114"/>
        <v>0</v>
      </c>
      <c r="P962" s="5">
        <f t="shared" si="115"/>
        <v>0</v>
      </c>
      <c r="Q962" s="5">
        <f t="shared" si="116"/>
        <v>2</v>
      </c>
      <c r="R962" s="8">
        <f t="shared" si="117"/>
        <v>0</v>
      </c>
      <c r="S962" s="8">
        <f t="shared" si="118"/>
        <v>0</v>
      </c>
      <c r="T962" s="3" t="str">
        <f t="shared" si="119"/>
        <v/>
      </c>
      <c r="V962" s="1" t="e">
        <f t="shared" si="120"/>
        <v>#VALUE!</v>
      </c>
    </row>
    <row r="963" spans="8:22" x14ac:dyDescent="0.3">
      <c r="H963" s="2" t="str">
        <f>IF(Planilha1!B960="","",Planilha1!B960)</f>
        <v>6:00p</v>
      </c>
      <c r="I963" s="2" t="str">
        <f>IF(Planilha1!C960="","",Planilha1!C960)</f>
        <v>Houston Rockets</v>
      </c>
      <c r="J963" s="2">
        <f>IF(Planilha1!D960="","",Planilha1!D960)</f>
        <v>0</v>
      </c>
      <c r="K963" s="10" t="str">
        <f>IF(Planilha1!E960="","",IF(Planilha1!E960=0,"",Planilha1!E960))</f>
        <v>Sacramento Kings</v>
      </c>
      <c r="L963" s="10">
        <f>IF(Planilha1!F960="","",Planilha1!F960)</f>
        <v>0</v>
      </c>
      <c r="M963" s="10" t="str">
        <f>IF(Planilha1!G960="","",IF(Planilha1!G960=0,"",Planilha1!G960))</f>
        <v/>
      </c>
      <c r="N963" s="5">
        <f t="shared" si="113"/>
        <v>1</v>
      </c>
      <c r="O963" s="5">
        <f t="shared" si="114"/>
        <v>0</v>
      </c>
      <c r="P963" s="5">
        <f t="shared" si="115"/>
        <v>0</v>
      </c>
      <c r="Q963" s="5">
        <f t="shared" si="116"/>
        <v>2</v>
      </c>
      <c r="R963" s="8">
        <f t="shared" si="117"/>
        <v>0</v>
      </c>
      <c r="S963" s="8">
        <f t="shared" si="118"/>
        <v>0</v>
      </c>
      <c r="T963" s="3" t="str">
        <f t="shared" si="119"/>
        <v/>
      </c>
      <c r="V963" s="1" t="e">
        <f t="shared" si="120"/>
        <v>#VALUE!</v>
      </c>
    </row>
    <row r="964" spans="8:22" x14ac:dyDescent="0.3">
      <c r="H964" s="2" t="str">
        <f>IF(Planilha1!B961="","",Planilha1!B961)</f>
        <v>7:00p</v>
      </c>
      <c r="I964" s="2" t="str">
        <f>IF(Planilha1!C961="","",Planilha1!C961)</f>
        <v>Brooklyn Nets</v>
      </c>
      <c r="J964" s="2">
        <f>IF(Planilha1!D961="","",Planilha1!D961)</f>
        <v>0</v>
      </c>
      <c r="K964" s="10" t="str">
        <f>IF(Planilha1!E961="","",IF(Planilha1!E961=0,"",Planilha1!E961))</f>
        <v>Cleveland Cavaliers</v>
      </c>
      <c r="L964" s="10">
        <f>IF(Planilha1!F961="","",Planilha1!F961)</f>
        <v>0</v>
      </c>
      <c r="M964" s="10" t="str">
        <f>IF(Planilha1!G961="","",IF(Planilha1!G961=0,"",Planilha1!G961))</f>
        <v/>
      </c>
      <c r="N964" s="5">
        <f t="shared" si="113"/>
        <v>1</v>
      </c>
      <c r="O964" s="5">
        <f t="shared" si="114"/>
        <v>0</v>
      </c>
      <c r="P964" s="5">
        <f t="shared" si="115"/>
        <v>0</v>
      </c>
      <c r="Q964" s="5">
        <f t="shared" si="116"/>
        <v>2</v>
      </c>
      <c r="R964" s="8">
        <f t="shared" si="117"/>
        <v>0</v>
      </c>
      <c r="S964" s="8">
        <f t="shared" si="118"/>
        <v>0</v>
      </c>
      <c r="T964" s="3" t="str">
        <f t="shared" si="119"/>
        <v/>
      </c>
      <c r="V964" s="1" t="e">
        <f t="shared" si="120"/>
        <v>#VALUE!</v>
      </c>
    </row>
    <row r="965" spans="8:22" x14ac:dyDescent="0.3">
      <c r="H965" s="2" t="str">
        <f>IF(Planilha1!B962="","",Planilha1!B962)</f>
        <v>7:00p</v>
      </c>
      <c r="I965" s="2" t="str">
        <f>IF(Planilha1!C962="","",Planilha1!C962)</f>
        <v>Memphis Grizzlies</v>
      </c>
      <c r="J965" s="2">
        <f>IF(Planilha1!D962="","",Planilha1!D962)</f>
        <v>0</v>
      </c>
      <c r="K965" s="10" t="str">
        <f>IF(Planilha1!E962="","",IF(Planilha1!E962=0,"",Planilha1!E962))</f>
        <v>Oklahoma City Thunder</v>
      </c>
      <c r="L965" s="10">
        <f>IF(Planilha1!F962="","",Planilha1!F962)</f>
        <v>0</v>
      </c>
      <c r="M965" s="10" t="str">
        <f>IF(Planilha1!G962="","",IF(Planilha1!G962=0,"",Planilha1!G962))</f>
        <v/>
      </c>
      <c r="N965" s="5">
        <f t="shared" si="113"/>
        <v>1</v>
      </c>
      <c r="O965" s="5">
        <f t="shared" si="114"/>
        <v>0</v>
      </c>
      <c r="P965" s="5">
        <f t="shared" si="115"/>
        <v>0</v>
      </c>
      <c r="Q965" s="5">
        <f t="shared" si="116"/>
        <v>2</v>
      </c>
      <c r="R965" s="8">
        <f t="shared" si="117"/>
        <v>0</v>
      </c>
      <c r="S965" s="8">
        <f t="shared" si="118"/>
        <v>0</v>
      </c>
      <c r="T965" s="3" t="str">
        <f t="shared" si="119"/>
        <v/>
      </c>
      <c r="V965" s="1" t="e">
        <f t="shared" si="120"/>
        <v>#VALUE!</v>
      </c>
    </row>
    <row r="966" spans="8:22" x14ac:dyDescent="0.3">
      <c r="H966" s="2" t="str">
        <f>IF(Planilha1!B963="","",Planilha1!B963)</f>
        <v>9:30p</v>
      </c>
      <c r="I966" s="2" t="str">
        <f>IF(Planilha1!C963="","",Planilha1!C963)</f>
        <v>Minnesota Timberwolves</v>
      </c>
      <c r="J966" s="2">
        <f>IF(Planilha1!D963="","",Planilha1!D963)</f>
        <v>0</v>
      </c>
      <c r="K966" s="10" t="str">
        <f>IF(Planilha1!E963="","",IF(Planilha1!E963=0,"",Planilha1!E963))</f>
        <v>Los Angeles Lakers</v>
      </c>
      <c r="L966" s="10">
        <f>IF(Planilha1!F963="","",Planilha1!F963)</f>
        <v>0</v>
      </c>
      <c r="M966" s="10" t="str">
        <f>IF(Planilha1!G963="","",IF(Planilha1!G963=0,"",Planilha1!G963))</f>
        <v/>
      </c>
      <c r="N966" s="5">
        <f t="shared" ref="N966:N1029" si="121">IF(K966="","",IF(K966&gt;M966,100%,0%))</f>
        <v>1</v>
      </c>
      <c r="O966" s="5">
        <f t="shared" ref="O966:O1029" si="122">IF(K966="","",IF(K966&lt;M966,100%,0%))</f>
        <v>0</v>
      </c>
      <c r="P966" s="5">
        <f t="shared" ref="P966:P1029" si="123">IF(M966="",IF(R966&gt;S966,2,0),IF(K966&lt;M966,2,0))</f>
        <v>0</v>
      </c>
      <c r="Q966" s="5">
        <f t="shared" ref="Q966:Q1029" si="124">IF(M966="",IF(R966&gt;S966,0,2),IF(K966&gt;M966,2,0))</f>
        <v>2</v>
      </c>
      <c r="R966" s="8">
        <f t="shared" ref="R966:R1029" si="125">SUMIF($B:$B,J966,$C:$C)+(SUMIF($B:$B,L966,$F:$F))</f>
        <v>0</v>
      </c>
      <c r="S966" s="8">
        <f t="shared" ref="S966:S1029" si="126">SUMIF($B:$B,L966,$E:$E)+(SUMIF($B:$B,J966,$D:$D))</f>
        <v>0</v>
      </c>
      <c r="T966" s="3" t="str">
        <f t="shared" ref="T966:T1029" si="127">IF(M966="","",(K966-S966)^2+(M966-R966)^2)</f>
        <v/>
      </c>
      <c r="V966" s="1" t="e">
        <f t="shared" ref="V966:V1029" si="128">IF(O966="","",1/((M966-K966)/(R966-S966)))</f>
        <v>#VALUE!</v>
      </c>
    </row>
    <row r="967" spans="8:22" x14ac:dyDescent="0.3">
      <c r="H967" s="2" t="str">
        <f>IF(Planilha1!B964="","",Planilha1!B964)</f>
        <v>7:00p</v>
      </c>
      <c r="I967" s="2" t="str">
        <f>IF(Planilha1!C964="","",Planilha1!C964)</f>
        <v>Charlotte Hornets</v>
      </c>
      <c r="J967" s="2">
        <f>IF(Planilha1!D964="","",Planilha1!D964)</f>
        <v>0</v>
      </c>
      <c r="K967" s="10" t="str">
        <f>IF(Planilha1!E964="","",IF(Planilha1!E964=0,"",Planilha1!E964))</f>
        <v>Detroit Pistons</v>
      </c>
      <c r="L967" s="10">
        <f>IF(Planilha1!F964="","",Planilha1!F964)</f>
        <v>0</v>
      </c>
      <c r="M967" s="10" t="str">
        <f>IF(Planilha1!G964="","",IF(Planilha1!G964=0,"",Planilha1!G964))</f>
        <v/>
      </c>
      <c r="N967" s="5">
        <f t="shared" si="121"/>
        <v>1</v>
      </c>
      <c r="O967" s="5">
        <f t="shared" si="122"/>
        <v>0</v>
      </c>
      <c r="P967" s="5">
        <f t="shared" si="123"/>
        <v>0</v>
      </c>
      <c r="Q967" s="5">
        <f t="shared" si="124"/>
        <v>2</v>
      </c>
      <c r="R967" s="8">
        <f t="shared" si="125"/>
        <v>0</v>
      </c>
      <c r="S967" s="8">
        <f t="shared" si="126"/>
        <v>0</v>
      </c>
      <c r="T967" s="3" t="str">
        <f t="shared" si="127"/>
        <v/>
      </c>
      <c r="V967" s="1" t="e">
        <f t="shared" si="128"/>
        <v>#VALUE!</v>
      </c>
    </row>
    <row r="968" spans="8:22" x14ac:dyDescent="0.3">
      <c r="H968" s="2" t="str">
        <f>IF(Planilha1!B965="","",Planilha1!B965)</f>
        <v>7:30p</v>
      </c>
      <c r="I968" s="2" t="str">
        <f>IF(Planilha1!C965="","",Planilha1!C965)</f>
        <v>Phoenix Suns</v>
      </c>
      <c r="J968" s="2">
        <f>IF(Planilha1!D965="","",Planilha1!D965)</f>
        <v>0</v>
      </c>
      <c r="K968" s="10" t="str">
        <f>IF(Planilha1!E965="","",IF(Planilha1!E965=0,"",Planilha1!E965))</f>
        <v>Cleveland Cavaliers</v>
      </c>
      <c r="L968" s="10">
        <f>IF(Planilha1!F965="","",Planilha1!F965)</f>
        <v>0</v>
      </c>
      <c r="M968" s="10" t="str">
        <f>IF(Planilha1!G965="","",IF(Planilha1!G965=0,"",Planilha1!G965))</f>
        <v/>
      </c>
      <c r="N968" s="5">
        <f t="shared" si="121"/>
        <v>1</v>
      </c>
      <c r="O968" s="5">
        <f t="shared" si="122"/>
        <v>0</v>
      </c>
      <c r="P968" s="5">
        <f t="shared" si="123"/>
        <v>0</v>
      </c>
      <c r="Q968" s="5">
        <f t="shared" si="124"/>
        <v>2</v>
      </c>
      <c r="R968" s="8">
        <f t="shared" si="125"/>
        <v>0</v>
      </c>
      <c r="S968" s="8">
        <f t="shared" si="126"/>
        <v>0</v>
      </c>
      <c r="T968" s="3" t="str">
        <f t="shared" si="127"/>
        <v/>
      </c>
      <c r="V968" s="1" t="e">
        <f t="shared" si="128"/>
        <v>#VALUE!</v>
      </c>
    </row>
    <row r="969" spans="8:22" x14ac:dyDescent="0.3">
      <c r="H969" s="2" t="str">
        <f>IF(Planilha1!B966="","",Planilha1!B966)</f>
        <v>8:00p</v>
      </c>
      <c r="I969" s="2" t="str">
        <f>IF(Planilha1!C966="","",Planilha1!C966)</f>
        <v>Dallas Mavericks</v>
      </c>
      <c r="J969" s="2">
        <f>IF(Planilha1!D966="","",Planilha1!D966)</f>
        <v>0</v>
      </c>
      <c r="K969" s="10" t="str">
        <f>IF(Planilha1!E966="","",IF(Planilha1!E966=0,"",Planilha1!E966))</f>
        <v>Chicago Bulls</v>
      </c>
      <c r="L969" s="10">
        <f>IF(Planilha1!F966="","",Planilha1!F966)</f>
        <v>0</v>
      </c>
      <c r="M969" s="10" t="str">
        <f>IF(Planilha1!G966="","",IF(Planilha1!G966=0,"",Planilha1!G966))</f>
        <v/>
      </c>
      <c r="N969" s="5">
        <f t="shared" si="121"/>
        <v>1</v>
      </c>
      <c r="O969" s="5">
        <f t="shared" si="122"/>
        <v>0</v>
      </c>
      <c r="P969" s="5">
        <f t="shared" si="123"/>
        <v>0</v>
      </c>
      <c r="Q969" s="5">
        <f t="shared" si="124"/>
        <v>2</v>
      </c>
      <c r="R969" s="8">
        <f t="shared" si="125"/>
        <v>0</v>
      </c>
      <c r="S969" s="8">
        <f t="shared" si="126"/>
        <v>0</v>
      </c>
      <c r="T969" s="3" t="str">
        <f t="shared" si="127"/>
        <v/>
      </c>
      <c r="V969" s="1" t="e">
        <f t="shared" si="128"/>
        <v>#VALUE!</v>
      </c>
    </row>
    <row r="970" spans="8:22" x14ac:dyDescent="0.3">
      <c r="H970" s="2" t="str">
        <f>IF(Planilha1!B967="","",Planilha1!B967)</f>
        <v>8:00p</v>
      </c>
      <c r="I970" s="2" t="str">
        <f>IF(Planilha1!C967="","",Planilha1!C967)</f>
        <v>Golden State Warriors</v>
      </c>
      <c r="J970" s="2">
        <f>IF(Planilha1!D967="","",Planilha1!D967)</f>
        <v>0</v>
      </c>
      <c r="K970" s="10" t="str">
        <f>IF(Planilha1!E967="","",IF(Planilha1!E967=0,"",Planilha1!E967))</f>
        <v>San Antonio Spurs</v>
      </c>
      <c r="L970" s="10">
        <f>IF(Planilha1!F967="","",Planilha1!F967)</f>
        <v>0</v>
      </c>
      <c r="M970" s="10" t="str">
        <f>IF(Planilha1!G967="","",IF(Planilha1!G967=0,"",Planilha1!G967))</f>
        <v/>
      </c>
      <c r="N970" s="5">
        <f t="shared" si="121"/>
        <v>1</v>
      </c>
      <c r="O970" s="5">
        <f t="shared" si="122"/>
        <v>0</v>
      </c>
      <c r="P970" s="5">
        <f t="shared" si="123"/>
        <v>0</v>
      </c>
      <c r="Q970" s="5">
        <f t="shared" si="124"/>
        <v>2</v>
      </c>
      <c r="R970" s="8">
        <f t="shared" si="125"/>
        <v>0</v>
      </c>
      <c r="S970" s="8">
        <f t="shared" si="126"/>
        <v>0</v>
      </c>
      <c r="T970" s="3" t="str">
        <f t="shared" si="127"/>
        <v/>
      </c>
      <c r="V970" s="1" t="e">
        <f t="shared" si="128"/>
        <v>#VALUE!</v>
      </c>
    </row>
    <row r="971" spans="8:22" x14ac:dyDescent="0.3">
      <c r="H971" s="2" t="str">
        <f>IF(Planilha1!B968="","",Planilha1!B968)</f>
        <v>9:00p</v>
      </c>
      <c r="I971" s="2" t="str">
        <f>IF(Planilha1!C968="","",Planilha1!C968)</f>
        <v>Toronto Raptors</v>
      </c>
      <c r="J971" s="2">
        <f>IF(Planilha1!D968="","",Planilha1!D968)</f>
        <v>0</v>
      </c>
      <c r="K971" s="10" t="str">
        <f>IF(Planilha1!E968="","",IF(Planilha1!E968=0,"",Planilha1!E968))</f>
        <v>Denver Nuggets</v>
      </c>
      <c r="L971" s="10">
        <f>IF(Planilha1!F968="","",Planilha1!F968)</f>
        <v>0</v>
      </c>
      <c r="M971" s="10" t="str">
        <f>IF(Planilha1!G968="","",IF(Planilha1!G968=0,"",Planilha1!G968))</f>
        <v/>
      </c>
      <c r="N971" s="5">
        <f t="shared" si="121"/>
        <v>1</v>
      </c>
      <c r="O971" s="5">
        <f t="shared" si="122"/>
        <v>0</v>
      </c>
      <c r="P971" s="5">
        <f t="shared" si="123"/>
        <v>0</v>
      </c>
      <c r="Q971" s="5">
        <f t="shared" si="124"/>
        <v>2</v>
      </c>
      <c r="R971" s="8">
        <f t="shared" si="125"/>
        <v>0</v>
      </c>
      <c r="S971" s="8">
        <f t="shared" si="126"/>
        <v>0</v>
      </c>
      <c r="T971" s="3" t="str">
        <f t="shared" si="127"/>
        <v/>
      </c>
      <c r="V971" s="1" t="e">
        <f t="shared" si="128"/>
        <v>#VALUE!</v>
      </c>
    </row>
    <row r="972" spans="8:22" x14ac:dyDescent="0.3">
      <c r="H972" s="2" t="str">
        <f>IF(Planilha1!B969="","",Planilha1!B969)</f>
        <v>10:30p</v>
      </c>
      <c r="I972" s="2" t="str">
        <f>IF(Planilha1!C969="","",Planilha1!C969)</f>
        <v>Boston Celtics</v>
      </c>
      <c r="J972" s="2">
        <f>IF(Planilha1!D969="","",Planilha1!D969)</f>
        <v>0</v>
      </c>
      <c r="K972" s="10" t="str">
        <f>IF(Planilha1!E969="","",IF(Planilha1!E969=0,"",Planilha1!E969))</f>
        <v>Portland Trail Blazers</v>
      </c>
      <c r="L972" s="10">
        <f>IF(Planilha1!F969="","",Planilha1!F969)</f>
        <v>0</v>
      </c>
      <c r="M972" s="10" t="str">
        <f>IF(Planilha1!G969="","",IF(Planilha1!G969=0,"",Planilha1!G969))</f>
        <v/>
      </c>
      <c r="N972" s="5">
        <f t="shared" si="121"/>
        <v>1</v>
      </c>
      <c r="O972" s="5">
        <f t="shared" si="122"/>
        <v>0</v>
      </c>
      <c r="P972" s="5">
        <f t="shared" si="123"/>
        <v>0</v>
      </c>
      <c r="Q972" s="5">
        <f t="shared" si="124"/>
        <v>2</v>
      </c>
      <c r="R972" s="8">
        <f t="shared" si="125"/>
        <v>0</v>
      </c>
      <c r="S972" s="8">
        <f t="shared" si="126"/>
        <v>0</v>
      </c>
      <c r="T972" s="3" t="str">
        <f t="shared" si="127"/>
        <v/>
      </c>
      <c r="V972" s="1" t="e">
        <f t="shared" si="128"/>
        <v>#VALUE!</v>
      </c>
    </row>
    <row r="973" spans="8:22" x14ac:dyDescent="0.3">
      <c r="H973" s="2" t="str">
        <f>IF(Planilha1!B970="","",Planilha1!B970)</f>
        <v>7:30p</v>
      </c>
      <c r="I973" s="2" t="str">
        <f>IF(Planilha1!C970="","",Planilha1!C970)</f>
        <v>Philadelphia 76ers</v>
      </c>
      <c r="J973" s="2">
        <f>IF(Planilha1!D970="","",Planilha1!D970)</f>
        <v>0</v>
      </c>
      <c r="K973" s="10" t="str">
        <f>IF(Planilha1!E970="","",IF(Planilha1!E970=0,"",Planilha1!E970))</f>
        <v>New York Knicks</v>
      </c>
      <c r="L973" s="10">
        <f>IF(Planilha1!F970="","",Planilha1!F970)</f>
        <v>0</v>
      </c>
      <c r="M973" s="10" t="str">
        <f>IF(Planilha1!G970="","",IF(Planilha1!G970=0,"",Planilha1!G970))</f>
        <v/>
      </c>
      <c r="N973" s="5">
        <f t="shared" si="121"/>
        <v>1</v>
      </c>
      <c r="O973" s="5">
        <f t="shared" si="122"/>
        <v>0</v>
      </c>
      <c r="P973" s="5">
        <f t="shared" si="123"/>
        <v>0</v>
      </c>
      <c r="Q973" s="5">
        <f t="shared" si="124"/>
        <v>2</v>
      </c>
      <c r="R973" s="8">
        <f t="shared" si="125"/>
        <v>0</v>
      </c>
      <c r="S973" s="8">
        <f t="shared" si="126"/>
        <v>0</v>
      </c>
      <c r="T973" s="3" t="str">
        <f t="shared" si="127"/>
        <v/>
      </c>
      <c r="V973" s="1" t="e">
        <f t="shared" si="128"/>
        <v>#VALUE!</v>
      </c>
    </row>
    <row r="974" spans="8:22" x14ac:dyDescent="0.3">
      <c r="H974" s="2" t="str">
        <f>IF(Planilha1!B971="","",Planilha1!B971)</f>
        <v>8:00p</v>
      </c>
      <c r="I974" s="2" t="str">
        <f>IF(Planilha1!C971="","",Planilha1!C971)</f>
        <v>Washington Wizards</v>
      </c>
      <c r="J974" s="2">
        <f>IF(Planilha1!D971="","",Planilha1!D971)</f>
        <v>0</v>
      </c>
      <c r="K974" s="10" t="str">
        <f>IF(Planilha1!E971="","",IF(Planilha1!E971=0,"",Planilha1!E971))</f>
        <v>Memphis Grizzlies</v>
      </c>
      <c r="L974" s="10">
        <f>IF(Planilha1!F971="","",Planilha1!F971)</f>
        <v>0</v>
      </c>
      <c r="M974" s="10" t="str">
        <f>IF(Planilha1!G971="","",IF(Planilha1!G971=0,"",Planilha1!G971))</f>
        <v/>
      </c>
      <c r="N974" s="5">
        <f t="shared" si="121"/>
        <v>1</v>
      </c>
      <c r="O974" s="5">
        <f t="shared" si="122"/>
        <v>0</v>
      </c>
      <c r="P974" s="5">
        <f t="shared" si="123"/>
        <v>0</v>
      </c>
      <c r="Q974" s="5">
        <f t="shared" si="124"/>
        <v>2</v>
      </c>
      <c r="R974" s="8">
        <f t="shared" si="125"/>
        <v>0</v>
      </c>
      <c r="S974" s="8">
        <f t="shared" si="126"/>
        <v>0</v>
      </c>
      <c r="T974" s="3" t="str">
        <f t="shared" si="127"/>
        <v/>
      </c>
      <c r="V974" s="1" t="e">
        <f t="shared" si="128"/>
        <v>#VALUE!</v>
      </c>
    </row>
    <row r="975" spans="8:22" x14ac:dyDescent="0.3">
      <c r="H975" s="2" t="str">
        <f>IF(Planilha1!B972="","",Planilha1!B972)</f>
        <v>8:00p</v>
      </c>
      <c r="I975" s="2" t="str">
        <f>IF(Planilha1!C972="","",Planilha1!C972)</f>
        <v>Indiana Pacers</v>
      </c>
      <c r="J975" s="2">
        <f>IF(Planilha1!D972="","",Planilha1!D972)</f>
        <v>0</v>
      </c>
      <c r="K975" s="10" t="str">
        <f>IF(Planilha1!E972="","",IF(Planilha1!E972=0,"",Planilha1!E972))</f>
        <v>Oklahoma City Thunder</v>
      </c>
      <c r="L975" s="10">
        <f>IF(Planilha1!F972="","",Planilha1!F972)</f>
        <v>0</v>
      </c>
      <c r="M975" s="10" t="str">
        <f>IF(Planilha1!G972="","",IF(Planilha1!G972=0,"",Planilha1!G972))</f>
        <v/>
      </c>
      <c r="N975" s="5">
        <f t="shared" si="121"/>
        <v>1</v>
      </c>
      <c r="O975" s="5">
        <f t="shared" si="122"/>
        <v>0</v>
      </c>
      <c r="P975" s="5">
        <f t="shared" si="123"/>
        <v>0</v>
      </c>
      <c r="Q975" s="5">
        <f t="shared" si="124"/>
        <v>2</v>
      </c>
      <c r="R975" s="8">
        <f t="shared" si="125"/>
        <v>0</v>
      </c>
      <c r="S975" s="8">
        <f t="shared" si="126"/>
        <v>0</v>
      </c>
      <c r="T975" s="3" t="str">
        <f t="shared" si="127"/>
        <v/>
      </c>
      <c r="V975" s="1" t="e">
        <f t="shared" si="128"/>
        <v>#VALUE!</v>
      </c>
    </row>
    <row r="976" spans="8:22" x14ac:dyDescent="0.3">
      <c r="H976" s="2" t="str">
        <f>IF(Planilha1!B973="","",Planilha1!B973)</f>
        <v>8:30p</v>
      </c>
      <c r="I976" s="2" t="str">
        <f>IF(Planilha1!C973="","",Planilha1!C973)</f>
        <v>Houston Rockets</v>
      </c>
      <c r="J976" s="2">
        <f>IF(Planilha1!D973="","",Planilha1!D973)</f>
        <v>0</v>
      </c>
      <c r="K976" s="10" t="str">
        <f>IF(Planilha1!E973="","",IF(Planilha1!E973=0,"",Planilha1!E973))</f>
        <v>San Antonio Spurs</v>
      </c>
      <c r="L976" s="10">
        <f>IF(Planilha1!F973="","",Planilha1!F973)</f>
        <v>0</v>
      </c>
      <c r="M976" s="10" t="str">
        <f>IF(Planilha1!G973="","",IF(Planilha1!G973=0,"",Planilha1!G973))</f>
        <v/>
      </c>
      <c r="N976" s="5">
        <f t="shared" si="121"/>
        <v>1</v>
      </c>
      <c r="O976" s="5">
        <f t="shared" si="122"/>
        <v>0</v>
      </c>
      <c r="P976" s="5">
        <f t="shared" si="123"/>
        <v>0</v>
      </c>
      <c r="Q976" s="5">
        <f t="shared" si="124"/>
        <v>2</v>
      </c>
      <c r="R976" s="8">
        <f t="shared" si="125"/>
        <v>0</v>
      </c>
      <c r="S976" s="8">
        <f t="shared" si="126"/>
        <v>0</v>
      </c>
      <c r="T976" s="3" t="str">
        <f t="shared" si="127"/>
        <v/>
      </c>
      <c r="V976" s="1" t="e">
        <f t="shared" si="128"/>
        <v>#VALUE!</v>
      </c>
    </row>
    <row r="977" spans="8:22" x14ac:dyDescent="0.3">
      <c r="H977" s="2" t="str">
        <f>IF(Planilha1!B974="","",Planilha1!B974)</f>
        <v>9:00p</v>
      </c>
      <c r="I977" s="2" t="str">
        <f>IF(Planilha1!C974="","",Planilha1!C974)</f>
        <v>Boston Celtics</v>
      </c>
      <c r="J977" s="2">
        <f>IF(Planilha1!D974="","",Planilha1!D974)</f>
        <v>0</v>
      </c>
      <c r="K977" s="10" t="str">
        <f>IF(Planilha1!E974="","",IF(Planilha1!E974=0,"",Planilha1!E974))</f>
        <v>Utah Jazz</v>
      </c>
      <c r="L977" s="10">
        <f>IF(Planilha1!F974="","",Planilha1!F974)</f>
        <v>0</v>
      </c>
      <c r="M977" s="10" t="str">
        <f>IF(Planilha1!G974="","",IF(Planilha1!G974=0,"",Planilha1!G974))</f>
        <v/>
      </c>
      <c r="N977" s="5">
        <f t="shared" si="121"/>
        <v>1</v>
      </c>
      <c r="O977" s="5">
        <f t="shared" si="122"/>
        <v>0</v>
      </c>
      <c r="P977" s="5">
        <f t="shared" si="123"/>
        <v>0</v>
      </c>
      <c r="Q977" s="5">
        <f t="shared" si="124"/>
        <v>2</v>
      </c>
      <c r="R977" s="8">
        <f t="shared" si="125"/>
        <v>0</v>
      </c>
      <c r="S977" s="8">
        <f t="shared" si="126"/>
        <v>0</v>
      </c>
      <c r="T977" s="3" t="str">
        <f t="shared" si="127"/>
        <v/>
      </c>
      <c r="V977" s="1" t="e">
        <f t="shared" si="128"/>
        <v>#VALUE!</v>
      </c>
    </row>
    <row r="978" spans="8:22" x14ac:dyDescent="0.3">
      <c r="H978" s="2" t="str">
        <f>IF(Planilha1!B975="","",Planilha1!B975)</f>
        <v>10:00p</v>
      </c>
      <c r="I978" s="2" t="str">
        <f>IF(Planilha1!C975="","",Planilha1!C975)</f>
        <v>Minnesota Timberwolves</v>
      </c>
      <c r="J978" s="2">
        <f>IF(Planilha1!D975="","",Planilha1!D975)</f>
        <v>0</v>
      </c>
      <c r="K978" s="10" t="str">
        <f>IF(Planilha1!E975="","",IF(Planilha1!E975=0,"",Planilha1!E975))</f>
        <v>Los Angeles Clippers</v>
      </c>
      <c r="L978" s="10">
        <f>IF(Planilha1!F975="","",Planilha1!F975)</f>
        <v>0</v>
      </c>
      <c r="M978" s="10" t="str">
        <f>IF(Planilha1!G975="","",IF(Planilha1!G975=0,"",Planilha1!G975))</f>
        <v/>
      </c>
      <c r="N978" s="5">
        <f t="shared" si="121"/>
        <v>1</v>
      </c>
      <c r="O978" s="5">
        <f t="shared" si="122"/>
        <v>0</v>
      </c>
      <c r="P978" s="5">
        <f t="shared" si="123"/>
        <v>0</v>
      </c>
      <c r="Q978" s="5">
        <f t="shared" si="124"/>
        <v>2</v>
      </c>
      <c r="R978" s="8">
        <f t="shared" si="125"/>
        <v>0</v>
      </c>
      <c r="S978" s="8">
        <f t="shared" si="126"/>
        <v>0</v>
      </c>
      <c r="T978" s="3" t="str">
        <f t="shared" si="127"/>
        <v/>
      </c>
      <c r="V978" s="1" t="e">
        <f t="shared" si="128"/>
        <v>#VALUE!</v>
      </c>
    </row>
    <row r="979" spans="8:22" x14ac:dyDescent="0.3">
      <c r="H979" s="2" t="str">
        <f>IF(Planilha1!B976="","",Planilha1!B976)</f>
        <v>10:00p</v>
      </c>
      <c r="I979" s="2" t="str">
        <f>IF(Planilha1!C976="","",Planilha1!C976)</f>
        <v>Milwaukee Bucks</v>
      </c>
      <c r="J979" s="2">
        <f>IF(Planilha1!D976="","",Planilha1!D976)</f>
        <v>0</v>
      </c>
      <c r="K979" s="10" t="str">
        <f>IF(Planilha1!E976="","",IF(Planilha1!E976=0,"",Planilha1!E976))</f>
        <v>Sacramento Kings</v>
      </c>
      <c r="L979" s="10">
        <f>IF(Planilha1!F976="","",Planilha1!F976)</f>
        <v>0</v>
      </c>
      <c r="M979" s="10" t="str">
        <f>IF(Planilha1!G976="","",IF(Planilha1!G976=0,"",Planilha1!G976))</f>
        <v/>
      </c>
      <c r="N979" s="5">
        <f t="shared" si="121"/>
        <v>1</v>
      </c>
      <c r="O979" s="5">
        <f t="shared" si="122"/>
        <v>0</v>
      </c>
      <c r="P979" s="5">
        <f t="shared" si="123"/>
        <v>0</v>
      </c>
      <c r="Q979" s="5">
        <f t="shared" si="124"/>
        <v>2</v>
      </c>
      <c r="R979" s="8">
        <f t="shared" si="125"/>
        <v>0</v>
      </c>
      <c r="S979" s="8">
        <f t="shared" si="126"/>
        <v>0</v>
      </c>
      <c r="T979" s="3" t="str">
        <f t="shared" si="127"/>
        <v/>
      </c>
      <c r="V979" s="1" t="e">
        <f t="shared" si="128"/>
        <v>#VALUE!</v>
      </c>
    </row>
    <row r="980" spans="8:22" x14ac:dyDescent="0.3">
      <c r="H980" s="2" t="str">
        <f>IF(Planilha1!B977="","",Planilha1!B977)</f>
        <v>7:00p</v>
      </c>
      <c r="I980" s="2" t="str">
        <f>IF(Planilha1!C977="","",Planilha1!C977)</f>
        <v>Toronto Raptors</v>
      </c>
      <c r="J980" s="2">
        <f>IF(Planilha1!D977="","",Planilha1!D977)</f>
        <v>0</v>
      </c>
      <c r="K980" s="10" t="str">
        <f>IF(Planilha1!E977="","",IF(Planilha1!E977=0,"",Planilha1!E977))</f>
        <v>Detroit Pistons</v>
      </c>
      <c r="L980" s="10">
        <f>IF(Planilha1!F977="","",Planilha1!F977)</f>
        <v>0</v>
      </c>
      <c r="M980" s="10" t="str">
        <f>IF(Planilha1!G977="","",IF(Planilha1!G977=0,"",Planilha1!G977))</f>
        <v/>
      </c>
      <c r="N980" s="5">
        <f t="shared" si="121"/>
        <v>1</v>
      </c>
      <c r="O980" s="5">
        <f t="shared" si="122"/>
        <v>0</v>
      </c>
      <c r="P980" s="5">
        <f t="shared" si="123"/>
        <v>0</v>
      </c>
      <c r="Q980" s="5">
        <f t="shared" si="124"/>
        <v>2</v>
      </c>
      <c r="R980" s="8">
        <f t="shared" si="125"/>
        <v>0</v>
      </c>
      <c r="S980" s="8">
        <f t="shared" si="126"/>
        <v>0</v>
      </c>
      <c r="T980" s="3" t="str">
        <f t="shared" si="127"/>
        <v/>
      </c>
      <c r="V980" s="1" t="e">
        <f t="shared" si="128"/>
        <v>#VALUE!</v>
      </c>
    </row>
    <row r="981" spans="8:22" x14ac:dyDescent="0.3">
      <c r="H981" s="2" t="str">
        <f>IF(Planilha1!B978="","",Planilha1!B978)</f>
        <v>7:00p</v>
      </c>
      <c r="I981" s="2" t="str">
        <f>IF(Planilha1!C978="","",Planilha1!C978)</f>
        <v>Brooklyn Nets</v>
      </c>
      <c r="J981" s="2">
        <f>IF(Planilha1!D978="","",Planilha1!D978)</f>
        <v>0</v>
      </c>
      <c r="K981" s="10" t="str">
        <f>IF(Planilha1!E978="","",IF(Planilha1!E978=0,"",Planilha1!E978))</f>
        <v>Orlando Magic</v>
      </c>
      <c r="L981" s="10">
        <f>IF(Planilha1!F978="","",Planilha1!F978)</f>
        <v>0</v>
      </c>
      <c r="M981" s="10" t="str">
        <f>IF(Planilha1!G978="","",IF(Planilha1!G978=0,"",Planilha1!G978))</f>
        <v/>
      </c>
      <c r="N981" s="5">
        <f t="shared" si="121"/>
        <v>1</v>
      </c>
      <c r="O981" s="5">
        <f t="shared" si="122"/>
        <v>0</v>
      </c>
      <c r="P981" s="5">
        <f t="shared" si="123"/>
        <v>0</v>
      </c>
      <c r="Q981" s="5">
        <f t="shared" si="124"/>
        <v>2</v>
      </c>
      <c r="R981" s="8">
        <f t="shared" si="125"/>
        <v>0</v>
      </c>
      <c r="S981" s="8">
        <f t="shared" si="126"/>
        <v>0</v>
      </c>
      <c r="T981" s="3" t="str">
        <f t="shared" si="127"/>
        <v/>
      </c>
      <c r="V981" s="1" t="e">
        <f t="shared" si="128"/>
        <v>#VALUE!</v>
      </c>
    </row>
    <row r="982" spans="8:22" x14ac:dyDescent="0.3">
      <c r="H982" s="2" t="str">
        <f>IF(Planilha1!B979="","",Planilha1!B979)</f>
        <v>7:30p</v>
      </c>
      <c r="I982" s="2" t="str">
        <f>IF(Planilha1!C979="","",Planilha1!C979)</f>
        <v>Chicago Bulls</v>
      </c>
      <c r="J982" s="2">
        <f>IF(Planilha1!D979="","",Planilha1!D979)</f>
        <v>0</v>
      </c>
      <c r="K982" s="10" t="str">
        <f>IF(Planilha1!E979="","",IF(Planilha1!E979=0,"",Planilha1!E979))</f>
        <v>Indiana Pacers</v>
      </c>
      <c r="L982" s="10">
        <f>IF(Planilha1!F979="","",Planilha1!F979)</f>
        <v>0</v>
      </c>
      <c r="M982" s="10" t="str">
        <f>IF(Planilha1!G979="","",IF(Planilha1!G979=0,"",Planilha1!G979))</f>
        <v/>
      </c>
      <c r="N982" s="5">
        <f t="shared" si="121"/>
        <v>1</v>
      </c>
      <c r="O982" s="5">
        <f t="shared" si="122"/>
        <v>0</v>
      </c>
      <c r="P982" s="5">
        <f t="shared" si="123"/>
        <v>0</v>
      </c>
      <c r="Q982" s="5">
        <f t="shared" si="124"/>
        <v>2</v>
      </c>
      <c r="R982" s="8">
        <f t="shared" si="125"/>
        <v>0</v>
      </c>
      <c r="S982" s="8">
        <f t="shared" si="126"/>
        <v>0</v>
      </c>
      <c r="T982" s="3" t="str">
        <f t="shared" si="127"/>
        <v/>
      </c>
      <c r="V982" s="1" t="e">
        <f t="shared" si="128"/>
        <v>#VALUE!</v>
      </c>
    </row>
    <row r="983" spans="8:22" x14ac:dyDescent="0.3">
      <c r="H983" s="2" t="str">
        <f>IF(Planilha1!B980="","",Planilha1!B980)</f>
        <v>7:30p</v>
      </c>
      <c r="I983" s="2" t="str">
        <f>IF(Planilha1!C980="","",Planilha1!C980)</f>
        <v>Denver Nuggets</v>
      </c>
      <c r="J983" s="2">
        <f>IF(Planilha1!D980="","",Planilha1!D980)</f>
        <v>0</v>
      </c>
      <c r="K983" s="10" t="str">
        <f>IF(Planilha1!E980="","",IF(Planilha1!E980=0,"",Planilha1!E980))</f>
        <v>Miami Heat</v>
      </c>
      <c r="L983" s="10">
        <f>IF(Planilha1!F980="","",Planilha1!F980)</f>
        <v>0</v>
      </c>
      <c r="M983" s="10" t="str">
        <f>IF(Planilha1!G980="","",IF(Planilha1!G980=0,"",Planilha1!G980))</f>
        <v/>
      </c>
      <c r="N983" s="5">
        <f t="shared" si="121"/>
        <v>1</v>
      </c>
      <c r="O983" s="5">
        <f t="shared" si="122"/>
        <v>0</v>
      </c>
      <c r="P983" s="5">
        <f t="shared" si="123"/>
        <v>0</v>
      </c>
      <c r="Q983" s="5">
        <f t="shared" si="124"/>
        <v>2</v>
      </c>
      <c r="R983" s="8">
        <f t="shared" si="125"/>
        <v>0</v>
      </c>
      <c r="S983" s="8">
        <f t="shared" si="126"/>
        <v>0</v>
      </c>
      <c r="T983" s="3" t="str">
        <f t="shared" si="127"/>
        <v/>
      </c>
      <c r="V983" s="1" t="e">
        <f t="shared" si="128"/>
        <v>#VALUE!</v>
      </c>
    </row>
    <row r="984" spans="8:22" x14ac:dyDescent="0.3">
      <c r="H984" s="2" t="str">
        <f>IF(Planilha1!B981="","",Planilha1!B981)</f>
        <v>8:00p</v>
      </c>
      <c r="I984" s="2" t="str">
        <f>IF(Planilha1!C981="","",Planilha1!C981)</f>
        <v>Charlotte Hornets</v>
      </c>
      <c r="J984" s="2">
        <f>IF(Planilha1!D981="","",Planilha1!D981)</f>
        <v>0</v>
      </c>
      <c r="K984" s="10" t="str">
        <f>IF(Planilha1!E981="","",IF(Planilha1!E981=0,"",Planilha1!E981))</f>
        <v>Memphis Grizzlies</v>
      </c>
      <c r="L984" s="10">
        <f>IF(Planilha1!F981="","",Planilha1!F981)</f>
        <v>0</v>
      </c>
      <c r="M984" s="10" t="str">
        <f>IF(Planilha1!G981="","",IF(Planilha1!G981=0,"",Planilha1!G981))</f>
        <v/>
      </c>
      <c r="N984" s="5">
        <f t="shared" si="121"/>
        <v>1</v>
      </c>
      <c r="O984" s="5">
        <f t="shared" si="122"/>
        <v>0</v>
      </c>
      <c r="P984" s="5">
        <f t="shared" si="123"/>
        <v>0</v>
      </c>
      <c r="Q984" s="5">
        <f t="shared" si="124"/>
        <v>2</v>
      </c>
      <c r="R984" s="8">
        <f t="shared" si="125"/>
        <v>0</v>
      </c>
      <c r="S984" s="8">
        <f t="shared" si="126"/>
        <v>0</v>
      </c>
      <c r="T984" s="3" t="str">
        <f t="shared" si="127"/>
        <v/>
      </c>
      <c r="V984" s="1" t="e">
        <f t="shared" si="128"/>
        <v>#VALUE!</v>
      </c>
    </row>
    <row r="985" spans="8:22" x14ac:dyDescent="0.3">
      <c r="H985" s="2" t="str">
        <f>IF(Planilha1!B982="","",Planilha1!B982)</f>
        <v>8:00p</v>
      </c>
      <c r="I985" s="2" t="str">
        <f>IF(Planilha1!C982="","",Planilha1!C982)</f>
        <v>Cleveland Cavaliers</v>
      </c>
      <c r="J985" s="2">
        <f>IF(Planilha1!D982="","",Planilha1!D982)</f>
        <v>0</v>
      </c>
      <c r="K985" s="10" t="str">
        <f>IF(Planilha1!E982="","",IF(Planilha1!E982=0,"",Planilha1!E982))</f>
        <v>New Orleans Pelicans</v>
      </c>
      <c r="L985" s="10">
        <f>IF(Planilha1!F982="","",Planilha1!F982)</f>
        <v>0</v>
      </c>
      <c r="M985" s="10" t="str">
        <f>IF(Planilha1!G982="","",IF(Planilha1!G982=0,"",Planilha1!G982))</f>
        <v/>
      </c>
      <c r="N985" s="5">
        <f t="shared" si="121"/>
        <v>1</v>
      </c>
      <c r="O985" s="5">
        <f t="shared" si="122"/>
        <v>0</v>
      </c>
      <c r="P985" s="5">
        <f t="shared" si="123"/>
        <v>0</v>
      </c>
      <c r="Q985" s="5">
        <f t="shared" si="124"/>
        <v>2</v>
      </c>
      <c r="R985" s="8">
        <f t="shared" si="125"/>
        <v>0</v>
      </c>
      <c r="S985" s="8">
        <f t="shared" si="126"/>
        <v>0</v>
      </c>
      <c r="T985" s="3" t="str">
        <f t="shared" si="127"/>
        <v/>
      </c>
      <c r="V985" s="1" t="e">
        <f t="shared" si="128"/>
        <v>#VALUE!</v>
      </c>
    </row>
    <row r="986" spans="8:22" x14ac:dyDescent="0.3">
      <c r="H986" s="2" t="str">
        <f>IF(Planilha1!B983="","",Planilha1!B983)</f>
        <v>8:30p</v>
      </c>
      <c r="I986" s="2" t="str">
        <f>IF(Planilha1!C983="","",Planilha1!C983)</f>
        <v>Golden State Warriors</v>
      </c>
      <c r="J986" s="2">
        <f>IF(Planilha1!D983="","",Planilha1!D983)</f>
        <v>0</v>
      </c>
      <c r="K986" s="10" t="str">
        <f>IF(Planilha1!E983="","",IF(Planilha1!E983=0,"",Planilha1!E983))</f>
        <v>Dallas Mavericks</v>
      </c>
      <c r="L986" s="10">
        <f>IF(Planilha1!F983="","",Planilha1!F983)</f>
        <v>0</v>
      </c>
      <c r="M986" s="10" t="str">
        <f>IF(Planilha1!G983="","",IF(Planilha1!G983=0,"",Planilha1!G983))</f>
        <v/>
      </c>
      <c r="N986" s="5">
        <f t="shared" si="121"/>
        <v>1</v>
      </c>
      <c r="O986" s="5">
        <f t="shared" si="122"/>
        <v>0</v>
      </c>
      <c r="P986" s="5">
        <f t="shared" si="123"/>
        <v>0</v>
      </c>
      <c r="Q986" s="5">
        <f t="shared" si="124"/>
        <v>2</v>
      </c>
      <c r="R986" s="8">
        <f t="shared" si="125"/>
        <v>0</v>
      </c>
      <c r="S986" s="8">
        <f t="shared" si="126"/>
        <v>0</v>
      </c>
      <c r="T986" s="3" t="str">
        <f t="shared" si="127"/>
        <v/>
      </c>
      <c r="V986" s="1" t="e">
        <f t="shared" si="128"/>
        <v>#VALUE!</v>
      </c>
    </row>
    <row r="987" spans="8:22" x14ac:dyDescent="0.3">
      <c r="H987" s="2" t="str">
        <f>IF(Planilha1!B984="","",Planilha1!B984)</f>
        <v>10:00p</v>
      </c>
      <c r="I987" s="2" t="str">
        <f>IF(Planilha1!C984="","",Planilha1!C984)</f>
        <v>Atlanta Hawks</v>
      </c>
      <c r="J987" s="2">
        <f>IF(Planilha1!D984="","",Planilha1!D984)</f>
        <v>0</v>
      </c>
      <c r="K987" s="10" t="str">
        <f>IF(Planilha1!E984="","",IF(Planilha1!E984=0,"",Planilha1!E984))</f>
        <v>Portland Trail Blazers</v>
      </c>
      <c r="L987" s="10">
        <f>IF(Planilha1!F984="","",Planilha1!F984)</f>
        <v>0</v>
      </c>
      <c r="M987" s="10" t="str">
        <f>IF(Planilha1!G984="","",IF(Planilha1!G984=0,"",Planilha1!G984))</f>
        <v/>
      </c>
      <c r="N987" s="5">
        <f t="shared" si="121"/>
        <v>1</v>
      </c>
      <c r="O987" s="5">
        <f t="shared" si="122"/>
        <v>0</v>
      </c>
      <c r="P987" s="5">
        <f t="shared" si="123"/>
        <v>0</v>
      </c>
      <c r="Q987" s="5">
        <f t="shared" si="124"/>
        <v>2</v>
      </c>
      <c r="R987" s="8">
        <f t="shared" si="125"/>
        <v>0</v>
      </c>
      <c r="S987" s="8">
        <f t="shared" si="126"/>
        <v>0</v>
      </c>
      <c r="T987" s="3" t="str">
        <f t="shared" si="127"/>
        <v/>
      </c>
      <c r="V987" s="1" t="e">
        <f t="shared" si="128"/>
        <v>#VALUE!</v>
      </c>
    </row>
    <row r="988" spans="8:22" x14ac:dyDescent="0.3">
      <c r="H988" s="2" t="str">
        <f>IF(Planilha1!B985="","",Planilha1!B985)</f>
        <v>10:00p</v>
      </c>
      <c r="I988" s="2" t="str">
        <f>IF(Planilha1!C985="","",Planilha1!C985)</f>
        <v>Los Angeles Lakers</v>
      </c>
      <c r="J988" s="2">
        <f>IF(Planilha1!D985="","",Planilha1!D985)</f>
        <v>0</v>
      </c>
      <c r="K988" s="10" t="str">
        <f>IF(Planilha1!E985="","",IF(Planilha1!E985=0,"",Planilha1!E985))</f>
        <v>Sacramento Kings</v>
      </c>
      <c r="L988" s="10">
        <f>IF(Planilha1!F985="","",Planilha1!F985)</f>
        <v>0</v>
      </c>
      <c r="M988" s="10" t="str">
        <f>IF(Planilha1!G985="","",IF(Planilha1!G985=0,"",Planilha1!G985))</f>
        <v/>
      </c>
      <c r="N988" s="5">
        <f t="shared" si="121"/>
        <v>1</v>
      </c>
      <c r="O988" s="5">
        <f t="shared" si="122"/>
        <v>0</v>
      </c>
      <c r="P988" s="5">
        <f t="shared" si="123"/>
        <v>0</v>
      </c>
      <c r="Q988" s="5">
        <f t="shared" si="124"/>
        <v>2</v>
      </c>
      <c r="R988" s="8">
        <f t="shared" si="125"/>
        <v>0</v>
      </c>
      <c r="S988" s="8">
        <f t="shared" si="126"/>
        <v>0</v>
      </c>
      <c r="T988" s="3" t="str">
        <f t="shared" si="127"/>
        <v/>
      </c>
      <c r="V988" s="1" t="e">
        <f t="shared" si="128"/>
        <v>#VALUE!</v>
      </c>
    </row>
    <row r="989" spans="8:22" x14ac:dyDescent="0.3">
      <c r="H989" s="2" t="str">
        <f>IF(Planilha1!B986="","",Planilha1!B986)</f>
        <v>7:30p</v>
      </c>
      <c r="I989" s="2" t="str">
        <f>IF(Planilha1!C986="","",Planilha1!C986)</f>
        <v>Phoenix Suns</v>
      </c>
      <c r="J989" s="2">
        <f>IF(Planilha1!D986="","",Planilha1!D986)</f>
        <v>0</v>
      </c>
      <c r="K989" s="10" t="str">
        <f>IF(Planilha1!E986="","",IF(Planilha1!E986=0,"",Planilha1!E986))</f>
        <v>Boston Celtics</v>
      </c>
      <c r="L989" s="10">
        <f>IF(Planilha1!F986="","",Planilha1!F986)</f>
        <v>0</v>
      </c>
      <c r="M989" s="10" t="str">
        <f>IF(Planilha1!G986="","",IF(Planilha1!G986=0,"",Planilha1!G986))</f>
        <v/>
      </c>
      <c r="N989" s="5">
        <f t="shared" si="121"/>
        <v>1</v>
      </c>
      <c r="O989" s="5">
        <f t="shared" si="122"/>
        <v>0</v>
      </c>
      <c r="P989" s="5">
        <f t="shared" si="123"/>
        <v>0</v>
      </c>
      <c r="Q989" s="5">
        <f t="shared" si="124"/>
        <v>2</v>
      </c>
      <c r="R989" s="8">
        <f t="shared" si="125"/>
        <v>0</v>
      </c>
      <c r="S989" s="8">
        <f t="shared" si="126"/>
        <v>0</v>
      </c>
      <c r="T989" s="3" t="str">
        <f t="shared" si="127"/>
        <v/>
      </c>
      <c r="V989" s="1" t="e">
        <f t="shared" si="128"/>
        <v>#VALUE!</v>
      </c>
    </row>
    <row r="990" spans="8:22" x14ac:dyDescent="0.3">
      <c r="H990" s="2" t="str">
        <f>IF(Planilha1!B987="","",Planilha1!B987)</f>
        <v>8:00p</v>
      </c>
      <c r="I990" s="2" t="str">
        <f>IF(Planilha1!C987="","",Planilha1!C987)</f>
        <v>Los Angeles Clippers</v>
      </c>
      <c r="J990" s="2">
        <f>IF(Planilha1!D987="","",Planilha1!D987)</f>
        <v>0</v>
      </c>
      <c r="K990" s="10" t="str">
        <f>IF(Planilha1!E987="","",IF(Planilha1!E987=0,"",Planilha1!E987))</f>
        <v>Chicago Bulls</v>
      </c>
      <c r="L990" s="10">
        <f>IF(Planilha1!F987="","",Planilha1!F987)</f>
        <v>0</v>
      </c>
      <c r="M990" s="10" t="str">
        <f>IF(Planilha1!G987="","",IF(Planilha1!G987=0,"",Planilha1!G987))</f>
        <v/>
      </c>
      <c r="N990" s="5">
        <f t="shared" si="121"/>
        <v>1</v>
      </c>
      <c r="O990" s="5">
        <f t="shared" si="122"/>
        <v>0</v>
      </c>
      <c r="P990" s="5">
        <f t="shared" si="123"/>
        <v>0</v>
      </c>
      <c r="Q990" s="5">
        <f t="shared" si="124"/>
        <v>2</v>
      </c>
      <c r="R990" s="8">
        <f t="shared" si="125"/>
        <v>0</v>
      </c>
      <c r="S990" s="8">
        <f t="shared" si="126"/>
        <v>0</v>
      </c>
      <c r="T990" s="3" t="str">
        <f t="shared" si="127"/>
        <v/>
      </c>
      <c r="V990" s="1" t="e">
        <f t="shared" si="128"/>
        <v>#VALUE!</v>
      </c>
    </row>
    <row r="991" spans="8:22" x14ac:dyDescent="0.3">
      <c r="H991" s="2" t="str">
        <f>IF(Planilha1!B988="","",Planilha1!B988)</f>
        <v>8:00p</v>
      </c>
      <c r="I991" s="2" t="str">
        <f>IF(Planilha1!C988="","",Planilha1!C988)</f>
        <v>Washington Wizards</v>
      </c>
      <c r="J991" s="2">
        <f>IF(Planilha1!D988="","",Planilha1!D988)</f>
        <v>0</v>
      </c>
      <c r="K991" s="10" t="str">
        <f>IF(Planilha1!E988="","",IF(Planilha1!E988=0,"",Planilha1!E988))</f>
        <v>Houston Rockets</v>
      </c>
      <c r="L991" s="10">
        <f>IF(Planilha1!F988="","",Planilha1!F988)</f>
        <v>0</v>
      </c>
      <c r="M991" s="10" t="str">
        <f>IF(Planilha1!G988="","",IF(Planilha1!G988=0,"",Planilha1!G988))</f>
        <v/>
      </c>
      <c r="N991" s="5">
        <f t="shared" si="121"/>
        <v>1</v>
      </c>
      <c r="O991" s="5">
        <f t="shared" si="122"/>
        <v>0</v>
      </c>
      <c r="P991" s="5">
        <f t="shared" si="123"/>
        <v>0</v>
      </c>
      <c r="Q991" s="5">
        <f t="shared" si="124"/>
        <v>2</v>
      </c>
      <c r="R991" s="8">
        <f t="shared" si="125"/>
        <v>0</v>
      </c>
      <c r="S991" s="8">
        <f t="shared" si="126"/>
        <v>0</v>
      </c>
      <c r="T991" s="3" t="str">
        <f t="shared" si="127"/>
        <v/>
      </c>
      <c r="V991" s="1" t="e">
        <f t="shared" si="128"/>
        <v>#VALUE!</v>
      </c>
    </row>
    <row r="992" spans="8:22" x14ac:dyDescent="0.3">
      <c r="H992" s="2" t="str">
        <f>IF(Planilha1!B989="","",Planilha1!B989)</f>
        <v>8:00p</v>
      </c>
      <c r="I992" s="2" t="str">
        <f>IF(Planilha1!C989="","",Planilha1!C989)</f>
        <v>Philadelphia 76ers</v>
      </c>
      <c r="J992" s="2">
        <f>IF(Planilha1!D989="","",Planilha1!D989)</f>
        <v>0</v>
      </c>
      <c r="K992" s="10" t="str">
        <f>IF(Planilha1!E989="","",IF(Planilha1!E989=0,"",Planilha1!E989))</f>
        <v>Milwaukee Bucks</v>
      </c>
      <c r="L992" s="10">
        <f>IF(Planilha1!F989="","",Planilha1!F989)</f>
        <v>0</v>
      </c>
      <c r="M992" s="10" t="str">
        <f>IF(Planilha1!G989="","",IF(Planilha1!G989=0,"",Planilha1!G989))</f>
        <v/>
      </c>
      <c r="N992" s="5">
        <f t="shared" si="121"/>
        <v>1</v>
      </c>
      <c r="O992" s="5">
        <f t="shared" si="122"/>
        <v>0</v>
      </c>
      <c r="P992" s="5">
        <f t="shared" si="123"/>
        <v>0</v>
      </c>
      <c r="Q992" s="5">
        <f t="shared" si="124"/>
        <v>2</v>
      </c>
      <c r="R992" s="8">
        <f t="shared" si="125"/>
        <v>0</v>
      </c>
      <c r="S992" s="8">
        <f t="shared" si="126"/>
        <v>0</v>
      </c>
      <c r="T992" s="3" t="str">
        <f t="shared" si="127"/>
        <v/>
      </c>
      <c r="V992" s="1" t="e">
        <f t="shared" si="128"/>
        <v>#VALUE!</v>
      </c>
    </row>
    <row r="993" spans="8:22" x14ac:dyDescent="0.3">
      <c r="H993" s="2" t="str">
        <f>IF(Planilha1!B990="","",Planilha1!B990)</f>
        <v>10:00p</v>
      </c>
      <c r="I993" s="2" t="str">
        <f>IF(Planilha1!C990="","",Planilha1!C990)</f>
        <v>Dallas Mavericks</v>
      </c>
      <c r="J993" s="2">
        <f>IF(Planilha1!D990="","",Planilha1!D990)</f>
        <v>0</v>
      </c>
      <c r="K993" s="10" t="str">
        <f>IF(Planilha1!E990="","",IF(Planilha1!E990=0,"",Planilha1!E990))</f>
        <v>Oklahoma City Thunder</v>
      </c>
      <c r="L993" s="10">
        <f>IF(Planilha1!F990="","",Planilha1!F990)</f>
        <v>0</v>
      </c>
      <c r="M993" s="10" t="str">
        <f>IF(Planilha1!G990="","",IF(Planilha1!G990=0,"",Planilha1!G990))</f>
        <v/>
      </c>
      <c r="N993" s="5">
        <f t="shared" si="121"/>
        <v>1</v>
      </c>
      <c r="O993" s="5">
        <f t="shared" si="122"/>
        <v>0</v>
      </c>
      <c r="P993" s="5">
        <f t="shared" si="123"/>
        <v>0</v>
      </c>
      <c r="Q993" s="5">
        <f t="shared" si="124"/>
        <v>2</v>
      </c>
      <c r="R993" s="8">
        <f t="shared" si="125"/>
        <v>0</v>
      </c>
      <c r="S993" s="8">
        <f t="shared" si="126"/>
        <v>0</v>
      </c>
      <c r="T993" s="3" t="str">
        <f t="shared" si="127"/>
        <v/>
      </c>
      <c r="V993" s="1" t="e">
        <f t="shared" si="128"/>
        <v>#VALUE!</v>
      </c>
    </row>
    <row r="994" spans="8:22" x14ac:dyDescent="0.3">
      <c r="H994" s="2" t="str">
        <f>IF(Planilha1!B991="","",Planilha1!B991)</f>
        <v>10:00p</v>
      </c>
      <c r="I994" s="2" t="str">
        <f>IF(Planilha1!C991="","",Planilha1!C991)</f>
        <v>New York Knicks</v>
      </c>
      <c r="J994" s="2">
        <f>IF(Planilha1!D991="","",Planilha1!D991)</f>
        <v>0</v>
      </c>
      <c r="K994" s="10" t="str">
        <f>IF(Planilha1!E991="","",IF(Planilha1!E991=0,"",Planilha1!E991))</f>
        <v>Portland Trail Blazers</v>
      </c>
      <c r="L994" s="10">
        <f>IF(Planilha1!F991="","",Planilha1!F991)</f>
        <v>0</v>
      </c>
      <c r="M994" s="10" t="str">
        <f>IF(Planilha1!G991="","",IF(Planilha1!G991=0,"",Planilha1!G991))</f>
        <v/>
      </c>
      <c r="N994" s="5">
        <f t="shared" si="121"/>
        <v>1</v>
      </c>
      <c r="O994" s="5">
        <f t="shared" si="122"/>
        <v>0</v>
      </c>
      <c r="P994" s="5">
        <f t="shared" si="123"/>
        <v>0</v>
      </c>
      <c r="Q994" s="5">
        <f t="shared" si="124"/>
        <v>2</v>
      </c>
      <c r="R994" s="8">
        <f t="shared" si="125"/>
        <v>0</v>
      </c>
      <c r="S994" s="8">
        <f t="shared" si="126"/>
        <v>0</v>
      </c>
      <c r="T994" s="3" t="str">
        <f t="shared" si="127"/>
        <v/>
      </c>
      <c r="V994" s="1" t="e">
        <f t="shared" si="128"/>
        <v>#VALUE!</v>
      </c>
    </row>
    <row r="995" spans="8:22" x14ac:dyDescent="0.3">
      <c r="H995" s="2" t="str">
        <f>IF(Planilha1!B992="","",Planilha1!B992)</f>
        <v>7:00p</v>
      </c>
      <c r="I995" s="2" t="str">
        <f>IF(Planilha1!C992="","",Planilha1!C992)</f>
        <v>Phoenix Suns</v>
      </c>
      <c r="J995" s="2">
        <f>IF(Planilha1!D992="","",Planilha1!D992)</f>
        <v>0</v>
      </c>
      <c r="K995" s="10" t="str">
        <f>IF(Planilha1!E992="","",IF(Planilha1!E992=0,"",Planilha1!E992))</f>
        <v>Charlotte Hornets</v>
      </c>
      <c r="L995" s="10">
        <f>IF(Planilha1!F992="","",Planilha1!F992)</f>
        <v>0</v>
      </c>
      <c r="M995" s="10" t="str">
        <f>IF(Planilha1!G992="","",IF(Planilha1!G992=0,"",Planilha1!G992))</f>
        <v/>
      </c>
      <c r="N995" s="5">
        <f t="shared" si="121"/>
        <v>1</v>
      </c>
      <c r="O995" s="5">
        <f t="shared" si="122"/>
        <v>0</v>
      </c>
      <c r="P995" s="5">
        <f t="shared" si="123"/>
        <v>0</v>
      </c>
      <c r="Q995" s="5">
        <f t="shared" si="124"/>
        <v>2</v>
      </c>
      <c r="R995" s="8">
        <f t="shared" si="125"/>
        <v>0</v>
      </c>
      <c r="S995" s="8">
        <f t="shared" si="126"/>
        <v>0</v>
      </c>
      <c r="T995" s="3" t="str">
        <f t="shared" si="127"/>
        <v/>
      </c>
      <c r="V995" s="1" t="e">
        <f t="shared" si="128"/>
        <v>#VALUE!</v>
      </c>
    </row>
    <row r="996" spans="8:22" x14ac:dyDescent="0.3">
      <c r="H996" s="2" t="str">
        <f>IF(Planilha1!B993="","",Planilha1!B993)</f>
        <v>7:00p</v>
      </c>
      <c r="I996" s="2" t="str">
        <f>IF(Planilha1!C993="","",Planilha1!C993)</f>
        <v>Miami Heat</v>
      </c>
      <c r="J996" s="2">
        <f>IF(Planilha1!D993="","",Planilha1!D993)</f>
        <v>0</v>
      </c>
      <c r="K996" s="10" t="str">
        <f>IF(Planilha1!E993="","",IF(Planilha1!E993=0,"",Planilha1!E993))</f>
        <v>Detroit Pistons</v>
      </c>
      <c r="L996" s="10">
        <f>IF(Planilha1!F993="","",Planilha1!F993)</f>
        <v>0</v>
      </c>
      <c r="M996" s="10" t="str">
        <f>IF(Planilha1!G993="","",IF(Planilha1!G993=0,"",Planilha1!G993))</f>
        <v/>
      </c>
      <c r="N996" s="5">
        <f t="shared" si="121"/>
        <v>1</v>
      </c>
      <c r="O996" s="5">
        <f t="shared" si="122"/>
        <v>0</v>
      </c>
      <c r="P996" s="5">
        <f t="shared" si="123"/>
        <v>0</v>
      </c>
      <c r="Q996" s="5">
        <f t="shared" si="124"/>
        <v>2</v>
      </c>
      <c r="R996" s="8">
        <f t="shared" si="125"/>
        <v>0</v>
      </c>
      <c r="S996" s="8">
        <f t="shared" si="126"/>
        <v>0</v>
      </c>
      <c r="T996" s="3" t="str">
        <f t="shared" si="127"/>
        <v/>
      </c>
      <c r="V996" s="1" t="e">
        <f t="shared" si="128"/>
        <v>#VALUE!</v>
      </c>
    </row>
    <row r="997" spans="8:22" x14ac:dyDescent="0.3">
      <c r="H997" s="2" t="str">
        <f>IF(Planilha1!B994="","",Planilha1!B994)</f>
        <v>7:30p</v>
      </c>
      <c r="I997" s="2" t="str">
        <f>IF(Planilha1!C994="","",Planilha1!C994)</f>
        <v>Orlando Magic</v>
      </c>
      <c r="J997" s="2">
        <f>IF(Planilha1!D994="","",Planilha1!D994)</f>
        <v>0</v>
      </c>
      <c r="K997" s="10" t="str">
        <f>IF(Planilha1!E994="","",IF(Planilha1!E994=0,"",Planilha1!E994))</f>
        <v>Toronto Raptors</v>
      </c>
      <c r="L997" s="10">
        <f>IF(Planilha1!F994="","",Planilha1!F994)</f>
        <v>0</v>
      </c>
      <c r="M997" s="10" t="str">
        <f>IF(Planilha1!G994="","",IF(Planilha1!G994=0,"",Planilha1!G994))</f>
        <v/>
      </c>
      <c r="N997" s="5">
        <f t="shared" si="121"/>
        <v>1</v>
      </c>
      <c r="O997" s="5">
        <f t="shared" si="122"/>
        <v>0</v>
      </c>
      <c r="P997" s="5">
        <f t="shared" si="123"/>
        <v>0</v>
      </c>
      <c r="Q997" s="5">
        <f t="shared" si="124"/>
        <v>2</v>
      </c>
      <c r="R997" s="8">
        <f t="shared" si="125"/>
        <v>0</v>
      </c>
      <c r="S997" s="8">
        <f t="shared" si="126"/>
        <v>0</v>
      </c>
      <c r="T997" s="3" t="str">
        <f t="shared" si="127"/>
        <v/>
      </c>
      <c r="V997" s="1" t="e">
        <f t="shared" si="128"/>
        <v>#VALUE!</v>
      </c>
    </row>
    <row r="998" spans="8:22" x14ac:dyDescent="0.3">
      <c r="H998" s="2" t="str">
        <f>IF(Planilha1!B995="","",Planilha1!B995)</f>
        <v>8:00p</v>
      </c>
      <c r="I998" s="2" t="str">
        <f>IF(Planilha1!C995="","",Planilha1!C995)</f>
        <v>Los Angeles Clippers</v>
      </c>
      <c r="J998" s="2">
        <f>IF(Planilha1!D995="","",Planilha1!D995)</f>
        <v>0</v>
      </c>
      <c r="K998" s="10" t="str">
        <f>IF(Planilha1!E995="","",IF(Planilha1!E995=0,"",Planilha1!E995))</f>
        <v>New Orleans Pelicans</v>
      </c>
      <c r="L998" s="10">
        <f>IF(Planilha1!F995="","",Planilha1!F995)</f>
        <v>0</v>
      </c>
      <c r="M998" s="10" t="str">
        <f>IF(Planilha1!G995="","",IF(Planilha1!G995=0,"",Planilha1!G995))</f>
        <v/>
      </c>
      <c r="N998" s="5">
        <f t="shared" si="121"/>
        <v>1</v>
      </c>
      <c r="O998" s="5">
        <f t="shared" si="122"/>
        <v>0</v>
      </c>
      <c r="P998" s="5">
        <f t="shared" si="123"/>
        <v>0</v>
      </c>
      <c r="Q998" s="5">
        <f t="shared" si="124"/>
        <v>2</v>
      </c>
      <c r="R998" s="8">
        <f t="shared" si="125"/>
        <v>0</v>
      </c>
      <c r="S998" s="8">
        <f t="shared" si="126"/>
        <v>0</v>
      </c>
      <c r="T998" s="3" t="str">
        <f t="shared" si="127"/>
        <v/>
      </c>
      <c r="V998" s="1" t="e">
        <f t="shared" si="128"/>
        <v>#VALUE!</v>
      </c>
    </row>
    <row r="999" spans="8:22" x14ac:dyDescent="0.3">
      <c r="H999" s="2" t="str">
        <f>IF(Planilha1!B996="","",Planilha1!B996)</f>
        <v>8:30p</v>
      </c>
      <c r="I999" s="2" t="str">
        <f>IF(Planilha1!C996="","",Planilha1!C996)</f>
        <v>Denver Nuggets</v>
      </c>
      <c r="J999" s="2">
        <f>IF(Planilha1!D996="","",Planilha1!D996)</f>
        <v>0</v>
      </c>
      <c r="K999" s="10" t="str">
        <f>IF(Planilha1!E996="","",IF(Planilha1!E996=0,"",Planilha1!E996))</f>
        <v>San Antonio Spurs</v>
      </c>
      <c r="L999" s="10">
        <f>IF(Planilha1!F996="","",Planilha1!F996)</f>
        <v>0</v>
      </c>
      <c r="M999" s="10" t="str">
        <f>IF(Planilha1!G996="","",IF(Planilha1!G996=0,"",Planilha1!G996))</f>
        <v/>
      </c>
      <c r="N999" s="5">
        <f t="shared" si="121"/>
        <v>1</v>
      </c>
      <c r="O999" s="5">
        <f t="shared" si="122"/>
        <v>0</v>
      </c>
      <c r="P999" s="5">
        <f t="shared" si="123"/>
        <v>0</v>
      </c>
      <c r="Q999" s="5">
        <f t="shared" si="124"/>
        <v>2</v>
      </c>
      <c r="R999" s="8">
        <f t="shared" si="125"/>
        <v>0</v>
      </c>
      <c r="S999" s="8">
        <f t="shared" si="126"/>
        <v>0</v>
      </c>
      <c r="T999" s="3" t="str">
        <f t="shared" si="127"/>
        <v/>
      </c>
      <c r="V999" s="1" t="e">
        <f t="shared" si="128"/>
        <v>#VALUE!</v>
      </c>
    </row>
    <row r="1000" spans="8:22" x14ac:dyDescent="0.3">
      <c r="H1000" s="2" t="str">
        <f>IF(Planilha1!B997="","",Planilha1!B997)</f>
        <v>9:30p</v>
      </c>
      <c r="I1000" s="2" t="str">
        <f>IF(Planilha1!C997="","",Planilha1!C997)</f>
        <v>Atlanta Hawks</v>
      </c>
      <c r="J1000" s="2">
        <f>IF(Planilha1!D997="","",Planilha1!D997)</f>
        <v>0</v>
      </c>
      <c r="K1000" s="10" t="str">
        <f>IF(Planilha1!E997="","",IF(Planilha1!E997=0,"",Planilha1!E997))</f>
        <v>Utah Jazz</v>
      </c>
      <c r="L1000" s="10">
        <f>IF(Planilha1!F997="","",Planilha1!F997)</f>
        <v>0</v>
      </c>
      <c r="M1000" s="10" t="str">
        <f>IF(Planilha1!G997="","",IF(Planilha1!G997=0,"",Planilha1!G997))</f>
        <v/>
      </c>
      <c r="N1000" s="5">
        <f t="shared" si="121"/>
        <v>1</v>
      </c>
      <c r="O1000" s="5">
        <f t="shared" si="122"/>
        <v>0</v>
      </c>
      <c r="P1000" s="5">
        <f t="shared" si="123"/>
        <v>0</v>
      </c>
      <c r="Q1000" s="5">
        <f t="shared" si="124"/>
        <v>2</v>
      </c>
      <c r="R1000" s="8">
        <f t="shared" si="125"/>
        <v>0</v>
      </c>
      <c r="S1000" s="8">
        <f t="shared" si="126"/>
        <v>0</v>
      </c>
      <c r="T1000" s="3" t="str">
        <f t="shared" si="127"/>
        <v/>
      </c>
      <c r="V1000" s="1" t="e">
        <f t="shared" si="128"/>
        <v>#VALUE!</v>
      </c>
    </row>
    <row r="1001" spans="8:22" x14ac:dyDescent="0.3">
      <c r="H1001" s="2" t="str">
        <f>IF(Planilha1!B998="","",Planilha1!B998)</f>
        <v>5:00p</v>
      </c>
      <c r="I1001" s="2" t="str">
        <f>IF(Planilha1!C998="","",Planilha1!C998)</f>
        <v>Cleveland Cavaliers</v>
      </c>
      <c r="J1001" s="2">
        <f>IF(Planilha1!D998="","",Planilha1!D998)</f>
        <v>0</v>
      </c>
      <c r="K1001" s="10" t="str">
        <f>IF(Planilha1!E998="","",IF(Planilha1!E998=0,"",Planilha1!E998))</f>
        <v>Houston Rockets</v>
      </c>
      <c r="L1001" s="10">
        <f>IF(Planilha1!F998="","",Planilha1!F998)</f>
        <v>0</v>
      </c>
      <c r="M1001" s="10" t="str">
        <f>IF(Planilha1!G998="","",IF(Planilha1!G998=0,"",Planilha1!G998))</f>
        <v/>
      </c>
      <c r="N1001" s="5">
        <f t="shared" si="121"/>
        <v>1</v>
      </c>
      <c r="O1001" s="5">
        <f t="shared" si="122"/>
        <v>0</v>
      </c>
      <c r="P1001" s="5">
        <f t="shared" si="123"/>
        <v>0</v>
      </c>
      <c r="Q1001" s="5">
        <f t="shared" si="124"/>
        <v>2</v>
      </c>
      <c r="R1001" s="8">
        <f t="shared" si="125"/>
        <v>0</v>
      </c>
      <c r="S1001" s="8">
        <f t="shared" si="126"/>
        <v>0</v>
      </c>
      <c r="T1001" s="3" t="str">
        <f t="shared" si="127"/>
        <v/>
      </c>
      <c r="V1001" s="1" t="e">
        <f t="shared" si="128"/>
        <v>#VALUE!</v>
      </c>
    </row>
    <row r="1002" spans="8:22" x14ac:dyDescent="0.3">
      <c r="H1002" s="2" t="str">
        <f>IF(Planilha1!B999="","",Planilha1!B999)</f>
        <v>7:00p</v>
      </c>
      <c r="I1002" s="2" t="str">
        <f>IF(Planilha1!C999="","",Planilha1!C999)</f>
        <v>Brooklyn Nets</v>
      </c>
      <c r="J1002" s="2">
        <f>IF(Planilha1!D999="","",Planilha1!D999)</f>
        <v>0</v>
      </c>
      <c r="K1002" s="10" t="str">
        <f>IF(Planilha1!E999="","",IF(Planilha1!E999=0,"",Planilha1!E999))</f>
        <v>Indiana Pacers</v>
      </c>
      <c r="L1002" s="10">
        <f>IF(Planilha1!F999="","",Planilha1!F999)</f>
        <v>0</v>
      </c>
      <c r="M1002" s="10" t="str">
        <f>IF(Planilha1!G999="","",IF(Planilha1!G999=0,"",Planilha1!G999))</f>
        <v/>
      </c>
      <c r="N1002" s="5">
        <f t="shared" si="121"/>
        <v>1</v>
      </c>
      <c r="O1002" s="5">
        <f t="shared" si="122"/>
        <v>0</v>
      </c>
      <c r="P1002" s="5">
        <f t="shared" si="123"/>
        <v>0</v>
      </c>
      <c r="Q1002" s="5">
        <f t="shared" si="124"/>
        <v>2</v>
      </c>
      <c r="R1002" s="8">
        <f t="shared" si="125"/>
        <v>0</v>
      </c>
      <c r="S1002" s="8">
        <f t="shared" si="126"/>
        <v>0</v>
      </c>
      <c r="T1002" s="3" t="str">
        <f t="shared" si="127"/>
        <v/>
      </c>
      <c r="V1002" s="1" t="e">
        <f t="shared" si="128"/>
        <v>#VALUE!</v>
      </c>
    </row>
    <row r="1003" spans="8:22" x14ac:dyDescent="0.3">
      <c r="H1003" s="2" t="str">
        <f>IF(Planilha1!B1000="","",Planilha1!B1000)</f>
        <v>7:00p</v>
      </c>
      <c r="I1003" s="2" t="str">
        <f>IF(Planilha1!C1000="","",Planilha1!C1000)</f>
        <v>Portland Trail Blazers</v>
      </c>
      <c r="J1003" s="2">
        <f>IF(Planilha1!D1000="","",Planilha1!D1000)</f>
        <v>0</v>
      </c>
      <c r="K1003" s="10" t="str">
        <f>IF(Planilha1!E1000="","",IF(Planilha1!E1000=0,"",Planilha1!E1000))</f>
        <v>New Orleans Pelicans</v>
      </c>
      <c r="L1003" s="10">
        <f>IF(Planilha1!F1000="","",Planilha1!F1000)</f>
        <v>0</v>
      </c>
      <c r="M1003" s="10" t="str">
        <f>IF(Planilha1!G1000="","",IF(Planilha1!G1000=0,"",Planilha1!G1000))</f>
        <v/>
      </c>
      <c r="N1003" s="5">
        <f t="shared" si="121"/>
        <v>1</v>
      </c>
      <c r="O1003" s="5">
        <f t="shared" si="122"/>
        <v>0</v>
      </c>
      <c r="P1003" s="5">
        <f t="shared" si="123"/>
        <v>0</v>
      </c>
      <c r="Q1003" s="5">
        <f t="shared" si="124"/>
        <v>2</v>
      </c>
      <c r="R1003" s="8">
        <f t="shared" si="125"/>
        <v>0</v>
      </c>
      <c r="S1003" s="8">
        <f t="shared" si="126"/>
        <v>0</v>
      </c>
      <c r="T1003" s="3" t="str">
        <f t="shared" si="127"/>
        <v/>
      </c>
      <c r="V1003" s="1" t="e">
        <f t="shared" si="128"/>
        <v>#VALUE!</v>
      </c>
    </row>
    <row r="1004" spans="8:22" x14ac:dyDescent="0.3">
      <c r="H1004" s="2" t="str">
        <f>IF(Planilha1!B1001="","",Planilha1!B1001)</f>
        <v>7:00p</v>
      </c>
      <c r="I1004" s="2" t="str">
        <f>IF(Planilha1!C1001="","",Planilha1!C1001)</f>
        <v>Charlotte Hornets</v>
      </c>
      <c r="J1004" s="2">
        <f>IF(Planilha1!D1001="","",Planilha1!D1001)</f>
        <v>0</v>
      </c>
      <c r="K1004" s="10" t="str">
        <f>IF(Planilha1!E1001="","",IF(Planilha1!E1001=0,"",Planilha1!E1001))</f>
        <v>Philadelphia 76ers</v>
      </c>
      <c r="L1004" s="10">
        <f>IF(Planilha1!F1001="","",Planilha1!F1001)</f>
        <v>0</v>
      </c>
      <c r="M1004" s="10" t="str">
        <f>IF(Planilha1!G1001="","",IF(Planilha1!G1001=0,"",Planilha1!G1001))</f>
        <v/>
      </c>
      <c r="N1004" s="5">
        <f t="shared" si="121"/>
        <v>1</v>
      </c>
      <c r="O1004" s="5">
        <f t="shared" si="122"/>
        <v>0</v>
      </c>
      <c r="P1004" s="5">
        <f t="shared" si="123"/>
        <v>0</v>
      </c>
      <c r="Q1004" s="5">
        <f t="shared" si="124"/>
        <v>2</v>
      </c>
      <c r="R1004" s="8">
        <f t="shared" si="125"/>
        <v>0</v>
      </c>
      <c r="S1004" s="8">
        <f t="shared" si="126"/>
        <v>0</v>
      </c>
      <c r="T1004" s="3" t="str">
        <f t="shared" si="127"/>
        <v/>
      </c>
      <c r="V1004" s="1" t="e">
        <f t="shared" si="128"/>
        <v>#VALUE!</v>
      </c>
    </row>
    <row r="1005" spans="8:22" x14ac:dyDescent="0.3">
      <c r="H1005" s="2" t="str">
        <f>IF(Planilha1!B1002="","",Planilha1!B1002)</f>
        <v>8:00p</v>
      </c>
      <c r="I1005" s="2" t="str">
        <f>IF(Planilha1!C1002="","",Planilha1!C1002)</f>
        <v>Washington Wizards</v>
      </c>
      <c r="J1005" s="2">
        <f>IF(Planilha1!D1002="","",Planilha1!D1002)</f>
        <v>0</v>
      </c>
      <c r="K1005" s="10" t="str">
        <f>IF(Planilha1!E1002="","",IF(Planilha1!E1002=0,"",Planilha1!E1002))</f>
        <v>Chicago Bulls</v>
      </c>
      <c r="L1005" s="10">
        <f>IF(Planilha1!F1002="","",Planilha1!F1002)</f>
        <v>0</v>
      </c>
      <c r="M1005" s="10" t="str">
        <f>IF(Planilha1!G1002="","",IF(Planilha1!G1002=0,"",Planilha1!G1002))</f>
        <v/>
      </c>
      <c r="N1005" s="5">
        <f t="shared" si="121"/>
        <v>1</v>
      </c>
      <c r="O1005" s="5">
        <f t="shared" si="122"/>
        <v>0</v>
      </c>
      <c r="P1005" s="5">
        <f t="shared" si="123"/>
        <v>0</v>
      </c>
      <c r="Q1005" s="5">
        <f t="shared" si="124"/>
        <v>2</v>
      </c>
      <c r="R1005" s="8">
        <f t="shared" si="125"/>
        <v>0</v>
      </c>
      <c r="S1005" s="8">
        <f t="shared" si="126"/>
        <v>0</v>
      </c>
      <c r="T1005" s="3" t="str">
        <f t="shared" si="127"/>
        <v/>
      </c>
      <c r="V1005" s="1" t="e">
        <f t="shared" si="128"/>
        <v>#VALUE!</v>
      </c>
    </row>
    <row r="1006" spans="8:22" x14ac:dyDescent="0.3">
      <c r="H1006" s="2" t="str">
        <f>IF(Planilha1!B1003="","",Planilha1!B1003)</f>
        <v>8:00p</v>
      </c>
      <c r="I1006" s="2" t="str">
        <f>IF(Planilha1!C1003="","",Planilha1!C1003)</f>
        <v>Oklahoma City Thunder</v>
      </c>
      <c r="J1006" s="2">
        <f>IF(Planilha1!D1003="","",Planilha1!D1003)</f>
        <v>0</v>
      </c>
      <c r="K1006" s="10" t="str">
        <f>IF(Planilha1!E1003="","",IF(Planilha1!E1003=0,"",Planilha1!E1003))</f>
        <v>Memphis Grizzlies</v>
      </c>
      <c r="L1006" s="10">
        <f>IF(Planilha1!F1003="","",Planilha1!F1003)</f>
        <v>0</v>
      </c>
      <c r="M1006" s="10" t="str">
        <f>IF(Planilha1!G1003="","",IF(Planilha1!G1003=0,"",Planilha1!G1003))</f>
        <v/>
      </c>
      <c r="N1006" s="5">
        <f t="shared" si="121"/>
        <v>1</v>
      </c>
      <c r="O1006" s="5">
        <f t="shared" si="122"/>
        <v>0</v>
      </c>
      <c r="P1006" s="5">
        <f t="shared" si="123"/>
        <v>0</v>
      </c>
      <c r="Q1006" s="5">
        <f t="shared" si="124"/>
        <v>2</v>
      </c>
      <c r="R1006" s="8">
        <f t="shared" si="125"/>
        <v>0</v>
      </c>
      <c r="S1006" s="8">
        <f t="shared" si="126"/>
        <v>0</v>
      </c>
      <c r="T1006" s="3" t="str">
        <f t="shared" si="127"/>
        <v/>
      </c>
      <c r="V1006" s="1" t="e">
        <f t="shared" si="128"/>
        <v>#VALUE!</v>
      </c>
    </row>
    <row r="1007" spans="8:22" x14ac:dyDescent="0.3">
      <c r="H1007" s="2" t="str">
        <f>IF(Planilha1!B1004="","",Planilha1!B1004)</f>
        <v>8:30p</v>
      </c>
      <c r="I1007" s="2" t="str">
        <f>IF(Planilha1!C1004="","",Planilha1!C1004)</f>
        <v>Golden State Warriors</v>
      </c>
      <c r="J1007" s="2">
        <f>IF(Planilha1!D1004="","",Planilha1!D1004)</f>
        <v>0</v>
      </c>
      <c r="K1007" s="10" t="str">
        <f>IF(Planilha1!E1004="","",IF(Planilha1!E1004=0,"",Planilha1!E1004))</f>
        <v>Los Angeles Lakers</v>
      </c>
      <c r="L1007" s="10">
        <f>IF(Planilha1!F1004="","",Planilha1!F1004)</f>
        <v>0</v>
      </c>
      <c r="M1007" s="10" t="str">
        <f>IF(Planilha1!G1004="","",IF(Planilha1!G1004=0,"",Planilha1!G1004))</f>
        <v/>
      </c>
      <c r="N1007" s="5">
        <f t="shared" si="121"/>
        <v>1</v>
      </c>
      <c r="O1007" s="5">
        <f t="shared" si="122"/>
        <v>0</v>
      </c>
      <c r="P1007" s="5">
        <f t="shared" si="123"/>
        <v>0</v>
      </c>
      <c r="Q1007" s="5">
        <f t="shared" si="124"/>
        <v>2</v>
      </c>
      <c r="R1007" s="8">
        <f t="shared" si="125"/>
        <v>0</v>
      </c>
      <c r="S1007" s="8">
        <f t="shared" si="126"/>
        <v>0</v>
      </c>
      <c r="T1007" s="3" t="str">
        <f t="shared" si="127"/>
        <v/>
      </c>
      <c r="V1007" s="1" t="e">
        <f t="shared" si="128"/>
        <v>#VALUE!</v>
      </c>
    </row>
    <row r="1008" spans="8:22" x14ac:dyDescent="0.3">
      <c r="H1008" s="2" t="str">
        <f>IF(Planilha1!B1005="","",Planilha1!B1005)</f>
        <v>9:30p</v>
      </c>
      <c r="I1008" s="2" t="str">
        <f>IF(Planilha1!C1005="","",Planilha1!C1005)</f>
        <v>Minnesota Timberwolves</v>
      </c>
      <c r="J1008" s="2">
        <f>IF(Planilha1!D1005="","",Planilha1!D1005)</f>
        <v>0</v>
      </c>
      <c r="K1008" s="10" t="str">
        <f>IF(Planilha1!E1005="","",IF(Planilha1!E1005=0,"",Planilha1!E1005))</f>
        <v>Utah Jazz</v>
      </c>
      <c r="L1008" s="10">
        <f>IF(Planilha1!F1005="","",Planilha1!F1005)</f>
        <v>0</v>
      </c>
      <c r="M1008" s="10" t="str">
        <f>IF(Planilha1!G1005="","",IF(Planilha1!G1005=0,"",Planilha1!G1005))</f>
        <v/>
      </c>
      <c r="N1008" s="5">
        <f t="shared" si="121"/>
        <v>1</v>
      </c>
      <c r="O1008" s="5">
        <f t="shared" si="122"/>
        <v>0</v>
      </c>
      <c r="P1008" s="5">
        <f t="shared" si="123"/>
        <v>0</v>
      </c>
      <c r="Q1008" s="5">
        <f t="shared" si="124"/>
        <v>2</v>
      </c>
      <c r="R1008" s="8">
        <f t="shared" si="125"/>
        <v>0</v>
      </c>
      <c r="S1008" s="8">
        <f t="shared" si="126"/>
        <v>0</v>
      </c>
      <c r="T1008" s="3" t="str">
        <f t="shared" si="127"/>
        <v/>
      </c>
      <c r="V1008" s="1" t="e">
        <f t="shared" si="128"/>
        <v>#VALUE!</v>
      </c>
    </row>
    <row r="1009" spans="8:22" x14ac:dyDescent="0.3">
      <c r="H1009" s="2" t="str">
        <f>IF(Planilha1!B1006="","",Planilha1!B1006)</f>
        <v>10:00p</v>
      </c>
      <c r="I1009" s="2" t="str">
        <f>IF(Planilha1!C1006="","",Planilha1!C1006)</f>
        <v>New York Knicks</v>
      </c>
      <c r="J1009" s="2">
        <f>IF(Planilha1!D1006="","",Planilha1!D1006)</f>
        <v>0</v>
      </c>
      <c r="K1009" s="10" t="str">
        <f>IF(Planilha1!E1006="","",IF(Planilha1!E1006=0,"",Planilha1!E1006))</f>
        <v>Sacramento Kings</v>
      </c>
      <c r="L1009" s="10">
        <f>IF(Planilha1!F1006="","",Planilha1!F1006)</f>
        <v>0</v>
      </c>
      <c r="M1009" s="10" t="str">
        <f>IF(Planilha1!G1006="","",IF(Planilha1!G1006=0,"",Planilha1!G1006))</f>
        <v/>
      </c>
      <c r="N1009" s="5">
        <f t="shared" si="121"/>
        <v>1</v>
      </c>
      <c r="O1009" s="5">
        <f t="shared" si="122"/>
        <v>0</v>
      </c>
      <c r="P1009" s="5">
        <f t="shared" si="123"/>
        <v>0</v>
      </c>
      <c r="Q1009" s="5">
        <f t="shared" si="124"/>
        <v>2</v>
      </c>
      <c r="R1009" s="8">
        <f t="shared" si="125"/>
        <v>0</v>
      </c>
      <c r="S1009" s="8">
        <f t="shared" si="126"/>
        <v>0</v>
      </c>
      <c r="T1009" s="3" t="str">
        <f t="shared" si="127"/>
        <v/>
      </c>
      <c r="V1009" s="1" t="e">
        <f t="shared" si="128"/>
        <v>#VALUE!</v>
      </c>
    </row>
    <row r="1010" spans="8:22" x14ac:dyDescent="0.3">
      <c r="H1010" s="2" t="str">
        <f>IF(Planilha1!B1007="","",Planilha1!B1007)</f>
        <v>1:00p</v>
      </c>
      <c r="I1010" s="2" t="str">
        <f>IF(Planilha1!C1007="","",Planilha1!C1007)</f>
        <v>Phoenix Suns</v>
      </c>
      <c r="J1010" s="2">
        <f>IF(Planilha1!D1007="","",Planilha1!D1007)</f>
        <v>0</v>
      </c>
      <c r="K1010" s="10" t="str">
        <f>IF(Planilha1!E1007="","",IF(Planilha1!E1007=0,"",Planilha1!E1007))</f>
        <v>Milwaukee Bucks</v>
      </c>
      <c r="L1010" s="10">
        <f>IF(Planilha1!F1007="","",Planilha1!F1007)</f>
        <v>0</v>
      </c>
      <c r="M1010" s="10" t="str">
        <f>IF(Planilha1!G1007="","",IF(Planilha1!G1007=0,"",Planilha1!G1007))</f>
        <v/>
      </c>
      <c r="N1010" s="5">
        <f t="shared" si="121"/>
        <v>1</v>
      </c>
      <c r="O1010" s="5">
        <f t="shared" si="122"/>
        <v>0</v>
      </c>
      <c r="P1010" s="5">
        <f t="shared" si="123"/>
        <v>0</v>
      </c>
      <c r="Q1010" s="5">
        <f t="shared" si="124"/>
        <v>2</v>
      </c>
      <c r="R1010" s="8">
        <f t="shared" si="125"/>
        <v>0</v>
      </c>
      <c r="S1010" s="8">
        <f t="shared" si="126"/>
        <v>0</v>
      </c>
      <c r="T1010" s="3" t="str">
        <f t="shared" si="127"/>
        <v/>
      </c>
      <c r="V1010" s="1" t="e">
        <f t="shared" si="128"/>
        <v>#VALUE!</v>
      </c>
    </row>
    <row r="1011" spans="8:22" x14ac:dyDescent="0.3">
      <c r="H1011" s="2" t="str">
        <f>IF(Planilha1!B1008="","",Planilha1!B1008)</f>
        <v>3:00p</v>
      </c>
      <c r="I1011" s="2" t="str">
        <f>IF(Planilha1!C1008="","",Planilha1!C1008)</f>
        <v>Miami Heat</v>
      </c>
      <c r="J1011" s="2">
        <f>IF(Planilha1!D1008="","",Planilha1!D1008)</f>
        <v>0</v>
      </c>
      <c r="K1011" s="10" t="str">
        <f>IF(Planilha1!E1008="","",IF(Planilha1!E1008=0,"",Planilha1!E1008))</f>
        <v>Detroit Pistons</v>
      </c>
      <c r="L1011" s="10">
        <f>IF(Planilha1!F1008="","",Planilha1!F1008)</f>
        <v>0</v>
      </c>
      <c r="M1011" s="10" t="str">
        <f>IF(Planilha1!G1008="","",IF(Planilha1!G1008=0,"",Planilha1!G1008))</f>
        <v/>
      </c>
      <c r="N1011" s="5">
        <f t="shared" si="121"/>
        <v>1</v>
      </c>
      <c r="O1011" s="5">
        <f t="shared" si="122"/>
        <v>0</v>
      </c>
      <c r="P1011" s="5">
        <f t="shared" si="123"/>
        <v>0</v>
      </c>
      <c r="Q1011" s="5">
        <f t="shared" si="124"/>
        <v>2</v>
      </c>
      <c r="R1011" s="8">
        <f t="shared" si="125"/>
        <v>0</v>
      </c>
      <c r="S1011" s="8">
        <f t="shared" si="126"/>
        <v>0</v>
      </c>
      <c r="T1011" s="3" t="str">
        <f t="shared" si="127"/>
        <v/>
      </c>
      <c r="V1011" s="1" t="e">
        <f t="shared" si="128"/>
        <v>#VALUE!</v>
      </c>
    </row>
    <row r="1012" spans="8:22" x14ac:dyDescent="0.3">
      <c r="H1012" s="2" t="str">
        <f>IF(Planilha1!B1009="","",Planilha1!B1009)</f>
        <v>3:30p</v>
      </c>
      <c r="I1012" s="2" t="str">
        <f>IF(Planilha1!C1009="","",Planilha1!C1009)</f>
        <v>Denver Nuggets</v>
      </c>
      <c r="J1012" s="2">
        <f>IF(Planilha1!D1009="","",Planilha1!D1009)</f>
        <v>0</v>
      </c>
      <c r="K1012" s="10" t="str">
        <f>IF(Planilha1!E1009="","",IF(Planilha1!E1009=0,"",Planilha1!E1009))</f>
        <v>Dallas Mavericks</v>
      </c>
      <c r="L1012" s="10">
        <f>IF(Planilha1!F1009="","",Planilha1!F1009)</f>
        <v>0</v>
      </c>
      <c r="M1012" s="10" t="str">
        <f>IF(Planilha1!G1009="","",IF(Planilha1!G1009=0,"",Planilha1!G1009))</f>
        <v/>
      </c>
      <c r="N1012" s="5">
        <f t="shared" si="121"/>
        <v>1</v>
      </c>
      <c r="O1012" s="5">
        <f t="shared" si="122"/>
        <v>0</v>
      </c>
      <c r="P1012" s="5">
        <f t="shared" si="123"/>
        <v>0</v>
      </c>
      <c r="Q1012" s="5">
        <f t="shared" si="124"/>
        <v>2</v>
      </c>
      <c r="R1012" s="8">
        <f t="shared" si="125"/>
        <v>0</v>
      </c>
      <c r="S1012" s="8">
        <f t="shared" si="126"/>
        <v>0</v>
      </c>
      <c r="T1012" s="3" t="str">
        <f t="shared" si="127"/>
        <v/>
      </c>
      <c r="V1012" s="1" t="e">
        <f t="shared" si="128"/>
        <v>#VALUE!</v>
      </c>
    </row>
    <row r="1013" spans="8:22" x14ac:dyDescent="0.3">
      <c r="H1013" s="2" t="str">
        <f>IF(Planilha1!B1010="","",Planilha1!B1010)</f>
        <v>6:00p</v>
      </c>
      <c r="I1013" s="2" t="str">
        <f>IF(Planilha1!C1010="","",Planilha1!C1010)</f>
        <v>Toronto Raptors</v>
      </c>
      <c r="J1013" s="2">
        <f>IF(Planilha1!D1010="","",Planilha1!D1010)</f>
        <v>0</v>
      </c>
      <c r="K1013" s="10" t="str">
        <f>IF(Planilha1!E1010="","",IF(Planilha1!E1010=0,"",Planilha1!E1010))</f>
        <v>Orlando Magic</v>
      </c>
      <c r="L1013" s="10">
        <f>IF(Planilha1!F1010="","",Planilha1!F1010)</f>
        <v>0</v>
      </c>
      <c r="M1013" s="10" t="str">
        <f>IF(Planilha1!G1010="","",IF(Planilha1!G1010=0,"",Planilha1!G1010))</f>
        <v/>
      </c>
      <c r="N1013" s="5">
        <f t="shared" si="121"/>
        <v>1</v>
      </c>
      <c r="O1013" s="5">
        <f t="shared" si="122"/>
        <v>0</v>
      </c>
      <c r="P1013" s="5">
        <f t="shared" si="123"/>
        <v>0</v>
      </c>
      <c r="Q1013" s="5">
        <f t="shared" si="124"/>
        <v>2</v>
      </c>
      <c r="R1013" s="8">
        <f t="shared" si="125"/>
        <v>0</v>
      </c>
      <c r="S1013" s="8">
        <f t="shared" si="126"/>
        <v>0</v>
      </c>
      <c r="T1013" s="3" t="str">
        <f t="shared" si="127"/>
        <v/>
      </c>
      <c r="V1013" s="1" t="e">
        <f t="shared" si="128"/>
        <v>#VALUE!</v>
      </c>
    </row>
    <row r="1014" spans="8:22" x14ac:dyDescent="0.3">
      <c r="H1014" s="2" t="str">
        <f>IF(Planilha1!B1011="","",Planilha1!B1011)</f>
        <v>6:00p</v>
      </c>
      <c r="I1014" s="2" t="str">
        <f>IF(Planilha1!C1011="","",Planilha1!C1011)</f>
        <v>Boston Celtics</v>
      </c>
      <c r="J1014" s="2">
        <f>IF(Planilha1!D1011="","",Planilha1!D1011)</f>
        <v>0</v>
      </c>
      <c r="K1014" s="10" t="str">
        <f>IF(Planilha1!E1011="","",IF(Planilha1!E1011=0,"",Planilha1!E1011))</f>
        <v>Washington Wizards</v>
      </c>
      <c r="L1014" s="10">
        <f>IF(Planilha1!F1011="","",Planilha1!F1011)</f>
        <v>0</v>
      </c>
      <c r="M1014" s="10" t="str">
        <f>IF(Planilha1!G1011="","",IF(Planilha1!G1011=0,"",Planilha1!G1011))</f>
        <v/>
      </c>
      <c r="N1014" s="5">
        <f t="shared" si="121"/>
        <v>1</v>
      </c>
      <c r="O1014" s="5">
        <f t="shared" si="122"/>
        <v>0</v>
      </c>
      <c r="P1014" s="5">
        <f t="shared" si="123"/>
        <v>0</v>
      </c>
      <c r="Q1014" s="5">
        <f t="shared" si="124"/>
        <v>2</v>
      </c>
      <c r="R1014" s="8">
        <f t="shared" si="125"/>
        <v>0</v>
      </c>
      <c r="S1014" s="8">
        <f t="shared" si="126"/>
        <v>0</v>
      </c>
      <c r="T1014" s="3" t="str">
        <f t="shared" si="127"/>
        <v/>
      </c>
      <c r="V1014" s="1" t="e">
        <f t="shared" si="128"/>
        <v>#VALUE!</v>
      </c>
    </row>
    <row r="1015" spans="8:22" x14ac:dyDescent="0.3">
      <c r="H1015" s="2" t="str">
        <f>IF(Planilha1!B1012="","",Planilha1!B1012)</f>
        <v>7:00p</v>
      </c>
      <c r="I1015" s="2" t="str">
        <f>IF(Planilha1!C1012="","",Planilha1!C1012)</f>
        <v>Brooklyn Nets</v>
      </c>
      <c r="J1015" s="2">
        <f>IF(Planilha1!D1012="","",Planilha1!D1012)</f>
        <v>0</v>
      </c>
      <c r="K1015" s="10" t="str">
        <f>IF(Planilha1!E1012="","",IF(Planilha1!E1012=0,"",Planilha1!E1012))</f>
        <v>San Antonio Spurs</v>
      </c>
      <c r="L1015" s="10">
        <f>IF(Planilha1!F1012="","",Planilha1!F1012)</f>
        <v>0</v>
      </c>
      <c r="M1015" s="10" t="str">
        <f>IF(Planilha1!G1012="","",IF(Planilha1!G1012=0,"",Planilha1!G1012))</f>
        <v/>
      </c>
      <c r="N1015" s="5">
        <f t="shared" si="121"/>
        <v>1</v>
      </c>
      <c r="O1015" s="5">
        <f t="shared" si="122"/>
        <v>0</v>
      </c>
      <c r="P1015" s="5">
        <f t="shared" si="123"/>
        <v>0</v>
      </c>
      <c r="Q1015" s="5">
        <f t="shared" si="124"/>
        <v>2</v>
      </c>
      <c r="R1015" s="8">
        <f t="shared" si="125"/>
        <v>0</v>
      </c>
      <c r="S1015" s="8">
        <f t="shared" si="126"/>
        <v>0</v>
      </c>
      <c r="T1015" s="3" t="str">
        <f t="shared" si="127"/>
        <v/>
      </c>
      <c r="V1015" s="1" t="e">
        <f t="shared" si="128"/>
        <v>#VALUE!</v>
      </c>
    </row>
    <row r="1016" spans="8:22" x14ac:dyDescent="0.3">
      <c r="H1016" s="2" t="str">
        <f>IF(Planilha1!B1013="","",Planilha1!B1013)</f>
        <v>9:30p</v>
      </c>
      <c r="I1016" s="2" t="str">
        <f>IF(Planilha1!C1013="","",Planilha1!C1013)</f>
        <v>Atlanta Hawks</v>
      </c>
      <c r="J1016" s="2">
        <f>IF(Planilha1!D1013="","",Planilha1!D1013)</f>
        <v>0</v>
      </c>
      <c r="K1016" s="10" t="str">
        <f>IF(Planilha1!E1013="","",IF(Planilha1!E1013=0,"",Planilha1!E1013))</f>
        <v>Los Angeles Clippers</v>
      </c>
      <c r="L1016" s="10">
        <f>IF(Planilha1!F1013="","",Planilha1!F1013)</f>
        <v>0</v>
      </c>
      <c r="M1016" s="10" t="str">
        <f>IF(Planilha1!G1013="","",IF(Planilha1!G1013=0,"",Planilha1!G1013))</f>
        <v/>
      </c>
      <c r="N1016" s="5">
        <f t="shared" si="121"/>
        <v>1</v>
      </c>
      <c r="O1016" s="5">
        <f t="shared" si="122"/>
        <v>0</v>
      </c>
      <c r="P1016" s="5">
        <f t="shared" si="123"/>
        <v>0</v>
      </c>
      <c r="Q1016" s="5">
        <f t="shared" si="124"/>
        <v>2</v>
      </c>
      <c r="R1016" s="8">
        <f t="shared" si="125"/>
        <v>0</v>
      </c>
      <c r="S1016" s="8">
        <f t="shared" si="126"/>
        <v>0</v>
      </c>
      <c r="T1016" s="3" t="str">
        <f t="shared" si="127"/>
        <v/>
      </c>
      <c r="V1016" s="1" t="e">
        <f t="shared" si="128"/>
        <v>#VALUE!</v>
      </c>
    </row>
    <row r="1017" spans="8:22" x14ac:dyDescent="0.3">
      <c r="H1017" s="2" t="str">
        <f>IF(Planilha1!B1014="","",Planilha1!B1014)</f>
        <v>7:00p</v>
      </c>
      <c r="I1017" s="2" t="str">
        <f>IF(Planilha1!C1014="","",Planilha1!C1014)</f>
        <v>Cleveland Cavaliers</v>
      </c>
      <c r="J1017" s="2">
        <f>IF(Planilha1!D1014="","",Planilha1!D1014)</f>
        <v>0</v>
      </c>
      <c r="K1017" s="10" t="str">
        <f>IF(Planilha1!E1014="","",IF(Planilha1!E1014=0,"",Planilha1!E1014))</f>
        <v>Indiana Pacers</v>
      </c>
      <c r="L1017" s="10">
        <f>IF(Planilha1!F1014="","",Planilha1!F1014)</f>
        <v>0</v>
      </c>
      <c r="M1017" s="10" t="str">
        <f>IF(Planilha1!G1014="","",IF(Planilha1!G1014=0,"",Planilha1!G1014))</f>
        <v/>
      </c>
      <c r="N1017" s="5">
        <f t="shared" si="121"/>
        <v>1</v>
      </c>
      <c r="O1017" s="5">
        <f t="shared" si="122"/>
        <v>0</v>
      </c>
      <c r="P1017" s="5">
        <f t="shared" si="123"/>
        <v>0</v>
      </c>
      <c r="Q1017" s="5">
        <f t="shared" si="124"/>
        <v>2</v>
      </c>
      <c r="R1017" s="8">
        <f t="shared" si="125"/>
        <v>0</v>
      </c>
      <c r="S1017" s="8">
        <f t="shared" si="126"/>
        <v>0</v>
      </c>
      <c r="T1017" s="3" t="str">
        <f t="shared" si="127"/>
        <v/>
      </c>
      <c r="V1017" s="1" t="e">
        <f t="shared" si="128"/>
        <v>#VALUE!</v>
      </c>
    </row>
    <row r="1018" spans="8:22" x14ac:dyDescent="0.3">
      <c r="H1018" s="2" t="str">
        <f>IF(Planilha1!B1015="","",Planilha1!B1015)</f>
        <v>7:30p</v>
      </c>
      <c r="I1018" s="2" t="str">
        <f>IF(Planilha1!C1015="","",Planilha1!C1015)</f>
        <v>Detroit Pistons</v>
      </c>
      <c r="J1018" s="2">
        <f>IF(Planilha1!D1015="","",Planilha1!D1015)</f>
        <v>0</v>
      </c>
      <c r="K1018" s="10" t="str">
        <f>IF(Planilha1!E1015="","",IF(Planilha1!E1015=0,"",Planilha1!E1015))</f>
        <v>Boston Celtics</v>
      </c>
      <c r="L1018" s="10">
        <f>IF(Planilha1!F1015="","",Planilha1!F1015)</f>
        <v>0</v>
      </c>
      <c r="M1018" s="10" t="str">
        <f>IF(Planilha1!G1015="","",IF(Planilha1!G1015=0,"",Planilha1!G1015))</f>
        <v/>
      </c>
      <c r="N1018" s="5">
        <f t="shared" si="121"/>
        <v>1</v>
      </c>
      <c r="O1018" s="5">
        <f t="shared" si="122"/>
        <v>0</v>
      </c>
      <c r="P1018" s="5">
        <f t="shared" si="123"/>
        <v>0</v>
      </c>
      <c r="Q1018" s="5">
        <f t="shared" si="124"/>
        <v>2</v>
      </c>
      <c r="R1018" s="8">
        <f t="shared" si="125"/>
        <v>0</v>
      </c>
      <c r="S1018" s="8">
        <f t="shared" si="126"/>
        <v>0</v>
      </c>
      <c r="T1018" s="3" t="str">
        <f t="shared" si="127"/>
        <v/>
      </c>
      <c r="V1018" s="1" t="e">
        <f t="shared" si="128"/>
        <v>#VALUE!</v>
      </c>
    </row>
    <row r="1019" spans="8:22" x14ac:dyDescent="0.3">
      <c r="H1019" s="2" t="str">
        <f>IF(Planilha1!B1016="","",Planilha1!B1016)</f>
        <v>7:30p</v>
      </c>
      <c r="I1019" s="2" t="str">
        <f>IF(Planilha1!C1016="","",Planilha1!C1016)</f>
        <v>Miami Heat</v>
      </c>
      <c r="J1019" s="2">
        <f>IF(Planilha1!D1016="","",Planilha1!D1016)</f>
        <v>0</v>
      </c>
      <c r="K1019" s="10" t="str">
        <f>IF(Planilha1!E1016="","",IF(Planilha1!E1016=0,"",Planilha1!E1016))</f>
        <v>Philadelphia 76ers</v>
      </c>
      <c r="L1019" s="10">
        <f>IF(Planilha1!F1016="","",Planilha1!F1016)</f>
        <v>0</v>
      </c>
      <c r="M1019" s="10" t="str">
        <f>IF(Planilha1!G1016="","",IF(Planilha1!G1016=0,"",Planilha1!G1016))</f>
        <v/>
      </c>
      <c r="N1019" s="5">
        <f t="shared" si="121"/>
        <v>1</v>
      </c>
      <c r="O1019" s="5">
        <f t="shared" si="122"/>
        <v>0</v>
      </c>
      <c r="P1019" s="5">
        <f t="shared" si="123"/>
        <v>0</v>
      </c>
      <c r="Q1019" s="5">
        <f t="shared" si="124"/>
        <v>2</v>
      </c>
      <c r="R1019" s="8">
        <f t="shared" si="125"/>
        <v>0</v>
      </c>
      <c r="S1019" s="8">
        <f t="shared" si="126"/>
        <v>0</v>
      </c>
      <c r="T1019" s="3" t="str">
        <f t="shared" si="127"/>
        <v/>
      </c>
      <c r="V1019" s="1" t="e">
        <f t="shared" si="128"/>
        <v>#VALUE!</v>
      </c>
    </row>
    <row r="1020" spans="8:22" x14ac:dyDescent="0.3">
      <c r="H1020" s="2" t="str">
        <f>IF(Planilha1!B1017="","",Planilha1!B1017)</f>
        <v>8:00p</v>
      </c>
      <c r="I1020" s="2" t="str">
        <f>IF(Planilha1!C1017="","",Planilha1!C1017)</f>
        <v>Portland Trail Blazers</v>
      </c>
      <c r="J1020" s="2">
        <f>IF(Planilha1!D1017="","",Planilha1!D1017)</f>
        <v>0</v>
      </c>
      <c r="K1020" s="10" t="str">
        <f>IF(Planilha1!E1017="","",IF(Planilha1!E1017=0,"",Planilha1!E1017))</f>
        <v>Chicago Bulls</v>
      </c>
      <c r="L1020" s="10">
        <f>IF(Planilha1!F1017="","",Planilha1!F1017)</f>
        <v>0</v>
      </c>
      <c r="M1020" s="10" t="str">
        <f>IF(Planilha1!G1017="","",IF(Planilha1!G1017=0,"",Planilha1!G1017))</f>
        <v/>
      </c>
      <c r="N1020" s="5">
        <f t="shared" si="121"/>
        <v>1</v>
      </c>
      <c r="O1020" s="5">
        <f t="shared" si="122"/>
        <v>0</v>
      </c>
      <c r="P1020" s="5">
        <f t="shared" si="123"/>
        <v>0</v>
      </c>
      <c r="Q1020" s="5">
        <f t="shared" si="124"/>
        <v>2</v>
      </c>
      <c r="R1020" s="8">
        <f t="shared" si="125"/>
        <v>0</v>
      </c>
      <c r="S1020" s="8">
        <f t="shared" si="126"/>
        <v>0</v>
      </c>
      <c r="T1020" s="3" t="str">
        <f t="shared" si="127"/>
        <v/>
      </c>
      <c r="V1020" s="1" t="e">
        <f t="shared" si="128"/>
        <v>#VALUE!</v>
      </c>
    </row>
    <row r="1021" spans="8:22" x14ac:dyDescent="0.3">
      <c r="H1021" s="2" t="str">
        <f>IF(Planilha1!B1018="","",Planilha1!B1018)</f>
        <v>9:00p</v>
      </c>
      <c r="I1021" s="2" t="str">
        <f>IF(Planilha1!C1018="","",Planilha1!C1018)</f>
        <v>Minnesota Timberwolves</v>
      </c>
      <c r="J1021" s="2">
        <f>IF(Planilha1!D1018="","",Planilha1!D1018)</f>
        <v>0</v>
      </c>
      <c r="K1021" s="10" t="str">
        <f>IF(Planilha1!E1018="","",IF(Planilha1!E1018=0,"",Planilha1!E1018))</f>
        <v>Utah Jazz</v>
      </c>
      <c r="L1021" s="10">
        <f>IF(Planilha1!F1018="","",Planilha1!F1018)</f>
        <v>0</v>
      </c>
      <c r="M1021" s="10" t="str">
        <f>IF(Planilha1!G1018="","",IF(Planilha1!G1018=0,"",Planilha1!G1018))</f>
        <v/>
      </c>
      <c r="N1021" s="5">
        <f t="shared" si="121"/>
        <v>1</v>
      </c>
      <c r="O1021" s="5">
        <f t="shared" si="122"/>
        <v>0</v>
      </c>
      <c r="P1021" s="5">
        <f t="shared" si="123"/>
        <v>0</v>
      </c>
      <c r="Q1021" s="5">
        <f t="shared" si="124"/>
        <v>2</v>
      </c>
      <c r="R1021" s="8">
        <f t="shared" si="125"/>
        <v>0</v>
      </c>
      <c r="S1021" s="8">
        <f t="shared" si="126"/>
        <v>0</v>
      </c>
      <c r="T1021" s="3" t="str">
        <f t="shared" si="127"/>
        <v/>
      </c>
      <c r="V1021" s="1" t="e">
        <f t="shared" si="128"/>
        <v>#VALUE!</v>
      </c>
    </row>
    <row r="1022" spans="8:22" x14ac:dyDescent="0.3">
      <c r="H1022" s="2" t="str">
        <f>IF(Planilha1!B1019="","",Planilha1!B1019)</f>
        <v>10:00p</v>
      </c>
      <c r="I1022" s="2" t="str">
        <f>IF(Planilha1!C1019="","",Planilha1!C1019)</f>
        <v>New York Knicks</v>
      </c>
      <c r="J1022" s="2">
        <f>IF(Planilha1!D1019="","",Planilha1!D1019)</f>
        <v>0</v>
      </c>
      <c r="K1022" s="10" t="str">
        <f>IF(Planilha1!E1019="","",IF(Planilha1!E1019=0,"",Planilha1!E1019))</f>
        <v>Golden State Warriors</v>
      </c>
      <c r="L1022" s="10">
        <f>IF(Planilha1!F1019="","",Planilha1!F1019)</f>
        <v>0</v>
      </c>
      <c r="M1022" s="10" t="str">
        <f>IF(Planilha1!G1019="","",IF(Planilha1!G1019=0,"",Planilha1!G1019))</f>
        <v/>
      </c>
      <c r="N1022" s="5">
        <f t="shared" si="121"/>
        <v>1</v>
      </c>
      <c r="O1022" s="5">
        <f t="shared" si="122"/>
        <v>0</v>
      </c>
      <c r="P1022" s="5">
        <f t="shared" si="123"/>
        <v>0</v>
      </c>
      <c r="Q1022" s="5">
        <f t="shared" si="124"/>
        <v>2</v>
      </c>
      <c r="R1022" s="8">
        <f t="shared" si="125"/>
        <v>0</v>
      </c>
      <c r="S1022" s="8">
        <f t="shared" si="126"/>
        <v>0</v>
      </c>
      <c r="T1022" s="3" t="str">
        <f t="shared" si="127"/>
        <v/>
      </c>
      <c r="V1022" s="1" t="e">
        <f t="shared" si="128"/>
        <v>#VALUE!</v>
      </c>
    </row>
    <row r="1023" spans="8:22" x14ac:dyDescent="0.3">
      <c r="H1023" s="2" t="str">
        <f>IF(Planilha1!B1020="","",Planilha1!B1020)</f>
        <v>10:00p</v>
      </c>
      <c r="I1023" s="2" t="str">
        <f>IF(Planilha1!C1020="","",Planilha1!C1020)</f>
        <v>Memphis Grizzlies</v>
      </c>
      <c r="J1023" s="2">
        <f>IF(Planilha1!D1020="","",Planilha1!D1020)</f>
        <v>0</v>
      </c>
      <c r="K1023" s="10" t="str">
        <f>IF(Planilha1!E1020="","",IF(Planilha1!E1020=0,"",Planilha1!E1020))</f>
        <v>Sacramento Kings</v>
      </c>
      <c r="L1023" s="10">
        <f>IF(Planilha1!F1020="","",Planilha1!F1020)</f>
        <v>0</v>
      </c>
      <c r="M1023" s="10" t="str">
        <f>IF(Planilha1!G1020="","",IF(Planilha1!G1020=0,"",Planilha1!G1020))</f>
        <v/>
      </c>
      <c r="N1023" s="5">
        <f t="shared" si="121"/>
        <v>1</v>
      </c>
      <c r="O1023" s="5">
        <f t="shared" si="122"/>
        <v>0</v>
      </c>
      <c r="P1023" s="5">
        <f t="shared" si="123"/>
        <v>0</v>
      </c>
      <c r="Q1023" s="5">
        <f t="shared" si="124"/>
        <v>2</v>
      </c>
      <c r="R1023" s="8">
        <f t="shared" si="125"/>
        <v>0</v>
      </c>
      <c r="S1023" s="8">
        <f t="shared" si="126"/>
        <v>0</v>
      </c>
      <c r="T1023" s="3" t="str">
        <f t="shared" si="127"/>
        <v/>
      </c>
      <c r="V1023" s="1" t="e">
        <f t="shared" si="128"/>
        <v>#VALUE!</v>
      </c>
    </row>
    <row r="1024" spans="8:22" x14ac:dyDescent="0.3">
      <c r="H1024" s="2" t="str">
        <f>IF(Planilha1!B1021="","",Planilha1!B1021)</f>
        <v>10:30p</v>
      </c>
      <c r="I1024" s="2" t="str">
        <f>IF(Planilha1!C1021="","",Planilha1!C1021)</f>
        <v>Atlanta Hawks</v>
      </c>
      <c r="J1024" s="2">
        <f>IF(Planilha1!D1021="","",Planilha1!D1021)</f>
        <v>0</v>
      </c>
      <c r="K1024" s="10" t="str">
        <f>IF(Planilha1!E1021="","",IF(Planilha1!E1021=0,"",Planilha1!E1021))</f>
        <v>Los Angeles Lakers</v>
      </c>
      <c r="L1024" s="10">
        <f>IF(Planilha1!F1021="","",Planilha1!F1021)</f>
        <v>0</v>
      </c>
      <c r="M1024" s="10" t="str">
        <f>IF(Planilha1!G1021="","",IF(Planilha1!G1021=0,"",Planilha1!G1021))</f>
        <v/>
      </c>
      <c r="N1024" s="5">
        <f t="shared" si="121"/>
        <v>1</v>
      </c>
      <c r="O1024" s="5">
        <f t="shared" si="122"/>
        <v>0</v>
      </c>
      <c r="P1024" s="5">
        <f t="shared" si="123"/>
        <v>0</v>
      </c>
      <c r="Q1024" s="5">
        <f t="shared" si="124"/>
        <v>2</v>
      </c>
      <c r="R1024" s="8">
        <f t="shared" si="125"/>
        <v>0</v>
      </c>
      <c r="S1024" s="8">
        <f t="shared" si="126"/>
        <v>0</v>
      </c>
      <c r="T1024" s="3" t="str">
        <f t="shared" si="127"/>
        <v/>
      </c>
      <c r="V1024" s="1" t="e">
        <f t="shared" si="128"/>
        <v>#VALUE!</v>
      </c>
    </row>
    <row r="1025" spans="8:22" x14ac:dyDescent="0.3">
      <c r="H1025" s="2" t="str">
        <f>IF(Planilha1!B1022="","",Planilha1!B1022)</f>
        <v>7:00p</v>
      </c>
      <c r="I1025" s="2" t="str">
        <f>IF(Planilha1!C1022="","",Planilha1!C1022)</f>
        <v>Charlotte Hornets</v>
      </c>
      <c r="J1025" s="2">
        <f>IF(Planilha1!D1022="","",Planilha1!D1022)</f>
        <v>0</v>
      </c>
      <c r="K1025" s="10" t="str">
        <f>IF(Planilha1!E1022="","",IF(Planilha1!E1022=0,"",Planilha1!E1022))</f>
        <v>Orlando Magic</v>
      </c>
      <c r="L1025" s="10">
        <f>IF(Planilha1!F1022="","",Planilha1!F1022)</f>
        <v>0</v>
      </c>
      <c r="M1025" s="10" t="str">
        <f>IF(Planilha1!G1022="","",IF(Planilha1!G1022=0,"",Planilha1!G1022))</f>
        <v/>
      </c>
      <c r="N1025" s="5">
        <f t="shared" si="121"/>
        <v>1</v>
      </c>
      <c r="O1025" s="5">
        <f t="shared" si="122"/>
        <v>0</v>
      </c>
      <c r="P1025" s="5">
        <f t="shared" si="123"/>
        <v>0</v>
      </c>
      <c r="Q1025" s="5">
        <f t="shared" si="124"/>
        <v>2</v>
      </c>
      <c r="R1025" s="8">
        <f t="shared" si="125"/>
        <v>0</v>
      </c>
      <c r="S1025" s="8">
        <f t="shared" si="126"/>
        <v>0</v>
      </c>
      <c r="T1025" s="3" t="str">
        <f t="shared" si="127"/>
        <v/>
      </c>
      <c r="V1025" s="1" t="e">
        <f t="shared" si="128"/>
        <v>#VALUE!</v>
      </c>
    </row>
    <row r="1026" spans="8:22" x14ac:dyDescent="0.3">
      <c r="H1026" s="2" t="str">
        <f>IF(Planilha1!B1023="","",Planilha1!B1023)</f>
        <v>7:00p</v>
      </c>
      <c r="I1026" s="2" t="str">
        <f>IF(Planilha1!C1023="","",Planilha1!C1023)</f>
        <v>Houston Rockets</v>
      </c>
      <c r="J1026" s="2">
        <f>IF(Planilha1!D1023="","",Planilha1!D1023)</f>
        <v>0</v>
      </c>
      <c r="K1026" s="10" t="str">
        <f>IF(Planilha1!E1023="","",IF(Planilha1!E1023=0,"",Planilha1!E1023))</f>
        <v>Washington Wizards</v>
      </c>
      <c r="L1026" s="10">
        <f>IF(Planilha1!F1023="","",Planilha1!F1023)</f>
        <v>0</v>
      </c>
      <c r="M1026" s="10" t="str">
        <f>IF(Planilha1!G1023="","",IF(Planilha1!G1023=0,"",Planilha1!G1023))</f>
        <v/>
      </c>
      <c r="N1026" s="5">
        <f t="shared" si="121"/>
        <v>1</v>
      </c>
      <c r="O1026" s="5">
        <f t="shared" si="122"/>
        <v>0</v>
      </c>
      <c r="P1026" s="5">
        <f t="shared" si="123"/>
        <v>0</v>
      </c>
      <c r="Q1026" s="5">
        <f t="shared" si="124"/>
        <v>2</v>
      </c>
      <c r="R1026" s="8">
        <f t="shared" si="125"/>
        <v>0</v>
      </c>
      <c r="S1026" s="8">
        <f t="shared" si="126"/>
        <v>0</v>
      </c>
      <c r="T1026" s="3" t="str">
        <f t="shared" si="127"/>
        <v/>
      </c>
      <c r="V1026" s="1" t="e">
        <f t="shared" si="128"/>
        <v>#VALUE!</v>
      </c>
    </row>
    <row r="1027" spans="8:22" x14ac:dyDescent="0.3">
      <c r="H1027" s="2" t="str">
        <f>IF(Planilha1!B1024="","",Planilha1!B1024)</f>
        <v>7:30p</v>
      </c>
      <c r="I1027" s="2" t="str">
        <f>IF(Planilha1!C1024="","",Planilha1!C1024)</f>
        <v>New Orleans Pelicans</v>
      </c>
      <c r="J1027" s="2">
        <f>IF(Planilha1!D1024="","",Planilha1!D1024)</f>
        <v>0</v>
      </c>
      <c r="K1027" s="10" t="str">
        <f>IF(Planilha1!E1024="","",IF(Planilha1!E1024=0,"",Planilha1!E1024))</f>
        <v>Brooklyn Nets</v>
      </c>
      <c r="L1027" s="10">
        <f>IF(Planilha1!F1024="","",Planilha1!F1024)</f>
        <v>0</v>
      </c>
      <c r="M1027" s="10" t="str">
        <f>IF(Planilha1!G1024="","",IF(Planilha1!G1024=0,"",Planilha1!G1024))</f>
        <v/>
      </c>
      <c r="N1027" s="5">
        <f t="shared" si="121"/>
        <v>1</v>
      </c>
      <c r="O1027" s="5">
        <f t="shared" si="122"/>
        <v>0</v>
      </c>
      <c r="P1027" s="5">
        <f t="shared" si="123"/>
        <v>0</v>
      </c>
      <c r="Q1027" s="5">
        <f t="shared" si="124"/>
        <v>2</v>
      </c>
      <c r="R1027" s="8">
        <f t="shared" si="125"/>
        <v>0</v>
      </c>
      <c r="S1027" s="8">
        <f t="shared" si="126"/>
        <v>0</v>
      </c>
      <c r="T1027" s="3" t="str">
        <f t="shared" si="127"/>
        <v/>
      </c>
      <c r="V1027" s="1" t="e">
        <f t="shared" si="128"/>
        <v>#VALUE!</v>
      </c>
    </row>
    <row r="1028" spans="8:22" x14ac:dyDescent="0.3">
      <c r="H1028" s="2" t="str">
        <f>IF(Planilha1!B1025="","",Planilha1!B1025)</f>
        <v>8:00p</v>
      </c>
      <c r="I1028" s="2" t="str">
        <f>IF(Planilha1!C1025="","",Planilha1!C1025)</f>
        <v>Dallas Mavericks</v>
      </c>
      <c r="J1028" s="2">
        <f>IF(Planilha1!D1025="","",Planilha1!D1025)</f>
        <v>0</v>
      </c>
      <c r="K1028" s="10" t="str">
        <f>IF(Planilha1!E1025="","",IF(Planilha1!E1025=0,"",Planilha1!E1025))</f>
        <v>San Antonio Spurs</v>
      </c>
      <c r="L1028" s="10">
        <f>IF(Planilha1!F1025="","",Planilha1!F1025)</f>
        <v>0</v>
      </c>
      <c r="M1028" s="10" t="str">
        <f>IF(Planilha1!G1025="","",IF(Planilha1!G1025=0,"",Planilha1!G1025))</f>
        <v/>
      </c>
      <c r="N1028" s="5">
        <f t="shared" si="121"/>
        <v>1</v>
      </c>
      <c r="O1028" s="5">
        <f t="shared" si="122"/>
        <v>0</v>
      </c>
      <c r="P1028" s="5">
        <f t="shared" si="123"/>
        <v>0</v>
      </c>
      <c r="Q1028" s="5">
        <f t="shared" si="124"/>
        <v>2</v>
      </c>
      <c r="R1028" s="8">
        <f t="shared" si="125"/>
        <v>0</v>
      </c>
      <c r="S1028" s="8">
        <f t="shared" si="126"/>
        <v>0</v>
      </c>
      <c r="T1028" s="3" t="str">
        <f t="shared" si="127"/>
        <v/>
      </c>
      <c r="V1028" s="1" t="e">
        <f t="shared" si="128"/>
        <v>#VALUE!</v>
      </c>
    </row>
    <row r="1029" spans="8:22" x14ac:dyDescent="0.3">
      <c r="H1029" s="2" t="str">
        <f>IF(Planilha1!B1026="","",Planilha1!B1026)</f>
        <v>9:00p</v>
      </c>
      <c r="I1029" s="2" t="str">
        <f>IF(Planilha1!C1026="","",Planilha1!C1026)</f>
        <v>Denver Nuggets</v>
      </c>
      <c r="J1029" s="2">
        <f>IF(Planilha1!D1026="","",Planilha1!D1026)</f>
        <v>0</v>
      </c>
      <c r="K1029" s="10" t="str">
        <f>IF(Planilha1!E1026="","",IF(Planilha1!E1026=0,"",Planilha1!E1026))</f>
        <v>Minnesota Timberwolves</v>
      </c>
      <c r="L1029" s="10">
        <f>IF(Planilha1!F1026="","",Planilha1!F1026)</f>
        <v>0</v>
      </c>
      <c r="M1029" s="10" t="str">
        <f>IF(Planilha1!G1026="","",IF(Planilha1!G1026=0,"",Planilha1!G1026))</f>
        <v/>
      </c>
      <c r="N1029" s="5">
        <f t="shared" si="121"/>
        <v>1</v>
      </c>
      <c r="O1029" s="5">
        <f t="shared" si="122"/>
        <v>0</v>
      </c>
      <c r="P1029" s="5">
        <f t="shared" si="123"/>
        <v>0</v>
      </c>
      <c r="Q1029" s="5">
        <f t="shared" si="124"/>
        <v>2</v>
      </c>
      <c r="R1029" s="8">
        <f t="shared" si="125"/>
        <v>0</v>
      </c>
      <c r="S1029" s="8">
        <f t="shared" si="126"/>
        <v>0</v>
      </c>
      <c r="T1029" s="3" t="str">
        <f t="shared" si="127"/>
        <v/>
      </c>
      <c r="V1029" s="1" t="e">
        <f t="shared" si="128"/>
        <v>#VALUE!</v>
      </c>
    </row>
    <row r="1030" spans="8:22" x14ac:dyDescent="0.3">
      <c r="H1030" s="2" t="str">
        <f>IF(Planilha1!B1027="","",Planilha1!B1027)</f>
        <v>7:00p</v>
      </c>
      <c r="I1030" s="2" t="str">
        <f>IF(Planilha1!C1027="","",Planilha1!C1027)</f>
        <v>Miami Heat</v>
      </c>
      <c r="J1030" s="2">
        <f>IF(Planilha1!D1027="","",Planilha1!D1027)</f>
        <v>0</v>
      </c>
      <c r="K1030" s="10" t="str">
        <f>IF(Planilha1!E1027="","",IF(Planilha1!E1027=0,"",Planilha1!E1027))</f>
        <v>Cleveland Cavaliers</v>
      </c>
      <c r="L1030" s="10">
        <f>IF(Planilha1!F1027="","",Planilha1!F1027)</f>
        <v>0</v>
      </c>
      <c r="M1030" s="10" t="str">
        <f>IF(Planilha1!G1027="","",IF(Planilha1!G1027=0,"",Planilha1!G1027))</f>
        <v/>
      </c>
      <c r="N1030" s="5">
        <f t="shared" ref="N1030:N1093" si="129">IF(K1030="","",IF(K1030&gt;M1030,100%,0%))</f>
        <v>1</v>
      </c>
      <c r="O1030" s="5">
        <f t="shared" ref="O1030:O1093" si="130">IF(K1030="","",IF(K1030&lt;M1030,100%,0%))</f>
        <v>0</v>
      </c>
      <c r="P1030" s="5">
        <f t="shared" ref="P1030:P1093" si="131">IF(M1030="",IF(R1030&gt;S1030,2,0),IF(K1030&lt;M1030,2,0))</f>
        <v>0</v>
      </c>
      <c r="Q1030" s="5">
        <f t="shared" ref="Q1030:Q1093" si="132">IF(M1030="",IF(R1030&gt;S1030,0,2),IF(K1030&gt;M1030,2,0))</f>
        <v>2</v>
      </c>
      <c r="R1030" s="8">
        <f t="shared" ref="R1030:R1093" si="133">SUMIF($B:$B,J1030,$C:$C)+(SUMIF($B:$B,L1030,$F:$F))</f>
        <v>0</v>
      </c>
      <c r="S1030" s="8">
        <f t="shared" ref="S1030:S1093" si="134">SUMIF($B:$B,L1030,$E:$E)+(SUMIF($B:$B,J1030,$D:$D))</f>
        <v>0</v>
      </c>
      <c r="T1030" s="3" t="str">
        <f t="shared" ref="T1030:T1093" si="135">IF(M1030="","",(K1030-S1030)^2+(M1030-R1030)^2)</f>
        <v/>
      </c>
      <c r="V1030" s="1" t="e">
        <f t="shared" ref="V1030:V1093" si="136">IF(O1030="","",1/((M1030-K1030)/(R1030-S1030)))</f>
        <v>#VALUE!</v>
      </c>
    </row>
    <row r="1031" spans="8:22" x14ac:dyDescent="0.3">
      <c r="H1031" s="2" t="str">
        <f>IF(Planilha1!B1028="","",Planilha1!B1028)</f>
        <v>7:00p</v>
      </c>
      <c r="I1031" s="2" t="str">
        <f>IF(Planilha1!C1028="","",Planilha1!C1028)</f>
        <v>Indiana Pacers</v>
      </c>
      <c r="J1031" s="2">
        <f>IF(Planilha1!D1028="","",Planilha1!D1028)</f>
        <v>0</v>
      </c>
      <c r="K1031" s="10" t="str">
        <f>IF(Planilha1!E1028="","",IF(Planilha1!E1028=0,"",Planilha1!E1028))</f>
        <v>Detroit Pistons</v>
      </c>
      <c r="L1031" s="10">
        <f>IF(Planilha1!F1028="","",Planilha1!F1028)</f>
        <v>0</v>
      </c>
      <c r="M1031" s="10" t="str">
        <f>IF(Planilha1!G1028="","",IF(Planilha1!G1028=0,"",Planilha1!G1028))</f>
        <v/>
      </c>
      <c r="N1031" s="5">
        <f t="shared" si="129"/>
        <v>1</v>
      </c>
      <c r="O1031" s="5">
        <f t="shared" si="130"/>
        <v>0</v>
      </c>
      <c r="P1031" s="5">
        <f t="shared" si="131"/>
        <v>0</v>
      </c>
      <c r="Q1031" s="5">
        <f t="shared" si="132"/>
        <v>2</v>
      </c>
      <c r="R1031" s="8">
        <f t="shared" si="133"/>
        <v>0</v>
      </c>
      <c r="S1031" s="8">
        <f t="shared" si="134"/>
        <v>0</v>
      </c>
      <c r="T1031" s="3" t="str">
        <f t="shared" si="135"/>
        <v/>
      </c>
      <c r="V1031" s="1" t="e">
        <f t="shared" si="136"/>
        <v>#VALUE!</v>
      </c>
    </row>
    <row r="1032" spans="8:22" x14ac:dyDescent="0.3">
      <c r="H1032" s="2" t="str">
        <f>IF(Planilha1!B1029="","",Planilha1!B1029)</f>
        <v>7:30p</v>
      </c>
      <c r="I1032" s="2" t="str">
        <f>IF(Planilha1!C1029="","",Planilha1!C1029)</f>
        <v>Milwaukee Bucks</v>
      </c>
      <c r="J1032" s="2">
        <f>IF(Planilha1!D1029="","",Planilha1!D1029)</f>
        <v>0</v>
      </c>
      <c r="K1032" s="10" t="str">
        <f>IF(Planilha1!E1029="","",IF(Planilha1!E1029=0,"",Planilha1!E1029))</f>
        <v>Boston Celtics</v>
      </c>
      <c r="L1032" s="10">
        <f>IF(Planilha1!F1029="","",Planilha1!F1029)</f>
        <v>0</v>
      </c>
      <c r="M1032" s="10" t="str">
        <f>IF(Planilha1!G1029="","",IF(Planilha1!G1029=0,"",Planilha1!G1029))</f>
        <v/>
      </c>
      <c r="N1032" s="5">
        <f t="shared" si="129"/>
        <v>1</v>
      </c>
      <c r="O1032" s="5">
        <f t="shared" si="130"/>
        <v>0</v>
      </c>
      <c r="P1032" s="5">
        <f t="shared" si="131"/>
        <v>0</v>
      </c>
      <c r="Q1032" s="5">
        <f t="shared" si="132"/>
        <v>2</v>
      </c>
      <c r="R1032" s="8">
        <f t="shared" si="133"/>
        <v>0</v>
      </c>
      <c r="S1032" s="8">
        <f t="shared" si="134"/>
        <v>0</v>
      </c>
      <c r="T1032" s="3" t="str">
        <f t="shared" si="135"/>
        <v/>
      </c>
      <c r="V1032" s="1" t="e">
        <f t="shared" si="136"/>
        <v>#VALUE!</v>
      </c>
    </row>
    <row r="1033" spans="8:22" x14ac:dyDescent="0.3">
      <c r="H1033" s="2" t="str">
        <f>IF(Planilha1!B1030="","",Planilha1!B1030)</f>
        <v>7:30p</v>
      </c>
      <c r="I1033" s="2" t="str">
        <f>IF(Planilha1!C1030="","",Planilha1!C1030)</f>
        <v>Sacramento Kings</v>
      </c>
      <c r="J1033" s="2">
        <f>IF(Planilha1!D1030="","",Planilha1!D1030)</f>
        <v>0</v>
      </c>
      <c r="K1033" s="10" t="str">
        <f>IF(Planilha1!E1030="","",IF(Planilha1!E1030=0,"",Planilha1!E1030))</f>
        <v>Toronto Raptors</v>
      </c>
      <c r="L1033" s="10">
        <f>IF(Planilha1!F1030="","",Planilha1!F1030)</f>
        <v>0</v>
      </c>
      <c r="M1033" s="10" t="str">
        <f>IF(Planilha1!G1030="","",IF(Planilha1!G1030=0,"",Planilha1!G1030))</f>
        <v/>
      </c>
      <c r="N1033" s="5">
        <f t="shared" si="129"/>
        <v>1</v>
      </c>
      <c r="O1033" s="5">
        <f t="shared" si="130"/>
        <v>0</v>
      </c>
      <c r="P1033" s="5">
        <f t="shared" si="131"/>
        <v>0</v>
      </c>
      <c r="Q1033" s="5">
        <f t="shared" si="132"/>
        <v>2</v>
      </c>
      <c r="R1033" s="8">
        <f t="shared" si="133"/>
        <v>0</v>
      </c>
      <c r="S1033" s="8">
        <f t="shared" si="134"/>
        <v>0</v>
      </c>
      <c r="T1033" s="3" t="str">
        <f t="shared" si="135"/>
        <v/>
      </c>
      <c r="V1033" s="1" t="e">
        <f t="shared" si="136"/>
        <v>#VALUE!</v>
      </c>
    </row>
    <row r="1034" spans="8:22" x14ac:dyDescent="0.3">
      <c r="H1034" s="2" t="str">
        <f>IF(Planilha1!B1031="","",Planilha1!B1031)</f>
        <v>8:00p</v>
      </c>
      <c r="I1034" s="2" t="str">
        <f>IF(Planilha1!C1031="","",Planilha1!C1031)</f>
        <v>Utah Jazz</v>
      </c>
      <c r="J1034" s="2">
        <f>IF(Planilha1!D1031="","",Planilha1!D1031)</f>
        <v>0</v>
      </c>
      <c r="K1034" s="10" t="str">
        <f>IF(Planilha1!E1031="","",IF(Planilha1!E1031=0,"",Planilha1!E1031))</f>
        <v>Oklahoma City Thunder</v>
      </c>
      <c r="L1034" s="10">
        <f>IF(Planilha1!F1031="","",Planilha1!F1031)</f>
        <v>0</v>
      </c>
      <c r="M1034" s="10" t="str">
        <f>IF(Planilha1!G1031="","",IF(Planilha1!G1031=0,"",Planilha1!G1031))</f>
        <v/>
      </c>
      <c r="N1034" s="5">
        <f t="shared" si="129"/>
        <v>1</v>
      </c>
      <c r="O1034" s="5">
        <f t="shared" si="130"/>
        <v>0</v>
      </c>
      <c r="P1034" s="5">
        <f t="shared" si="131"/>
        <v>0</v>
      </c>
      <c r="Q1034" s="5">
        <f t="shared" si="132"/>
        <v>2</v>
      </c>
      <c r="R1034" s="8">
        <f t="shared" si="133"/>
        <v>0</v>
      </c>
      <c r="S1034" s="8">
        <f t="shared" si="134"/>
        <v>0</v>
      </c>
      <c r="T1034" s="3" t="str">
        <f t="shared" si="135"/>
        <v/>
      </c>
      <c r="V1034" s="1" t="e">
        <f t="shared" si="136"/>
        <v>#VALUE!</v>
      </c>
    </row>
    <row r="1035" spans="8:22" x14ac:dyDescent="0.3">
      <c r="H1035" s="2" t="str">
        <f>IF(Planilha1!B1032="","",Planilha1!B1032)</f>
        <v>10:00p</v>
      </c>
      <c r="I1035" s="2" t="str">
        <f>IF(Planilha1!C1032="","",Planilha1!C1032)</f>
        <v>Memphis Grizzlies</v>
      </c>
      <c r="J1035" s="2">
        <f>IF(Planilha1!D1032="","",Planilha1!D1032)</f>
        <v>0</v>
      </c>
      <c r="K1035" s="10" t="str">
        <f>IF(Planilha1!E1032="","",IF(Planilha1!E1032=0,"",Planilha1!E1032))</f>
        <v>Golden State Warriors</v>
      </c>
      <c r="L1035" s="10">
        <f>IF(Planilha1!F1032="","",Planilha1!F1032)</f>
        <v>0</v>
      </c>
      <c r="M1035" s="10" t="str">
        <f>IF(Planilha1!G1032="","",IF(Planilha1!G1032=0,"",Planilha1!G1032))</f>
        <v/>
      </c>
      <c r="N1035" s="5">
        <f t="shared" si="129"/>
        <v>1</v>
      </c>
      <c r="O1035" s="5">
        <f t="shared" si="130"/>
        <v>0</v>
      </c>
      <c r="P1035" s="5">
        <f t="shared" si="131"/>
        <v>0</v>
      </c>
      <c r="Q1035" s="5">
        <f t="shared" si="132"/>
        <v>2</v>
      </c>
      <c r="R1035" s="8">
        <f t="shared" si="133"/>
        <v>0</v>
      </c>
      <c r="S1035" s="8">
        <f t="shared" si="134"/>
        <v>0</v>
      </c>
      <c r="T1035" s="3" t="str">
        <f t="shared" si="135"/>
        <v/>
      </c>
      <c r="V1035" s="1" t="e">
        <f t="shared" si="136"/>
        <v>#VALUE!</v>
      </c>
    </row>
    <row r="1036" spans="8:22" x14ac:dyDescent="0.3">
      <c r="H1036" s="2" t="str">
        <f>IF(Planilha1!B1033="","",Planilha1!B1033)</f>
        <v>10:00p</v>
      </c>
      <c r="I1036" s="2" t="str">
        <f>IF(Planilha1!C1033="","",Planilha1!C1033)</f>
        <v>Philadelphia 76ers</v>
      </c>
      <c r="J1036" s="2">
        <f>IF(Planilha1!D1033="","",Planilha1!D1033)</f>
        <v>0</v>
      </c>
      <c r="K1036" s="10" t="str">
        <f>IF(Planilha1!E1033="","",IF(Planilha1!E1033=0,"",Planilha1!E1033))</f>
        <v>Phoenix Suns</v>
      </c>
      <c r="L1036" s="10">
        <f>IF(Planilha1!F1033="","",Planilha1!F1033)</f>
        <v>0</v>
      </c>
      <c r="M1036" s="10" t="str">
        <f>IF(Planilha1!G1033="","",IF(Planilha1!G1033=0,"",Planilha1!G1033))</f>
        <v/>
      </c>
      <c r="N1036" s="5">
        <f t="shared" si="129"/>
        <v>1</v>
      </c>
      <c r="O1036" s="5">
        <f t="shared" si="130"/>
        <v>0</v>
      </c>
      <c r="P1036" s="5">
        <f t="shared" si="131"/>
        <v>0</v>
      </c>
      <c r="Q1036" s="5">
        <f t="shared" si="132"/>
        <v>2</v>
      </c>
      <c r="R1036" s="8">
        <f t="shared" si="133"/>
        <v>0</v>
      </c>
      <c r="S1036" s="8">
        <f t="shared" si="134"/>
        <v>0</v>
      </c>
      <c r="T1036" s="3" t="str">
        <f t="shared" si="135"/>
        <v/>
      </c>
      <c r="V1036" s="1" t="e">
        <f t="shared" si="136"/>
        <v>#VALUE!</v>
      </c>
    </row>
    <row r="1037" spans="8:22" x14ac:dyDescent="0.3">
      <c r="H1037" s="2" t="str">
        <f>IF(Planilha1!B1034="","",Planilha1!B1034)</f>
        <v>10:00p</v>
      </c>
      <c r="I1037" s="2" t="str">
        <f>IF(Planilha1!C1034="","",Planilha1!C1034)</f>
        <v>Los Angeles Clippers</v>
      </c>
      <c r="J1037" s="2">
        <f>IF(Planilha1!D1034="","",Planilha1!D1034)</f>
        <v>0</v>
      </c>
      <c r="K1037" s="10" t="str">
        <f>IF(Planilha1!E1034="","",IF(Planilha1!E1034=0,"",Planilha1!E1034))</f>
        <v>Portland Trail Blazers</v>
      </c>
      <c r="L1037" s="10">
        <f>IF(Planilha1!F1034="","",Planilha1!F1034)</f>
        <v>0</v>
      </c>
      <c r="M1037" s="10" t="str">
        <f>IF(Planilha1!G1034="","",IF(Planilha1!G1034=0,"",Planilha1!G1034))</f>
        <v/>
      </c>
      <c r="N1037" s="5">
        <f t="shared" si="129"/>
        <v>1</v>
      </c>
      <c r="O1037" s="5">
        <f t="shared" si="130"/>
        <v>0</v>
      </c>
      <c r="P1037" s="5">
        <f t="shared" si="131"/>
        <v>0</v>
      </c>
      <c r="Q1037" s="5">
        <f t="shared" si="132"/>
        <v>2</v>
      </c>
      <c r="R1037" s="8">
        <f t="shared" si="133"/>
        <v>0</v>
      </c>
      <c r="S1037" s="8">
        <f t="shared" si="134"/>
        <v>0</v>
      </c>
      <c r="T1037" s="3" t="str">
        <f t="shared" si="135"/>
        <v/>
      </c>
      <c r="V1037" s="1" t="e">
        <f t="shared" si="136"/>
        <v>#VALUE!</v>
      </c>
    </row>
    <row r="1038" spans="8:22" x14ac:dyDescent="0.3">
      <c r="H1038" s="2" t="str">
        <f>IF(Planilha1!B1035="","",Planilha1!B1035)</f>
        <v>7:00p</v>
      </c>
      <c r="I1038" s="2" t="str">
        <f>IF(Planilha1!C1035="","",Planilha1!C1035)</f>
        <v>New Orleans Pelicans</v>
      </c>
      <c r="J1038" s="2">
        <f>IF(Planilha1!D1035="","",Planilha1!D1035)</f>
        <v>0</v>
      </c>
      <c r="K1038" s="10" t="str">
        <f>IF(Planilha1!E1035="","",IF(Planilha1!E1035=0,"",Planilha1!E1035))</f>
        <v>Orlando Magic</v>
      </c>
      <c r="L1038" s="10">
        <f>IF(Planilha1!F1035="","",Planilha1!F1035)</f>
        <v>0</v>
      </c>
      <c r="M1038" s="10" t="str">
        <f>IF(Planilha1!G1035="","",IF(Planilha1!G1035=0,"",Planilha1!G1035))</f>
        <v/>
      </c>
      <c r="N1038" s="5">
        <f t="shared" si="129"/>
        <v>1</v>
      </c>
      <c r="O1038" s="5">
        <f t="shared" si="130"/>
        <v>0</v>
      </c>
      <c r="P1038" s="5">
        <f t="shared" si="131"/>
        <v>0</v>
      </c>
      <c r="Q1038" s="5">
        <f t="shared" si="132"/>
        <v>2</v>
      </c>
      <c r="R1038" s="8">
        <f t="shared" si="133"/>
        <v>0</v>
      </c>
      <c r="S1038" s="8">
        <f t="shared" si="134"/>
        <v>0</v>
      </c>
      <c r="T1038" s="3" t="str">
        <f t="shared" si="135"/>
        <v/>
      </c>
      <c r="V1038" s="1" t="e">
        <f t="shared" si="136"/>
        <v>#VALUE!</v>
      </c>
    </row>
    <row r="1039" spans="8:22" x14ac:dyDescent="0.3">
      <c r="H1039" s="2" t="str">
        <f>IF(Planilha1!B1036="","",Planilha1!B1036)</f>
        <v>7:00p</v>
      </c>
      <c r="I1039" s="2" t="str">
        <f>IF(Planilha1!C1036="","",Planilha1!C1036)</f>
        <v>Sacramento Kings</v>
      </c>
      <c r="J1039" s="2">
        <f>IF(Planilha1!D1036="","",Planilha1!D1036)</f>
        <v>0</v>
      </c>
      <c r="K1039" s="10" t="str">
        <f>IF(Planilha1!E1036="","",IF(Planilha1!E1036=0,"",Planilha1!E1036))</f>
        <v>Washington Wizards</v>
      </c>
      <c r="L1039" s="10">
        <f>IF(Planilha1!F1036="","",Planilha1!F1036)</f>
        <v>0</v>
      </c>
      <c r="M1039" s="10" t="str">
        <f>IF(Planilha1!G1036="","",IF(Planilha1!G1036=0,"",Planilha1!G1036))</f>
        <v/>
      </c>
      <c r="N1039" s="5">
        <f t="shared" si="129"/>
        <v>1</v>
      </c>
      <c r="O1039" s="5">
        <f t="shared" si="130"/>
        <v>0</v>
      </c>
      <c r="P1039" s="5">
        <f t="shared" si="131"/>
        <v>0</v>
      </c>
      <c r="Q1039" s="5">
        <f t="shared" si="132"/>
        <v>2</v>
      </c>
      <c r="R1039" s="8">
        <f t="shared" si="133"/>
        <v>0</v>
      </c>
      <c r="S1039" s="8">
        <f t="shared" si="134"/>
        <v>0</v>
      </c>
      <c r="T1039" s="3" t="str">
        <f t="shared" si="135"/>
        <v/>
      </c>
      <c r="V1039" s="1" t="e">
        <f t="shared" si="136"/>
        <v>#VALUE!</v>
      </c>
    </row>
    <row r="1040" spans="8:22" x14ac:dyDescent="0.3">
      <c r="H1040" s="2" t="str">
        <f>IF(Planilha1!B1037="","",Planilha1!B1037)</f>
        <v>8:00p</v>
      </c>
      <c r="I1040" s="2" t="str">
        <f>IF(Planilha1!C1037="","",Planilha1!C1037)</f>
        <v>Chicago Bulls</v>
      </c>
      <c r="J1040" s="2">
        <f>IF(Planilha1!D1037="","",Planilha1!D1037)</f>
        <v>0</v>
      </c>
      <c r="K1040" s="10" t="str">
        <f>IF(Planilha1!E1037="","",IF(Planilha1!E1037=0,"",Planilha1!E1037))</f>
        <v>Houston Rockets</v>
      </c>
      <c r="L1040" s="10">
        <f>IF(Planilha1!F1037="","",Planilha1!F1037)</f>
        <v>0</v>
      </c>
      <c r="M1040" s="10" t="str">
        <f>IF(Planilha1!G1037="","",IF(Planilha1!G1037=0,"",Planilha1!G1037))</f>
        <v/>
      </c>
      <c r="N1040" s="5">
        <f t="shared" si="129"/>
        <v>1</v>
      </c>
      <c r="O1040" s="5">
        <f t="shared" si="130"/>
        <v>0</v>
      </c>
      <c r="P1040" s="5">
        <f t="shared" si="131"/>
        <v>0</v>
      </c>
      <c r="Q1040" s="5">
        <f t="shared" si="132"/>
        <v>2</v>
      </c>
      <c r="R1040" s="8">
        <f t="shared" si="133"/>
        <v>0</v>
      </c>
      <c r="S1040" s="8">
        <f t="shared" si="134"/>
        <v>0</v>
      </c>
      <c r="T1040" s="3" t="str">
        <f t="shared" si="135"/>
        <v/>
      </c>
      <c r="V1040" s="1" t="e">
        <f t="shared" si="136"/>
        <v>#VALUE!</v>
      </c>
    </row>
    <row r="1041" spans="8:22" x14ac:dyDescent="0.3">
      <c r="H1041" s="2" t="str">
        <f>IF(Planilha1!B1038="","",Planilha1!B1038)</f>
        <v>8:00p</v>
      </c>
      <c r="I1041" s="2" t="str">
        <f>IF(Planilha1!C1038="","",Planilha1!C1038)</f>
        <v>Brooklyn Nets</v>
      </c>
      <c r="J1041" s="2">
        <f>IF(Planilha1!D1038="","",Planilha1!D1038)</f>
        <v>0</v>
      </c>
      <c r="K1041" s="10" t="str">
        <f>IF(Planilha1!E1038="","",IF(Planilha1!E1038=0,"",Planilha1!E1038))</f>
        <v>Milwaukee Bucks</v>
      </c>
      <c r="L1041" s="10">
        <f>IF(Planilha1!F1038="","",Planilha1!F1038)</f>
        <v>0</v>
      </c>
      <c r="M1041" s="10" t="str">
        <f>IF(Planilha1!G1038="","",IF(Planilha1!G1038=0,"",Planilha1!G1038))</f>
        <v/>
      </c>
      <c r="N1041" s="5">
        <f t="shared" si="129"/>
        <v>1</v>
      </c>
      <c r="O1041" s="5">
        <f t="shared" si="130"/>
        <v>0</v>
      </c>
      <c r="P1041" s="5">
        <f t="shared" si="131"/>
        <v>0</v>
      </c>
      <c r="Q1041" s="5">
        <f t="shared" si="132"/>
        <v>2</v>
      </c>
      <c r="R1041" s="8">
        <f t="shared" si="133"/>
        <v>0</v>
      </c>
      <c r="S1041" s="8">
        <f t="shared" si="134"/>
        <v>0</v>
      </c>
      <c r="T1041" s="3" t="str">
        <f t="shared" si="135"/>
        <v/>
      </c>
      <c r="V1041" s="1" t="e">
        <f t="shared" si="136"/>
        <v>#VALUE!</v>
      </c>
    </row>
    <row r="1042" spans="8:22" x14ac:dyDescent="0.3">
      <c r="H1042" s="2" t="str">
        <f>IF(Planilha1!B1039="","",Planilha1!B1039)</f>
        <v>8:30p</v>
      </c>
      <c r="I1042" s="2" t="str">
        <f>IF(Planilha1!C1039="","",Planilha1!C1039)</f>
        <v>Utah Jazz</v>
      </c>
      <c r="J1042" s="2">
        <f>IF(Planilha1!D1039="","",Planilha1!D1039)</f>
        <v>0</v>
      </c>
      <c r="K1042" s="10" t="str">
        <f>IF(Planilha1!E1039="","",IF(Planilha1!E1039=0,"",Planilha1!E1039))</f>
        <v>Dallas Mavericks</v>
      </c>
      <c r="L1042" s="10">
        <f>IF(Planilha1!F1039="","",Planilha1!F1039)</f>
        <v>0</v>
      </c>
      <c r="M1042" s="10" t="str">
        <f>IF(Planilha1!G1039="","",IF(Planilha1!G1039=0,"",Planilha1!G1039))</f>
        <v/>
      </c>
      <c r="N1042" s="5">
        <f t="shared" si="129"/>
        <v>1</v>
      </c>
      <c r="O1042" s="5">
        <f t="shared" si="130"/>
        <v>0</v>
      </c>
      <c r="P1042" s="5">
        <f t="shared" si="131"/>
        <v>0</v>
      </c>
      <c r="Q1042" s="5">
        <f t="shared" si="132"/>
        <v>2</v>
      </c>
      <c r="R1042" s="8">
        <f t="shared" si="133"/>
        <v>0</v>
      </c>
      <c r="S1042" s="8">
        <f t="shared" si="134"/>
        <v>0</v>
      </c>
      <c r="T1042" s="3" t="str">
        <f t="shared" si="135"/>
        <v/>
      </c>
      <c r="V1042" s="1" t="e">
        <f t="shared" si="136"/>
        <v>#VALUE!</v>
      </c>
    </row>
    <row r="1043" spans="8:22" x14ac:dyDescent="0.3">
      <c r="H1043" s="2" t="str">
        <f>IF(Planilha1!B1040="","",Planilha1!B1040)</f>
        <v>9:00p</v>
      </c>
      <c r="I1043" s="2" t="str">
        <f>IF(Planilha1!C1040="","",Planilha1!C1040)</f>
        <v>New York Knicks</v>
      </c>
      <c r="J1043" s="2">
        <f>IF(Planilha1!D1040="","",Planilha1!D1040)</f>
        <v>0</v>
      </c>
      <c r="K1043" s="10" t="str">
        <f>IF(Planilha1!E1040="","",IF(Planilha1!E1040=0,"",Planilha1!E1040))</f>
        <v>Denver Nuggets</v>
      </c>
      <c r="L1043" s="10">
        <f>IF(Planilha1!F1040="","",Planilha1!F1040)</f>
        <v>0</v>
      </c>
      <c r="M1043" s="10" t="str">
        <f>IF(Planilha1!G1040="","",IF(Planilha1!G1040=0,"",Planilha1!G1040))</f>
        <v/>
      </c>
      <c r="N1043" s="5">
        <f t="shared" si="129"/>
        <v>1</v>
      </c>
      <c r="O1043" s="5">
        <f t="shared" si="130"/>
        <v>0</v>
      </c>
      <c r="P1043" s="5">
        <f t="shared" si="131"/>
        <v>0</v>
      </c>
      <c r="Q1043" s="5">
        <f t="shared" si="132"/>
        <v>2</v>
      </c>
      <c r="R1043" s="8">
        <f t="shared" si="133"/>
        <v>0</v>
      </c>
      <c r="S1043" s="8">
        <f t="shared" si="134"/>
        <v>0</v>
      </c>
      <c r="T1043" s="3" t="str">
        <f t="shared" si="135"/>
        <v/>
      </c>
      <c r="V1043" s="1" t="e">
        <f t="shared" si="136"/>
        <v>#VALUE!</v>
      </c>
    </row>
    <row r="1044" spans="8:22" x14ac:dyDescent="0.3">
      <c r="H1044" s="2" t="str">
        <f>IF(Planilha1!B1041="","",Planilha1!B1041)</f>
        <v>10:30p</v>
      </c>
      <c r="I1044" s="2" t="str">
        <f>IF(Planilha1!C1041="","",Planilha1!C1041)</f>
        <v>Atlanta Hawks</v>
      </c>
      <c r="J1044" s="2">
        <f>IF(Planilha1!D1041="","",Planilha1!D1041)</f>
        <v>0</v>
      </c>
      <c r="K1044" s="10" t="str">
        <f>IF(Planilha1!E1041="","",IF(Planilha1!E1041=0,"",Planilha1!E1041))</f>
        <v>Phoenix Suns</v>
      </c>
      <c r="L1044" s="10">
        <f>IF(Planilha1!F1041="","",Planilha1!F1041)</f>
        <v>0</v>
      </c>
      <c r="M1044" s="10" t="str">
        <f>IF(Planilha1!G1041="","",IF(Planilha1!G1041=0,"",Planilha1!G1041))</f>
        <v/>
      </c>
      <c r="N1044" s="5">
        <f t="shared" si="129"/>
        <v>1</v>
      </c>
      <c r="O1044" s="5">
        <f t="shared" si="130"/>
        <v>0</v>
      </c>
      <c r="P1044" s="5">
        <f t="shared" si="131"/>
        <v>0</v>
      </c>
      <c r="Q1044" s="5">
        <f t="shared" si="132"/>
        <v>2</v>
      </c>
      <c r="R1044" s="8">
        <f t="shared" si="133"/>
        <v>0</v>
      </c>
      <c r="S1044" s="8">
        <f t="shared" si="134"/>
        <v>0</v>
      </c>
      <c r="T1044" s="3" t="str">
        <f t="shared" si="135"/>
        <v/>
      </c>
      <c r="V1044" s="1" t="e">
        <f t="shared" si="136"/>
        <v>#VALUE!</v>
      </c>
    </row>
    <row r="1045" spans="8:22" x14ac:dyDescent="0.3">
      <c r="H1045" s="2" t="str">
        <f>IF(Planilha1!B1042="","",Planilha1!B1042)</f>
        <v>7:00p</v>
      </c>
      <c r="I1045" s="2" t="str">
        <f>IF(Planilha1!C1042="","",Planilha1!C1042)</f>
        <v>Boston Celtics</v>
      </c>
      <c r="J1045" s="2">
        <f>IF(Planilha1!D1042="","",Planilha1!D1042)</f>
        <v>0</v>
      </c>
      <c r="K1045" s="10" t="str">
        <f>IF(Planilha1!E1042="","",IF(Planilha1!E1042=0,"",Planilha1!E1042))</f>
        <v>Detroit Pistons</v>
      </c>
      <c r="L1045" s="10">
        <f>IF(Planilha1!F1042="","",Planilha1!F1042)</f>
        <v>0</v>
      </c>
      <c r="M1045" s="10" t="str">
        <f>IF(Planilha1!G1042="","",IF(Planilha1!G1042=0,"",Planilha1!G1042))</f>
        <v/>
      </c>
      <c r="N1045" s="5">
        <f t="shared" si="129"/>
        <v>1</v>
      </c>
      <c r="O1045" s="5">
        <f t="shared" si="130"/>
        <v>0</v>
      </c>
      <c r="P1045" s="5">
        <f t="shared" si="131"/>
        <v>0</v>
      </c>
      <c r="Q1045" s="5">
        <f t="shared" si="132"/>
        <v>2</v>
      </c>
      <c r="R1045" s="8">
        <f t="shared" si="133"/>
        <v>0</v>
      </c>
      <c r="S1045" s="8">
        <f t="shared" si="134"/>
        <v>0</v>
      </c>
      <c r="T1045" s="3" t="str">
        <f t="shared" si="135"/>
        <v/>
      </c>
      <c r="V1045" s="1" t="e">
        <f t="shared" si="136"/>
        <v>#VALUE!</v>
      </c>
    </row>
    <row r="1046" spans="8:22" x14ac:dyDescent="0.3">
      <c r="H1046" s="2" t="str">
        <f>IF(Planilha1!B1043="","",Planilha1!B1043)</f>
        <v>7:00p</v>
      </c>
      <c r="I1046" s="2" t="str">
        <f>IF(Planilha1!C1043="","",Planilha1!C1043)</f>
        <v>Oklahoma City Thunder</v>
      </c>
      <c r="J1046" s="2">
        <f>IF(Planilha1!D1043="","",Planilha1!D1043)</f>
        <v>0</v>
      </c>
      <c r="K1046" s="10" t="str">
        <f>IF(Planilha1!E1043="","",IF(Planilha1!E1043=0,"",Planilha1!E1043))</f>
        <v>Toronto Raptors</v>
      </c>
      <c r="L1046" s="10">
        <f>IF(Planilha1!F1043="","",Planilha1!F1043)</f>
        <v>0</v>
      </c>
      <c r="M1046" s="10" t="str">
        <f>IF(Planilha1!G1043="","",IF(Planilha1!G1043=0,"",Planilha1!G1043))</f>
        <v/>
      </c>
      <c r="N1046" s="5">
        <f t="shared" si="129"/>
        <v>1</v>
      </c>
      <c r="O1046" s="5">
        <f t="shared" si="130"/>
        <v>0</v>
      </c>
      <c r="P1046" s="5">
        <f t="shared" si="131"/>
        <v>0</v>
      </c>
      <c r="Q1046" s="5">
        <f t="shared" si="132"/>
        <v>2</v>
      </c>
      <c r="R1046" s="8">
        <f t="shared" si="133"/>
        <v>0</v>
      </c>
      <c r="S1046" s="8">
        <f t="shared" si="134"/>
        <v>0</v>
      </c>
      <c r="T1046" s="3" t="str">
        <f t="shared" si="135"/>
        <v/>
      </c>
      <c r="V1046" s="1" t="e">
        <f t="shared" si="136"/>
        <v>#VALUE!</v>
      </c>
    </row>
    <row r="1047" spans="8:22" x14ac:dyDescent="0.3">
      <c r="H1047" s="2" t="str">
        <f>IF(Planilha1!B1044="","",Planilha1!B1044)</f>
        <v>8:00p</v>
      </c>
      <c r="I1047" s="2" t="str">
        <f>IF(Planilha1!C1044="","",Planilha1!C1044)</f>
        <v>New Orleans Pelicans</v>
      </c>
      <c r="J1047" s="2">
        <f>IF(Planilha1!D1044="","",Planilha1!D1044)</f>
        <v>0</v>
      </c>
      <c r="K1047" s="10" t="str">
        <f>IF(Planilha1!E1044="","",IF(Planilha1!E1044=0,"",Planilha1!E1044))</f>
        <v>Miami Heat</v>
      </c>
      <c r="L1047" s="10">
        <f>IF(Planilha1!F1044="","",Planilha1!F1044)</f>
        <v>0</v>
      </c>
      <c r="M1047" s="10" t="str">
        <f>IF(Planilha1!G1044="","",IF(Planilha1!G1044=0,"",Planilha1!G1044))</f>
        <v/>
      </c>
      <c r="N1047" s="5">
        <f t="shared" si="129"/>
        <v>1</v>
      </c>
      <c r="O1047" s="5">
        <f t="shared" si="130"/>
        <v>0</v>
      </c>
      <c r="P1047" s="5">
        <f t="shared" si="131"/>
        <v>0</v>
      </c>
      <c r="Q1047" s="5">
        <f t="shared" si="132"/>
        <v>2</v>
      </c>
      <c r="R1047" s="8">
        <f t="shared" si="133"/>
        <v>0</v>
      </c>
      <c r="S1047" s="8">
        <f t="shared" si="134"/>
        <v>0</v>
      </c>
      <c r="T1047" s="3" t="str">
        <f t="shared" si="135"/>
        <v/>
      </c>
      <c r="V1047" s="1" t="e">
        <f t="shared" si="136"/>
        <v>#VALUE!</v>
      </c>
    </row>
    <row r="1048" spans="8:22" x14ac:dyDescent="0.3">
      <c r="H1048" s="2" t="str">
        <f>IF(Planilha1!B1045="","",Planilha1!B1045)</f>
        <v>8:00p</v>
      </c>
      <c r="I1048" s="2" t="str">
        <f>IF(Planilha1!C1045="","",Planilha1!C1045)</f>
        <v>Cleveland Cavaliers</v>
      </c>
      <c r="J1048" s="2">
        <f>IF(Planilha1!D1045="","",Planilha1!D1045)</f>
        <v>0</v>
      </c>
      <c r="K1048" s="10" t="str">
        <f>IF(Planilha1!E1045="","",IF(Planilha1!E1045=0,"",Planilha1!E1045))</f>
        <v>Minnesota Timberwolves</v>
      </c>
      <c r="L1048" s="10">
        <f>IF(Planilha1!F1045="","",Planilha1!F1045)</f>
        <v>0</v>
      </c>
      <c r="M1048" s="10" t="str">
        <f>IF(Planilha1!G1045="","",IF(Planilha1!G1045=0,"",Planilha1!G1045))</f>
        <v/>
      </c>
      <c r="N1048" s="5">
        <f t="shared" si="129"/>
        <v>1</v>
      </c>
      <c r="O1048" s="5">
        <f t="shared" si="130"/>
        <v>0</v>
      </c>
      <c r="P1048" s="5">
        <f t="shared" si="131"/>
        <v>0</v>
      </c>
      <c r="Q1048" s="5">
        <f t="shared" si="132"/>
        <v>2</v>
      </c>
      <c r="R1048" s="8">
        <f t="shared" si="133"/>
        <v>0</v>
      </c>
      <c r="S1048" s="8">
        <f t="shared" si="134"/>
        <v>0</v>
      </c>
      <c r="T1048" s="3" t="str">
        <f t="shared" si="135"/>
        <v/>
      </c>
      <c r="V1048" s="1" t="e">
        <f t="shared" si="136"/>
        <v>#VALUE!</v>
      </c>
    </row>
    <row r="1049" spans="8:22" x14ac:dyDescent="0.3">
      <c r="H1049" s="2" t="str">
        <f>IF(Planilha1!B1046="","",Planilha1!B1046)</f>
        <v>8:00p</v>
      </c>
      <c r="I1049" s="2" t="str">
        <f>IF(Planilha1!C1046="","",Planilha1!C1046)</f>
        <v>Memphis Grizzlies</v>
      </c>
      <c r="J1049" s="2">
        <f>IF(Planilha1!D1046="","",Planilha1!D1046)</f>
        <v>0</v>
      </c>
      <c r="K1049" s="10" t="str">
        <f>IF(Planilha1!E1046="","",IF(Planilha1!E1046=0,"",Planilha1!E1046))</f>
        <v>San Antonio Spurs</v>
      </c>
      <c r="L1049" s="10">
        <f>IF(Planilha1!F1046="","",Planilha1!F1046)</f>
        <v>0</v>
      </c>
      <c r="M1049" s="10" t="str">
        <f>IF(Planilha1!G1046="","",IF(Planilha1!G1046=0,"",Planilha1!G1046))</f>
        <v/>
      </c>
      <c r="N1049" s="5">
        <f t="shared" si="129"/>
        <v>1</v>
      </c>
      <c r="O1049" s="5">
        <f t="shared" si="130"/>
        <v>0</v>
      </c>
      <c r="P1049" s="5">
        <f t="shared" si="131"/>
        <v>0</v>
      </c>
      <c r="Q1049" s="5">
        <f t="shared" si="132"/>
        <v>2</v>
      </c>
      <c r="R1049" s="8">
        <f t="shared" si="133"/>
        <v>0</v>
      </c>
      <c r="S1049" s="8">
        <f t="shared" si="134"/>
        <v>0</v>
      </c>
      <c r="T1049" s="3" t="str">
        <f t="shared" si="135"/>
        <v/>
      </c>
      <c r="V1049" s="1" t="e">
        <f t="shared" si="136"/>
        <v>#VALUE!</v>
      </c>
    </row>
    <row r="1050" spans="8:22" x14ac:dyDescent="0.3">
      <c r="H1050" s="2" t="str">
        <f>IF(Planilha1!B1047="","",Planilha1!B1047)</f>
        <v>10:00p</v>
      </c>
      <c r="I1050" s="2" t="str">
        <f>IF(Planilha1!C1047="","",Planilha1!C1047)</f>
        <v>Indiana Pacers</v>
      </c>
      <c r="J1050" s="2">
        <f>IF(Planilha1!D1047="","",Planilha1!D1047)</f>
        <v>0</v>
      </c>
      <c r="K1050" s="10" t="str">
        <f>IF(Planilha1!E1047="","",IF(Planilha1!E1047=0,"",Planilha1!E1047))</f>
        <v>Golden State Warriors</v>
      </c>
      <c r="L1050" s="10">
        <f>IF(Planilha1!F1047="","",Planilha1!F1047)</f>
        <v>0</v>
      </c>
      <c r="M1050" s="10" t="str">
        <f>IF(Planilha1!G1047="","",IF(Planilha1!G1047=0,"",Planilha1!G1047))</f>
        <v/>
      </c>
      <c r="N1050" s="5">
        <f t="shared" si="129"/>
        <v>1</v>
      </c>
      <c r="O1050" s="5">
        <f t="shared" si="130"/>
        <v>0</v>
      </c>
      <c r="P1050" s="5">
        <f t="shared" si="131"/>
        <v>0</v>
      </c>
      <c r="Q1050" s="5">
        <f t="shared" si="132"/>
        <v>2</v>
      </c>
      <c r="R1050" s="8">
        <f t="shared" si="133"/>
        <v>0</v>
      </c>
      <c r="S1050" s="8">
        <f t="shared" si="134"/>
        <v>0</v>
      </c>
      <c r="T1050" s="3" t="str">
        <f t="shared" si="135"/>
        <v/>
      </c>
      <c r="V1050" s="1" t="e">
        <f t="shared" si="136"/>
        <v>#VALUE!</v>
      </c>
    </row>
    <row r="1051" spans="8:22" x14ac:dyDescent="0.3">
      <c r="H1051" s="2" t="str">
        <f>IF(Planilha1!B1048="","",Planilha1!B1048)</f>
        <v>10:00p</v>
      </c>
      <c r="I1051" s="2" t="str">
        <f>IF(Planilha1!C1048="","",Planilha1!C1048)</f>
        <v>Los Angeles Clippers</v>
      </c>
      <c r="J1051" s="2">
        <f>IF(Planilha1!D1048="","",Planilha1!D1048)</f>
        <v>0</v>
      </c>
      <c r="K1051" s="10" t="str">
        <f>IF(Planilha1!E1048="","",IF(Planilha1!E1048=0,"",Planilha1!E1048))</f>
        <v>Portland Trail Blazers</v>
      </c>
      <c r="L1051" s="10">
        <f>IF(Planilha1!F1048="","",Planilha1!F1048)</f>
        <v>0</v>
      </c>
      <c r="M1051" s="10" t="str">
        <f>IF(Planilha1!G1048="","",IF(Planilha1!G1048=0,"",Planilha1!G1048))</f>
        <v/>
      </c>
      <c r="N1051" s="5">
        <f t="shared" si="129"/>
        <v>1</v>
      </c>
      <c r="O1051" s="5">
        <f t="shared" si="130"/>
        <v>0</v>
      </c>
      <c r="P1051" s="5">
        <f t="shared" si="131"/>
        <v>0</v>
      </c>
      <c r="Q1051" s="5">
        <f t="shared" si="132"/>
        <v>2</v>
      </c>
      <c r="R1051" s="8">
        <f t="shared" si="133"/>
        <v>0</v>
      </c>
      <c r="S1051" s="8">
        <f t="shared" si="134"/>
        <v>0</v>
      </c>
      <c r="T1051" s="3" t="str">
        <f t="shared" si="135"/>
        <v/>
      </c>
      <c r="V1051" s="1" t="e">
        <f t="shared" si="136"/>
        <v>#VALUE!</v>
      </c>
    </row>
    <row r="1052" spans="8:22" x14ac:dyDescent="0.3">
      <c r="H1052" s="2" t="str">
        <f>IF(Planilha1!B1049="","",Planilha1!B1049)</f>
        <v>10:30p</v>
      </c>
      <c r="I1052" s="2" t="str">
        <f>IF(Planilha1!C1049="","",Planilha1!C1049)</f>
        <v>Philadelphia 76ers</v>
      </c>
      <c r="J1052" s="2">
        <f>IF(Planilha1!D1049="","",Planilha1!D1049)</f>
        <v>0</v>
      </c>
      <c r="K1052" s="10" t="str">
        <f>IF(Planilha1!E1049="","",IF(Planilha1!E1049=0,"",Planilha1!E1049))</f>
        <v>Los Angeles Lakers</v>
      </c>
      <c r="L1052" s="10">
        <f>IF(Planilha1!F1049="","",Planilha1!F1049)</f>
        <v>0</v>
      </c>
      <c r="M1052" s="10" t="str">
        <f>IF(Planilha1!G1049="","",IF(Planilha1!G1049=0,"",Planilha1!G1049))</f>
        <v/>
      </c>
      <c r="N1052" s="5">
        <f t="shared" si="129"/>
        <v>1</v>
      </c>
      <c r="O1052" s="5">
        <f t="shared" si="130"/>
        <v>0</v>
      </c>
      <c r="P1052" s="5">
        <f t="shared" si="131"/>
        <v>0</v>
      </c>
      <c r="Q1052" s="5">
        <f t="shared" si="132"/>
        <v>2</v>
      </c>
      <c r="R1052" s="8">
        <f t="shared" si="133"/>
        <v>0</v>
      </c>
      <c r="S1052" s="8">
        <f t="shared" si="134"/>
        <v>0</v>
      </c>
      <c r="T1052" s="3" t="str">
        <f t="shared" si="135"/>
        <v/>
      </c>
      <c r="V1052" s="1" t="e">
        <f t="shared" si="136"/>
        <v>#VALUE!</v>
      </c>
    </row>
    <row r="1053" spans="8:22" x14ac:dyDescent="0.3">
      <c r="H1053" s="2" t="str">
        <f>IF(Planilha1!B1050="","",Planilha1!B1050)</f>
        <v>1:00p</v>
      </c>
      <c r="I1053" s="2" t="str">
        <f>IF(Planilha1!C1050="","",Planilha1!C1050)</f>
        <v>Brooklyn Nets</v>
      </c>
      <c r="J1053" s="2">
        <f>IF(Planilha1!D1050="","",Planilha1!D1050)</f>
        <v>0</v>
      </c>
      <c r="K1053" s="10" t="str">
        <f>IF(Planilha1!E1050="","",IF(Planilha1!E1050=0,"",Planilha1!E1050))</f>
        <v>New York Knicks</v>
      </c>
      <c r="L1053" s="10">
        <f>IF(Planilha1!F1050="","",Planilha1!F1050)</f>
        <v>0</v>
      </c>
      <c r="M1053" s="10" t="str">
        <f>IF(Planilha1!G1050="","",IF(Planilha1!G1050=0,"",Planilha1!G1050))</f>
        <v/>
      </c>
      <c r="N1053" s="5">
        <f t="shared" si="129"/>
        <v>1</v>
      </c>
      <c r="O1053" s="5">
        <f t="shared" si="130"/>
        <v>0</v>
      </c>
      <c r="P1053" s="5">
        <f t="shared" si="131"/>
        <v>0</v>
      </c>
      <c r="Q1053" s="5">
        <f t="shared" si="132"/>
        <v>2</v>
      </c>
      <c r="R1053" s="8">
        <f t="shared" si="133"/>
        <v>0</v>
      </c>
      <c r="S1053" s="8">
        <f t="shared" si="134"/>
        <v>0</v>
      </c>
      <c r="T1053" s="3" t="str">
        <f t="shared" si="135"/>
        <v/>
      </c>
      <c r="V1053" s="1" t="e">
        <f t="shared" si="136"/>
        <v>#VALUE!</v>
      </c>
    </row>
    <row r="1054" spans="8:22" x14ac:dyDescent="0.3">
      <c r="H1054" s="2" t="str">
        <f>IF(Planilha1!B1051="","",Planilha1!B1051)</f>
        <v>7:00p</v>
      </c>
      <c r="I1054" s="2" t="str">
        <f>IF(Planilha1!C1051="","",Planilha1!C1051)</f>
        <v>Sacramento Kings</v>
      </c>
      <c r="J1054" s="2">
        <f>IF(Planilha1!D1051="","",Planilha1!D1051)</f>
        <v>0</v>
      </c>
      <c r="K1054" s="10" t="str">
        <f>IF(Planilha1!E1051="","",IF(Planilha1!E1051=0,"",Planilha1!E1051))</f>
        <v>Orlando Magic</v>
      </c>
      <c r="L1054" s="10">
        <f>IF(Planilha1!F1051="","",Planilha1!F1051)</f>
        <v>0</v>
      </c>
      <c r="M1054" s="10" t="str">
        <f>IF(Planilha1!G1051="","",IF(Planilha1!G1051=0,"",Planilha1!G1051))</f>
        <v/>
      </c>
      <c r="N1054" s="5">
        <f t="shared" si="129"/>
        <v>1</v>
      </c>
      <c r="O1054" s="5">
        <f t="shared" si="130"/>
        <v>0</v>
      </c>
      <c r="P1054" s="5">
        <f t="shared" si="131"/>
        <v>0</v>
      </c>
      <c r="Q1054" s="5">
        <f t="shared" si="132"/>
        <v>2</v>
      </c>
      <c r="R1054" s="8">
        <f t="shared" si="133"/>
        <v>0</v>
      </c>
      <c r="S1054" s="8">
        <f t="shared" si="134"/>
        <v>0</v>
      </c>
      <c r="T1054" s="3" t="str">
        <f t="shared" si="135"/>
        <v/>
      </c>
      <c r="V1054" s="1" t="e">
        <f t="shared" si="136"/>
        <v>#VALUE!</v>
      </c>
    </row>
    <row r="1055" spans="8:22" x14ac:dyDescent="0.3">
      <c r="H1055" s="2" t="str">
        <f>IF(Planilha1!B1052="","",Planilha1!B1052)</f>
        <v>7:30p</v>
      </c>
      <c r="I1055" s="2" t="str">
        <f>IF(Planilha1!C1052="","",Planilha1!C1052)</f>
        <v>Charlotte Hornets</v>
      </c>
      <c r="J1055" s="2">
        <f>IF(Planilha1!D1052="","",Planilha1!D1052)</f>
        <v>0</v>
      </c>
      <c r="K1055" s="10" t="str">
        <f>IF(Planilha1!E1052="","",IF(Planilha1!E1052=0,"",Planilha1!E1052))</f>
        <v>Atlanta Hawks</v>
      </c>
      <c r="L1055" s="10">
        <f>IF(Planilha1!F1052="","",Planilha1!F1052)</f>
        <v>0</v>
      </c>
      <c r="M1055" s="10" t="str">
        <f>IF(Planilha1!G1052="","",IF(Planilha1!G1052=0,"",Planilha1!G1052))</f>
        <v/>
      </c>
      <c r="N1055" s="5">
        <f t="shared" si="129"/>
        <v>1</v>
      </c>
      <c r="O1055" s="5">
        <f t="shared" si="130"/>
        <v>0</v>
      </c>
      <c r="P1055" s="5">
        <f t="shared" si="131"/>
        <v>0</v>
      </c>
      <c r="Q1055" s="5">
        <f t="shared" si="132"/>
        <v>2</v>
      </c>
      <c r="R1055" s="8">
        <f t="shared" si="133"/>
        <v>0</v>
      </c>
      <c r="S1055" s="8">
        <f t="shared" si="134"/>
        <v>0</v>
      </c>
      <c r="T1055" s="3" t="str">
        <f t="shared" si="135"/>
        <v/>
      </c>
      <c r="V1055" s="1" t="e">
        <f t="shared" si="136"/>
        <v>#VALUE!</v>
      </c>
    </row>
    <row r="1056" spans="8:22" x14ac:dyDescent="0.3">
      <c r="H1056" s="2" t="str">
        <f>IF(Planilha1!B1053="","",Planilha1!B1053)</f>
        <v>8:00p</v>
      </c>
      <c r="I1056" s="2" t="str">
        <f>IF(Planilha1!C1053="","",Planilha1!C1053)</f>
        <v>Boston Celtics</v>
      </c>
      <c r="J1056" s="2">
        <f>IF(Planilha1!D1053="","",Planilha1!D1053)</f>
        <v>0</v>
      </c>
      <c r="K1056" s="10" t="str">
        <f>IF(Planilha1!E1053="","",IF(Planilha1!E1053=0,"",Planilha1!E1053))</f>
        <v>Chicago Bulls</v>
      </c>
      <c r="L1056" s="10">
        <f>IF(Planilha1!F1053="","",Planilha1!F1053)</f>
        <v>0</v>
      </c>
      <c r="M1056" s="10" t="str">
        <f>IF(Planilha1!G1053="","",IF(Planilha1!G1053=0,"",Planilha1!G1053))</f>
        <v/>
      </c>
      <c r="N1056" s="5">
        <f t="shared" si="129"/>
        <v>1</v>
      </c>
      <c r="O1056" s="5">
        <f t="shared" si="130"/>
        <v>0</v>
      </c>
      <c r="P1056" s="5">
        <f t="shared" si="131"/>
        <v>0</v>
      </c>
      <c r="Q1056" s="5">
        <f t="shared" si="132"/>
        <v>2</v>
      </c>
      <c r="R1056" s="8">
        <f t="shared" si="133"/>
        <v>0</v>
      </c>
      <c r="S1056" s="8">
        <f t="shared" si="134"/>
        <v>0</v>
      </c>
      <c r="T1056" s="3" t="str">
        <f t="shared" si="135"/>
        <v/>
      </c>
      <c r="V1056" s="1" t="e">
        <f t="shared" si="136"/>
        <v>#VALUE!</v>
      </c>
    </row>
    <row r="1057" spans="8:22" x14ac:dyDescent="0.3">
      <c r="H1057" s="2" t="str">
        <f>IF(Planilha1!B1054="","",Planilha1!B1054)</f>
        <v>8:00p</v>
      </c>
      <c r="I1057" s="2" t="str">
        <f>IF(Planilha1!C1054="","",Planilha1!C1054)</f>
        <v>Utah Jazz</v>
      </c>
      <c r="J1057" s="2">
        <f>IF(Planilha1!D1054="","",Planilha1!D1054)</f>
        <v>0</v>
      </c>
      <c r="K1057" s="10" t="str">
        <f>IF(Planilha1!E1054="","",IF(Planilha1!E1054=0,"",Planilha1!E1054))</f>
        <v>Houston Rockets</v>
      </c>
      <c r="L1057" s="10">
        <f>IF(Planilha1!F1054="","",Planilha1!F1054)</f>
        <v>0</v>
      </c>
      <c r="M1057" s="10" t="str">
        <f>IF(Planilha1!G1054="","",IF(Planilha1!G1054=0,"",Planilha1!G1054))</f>
        <v/>
      </c>
      <c r="N1057" s="5">
        <f t="shared" si="129"/>
        <v>1</v>
      </c>
      <c r="O1057" s="5">
        <f t="shared" si="130"/>
        <v>0</v>
      </c>
      <c r="P1057" s="5">
        <f t="shared" si="131"/>
        <v>0</v>
      </c>
      <c r="Q1057" s="5">
        <f t="shared" si="132"/>
        <v>2</v>
      </c>
      <c r="R1057" s="8">
        <f t="shared" si="133"/>
        <v>0</v>
      </c>
      <c r="S1057" s="8">
        <f t="shared" si="134"/>
        <v>0</v>
      </c>
      <c r="T1057" s="3" t="str">
        <f t="shared" si="135"/>
        <v/>
      </c>
      <c r="V1057" s="1" t="e">
        <f t="shared" si="136"/>
        <v>#VALUE!</v>
      </c>
    </row>
    <row r="1058" spans="8:22" x14ac:dyDescent="0.3">
      <c r="H1058" s="2" t="str">
        <f>IF(Planilha1!B1055="","",Planilha1!B1055)</f>
        <v>8:00p</v>
      </c>
      <c r="I1058" s="2" t="str">
        <f>IF(Planilha1!C1055="","",Planilha1!C1055)</f>
        <v>Phoenix Suns</v>
      </c>
      <c r="J1058" s="2">
        <f>IF(Planilha1!D1055="","",Planilha1!D1055)</f>
        <v>0</v>
      </c>
      <c r="K1058" s="10" t="str">
        <f>IF(Planilha1!E1055="","",IF(Planilha1!E1055=0,"",Planilha1!E1055))</f>
        <v>San Antonio Spurs</v>
      </c>
      <c r="L1058" s="10">
        <f>IF(Planilha1!F1055="","",Planilha1!F1055)</f>
        <v>0</v>
      </c>
      <c r="M1058" s="10" t="str">
        <f>IF(Planilha1!G1055="","",IF(Planilha1!G1055=0,"",Planilha1!G1055))</f>
        <v/>
      </c>
      <c r="N1058" s="5">
        <f t="shared" si="129"/>
        <v>1</v>
      </c>
      <c r="O1058" s="5">
        <f t="shared" si="130"/>
        <v>0</v>
      </c>
      <c r="P1058" s="5">
        <f t="shared" si="131"/>
        <v>0</v>
      </c>
      <c r="Q1058" s="5">
        <f t="shared" si="132"/>
        <v>2</v>
      </c>
      <c r="R1058" s="8">
        <f t="shared" si="133"/>
        <v>0</v>
      </c>
      <c r="S1058" s="8">
        <f t="shared" si="134"/>
        <v>0</v>
      </c>
      <c r="T1058" s="3" t="str">
        <f t="shared" si="135"/>
        <v/>
      </c>
      <c r="V1058" s="1" t="e">
        <f t="shared" si="136"/>
        <v>#VALUE!</v>
      </c>
    </row>
    <row r="1059" spans="8:22" x14ac:dyDescent="0.3">
      <c r="H1059" s="2" t="str">
        <f>IF(Planilha1!B1056="","",Planilha1!B1056)</f>
        <v>8:00p</v>
      </c>
      <c r="I1059" s="2" t="str">
        <f>IF(Planilha1!C1056="","",Planilha1!C1056)</f>
        <v>Toronto Raptors</v>
      </c>
      <c r="J1059" s="2">
        <f>IF(Planilha1!D1056="","",Planilha1!D1056)</f>
        <v>0</v>
      </c>
      <c r="K1059" s="10" t="str">
        <f>IF(Planilha1!E1056="","",IF(Planilha1!E1056=0,"",Planilha1!E1056))</f>
        <v>Washington Wizards</v>
      </c>
      <c r="L1059" s="10">
        <f>IF(Planilha1!F1056="","",Planilha1!F1056)</f>
        <v>0</v>
      </c>
      <c r="M1059" s="10" t="str">
        <f>IF(Planilha1!G1056="","",IF(Planilha1!G1056=0,"",Planilha1!G1056))</f>
        <v/>
      </c>
      <c r="N1059" s="5">
        <f t="shared" si="129"/>
        <v>1</v>
      </c>
      <c r="O1059" s="5">
        <f t="shared" si="130"/>
        <v>0</v>
      </c>
      <c r="P1059" s="5">
        <f t="shared" si="131"/>
        <v>0</v>
      </c>
      <c r="Q1059" s="5">
        <f t="shared" si="132"/>
        <v>2</v>
      </c>
      <c r="R1059" s="8">
        <f t="shared" si="133"/>
        <v>0</v>
      </c>
      <c r="S1059" s="8">
        <f t="shared" si="134"/>
        <v>0</v>
      </c>
      <c r="T1059" s="3" t="str">
        <f t="shared" si="135"/>
        <v/>
      </c>
      <c r="V1059" s="1" t="e">
        <f t="shared" si="136"/>
        <v>#VALUE!</v>
      </c>
    </row>
    <row r="1060" spans="8:22" x14ac:dyDescent="0.3">
      <c r="H1060" s="2" t="str">
        <f>IF(Planilha1!B1057="","",Planilha1!B1057)</f>
        <v>10:00p</v>
      </c>
      <c r="I1060" s="2" t="str">
        <f>IF(Planilha1!C1057="","",Planilha1!C1057)</f>
        <v>Denver Nuggets</v>
      </c>
      <c r="J1060" s="2">
        <f>IF(Planilha1!D1057="","",Planilha1!D1057)</f>
        <v>0</v>
      </c>
      <c r="K1060" s="10" t="str">
        <f>IF(Planilha1!E1057="","",IF(Planilha1!E1057=0,"",Planilha1!E1057))</f>
        <v>Portland Trail Blazers</v>
      </c>
      <c r="L1060" s="10">
        <f>IF(Planilha1!F1057="","",Planilha1!F1057)</f>
        <v>0</v>
      </c>
      <c r="M1060" s="10" t="str">
        <f>IF(Planilha1!G1057="","",IF(Planilha1!G1057=0,"",Planilha1!G1057))</f>
        <v/>
      </c>
      <c r="N1060" s="5">
        <f t="shared" si="129"/>
        <v>1</v>
      </c>
      <c r="O1060" s="5">
        <f t="shared" si="130"/>
        <v>0</v>
      </c>
      <c r="P1060" s="5">
        <f t="shared" si="131"/>
        <v>0</v>
      </c>
      <c r="Q1060" s="5">
        <f t="shared" si="132"/>
        <v>2</v>
      </c>
      <c r="R1060" s="8">
        <f t="shared" si="133"/>
        <v>0</v>
      </c>
      <c r="S1060" s="8">
        <f t="shared" si="134"/>
        <v>0</v>
      </c>
      <c r="T1060" s="3" t="str">
        <f t="shared" si="135"/>
        <v/>
      </c>
      <c r="V1060" s="1" t="e">
        <f t="shared" si="136"/>
        <v>#VALUE!</v>
      </c>
    </row>
    <row r="1061" spans="8:22" x14ac:dyDescent="0.3">
      <c r="H1061" s="2" t="str">
        <f>IF(Planilha1!B1058="","",Planilha1!B1058)</f>
        <v>3:00p</v>
      </c>
      <c r="I1061" s="2" t="str">
        <f>IF(Planilha1!C1058="","",Planilha1!C1058)</f>
        <v>New Orleans Pelicans</v>
      </c>
      <c r="J1061" s="2">
        <f>IF(Planilha1!D1058="","",Planilha1!D1058)</f>
        <v>0</v>
      </c>
      <c r="K1061" s="10" t="str">
        <f>IF(Planilha1!E1058="","",IF(Planilha1!E1058=0,"",Planilha1!E1058))</f>
        <v>Detroit Pistons</v>
      </c>
      <c r="L1061" s="10">
        <f>IF(Planilha1!F1058="","",Planilha1!F1058)</f>
        <v>0</v>
      </c>
      <c r="M1061" s="10" t="str">
        <f>IF(Planilha1!G1058="","",IF(Planilha1!G1058=0,"",Planilha1!G1058))</f>
        <v/>
      </c>
      <c r="N1061" s="5">
        <f t="shared" si="129"/>
        <v>1</v>
      </c>
      <c r="O1061" s="5">
        <f t="shared" si="130"/>
        <v>0</v>
      </c>
      <c r="P1061" s="5">
        <f t="shared" si="131"/>
        <v>0</v>
      </c>
      <c r="Q1061" s="5">
        <f t="shared" si="132"/>
        <v>2</v>
      </c>
      <c r="R1061" s="8">
        <f t="shared" si="133"/>
        <v>0</v>
      </c>
      <c r="S1061" s="8">
        <f t="shared" si="134"/>
        <v>0</v>
      </c>
      <c r="T1061" s="3" t="str">
        <f t="shared" si="135"/>
        <v/>
      </c>
      <c r="V1061" s="1" t="e">
        <f t="shared" si="136"/>
        <v>#VALUE!</v>
      </c>
    </row>
    <row r="1062" spans="8:22" x14ac:dyDescent="0.3">
      <c r="H1062" s="2" t="str">
        <f>IF(Planilha1!B1059="","",Planilha1!B1059)</f>
        <v>3:30p</v>
      </c>
      <c r="I1062" s="2" t="str">
        <f>IF(Planilha1!C1059="","",Planilha1!C1059)</f>
        <v>Philadelphia 76ers</v>
      </c>
      <c r="J1062" s="2">
        <f>IF(Planilha1!D1059="","",Planilha1!D1059)</f>
        <v>0</v>
      </c>
      <c r="K1062" s="10" t="str">
        <f>IF(Planilha1!E1059="","",IF(Planilha1!E1059=0,"",Planilha1!E1059))</f>
        <v>Los Angeles Clippers</v>
      </c>
      <c r="L1062" s="10">
        <f>IF(Planilha1!F1059="","",Planilha1!F1059)</f>
        <v>0</v>
      </c>
      <c r="M1062" s="10" t="str">
        <f>IF(Planilha1!G1059="","",IF(Planilha1!G1059=0,"",Planilha1!G1059))</f>
        <v/>
      </c>
      <c r="N1062" s="5">
        <f t="shared" si="129"/>
        <v>1</v>
      </c>
      <c r="O1062" s="5">
        <f t="shared" si="130"/>
        <v>0</v>
      </c>
      <c r="P1062" s="5">
        <f t="shared" si="131"/>
        <v>0</v>
      </c>
      <c r="Q1062" s="5">
        <f t="shared" si="132"/>
        <v>2</v>
      </c>
      <c r="R1062" s="8">
        <f t="shared" si="133"/>
        <v>0</v>
      </c>
      <c r="S1062" s="8">
        <f t="shared" si="134"/>
        <v>0</v>
      </c>
      <c r="T1062" s="3" t="str">
        <f t="shared" si="135"/>
        <v/>
      </c>
      <c r="V1062" s="1" t="e">
        <f t="shared" si="136"/>
        <v>#VALUE!</v>
      </c>
    </row>
    <row r="1063" spans="8:22" x14ac:dyDescent="0.3">
      <c r="H1063" s="2" t="str">
        <f>IF(Planilha1!B1060="","",Planilha1!B1060)</f>
        <v>6:00p</v>
      </c>
      <c r="I1063" s="2" t="str">
        <f>IF(Planilha1!C1060="","",Planilha1!C1060)</f>
        <v>Cleveland Cavaliers</v>
      </c>
      <c r="J1063" s="2">
        <f>IF(Planilha1!D1060="","",Planilha1!D1060)</f>
        <v>0</v>
      </c>
      <c r="K1063" s="10" t="str">
        <f>IF(Planilha1!E1060="","",IF(Planilha1!E1060=0,"",Planilha1!E1060))</f>
        <v>Miami Heat</v>
      </c>
      <c r="L1063" s="10">
        <f>IF(Planilha1!F1060="","",Planilha1!F1060)</f>
        <v>0</v>
      </c>
      <c r="M1063" s="10" t="str">
        <f>IF(Planilha1!G1060="","",IF(Planilha1!G1060=0,"",Planilha1!G1060))</f>
        <v/>
      </c>
      <c r="N1063" s="5">
        <f t="shared" si="129"/>
        <v>1</v>
      </c>
      <c r="O1063" s="5">
        <f t="shared" si="130"/>
        <v>0</v>
      </c>
      <c r="P1063" s="5">
        <f t="shared" si="131"/>
        <v>0</v>
      </c>
      <c r="Q1063" s="5">
        <f t="shared" si="132"/>
        <v>2</v>
      </c>
      <c r="R1063" s="8">
        <f t="shared" si="133"/>
        <v>0</v>
      </c>
      <c r="S1063" s="8">
        <f t="shared" si="134"/>
        <v>0</v>
      </c>
      <c r="T1063" s="3" t="str">
        <f t="shared" si="135"/>
        <v/>
      </c>
      <c r="V1063" s="1" t="e">
        <f t="shared" si="136"/>
        <v>#VALUE!</v>
      </c>
    </row>
    <row r="1064" spans="8:22" x14ac:dyDescent="0.3">
      <c r="H1064" s="2" t="str">
        <f>IF(Planilha1!B1061="","",Planilha1!B1061)</f>
        <v>7:00p</v>
      </c>
      <c r="I1064" s="2" t="str">
        <f>IF(Planilha1!C1061="","",Planilha1!C1061)</f>
        <v>Oklahoma City Thunder</v>
      </c>
      <c r="J1064" s="2">
        <f>IF(Planilha1!D1061="","",Planilha1!D1061)</f>
        <v>0</v>
      </c>
      <c r="K1064" s="10" t="str">
        <f>IF(Planilha1!E1061="","",IF(Planilha1!E1061=0,"",Planilha1!E1061))</f>
        <v>Milwaukee Bucks</v>
      </c>
      <c r="L1064" s="10">
        <f>IF(Planilha1!F1061="","",Planilha1!F1061)</f>
        <v>0</v>
      </c>
      <c r="M1064" s="10" t="str">
        <f>IF(Planilha1!G1061="","",IF(Planilha1!G1061=0,"",Planilha1!G1061))</f>
        <v/>
      </c>
      <c r="N1064" s="5">
        <f t="shared" si="129"/>
        <v>1</v>
      </c>
      <c r="O1064" s="5">
        <f t="shared" si="130"/>
        <v>0</v>
      </c>
      <c r="P1064" s="5">
        <f t="shared" si="131"/>
        <v>0</v>
      </c>
      <c r="Q1064" s="5">
        <f t="shared" si="132"/>
        <v>2</v>
      </c>
      <c r="R1064" s="8">
        <f t="shared" si="133"/>
        <v>0</v>
      </c>
      <c r="S1064" s="8">
        <f t="shared" si="134"/>
        <v>0</v>
      </c>
      <c r="T1064" s="3" t="str">
        <f t="shared" si="135"/>
        <v/>
      </c>
      <c r="V1064" s="1" t="e">
        <f t="shared" si="136"/>
        <v>#VALUE!</v>
      </c>
    </row>
    <row r="1065" spans="8:22" x14ac:dyDescent="0.3">
      <c r="H1065" s="2" t="str">
        <f>IF(Planilha1!B1062="","",Planilha1!B1062)</f>
        <v>7:00p</v>
      </c>
      <c r="I1065" s="2" t="str">
        <f>IF(Planilha1!C1062="","",Planilha1!C1062)</f>
        <v>Golden State Warriors</v>
      </c>
      <c r="J1065" s="2">
        <f>IF(Planilha1!D1062="","",Planilha1!D1062)</f>
        <v>0</v>
      </c>
      <c r="K1065" s="10" t="str">
        <f>IF(Planilha1!E1062="","",IF(Planilha1!E1062=0,"",Planilha1!E1062))</f>
        <v>Minnesota Timberwolves</v>
      </c>
      <c r="L1065" s="10">
        <f>IF(Planilha1!F1062="","",Planilha1!F1062)</f>
        <v>0</v>
      </c>
      <c r="M1065" s="10" t="str">
        <f>IF(Planilha1!G1062="","",IF(Planilha1!G1062=0,"",Planilha1!G1062))</f>
        <v/>
      </c>
      <c r="N1065" s="5">
        <f t="shared" si="129"/>
        <v>1</v>
      </c>
      <c r="O1065" s="5">
        <f t="shared" si="130"/>
        <v>0</v>
      </c>
      <c r="P1065" s="5">
        <f t="shared" si="131"/>
        <v>0</v>
      </c>
      <c r="Q1065" s="5">
        <f t="shared" si="132"/>
        <v>2</v>
      </c>
      <c r="R1065" s="8">
        <f t="shared" si="133"/>
        <v>0</v>
      </c>
      <c r="S1065" s="8">
        <f t="shared" si="134"/>
        <v>0</v>
      </c>
      <c r="T1065" s="3" t="str">
        <f t="shared" si="135"/>
        <v/>
      </c>
      <c r="V1065" s="1" t="e">
        <f t="shared" si="136"/>
        <v>#VALUE!</v>
      </c>
    </row>
    <row r="1066" spans="8:22" x14ac:dyDescent="0.3">
      <c r="H1066" s="2" t="str">
        <f>IF(Planilha1!B1063="","",Planilha1!B1063)</f>
        <v>10:00p</v>
      </c>
      <c r="I1066" s="2" t="str">
        <f>IF(Planilha1!C1063="","",Planilha1!C1063)</f>
        <v>Indiana Pacers</v>
      </c>
      <c r="J1066" s="2">
        <f>IF(Planilha1!D1063="","",Planilha1!D1063)</f>
        <v>0</v>
      </c>
      <c r="K1066" s="10" t="str">
        <f>IF(Planilha1!E1063="","",IF(Planilha1!E1063=0,"",Planilha1!E1063))</f>
        <v>Los Angeles Lakers</v>
      </c>
      <c r="L1066" s="10">
        <f>IF(Planilha1!F1063="","",Planilha1!F1063)</f>
        <v>0</v>
      </c>
      <c r="M1066" s="10" t="str">
        <f>IF(Planilha1!G1063="","",IF(Planilha1!G1063=0,"",Planilha1!G1063))</f>
        <v/>
      </c>
      <c r="N1066" s="5">
        <f t="shared" si="129"/>
        <v>1</v>
      </c>
      <c r="O1066" s="5">
        <f t="shared" si="130"/>
        <v>0</v>
      </c>
      <c r="P1066" s="5">
        <f t="shared" si="131"/>
        <v>0</v>
      </c>
      <c r="Q1066" s="5">
        <f t="shared" si="132"/>
        <v>2</v>
      </c>
      <c r="R1066" s="8">
        <f t="shared" si="133"/>
        <v>0</v>
      </c>
      <c r="S1066" s="8">
        <f t="shared" si="134"/>
        <v>0</v>
      </c>
      <c r="T1066" s="3" t="str">
        <f t="shared" si="135"/>
        <v/>
      </c>
      <c r="V1066" s="1" t="e">
        <f t="shared" si="136"/>
        <v>#VALUE!</v>
      </c>
    </row>
    <row r="1067" spans="8:22" x14ac:dyDescent="0.3">
      <c r="H1067" s="2" t="str">
        <f>IF(Planilha1!B1064="","",Planilha1!B1064)</f>
        <v>7:00p</v>
      </c>
      <c r="I1067" s="2" t="str">
        <f>IF(Planilha1!C1064="","",Planilha1!C1064)</f>
        <v>Charlotte Hornets</v>
      </c>
      <c r="J1067" s="2">
        <f>IF(Planilha1!D1064="","",Planilha1!D1064)</f>
        <v>0</v>
      </c>
      <c r="K1067" s="10" t="str">
        <f>IF(Planilha1!E1064="","",IF(Planilha1!E1064=0,"",Planilha1!E1064))</f>
        <v>Cleveland Cavaliers</v>
      </c>
      <c r="L1067" s="10">
        <f>IF(Planilha1!F1064="","",Planilha1!F1064)</f>
        <v>0</v>
      </c>
      <c r="M1067" s="10" t="str">
        <f>IF(Planilha1!G1064="","",IF(Planilha1!G1064=0,"",Planilha1!G1064))</f>
        <v/>
      </c>
      <c r="N1067" s="5">
        <f t="shared" si="129"/>
        <v>1</v>
      </c>
      <c r="O1067" s="5">
        <f t="shared" si="130"/>
        <v>0</v>
      </c>
      <c r="P1067" s="5">
        <f t="shared" si="131"/>
        <v>0</v>
      </c>
      <c r="Q1067" s="5">
        <f t="shared" si="132"/>
        <v>2</v>
      </c>
      <c r="R1067" s="8">
        <f t="shared" si="133"/>
        <v>0</v>
      </c>
      <c r="S1067" s="8">
        <f t="shared" si="134"/>
        <v>0</v>
      </c>
      <c r="T1067" s="3" t="str">
        <f t="shared" si="135"/>
        <v/>
      </c>
      <c r="V1067" s="1" t="e">
        <f t="shared" si="136"/>
        <v>#VALUE!</v>
      </c>
    </row>
    <row r="1068" spans="8:22" x14ac:dyDescent="0.3">
      <c r="H1068" s="2" t="str">
        <f>IF(Planilha1!B1065="","",Planilha1!B1065)</f>
        <v>7:30p</v>
      </c>
      <c r="I1068" s="2" t="str">
        <f>IF(Planilha1!C1065="","",Planilha1!C1065)</f>
        <v>Boston Celtics</v>
      </c>
      <c r="J1068" s="2">
        <f>IF(Planilha1!D1065="","",Planilha1!D1065)</f>
        <v>0</v>
      </c>
      <c r="K1068" s="10" t="str">
        <f>IF(Planilha1!E1065="","",IF(Planilha1!E1065=0,"",Planilha1!E1065))</f>
        <v>Atlanta Hawks</v>
      </c>
      <c r="L1068" s="10">
        <f>IF(Planilha1!F1065="","",Planilha1!F1065)</f>
        <v>0</v>
      </c>
      <c r="M1068" s="10" t="str">
        <f>IF(Planilha1!G1065="","",IF(Planilha1!G1065=0,"",Planilha1!G1065))</f>
        <v/>
      </c>
      <c r="N1068" s="5">
        <f t="shared" si="129"/>
        <v>1</v>
      </c>
      <c r="O1068" s="5">
        <f t="shared" si="130"/>
        <v>0</v>
      </c>
      <c r="P1068" s="5">
        <f t="shared" si="131"/>
        <v>0</v>
      </c>
      <c r="Q1068" s="5">
        <f t="shared" si="132"/>
        <v>2</v>
      </c>
      <c r="R1068" s="8">
        <f t="shared" si="133"/>
        <v>0</v>
      </c>
      <c r="S1068" s="8">
        <f t="shared" si="134"/>
        <v>0</v>
      </c>
      <c r="T1068" s="3" t="str">
        <f t="shared" si="135"/>
        <v/>
      </c>
      <c r="V1068" s="1" t="e">
        <f t="shared" si="136"/>
        <v>#VALUE!</v>
      </c>
    </row>
    <row r="1069" spans="8:22" x14ac:dyDescent="0.3">
      <c r="H1069" s="2" t="str">
        <f>IF(Planilha1!B1066="","",Planilha1!B1066)</f>
        <v>7:30p</v>
      </c>
      <c r="I1069" s="2" t="str">
        <f>IF(Planilha1!C1066="","",Planilha1!C1066)</f>
        <v>Detroit Pistons</v>
      </c>
      <c r="J1069" s="2">
        <f>IF(Planilha1!D1066="","",Planilha1!D1066)</f>
        <v>0</v>
      </c>
      <c r="K1069" s="10" t="str">
        <f>IF(Planilha1!E1066="","",IF(Planilha1!E1066=0,"",Planilha1!E1066))</f>
        <v>New York Knicks</v>
      </c>
      <c r="L1069" s="10">
        <f>IF(Planilha1!F1066="","",Planilha1!F1066)</f>
        <v>0</v>
      </c>
      <c r="M1069" s="10" t="str">
        <f>IF(Planilha1!G1066="","",IF(Planilha1!G1066=0,"",Planilha1!G1066))</f>
        <v/>
      </c>
      <c r="N1069" s="5">
        <f t="shared" si="129"/>
        <v>1</v>
      </c>
      <c r="O1069" s="5">
        <f t="shared" si="130"/>
        <v>0</v>
      </c>
      <c r="P1069" s="5">
        <f t="shared" si="131"/>
        <v>0</v>
      </c>
      <c r="Q1069" s="5">
        <f t="shared" si="132"/>
        <v>2</v>
      </c>
      <c r="R1069" s="8">
        <f t="shared" si="133"/>
        <v>0</v>
      </c>
      <c r="S1069" s="8">
        <f t="shared" si="134"/>
        <v>0</v>
      </c>
      <c r="T1069" s="3" t="str">
        <f t="shared" si="135"/>
        <v/>
      </c>
      <c r="V1069" s="1" t="e">
        <f t="shared" si="136"/>
        <v>#VALUE!</v>
      </c>
    </row>
    <row r="1070" spans="8:22" x14ac:dyDescent="0.3">
      <c r="H1070" s="2" t="str">
        <f>IF(Planilha1!B1067="","",Planilha1!B1067)</f>
        <v>7:30p</v>
      </c>
      <c r="I1070" s="2" t="str">
        <f>IF(Planilha1!C1067="","",Planilha1!C1067)</f>
        <v>Brooklyn Nets</v>
      </c>
      <c r="J1070" s="2">
        <f>IF(Planilha1!D1067="","",Planilha1!D1067)</f>
        <v>0</v>
      </c>
      <c r="K1070" s="10" t="str">
        <f>IF(Planilha1!E1067="","",IF(Planilha1!E1067=0,"",Planilha1!E1067))</f>
        <v>Toronto Raptors</v>
      </c>
      <c r="L1070" s="10">
        <f>IF(Planilha1!F1067="","",Planilha1!F1067)</f>
        <v>0</v>
      </c>
      <c r="M1070" s="10" t="str">
        <f>IF(Planilha1!G1067="","",IF(Planilha1!G1067=0,"",Planilha1!G1067))</f>
        <v/>
      </c>
      <c r="N1070" s="5">
        <f t="shared" si="129"/>
        <v>1</v>
      </c>
      <c r="O1070" s="5">
        <f t="shared" si="130"/>
        <v>0</v>
      </c>
      <c r="P1070" s="5">
        <f t="shared" si="131"/>
        <v>0</v>
      </c>
      <c r="Q1070" s="5">
        <f t="shared" si="132"/>
        <v>2</v>
      </c>
      <c r="R1070" s="8">
        <f t="shared" si="133"/>
        <v>0</v>
      </c>
      <c r="S1070" s="8">
        <f t="shared" si="134"/>
        <v>0</v>
      </c>
      <c r="T1070" s="3" t="str">
        <f t="shared" si="135"/>
        <v/>
      </c>
      <c r="V1070" s="1" t="e">
        <f t="shared" si="136"/>
        <v>#VALUE!</v>
      </c>
    </row>
    <row r="1071" spans="8:22" x14ac:dyDescent="0.3">
      <c r="H1071" s="2" t="str">
        <f>IF(Planilha1!B1068="","",Planilha1!B1068)</f>
        <v>8:00p</v>
      </c>
      <c r="I1071" s="2" t="str">
        <f>IF(Planilha1!C1068="","",Planilha1!C1068)</f>
        <v>Washington Wizards</v>
      </c>
      <c r="J1071" s="2">
        <f>IF(Planilha1!D1068="","",Planilha1!D1068)</f>
        <v>0</v>
      </c>
      <c r="K1071" s="10" t="str">
        <f>IF(Planilha1!E1068="","",IF(Planilha1!E1068=0,"",Planilha1!E1068))</f>
        <v>Chicago Bulls</v>
      </c>
      <c r="L1071" s="10">
        <f>IF(Planilha1!F1068="","",Planilha1!F1068)</f>
        <v>0</v>
      </c>
      <c r="M1071" s="10" t="str">
        <f>IF(Planilha1!G1068="","",IF(Planilha1!G1068=0,"",Planilha1!G1068))</f>
        <v/>
      </c>
      <c r="N1071" s="5">
        <f t="shared" si="129"/>
        <v>1</v>
      </c>
      <c r="O1071" s="5">
        <f t="shared" si="130"/>
        <v>0</v>
      </c>
      <c r="P1071" s="5">
        <f t="shared" si="131"/>
        <v>0</v>
      </c>
      <c r="Q1071" s="5">
        <f t="shared" si="132"/>
        <v>2</v>
      </c>
      <c r="R1071" s="8">
        <f t="shared" si="133"/>
        <v>0</v>
      </c>
      <c r="S1071" s="8">
        <f t="shared" si="134"/>
        <v>0</v>
      </c>
      <c r="T1071" s="3" t="str">
        <f t="shared" si="135"/>
        <v/>
      </c>
      <c r="V1071" s="1" t="e">
        <f t="shared" si="136"/>
        <v>#VALUE!</v>
      </c>
    </row>
    <row r="1072" spans="8:22" x14ac:dyDescent="0.3">
      <c r="H1072" s="2" t="str">
        <f>IF(Planilha1!B1069="","",Planilha1!B1069)</f>
        <v>8:00p</v>
      </c>
      <c r="I1072" s="2" t="str">
        <f>IF(Planilha1!C1069="","",Planilha1!C1069)</f>
        <v>Portland Trail Blazers</v>
      </c>
      <c r="J1072" s="2">
        <f>IF(Planilha1!D1069="","",Planilha1!D1069)</f>
        <v>0</v>
      </c>
      <c r="K1072" s="10" t="str">
        <f>IF(Planilha1!E1069="","",IF(Planilha1!E1069=0,"",Planilha1!E1069))</f>
        <v>Houston Rockets</v>
      </c>
      <c r="L1072" s="10">
        <f>IF(Planilha1!F1069="","",Planilha1!F1069)</f>
        <v>0</v>
      </c>
      <c r="M1072" s="10" t="str">
        <f>IF(Planilha1!G1069="","",IF(Planilha1!G1069=0,"",Planilha1!G1069))</f>
        <v/>
      </c>
      <c r="N1072" s="5">
        <f t="shared" si="129"/>
        <v>1</v>
      </c>
      <c r="O1072" s="5">
        <f t="shared" si="130"/>
        <v>0</v>
      </c>
      <c r="P1072" s="5">
        <f t="shared" si="131"/>
        <v>0</v>
      </c>
      <c r="Q1072" s="5">
        <f t="shared" si="132"/>
        <v>2</v>
      </c>
      <c r="R1072" s="8">
        <f t="shared" si="133"/>
        <v>0</v>
      </c>
      <c r="S1072" s="8">
        <f t="shared" si="134"/>
        <v>0</v>
      </c>
      <c r="T1072" s="3" t="str">
        <f t="shared" si="135"/>
        <v/>
      </c>
      <c r="V1072" s="1" t="e">
        <f t="shared" si="136"/>
        <v>#VALUE!</v>
      </c>
    </row>
    <row r="1073" spans="8:22" x14ac:dyDescent="0.3">
      <c r="H1073" s="2" t="str">
        <f>IF(Planilha1!B1070="","",Planilha1!B1070)</f>
        <v>8:00p</v>
      </c>
      <c r="I1073" s="2" t="str">
        <f>IF(Planilha1!C1070="","",Planilha1!C1070)</f>
        <v>Phoenix Suns</v>
      </c>
      <c r="J1073" s="2">
        <f>IF(Planilha1!D1070="","",Planilha1!D1070)</f>
        <v>0</v>
      </c>
      <c r="K1073" s="10" t="str">
        <f>IF(Planilha1!E1070="","",IF(Planilha1!E1070=0,"",Planilha1!E1070))</f>
        <v>San Antonio Spurs</v>
      </c>
      <c r="L1073" s="10">
        <f>IF(Planilha1!F1070="","",Planilha1!F1070)</f>
        <v>0</v>
      </c>
      <c r="M1073" s="10" t="str">
        <f>IF(Planilha1!G1070="","",IF(Planilha1!G1070=0,"",Planilha1!G1070))</f>
        <v/>
      </c>
      <c r="N1073" s="5">
        <f t="shared" si="129"/>
        <v>1</v>
      </c>
      <c r="O1073" s="5">
        <f t="shared" si="130"/>
        <v>0</v>
      </c>
      <c r="P1073" s="5">
        <f t="shared" si="131"/>
        <v>0</v>
      </c>
      <c r="Q1073" s="5">
        <f t="shared" si="132"/>
        <v>2</v>
      </c>
      <c r="R1073" s="8">
        <f t="shared" si="133"/>
        <v>0</v>
      </c>
      <c r="S1073" s="8">
        <f t="shared" si="134"/>
        <v>0</v>
      </c>
      <c r="T1073" s="3" t="str">
        <f t="shared" si="135"/>
        <v/>
      </c>
      <c r="V1073" s="1" t="e">
        <f t="shared" si="136"/>
        <v>#VALUE!</v>
      </c>
    </row>
    <row r="1074" spans="8:22" x14ac:dyDescent="0.3">
      <c r="H1074" s="2" t="str">
        <f>IF(Planilha1!B1071="","",Planilha1!B1071)</f>
        <v>9:00p</v>
      </c>
      <c r="I1074" s="2" t="str">
        <f>IF(Planilha1!C1071="","",Planilha1!C1071)</f>
        <v>Memphis Grizzlies</v>
      </c>
      <c r="J1074" s="2">
        <f>IF(Planilha1!D1071="","",Planilha1!D1071)</f>
        <v>0</v>
      </c>
      <c r="K1074" s="10" t="str">
        <f>IF(Planilha1!E1071="","",IF(Planilha1!E1071=0,"",Planilha1!E1071))</f>
        <v>Denver Nuggets</v>
      </c>
      <c r="L1074" s="10">
        <f>IF(Planilha1!F1071="","",Planilha1!F1071)</f>
        <v>0</v>
      </c>
      <c r="M1074" s="10" t="str">
        <f>IF(Planilha1!G1071="","",IF(Planilha1!G1071=0,"",Planilha1!G1071))</f>
        <v/>
      </c>
      <c r="N1074" s="5">
        <f t="shared" si="129"/>
        <v>1</v>
      </c>
      <c r="O1074" s="5">
        <f t="shared" si="130"/>
        <v>0</v>
      </c>
      <c r="P1074" s="5">
        <f t="shared" si="131"/>
        <v>0</v>
      </c>
      <c r="Q1074" s="5">
        <f t="shared" si="132"/>
        <v>2</v>
      </c>
      <c r="R1074" s="8">
        <f t="shared" si="133"/>
        <v>0</v>
      </c>
      <c r="S1074" s="8">
        <f t="shared" si="134"/>
        <v>0</v>
      </c>
      <c r="T1074" s="3" t="str">
        <f t="shared" si="135"/>
        <v/>
      </c>
      <c r="V1074" s="1" t="e">
        <f t="shared" si="136"/>
        <v>#VALUE!</v>
      </c>
    </row>
    <row r="1075" spans="8:22" x14ac:dyDescent="0.3">
      <c r="H1075" s="2" t="str">
        <f>IF(Planilha1!B1072="","",Planilha1!B1072)</f>
        <v>9:00p</v>
      </c>
      <c r="I1075" s="2" t="str">
        <f>IF(Planilha1!C1072="","",Planilha1!C1072)</f>
        <v>Dallas Mavericks</v>
      </c>
      <c r="J1075" s="2">
        <f>IF(Planilha1!D1072="","",Planilha1!D1072)</f>
        <v>0</v>
      </c>
      <c r="K1075" s="10" t="str">
        <f>IF(Planilha1!E1072="","",IF(Planilha1!E1072=0,"",Planilha1!E1072))</f>
        <v>Utah Jazz</v>
      </c>
      <c r="L1075" s="10">
        <f>IF(Planilha1!F1072="","",Planilha1!F1072)</f>
        <v>0</v>
      </c>
      <c r="M1075" s="10" t="str">
        <f>IF(Planilha1!G1072="","",IF(Planilha1!G1072=0,"",Planilha1!G1072))</f>
        <v/>
      </c>
      <c r="N1075" s="5">
        <f t="shared" si="129"/>
        <v>1</v>
      </c>
      <c r="O1075" s="5">
        <f t="shared" si="130"/>
        <v>0</v>
      </c>
      <c r="P1075" s="5">
        <f t="shared" si="131"/>
        <v>0</v>
      </c>
      <c r="Q1075" s="5">
        <f t="shared" si="132"/>
        <v>2</v>
      </c>
      <c r="R1075" s="8">
        <f t="shared" si="133"/>
        <v>0</v>
      </c>
      <c r="S1075" s="8">
        <f t="shared" si="134"/>
        <v>0</v>
      </c>
      <c r="T1075" s="3" t="str">
        <f t="shared" si="135"/>
        <v/>
      </c>
      <c r="V1075" s="1" t="e">
        <f t="shared" si="136"/>
        <v>#VALUE!</v>
      </c>
    </row>
    <row r="1076" spans="8:22" x14ac:dyDescent="0.3">
      <c r="H1076" s="2" t="str">
        <f>IF(Planilha1!B1073="","",Planilha1!B1073)</f>
        <v>10:00p</v>
      </c>
      <c r="I1076" s="2" t="str">
        <f>IF(Planilha1!C1073="","",Planilha1!C1073)</f>
        <v>Philadelphia 76ers</v>
      </c>
      <c r="J1076" s="2">
        <f>IF(Planilha1!D1073="","",Planilha1!D1073)</f>
        <v>0</v>
      </c>
      <c r="K1076" s="10" t="str">
        <f>IF(Planilha1!E1073="","",IF(Planilha1!E1073=0,"",Planilha1!E1073))</f>
        <v>Sacramento Kings</v>
      </c>
      <c r="L1076" s="10">
        <f>IF(Planilha1!F1073="","",Planilha1!F1073)</f>
        <v>0</v>
      </c>
      <c r="M1076" s="10" t="str">
        <f>IF(Planilha1!G1073="","",IF(Planilha1!G1073=0,"",Planilha1!G1073))</f>
        <v/>
      </c>
      <c r="N1076" s="5">
        <f t="shared" si="129"/>
        <v>1</v>
      </c>
      <c r="O1076" s="5">
        <f t="shared" si="130"/>
        <v>0</v>
      </c>
      <c r="P1076" s="5">
        <f t="shared" si="131"/>
        <v>0</v>
      </c>
      <c r="Q1076" s="5">
        <f t="shared" si="132"/>
        <v>2</v>
      </c>
      <c r="R1076" s="8">
        <f t="shared" si="133"/>
        <v>0</v>
      </c>
      <c r="S1076" s="8">
        <f t="shared" si="134"/>
        <v>0</v>
      </c>
      <c r="T1076" s="3" t="str">
        <f t="shared" si="135"/>
        <v/>
      </c>
      <c r="V1076" s="1" t="e">
        <f t="shared" si="136"/>
        <v>#VALUE!</v>
      </c>
    </row>
    <row r="1077" spans="8:22" x14ac:dyDescent="0.3">
      <c r="H1077" s="2" t="str">
        <f>IF(Planilha1!B1074="","",Planilha1!B1074)</f>
        <v>10:30p</v>
      </c>
      <c r="I1077" s="2" t="str">
        <f>IF(Planilha1!C1074="","",Planilha1!C1074)</f>
        <v>Indiana Pacers</v>
      </c>
      <c r="J1077" s="2">
        <f>IF(Planilha1!D1074="","",Planilha1!D1074)</f>
        <v>0</v>
      </c>
      <c r="K1077" s="10" t="str">
        <f>IF(Planilha1!E1074="","",IF(Planilha1!E1074=0,"",Planilha1!E1074))</f>
        <v>Los Angeles Clippers</v>
      </c>
      <c r="L1077" s="10">
        <f>IF(Planilha1!F1074="","",Planilha1!F1074)</f>
        <v>0</v>
      </c>
      <c r="M1077" s="10" t="str">
        <f>IF(Planilha1!G1074="","",IF(Planilha1!G1074=0,"",Planilha1!G1074))</f>
        <v/>
      </c>
      <c r="N1077" s="5">
        <f t="shared" si="129"/>
        <v>1</v>
      </c>
      <c r="O1077" s="5">
        <f t="shared" si="130"/>
        <v>0</v>
      </c>
      <c r="P1077" s="5">
        <f t="shared" si="131"/>
        <v>0</v>
      </c>
      <c r="Q1077" s="5">
        <f t="shared" si="132"/>
        <v>2</v>
      </c>
      <c r="R1077" s="8">
        <f t="shared" si="133"/>
        <v>0</v>
      </c>
      <c r="S1077" s="8">
        <f t="shared" si="134"/>
        <v>0</v>
      </c>
      <c r="T1077" s="3" t="str">
        <f t="shared" si="135"/>
        <v/>
      </c>
      <c r="V1077" s="1" t="e">
        <f t="shared" si="136"/>
        <v>#VALUE!</v>
      </c>
    </row>
    <row r="1078" spans="8:22" x14ac:dyDescent="0.3">
      <c r="H1078" s="2" t="str">
        <f>IF(Planilha1!B1075="","",Planilha1!B1075)</f>
        <v>7:30p</v>
      </c>
      <c r="I1078" s="2" t="str">
        <f>IF(Planilha1!C1075="","",Planilha1!C1075)</f>
        <v>Golden State Warriors</v>
      </c>
      <c r="J1078" s="2">
        <f>IF(Planilha1!D1075="","",Planilha1!D1075)</f>
        <v>0</v>
      </c>
      <c r="K1078" s="10" t="str">
        <f>IF(Planilha1!E1075="","",IF(Planilha1!E1075=0,"",Planilha1!E1075))</f>
        <v>Miami Heat</v>
      </c>
      <c r="L1078" s="10">
        <f>IF(Planilha1!F1075="","",Planilha1!F1075)</f>
        <v>0</v>
      </c>
      <c r="M1078" s="10" t="str">
        <f>IF(Planilha1!G1075="","",IF(Planilha1!G1075=0,"",Planilha1!G1075))</f>
        <v/>
      </c>
      <c r="N1078" s="5">
        <f t="shared" si="129"/>
        <v>1</v>
      </c>
      <c r="O1078" s="5">
        <f t="shared" si="130"/>
        <v>0</v>
      </c>
      <c r="P1078" s="5">
        <f t="shared" si="131"/>
        <v>0</v>
      </c>
      <c r="Q1078" s="5">
        <f t="shared" si="132"/>
        <v>2</v>
      </c>
      <c r="R1078" s="8">
        <f t="shared" si="133"/>
        <v>0</v>
      </c>
      <c r="S1078" s="8">
        <f t="shared" si="134"/>
        <v>0</v>
      </c>
      <c r="T1078" s="3" t="str">
        <f t="shared" si="135"/>
        <v/>
      </c>
      <c r="V1078" s="1" t="e">
        <f t="shared" si="136"/>
        <v>#VALUE!</v>
      </c>
    </row>
    <row r="1079" spans="8:22" x14ac:dyDescent="0.3">
      <c r="H1079" s="2" t="str">
        <f>IF(Planilha1!B1076="","",Planilha1!B1076)</f>
        <v>7:30p</v>
      </c>
      <c r="I1079" s="2" t="str">
        <f>IF(Planilha1!C1076="","",Planilha1!C1076)</f>
        <v>Los Angeles Lakers</v>
      </c>
      <c r="J1079" s="2">
        <f>IF(Planilha1!D1076="","",Planilha1!D1076)</f>
        <v>0</v>
      </c>
      <c r="K1079" s="10" t="str">
        <f>IF(Planilha1!E1076="","",IF(Planilha1!E1076=0,"",Planilha1!E1076))</f>
        <v>Milwaukee Bucks</v>
      </c>
      <c r="L1079" s="10">
        <f>IF(Planilha1!F1076="","",Planilha1!F1076)</f>
        <v>0</v>
      </c>
      <c r="M1079" s="10" t="str">
        <f>IF(Planilha1!G1076="","",IF(Planilha1!G1076=0,"",Planilha1!G1076))</f>
        <v/>
      </c>
      <c r="N1079" s="5">
        <f t="shared" si="129"/>
        <v>1</v>
      </c>
      <c r="O1079" s="5">
        <f t="shared" si="130"/>
        <v>0</v>
      </c>
      <c r="P1079" s="5">
        <f t="shared" si="131"/>
        <v>0</v>
      </c>
      <c r="Q1079" s="5">
        <f t="shared" si="132"/>
        <v>2</v>
      </c>
      <c r="R1079" s="8">
        <f t="shared" si="133"/>
        <v>0</v>
      </c>
      <c r="S1079" s="8">
        <f t="shared" si="134"/>
        <v>0</v>
      </c>
      <c r="T1079" s="3" t="str">
        <f t="shared" si="135"/>
        <v/>
      </c>
      <c r="V1079" s="1" t="e">
        <f t="shared" si="136"/>
        <v>#VALUE!</v>
      </c>
    </row>
    <row r="1080" spans="8:22" x14ac:dyDescent="0.3">
      <c r="H1080" s="2" t="str">
        <f>IF(Planilha1!B1077="","",Planilha1!B1077)</f>
        <v>8:00p</v>
      </c>
      <c r="I1080" s="2" t="str">
        <f>IF(Planilha1!C1077="","",Planilha1!C1077)</f>
        <v>Oklahoma City Thunder</v>
      </c>
      <c r="J1080" s="2">
        <f>IF(Planilha1!D1077="","",Planilha1!D1077)</f>
        <v>0</v>
      </c>
      <c r="K1080" s="10" t="str">
        <f>IF(Planilha1!E1077="","",IF(Planilha1!E1077=0,"",Planilha1!E1077))</f>
        <v>New Orleans Pelicans</v>
      </c>
      <c r="L1080" s="10">
        <f>IF(Planilha1!F1077="","",Planilha1!F1077)</f>
        <v>0</v>
      </c>
      <c r="M1080" s="10" t="str">
        <f>IF(Planilha1!G1077="","",IF(Planilha1!G1077=0,"",Planilha1!G1077))</f>
        <v/>
      </c>
      <c r="N1080" s="5">
        <f t="shared" si="129"/>
        <v>1</v>
      </c>
      <c r="O1080" s="5">
        <f t="shared" si="130"/>
        <v>0</v>
      </c>
      <c r="P1080" s="5">
        <f t="shared" si="131"/>
        <v>0</v>
      </c>
      <c r="Q1080" s="5">
        <f t="shared" si="132"/>
        <v>2</v>
      </c>
      <c r="R1080" s="8">
        <f t="shared" si="133"/>
        <v>0</v>
      </c>
      <c r="S1080" s="8">
        <f t="shared" si="134"/>
        <v>0</v>
      </c>
      <c r="T1080" s="3" t="str">
        <f t="shared" si="135"/>
        <v/>
      </c>
      <c r="V1080" s="1" t="e">
        <f t="shared" si="136"/>
        <v>#VALUE!</v>
      </c>
    </row>
    <row r="1081" spans="8:22" x14ac:dyDescent="0.3">
      <c r="H1081" s="2" t="str">
        <f>IF(Planilha1!B1078="","",Planilha1!B1078)</f>
        <v>10:00p</v>
      </c>
      <c r="I1081" s="2" t="str">
        <f>IF(Planilha1!C1078="","",Planilha1!C1078)</f>
        <v>Dallas Mavericks</v>
      </c>
      <c r="J1081" s="2">
        <f>IF(Planilha1!D1078="","",Planilha1!D1078)</f>
        <v>0</v>
      </c>
      <c r="K1081" s="10" t="str">
        <f>IF(Planilha1!E1078="","",IF(Planilha1!E1078=0,"",Planilha1!E1078))</f>
        <v>Sacramento Kings</v>
      </c>
      <c r="L1081" s="10">
        <f>IF(Planilha1!F1078="","",Planilha1!F1078)</f>
        <v>0</v>
      </c>
      <c r="M1081" s="10" t="str">
        <f>IF(Planilha1!G1078="","",IF(Planilha1!G1078=0,"",Planilha1!G1078))</f>
        <v/>
      </c>
      <c r="N1081" s="5">
        <f t="shared" si="129"/>
        <v>1</v>
      </c>
      <c r="O1081" s="5">
        <f t="shared" si="130"/>
        <v>0</v>
      </c>
      <c r="P1081" s="5">
        <f t="shared" si="131"/>
        <v>0</v>
      </c>
      <c r="Q1081" s="5">
        <f t="shared" si="132"/>
        <v>2</v>
      </c>
      <c r="R1081" s="8">
        <f t="shared" si="133"/>
        <v>0</v>
      </c>
      <c r="S1081" s="8">
        <f t="shared" si="134"/>
        <v>0</v>
      </c>
      <c r="T1081" s="3" t="str">
        <f t="shared" si="135"/>
        <v/>
      </c>
      <c r="V1081" s="1" t="e">
        <f t="shared" si="136"/>
        <v>#VALUE!</v>
      </c>
    </row>
    <row r="1082" spans="8:22" x14ac:dyDescent="0.3">
      <c r="H1082" s="2" t="str">
        <f>IF(Planilha1!B1079="","",Planilha1!B1079)</f>
        <v>7:00p</v>
      </c>
      <c r="I1082" s="2" t="str">
        <f>IF(Planilha1!C1079="","",Planilha1!C1079)</f>
        <v>Cleveland Cavaliers</v>
      </c>
      <c r="J1082" s="2">
        <f>IF(Planilha1!D1079="","",Planilha1!D1079)</f>
        <v>0</v>
      </c>
      <c r="K1082" s="10" t="str">
        <f>IF(Planilha1!E1079="","",IF(Planilha1!E1079=0,"",Planilha1!E1079))</f>
        <v>Charlotte Hornets</v>
      </c>
      <c r="L1082" s="10">
        <f>IF(Planilha1!F1079="","",Planilha1!F1079)</f>
        <v>0</v>
      </c>
      <c r="M1082" s="10" t="str">
        <f>IF(Planilha1!G1079="","",IF(Planilha1!G1079=0,"",Planilha1!G1079))</f>
        <v/>
      </c>
      <c r="N1082" s="5">
        <f t="shared" si="129"/>
        <v>1</v>
      </c>
      <c r="O1082" s="5">
        <f t="shared" si="130"/>
        <v>0</v>
      </c>
      <c r="P1082" s="5">
        <f t="shared" si="131"/>
        <v>0</v>
      </c>
      <c r="Q1082" s="5">
        <f t="shared" si="132"/>
        <v>2</v>
      </c>
      <c r="R1082" s="8">
        <f t="shared" si="133"/>
        <v>0</v>
      </c>
      <c r="S1082" s="8">
        <f t="shared" si="134"/>
        <v>0</v>
      </c>
      <c r="T1082" s="3" t="str">
        <f t="shared" si="135"/>
        <v/>
      </c>
      <c r="V1082" s="1" t="e">
        <f t="shared" si="136"/>
        <v>#VALUE!</v>
      </c>
    </row>
    <row r="1083" spans="8:22" x14ac:dyDescent="0.3">
      <c r="H1083" s="2" t="str">
        <f>IF(Planilha1!B1080="","",Planilha1!B1080)</f>
        <v>7:00p</v>
      </c>
      <c r="I1083" s="2" t="str">
        <f>IF(Planilha1!C1080="","",Planilha1!C1080)</f>
        <v>Golden State Warriors</v>
      </c>
      <c r="J1083" s="2">
        <f>IF(Planilha1!D1080="","",Planilha1!D1080)</f>
        <v>0</v>
      </c>
      <c r="K1083" s="10" t="str">
        <f>IF(Planilha1!E1080="","",IF(Planilha1!E1080=0,"",Planilha1!E1080))</f>
        <v>Orlando Magic</v>
      </c>
      <c r="L1083" s="10">
        <f>IF(Planilha1!F1080="","",Planilha1!F1080)</f>
        <v>0</v>
      </c>
      <c r="M1083" s="10" t="str">
        <f>IF(Planilha1!G1080="","",IF(Planilha1!G1080=0,"",Planilha1!G1080))</f>
        <v/>
      </c>
      <c r="N1083" s="5">
        <f t="shared" si="129"/>
        <v>1</v>
      </c>
      <c r="O1083" s="5">
        <f t="shared" si="130"/>
        <v>0</v>
      </c>
      <c r="P1083" s="5">
        <f t="shared" si="131"/>
        <v>0</v>
      </c>
      <c r="Q1083" s="5">
        <f t="shared" si="132"/>
        <v>2</v>
      </c>
      <c r="R1083" s="8">
        <f t="shared" si="133"/>
        <v>0</v>
      </c>
      <c r="S1083" s="8">
        <f t="shared" si="134"/>
        <v>0</v>
      </c>
      <c r="T1083" s="3" t="str">
        <f t="shared" si="135"/>
        <v/>
      </c>
      <c r="V1083" s="1" t="e">
        <f t="shared" si="136"/>
        <v>#VALUE!</v>
      </c>
    </row>
    <row r="1084" spans="8:22" x14ac:dyDescent="0.3">
      <c r="H1084" s="2" t="str">
        <f>IF(Planilha1!B1081="","",Planilha1!B1081)</f>
        <v>7:00p</v>
      </c>
      <c r="I1084" s="2" t="str">
        <f>IF(Planilha1!C1081="","",Planilha1!C1081)</f>
        <v>Brooklyn Nets</v>
      </c>
      <c r="J1084" s="2">
        <f>IF(Planilha1!D1081="","",Planilha1!D1081)</f>
        <v>0</v>
      </c>
      <c r="K1084" s="10" t="str">
        <f>IF(Planilha1!E1081="","",IF(Planilha1!E1081=0,"",Planilha1!E1081))</f>
        <v>Washington Wizards</v>
      </c>
      <c r="L1084" s="10">
        <f>IF(Planilha1!F1081="","",Planilha1!F1081)</f>
        <v>0</v>
      </c>
      <c r="M1084" s="10" t="str">
        <f>IF(Planilha1!G1081="","",IF(Planilha1!G1081=0,"",Planilha1!G1081))</f>
        <v/>
      </c>
      <c r="N1084" s="5">
        <f t="shared" si="129"/>
        <v>1</v>
      </c>
      <c r="O1084" s="5">
        <f t="shared" si="130"/>
        <v>0</v>
      </c>
      <c r="P1084" s="5">
        <f t="shared" si="131"/>
        <v>0</v>
      </c>
      <c r="Q1084" s="5">
        <f t="shared" si="132"/>
        <v>2</v>
      </c>
      <c r="R1084" s="8">
        <f t="shared" si="133"/>
        <v>0</v>
      </c>
      <c r="S1084" s="8">
        <f t="shared" si="134"/>
        <v>0</v>
      </c>
      <c r="T1084" s="3" t="str">
        <f t="shared" si="135"/>
        <v/>
      </c>
      <c r="V1084" s="1" t="e">
        <f t="shared" si="136"/>
        <v>#VALUE!</v>
      </c>
    </row>
    <row r="1085" spans="8:22" x14ac:dyDescent="0.3">
      <c r="H1085" s="2" t="str">
        <f>IF(Planilha1!B1082="","",Planilha1!B1082)</f>
        <v>7:30p</v>
      </c>
      <c r="I1085" s="2" t="str">
        <f>IF(Planilha1!C1082="","",Planilha1!C1082)</f>
        <v>Portland Trail Blazers</v>
      </c>
      <c r="J1085" s="2">
        <f>IF(Planilha1!D1082="","",Planilha1!D1082)</f>
        <v>0</v>
      </c>
      <c r="K1085" s="10" t="str">
        <f>IF(Planilha1!E1082="","",IF(Planilha1!E1082=0,"",Planilha1!E1082))</f>
        <v>Atlanta Hawks</v>
      </c>
      <c r="L1085" s="10">
        <f>IF(Planilha1!F1082="","",Planilha1!F1082)</f>
        <v>0</v>
      </c>
      <c r="M1085" s="10" t="str">
        <f>IF(Planilha1!G1082="","",IF(Planilha1!G1082=0,"",Planilha1!G1082))</f>
        <v/>
      </c>
      <c r="N1085" s="5">
        <f t="shared" si="129"/>
        <v>1</v>
      </c>
      <c r="O1085" s="5">
        <f t="shared" si="130"/>
        <v>0</v>
      </c>
      <c r="P1085" s="5">
        <f t="shared" si="131"/>
        <v>0</v>
      </c>
      <c r="Q1085" s="5">
        <f t="shared" si="132"/>
        <v>2</v>
      </c>
      <c r="R1085" s="8">
        <f t="shared" si="133"/>
        <v>0</v>
      </c>
      <c r="S1085" s="8">
        <f t="shared" si="134"/>
        <v>0</v>
      </c>
      <c r="T1085" s="3" t="str">
        <f t="shared" si="135"/>
        <v/>
      </c>
      <c r="V1085" s="1" t="e">
        <f t="shared" si="136"/>
        <v>#VALUE!</v>
      </c>
    </row>
    <row r="1086" spans="8:22" x14ac:dyDescent="0.3">
      <c r="H1086" s="2" t="str">
        <f>IF(Planilha1!B1083="","",Planilha1!B1083)</f>
        <v>7:30p</v>
      </c>
      <c r="I1086" s="2" t="str">
        <f>IF(Planilha1!C1083="","",Planilha1!C1083)</f>
        <v>Los Angeles Clippers</v>
      </c>
      <c r="J1086" s="2">
        <f>IF(Planilha1!D1083="","",Planilha1!D1083)</f>
        <v>0</v>
      </c>
      <c r="K1086" s="10" t="str">
        <f>IF(Planilha1!E1083="","",IF(Planilha1!E1083=0,"",Planilha1!E1083))</f>
        <v>Philadelphia 76ers</v>
      </c>
      <c r="L1086" s="10">
        <f>IF(Planilha1!F1083="","",Planilha1!F1083)</f>
        <v>0</v>
      </c>
      <c r="M1086" s="10" t="str">
        <f>IF(Planilha1!G1083="","",IF(Planilha1!G1083=0,"",Planilha1!G1083))</f>
        <v/>
      </c>
      <c r="N1086" s="5">
        <f t="shared" si="129"/>
        <v>1</v>
      </c>
      <c r="O1086" s="5">
        <f t="shared" si="130"/>
        <v>0</v>
      </c>
      <c r="P1086" s="5">
        <f t="shared" si="131"/>
        <v>0</v>
      </c>
      <c r="Q1086" s="5">
        <f t="shared" si="132"/>
        <v>2</v>
      </c>
      <c r="R1086" s="8">
        <f t="shared" si="133"/>
        <v>0</v>
      </c>
      <c r="S1086" s="8">
        <f t="shared" si="134"/>
        <v>0</v>
      </c>
      <c r="T1086" s="3" t="str">
        <f t="shared" si="135"/>
        <v/>
      </c>
      <c r="V1086" s="1" t="e">
        <f t="shared" si="136"/>
        <v>#VALUE!</v>
      </c>
    </row>
    <row r="1087" spans="8:22" x14ac:dyDescent="0.3">
      <c r="H1087" s="2" t="str">
        <f>IF(Planilha1!B1084="","",Planilha1!B1084)</f>
        <v>7:30p</v>
      </c>
      <c r="I1087" s="2" t="str">
        <f>IF(Planilha1!C1084="","",Planilha1!C1084)</f>
        <v>New York Knicks</v>
      </c>
      <c r="J1087" s="2">
        <f>IF(Planilha1!D1084="","",Planilha1!D1084)</f>
        <v>0</v>
      </c>
      <c r="K1087" s="10" t="str">
        <f>IF(Planilha1!E1084="","",IF(Planilha1!E1084=0,"",Planilha1!E1084))</f>
        <v>Toronto Raptors</v>
      </c>
      <c r="L1087" s="10">
        <f>IF(Planilha1!F1084="","",Planilha1!F1084)</f>
        <v>0</v>
      </c>
      <c r="M1087" s="10" t="str">
        <f>IF(Planilha1!G1084="","",IF(Planilha1!G1084=0,"",Planilha1!G1084))</f>
        <v/>
      </c>
      <c r="N1087" s="5">
        <f t="shared" si="129"/>
        <v>1</v>
      </c>
      <c r="O1087" s="5">
        <f t="shared" si="130"/>
        <v>0</v>
      </c>
      <c r="P1087" s="5">
        <f t="shared" si="131"/>
        <v>0</v>
      </c>
      <c r="Q1087" s="5">
        <f t="shared" si="132"/>
        <v>2</v>
      </c>
      <c r="R1087" s="8">
        <f t="shared" si="133"/>
        <v>0</v>
      </c>
      <c r="S1087" s="8">
        <f t="shared" si="134"/>
        <v>0</v>
      </c>
      <c r="T1087" s="3" t="str">
        <f t="shared" si="135"/>
        <v/>
      </c>
      <c r="V1087" s="1" t="e">
        <f t="shared" si="136"/>
        <v>#VALUE!</v>
      </c>
    </row>
    <row r="1088" spans="8:22" x14ac:dyDescent="0.3">
      <c r="H1088" s="2" t="str">
        <f>IF(Planilha1!B1085="","",Planilha1!B1085)</f>
        <v>8:00p</v>
      </c>
      <c r="I1088" s="2" t="str">
        <f>IF(Planilha1!C1085="","",Planilha1!C1085)</f>
        <v>Indiana Pacers</v>
      </c>
      <c r="J1088" s="2">
        <f>IF(Planilha1!D1085="","",Planilha1!D1085)</f>
        <v>0</v>
      </c>
      <c r="K1088" s="10" t="str">
        <f>IF(Planilha1!E1085="","",IF(Planilha1!E1085=0,"",Planilha1!E1085))</f>
        <v>Chicago Bulls</v>
      </c>
      <c r="L1088" s="10">
        <f>IF(Planilha1!F1085="","",Planilha1!F1085)</f>
        <v>0</v>
      </c>
      <c r="M1088" s="10" t="str">
        <f>IF(Planilha1!G1085="","",IF(Planilha1!G1085=0,"",Planilha1!G1085))</f>
        <v/>
      </c>
      <c r="N1088" s="5">
        <f t="shared" si="129"/>
        <v>1</v>
      </c>
      <c r="O1088" s="5">
        <f t="shared" si="130"/>
        <v>0</v>
      </c>
      <c r="P1088" s="5">
        <f t="shared" si="131"/>
        <v>0</v>
      </c>
      <c r="Q1088" s="5">
        <f t="shared" si="132"/>
        <v>2</v>
      </c>
      <c r="R1088" s="8">
        <f t="shared" si="133"/>
        <v>0</v>
      </c>
      <c r="S1088" s="8">
        <f t="shared" si="134"/>
        <v>0</v>
      </c>
      <c r="T1088" s="3" t="str">
        <f t="shared" si="135"/>
        <v/>
      </c>
      <c r="V1088" s="1" t="e">
        <f t="shared" si="136"/>
        <v>#VALUE!</v>
      </c>
    </row>
    <row r="1089" spans="8:22" x14ac:dyDescent="0.3">
      <c r="H1089" s="2" t="str">
        <f>IF(Planilha1!B1086="","",Planilha1!B1086)</f>
        <v>8:00p</v>
      </c>
      <c r="I1089" s="2" t="str">
        <f>IF(Planilha1!C1086="","",Planilha1!C1086)</f>
        <v>Los Angeles Lakers</v>
      </c>
      <c r="J1089" s="2">
        <f>IF(Planilha1!D1086="","",Planilha1!D1086)</f>
        <v>0</v>
      </c>
      <c r="K1089" s="10" t="str">
        <f>IF(Planilha1!E1086="","",IF(Planilha1!E1086=0,"",Planilha1!E1086))</f>
        <v>Memphis Grizzlies</v>
      </c>
      <c r="L1089" s="10">
        <f>IF(Planilha1!F1086="","",Planilha1!F1086)</f>
        <v>0</v>
      </c>
      <c r="M1089" s="10" t="str">
        <f>IF(Planilha1!G1086="","",IF(Planilha1!G1086=0,"",Planilha1!G1086))</f>
        <v/>
      </c>
      <c r="N1089" s="5">
        <f t="shared" si="129"/>
        <v>1</v>
      </c>
      <c r="O1089" s="5">
        <f t="shared" si="130"/>
        <v>0</v>
      </c>
      <c r="P1089" s="5">
        <f t="shared" si="131"/>
        <v>0</v>
      </c>
      <c r="Q1089" s="5">
        <f t="shared" si="132"/>
        <v>2</v>
      </c>
      <c r="R1089" s="8">
        <f t="shared" si="133"/>
        <v>0</v>
      </c>
      <c r="S1089" s="8">
        <f t="shared" si="134"/>
        <v>0</v>
      </c>
      <c r="T1089" s="3" t="str">
        <f t="shared" si="135"/>
        <v/>
      </c>
      <c r="V1089" s="1" t="e">
        <f t="shared" si="136"/>
        <v>#VALUE!</v>
      </c>
    </row>
    <row r="1090" spans="8:22" x14ac:dyDescent="0.3">
      <c r="H1090" s="2" t="str">
        <f>IF(Planilha1!B1087="","",Planilha1!B1087)</f>
        <v>8:00p</v>
      </c>
      <c r="I1090" s="2" t="str">
        <f>IF(Planilha1!C1087="","",Planilha1!C1087)</f>
        <v>Detroit Pistons</v>
      </c>
      <c r="J1090" s="2">
        <f>IF(Planilha1!D1087="","",Planilha1!D1087)</f>
        <v>0</v>
      </c>
      <c r="K1090" s="10" t="str">
        <f>IF(Planilha1!E1087="","",IF(Planilha1!E1087=0,"",Planilha1!E1087))</f>
        <v>Minnesota Timberwolves</v>
      </c>
      <c r="L1090" s="10">
        <f>IF(Planilha1!F1087="","",Planilha1!F1087)</f>
        <v>0</v>
      </c>
      <c r="M1090" s="10" t="str">
        <f>IF(Planilha1!G1087="","",IF(Planilha1!G1087=0,"",Planilha1!G1087))</f>
        <v/>
      </c>
      <c r="N1090" s="5">
        <f t="shared" si="129"/>
        <v>1</v>
      </c>
      <c r="O1090" s="5">
        <f t="shared" si="130"/>
        <v>0</v>
      </c>
      <c r="P1090" s="5">
        <f t="shared" si="131"/>
        <v>0</v>
      </c>
      <c r="Q1090" s="5">
        <f t="shared" si="132"/>
        <v>2</v>
      </c>
      <c r="R1090" s="8">
        <f t="shared" si="133"/>
        <v>0</v>
      </c>
      <c r="S1090" s="8">
        <f t="shared" si="134"/>
        <v>0</v>
      </c>
      <c r="T1090" s="3" t="str">
        <f t="shared" si="135"/>
        <v/>
      </c>
      <c r="V1090" s="1" t="e">
        <f t="shared" si="136"/>
        <v>#VALUE!</v>
      </c>
    </row>
    <row r="1091" spans="8:22" x14ac:dyDescent="0.3">
      <c r="H1091" s="2" t="str">
        <f>IF(Planilha1!B1088="","",Planilha1!B1088)</f>
        <v>8:00p</v>
      </c>
      <c r="I1091" s="2" t="str">
        <f>IF(Planilha1!C1088="","",Planilha1!C1088)</f>
        <v>Houston Rockets</v>
      </c>
      <c r="J1091" s="2">
        <f>IF(Planilha1!D1088="","",Planilha1!D1088)</f>
        <v>0</v>
      </c>
      <c r="K1091" s="10" t="str">
        <f>IF(Planilha1!E1088="","",IF(Planilha1!E1088=0,"",Planilha1!E1088))</f>
        <v>Oklahoma City Thunder</v>
      </c>
      <c r="L1091" s="10">
        <f>IF(Planilha1!F1088="","",Planilha1!F1088)</f>
        <v>0</v>
      </c>
      <c r="M1091" s="10" t="str">
        <f>IF(Planilha1!G1088="","",IF(Planilha1!G1088=0,"",Planilha1!G1088))</f>
        <v/>
      </c>
      <c r="N1091" s="5">
        <f t="shared" si="129"/>
        <v>1</v>
      </c>
      <c r="O1091" s="5">
        <f t="shared" si="130"/>
        <v>0</v>
      </c>
      <c r="P1091" s="5">
        <f t="shared" si="131"/>
        <v>0</v>
      </c>
      <c r="Q1091" s="5">
        <f t="shared" si="132"/>
        <v>2</v>
      </c>
      <c r="R1091" s="8">
        <f t="shared" si="133"/>
        <v>0</v>
      </c>
      <c r="S1091" s="8">
        <f t="shared" si="134"/>
        <v>0</v>
      </c>
      <c r="T1091" s="3" t="str">
        <f t="shared" si="135"/>
        <v/>
      </c>
      <c r="V1091" s="1" t="e">
        <f t="shared" si="136"/>
        <v>#VALUE!</v>
      </c>
    </row>
    <row r="1092" spans="8:22" x14ac:dyDescent="0.3">
      <c r="H1092" s="2" t="str">
        <f>IF(Planilha1!B1089="","",Planilha1!B1089)</f>
        <v>9:00p</v>
      </c>
      <c r="I1092" s="2" t="str">
        <f>IF(Planilha1!C1089="","",Planilha1!C1089)</f>
        <v>San Antonio Spurs</v>
      </c>
      <c r="J1092" s="2">
        <f>IF(Planilha1!D1089="","",Planilha1!D1089)</f>
        <v>0</v>
      </c>
      <c r="K1092" s="10" t="str">
        <f>IF(Planilha1!E1089="","",IF(Planilha1!E1089=0,"",Planilha1!E1089))</f>
        <v>Utah Jazz</v>
      </c>
      <c r="L1092" s="10">
        <f>IF(Planilha1!F1089="","",Planilha1!F1089)</f>
        <v>0</v>
      </c>
      <c r="M1092" s="10" t="str">
        <f>IF(Planilha1!G1089="","",IF(Planilha1!G1089=0,"",Planilha1!G1089))</f>
        <v/>
      </c>
      <c r="N1092" s="5">
        <f t="shared" si="129"/>
        <v>1</v>
      </c>
      <c r="O1092" s="5">
        <f t="shared" si="130"/>
        <v>0</v>
      </c>
      <c r="P1092" s="5">
        <f t="shared" si="131"/>
        <v>0</v>
      </c>
      <c r="Q1092" s="5">
        <f t="shared" si="132"/>
        <v>2</v>
      </c>
      <c r="R1092" s="8">
        <f t="shared" si="133"/>
        <v>0</v>
      </c>
      <c r="S1092" s="8">
        <f t="shared" si="134"/>
        <v>0</v>
      </c>
      <c r="T1092" s="3" t="str">
        <f t="shared" si="135"/>
        <v/>
      </c>
      <c r="V1092" s="1" t="e">
        <f t="shared" si="136"/>
        <v>#VALUE!</v>
      </c>
    </row>
    <row r="1093" spans="8:22" x14ac:dyDescent="0.3">
      <c r="H1093" s="2" t="str">
        <f>IF(Planilha1!B1090="","",Planilha1!B1090)</f>
        <v>10:00p</v>
      </c>
      <c r="I1093" s="2" t="str">
        <f>IF(Planilha1!C1090="","",Planilha1!C1090)</f>
        <v>Phoenix Suns</v>
      </c>
      <c r="J1093" s="2">
        <f>IF(Planilha1!D1090="","",Planilha1!D1090)</f>
        <v>0</v>
      </c>
      <c r="K1093" s="10" t="str">
        <f>IF(Planilha1!E1090="","",IF(Planilha1!E1090=0,"",Planilha1!E1090))</f>
        <v>Denver Nuggets</v>
      </c>
      <c r="L1093" s="10">
        <f>IF(Planilha1!F1090="","",Planilha1!F1090)</f>
        <v>0</v>
      </c>
      <c r="M1093" s="10" t="str">
        <f>IF(Planilha1!G1090="","",IF(Planilha1!G1090=0,"",Planilha1!G1090))</f>
        <v/>
      </c>
      <c r="N1093" s="5">
        <f t="shared" si="129"/>
        <v>1</v>
      </c>
      <c r="O1093" s="5">
        <f t="shared" si="130"/>
        <v>0</v>
      </c>
      <c r="P1093" s="5">
        <f t="shared" si="131"/>
        <v>0</v>
      </c>
      <c r="Q1093" s="5">
        <f t="shared" si="132"/>
        <v>2</v>
      </c>
      <c r="R1093" s="8">
        <f t="shared" si="133"/>
        <v>0</v>
      </c>
      <c r="S1093" s="8">
        <f t="shared" si="134"/>
        <v>0</v>
      </c>
      <c r="T1093" s="3" t="str">
        <f t="shared" si="135"/>
        <v/>
      </c>
      <c r="V1093" s="1" t="e">
        <f t="shared" si="136"/>
        <v>#VALUE!</v>
      </c>
    </row>
    <row r="1094" spans="8:22" x14ac:dyDescent="0.3">
      <c r="H1094" s="2" t="str">
        <f>IF(Planilha1!B1091="","",Planilha1!B1091)</f>
        <v>7:30p</v>
      </c>
      <c r="I1094" s="2" t="str">
        <f>IF(Planilha1!C1091="","",Planilha1!C1091)</f>
        <v>Boston Celtics</v>
      </c>
      <c r="J1094" s="2">
        <f>IF(Planilha1!D1091="","",Planilha1!D1091)</f>
        <v>0</v>
      </c>
      <c r="K1094" s="10" t="str">
        <f>IF(Planilha1!E1091="","",IF(Planilha1!E1091=0,"",Planilha1!E1091))</f>
        <v>Atlanta Hawks</v>
      </c>
      <c r="L1094" s="10">
        <f>IF(Planilha1!F1091="","",Planilha1!F1091)</f>
        <v>0</v>
      </c>
      <c r="M1094" s="10" t="str">
        <f>IF(Planilha1!G1091="","",IF(Planilha1!G1091=0,"",Planilha1!G1091))</f>
        <v/>
      </c>
      <c r="N1094" s="5">
        <f t="shared" ref="N1094:N1157" si="137">IF(K1094="","",IF(K1094&gt;M1094,100%,0%))</f>
        <v>1</v>
      </c>
      <c r="O1094" s="5">
        <f t="shared" ref="O1094:O1157" si="138">IF(K1094="","",IF(K1094&lt;M1094,100%,0%))</f>
        <v>0</v>
      </c>
      <c r="P1094" s="5">
        <f t="shared" ref="P1094:P1157" si="139">IF(M1094="",IF(R1094&gt;S1094,2,0),IF(K1094&lt;M1094,2,0))</f>
        <v>0</v>
      </c>
      <c r="Q1094" s="5">
        <f t="shared" ref="Q1094:Q1157" si="140">IF(M1094="",IF(R1094&gt;S1094,0,2),IF(K1094&gt;M1094,2,0))</f>
        <v>2</v>
      </c>
      <c r="R1094" s="8">
        <f t="shared" ref="R1094:R1157" si="141">SUMIF($B:$B,J1094,$C:$C)+(SUMIF($B:$B,L1094,$F:$F))</f>
        <v>0</v>
      </c>
      <c r="S1094" s="8">
        <f t="shared" ref="S1094:S1157" si="142">SUMIF($B:$B,L1094,$E:$E)+(SUMIF($B:$B,J1094,$D:$D))</f>
        <v>0</v>
      </c>
      <c r="T1094" s="3" t="str">
        <f t="shared" ref="T1094:T1157" si="143">IF(M1094="","",(K1094-S1094)^2+(M1094-R1094)^2)</f>
        <v/>
      </c>
      <c r="V1094" s="1" t="e">
        <f t="shared" ref="V1094:V1157" si="144">IF(O1094="","",1/((M1094-K1094)/(R1094-S1094)))</f>
        <v>#VALUE!</v>
      </c>
    </row>
    <row r="1095" spans="8:22" x14ac:dyDescent="0.3">
      <c r="H1095" s="2" t="str">
        <f>IF(Planilha1!B1092="","",Planilha1!B1092)</f>
        <v>8:00p</v>
      </c>
      <c r="I1095" s="2" t="str">
        <f>IF(Planilha1!C1092="","",Planilha1!C1092)</f>
        <v>Milwaukee Bucks</v>
      </c>
      <c r="J1095" s="2">
        <f>IF(Planilha1!D1092="","",Planilha1!D1092)</f>
        <v>0</v>
      </c>
      <c r="K1095" s="10" t="str">
        <f>IF(Planilha1!E1092="","",IF(Planilha1!E1092=0,"",Planilha1!E1092))</f>
        <v>New Orleans Pelicans</v>
      </c>
      <c r="L1095" s="10">
        <f>IF(Planilha1!F1092="","",Planilha1!F1092)</f>
        <v>0</v>
      </c>
      <c r="M1095" s="10" t="str">
        <f>IF(Planilha1!G1092="","",IF(Planilha1!G1092=0,"",Planilha1!G1092))</f>
        <v/>
      </c>
      <c r="N1095" s="5">
        <f t="shared" si="137"/>
        <v>1</v>
      </c>
      <c r="O1095" s="5">
        <f t="shared" si="138"/>
        <v>0</v>
      </c>
      <c r="P1095" s="5">
        <f t="shared" si="139"/>
        <v>0</v>
      </c>
      <c r="Q1095" s="5">
        <f t="shared" si="140"/>
        <v>2</v>
      </c>
      <c r="R1095" s="8">
        <f t="shared" si="141"/>
        <v>0</v>
      </c>
      <c r="S1095" s="8">
        <f t="shared" si="142"/>
        <v>0</v>
      </c>
      <c r="T1095" s="3" t="str">
        <f t="shared" si="143"/>
        <v/>
      </c>
      <c r="V1095" s="1" t="e">
        <f t="shared" si="144"/>
        <v>#VALUE!</v>
      </c>
    </row>
    <row r="1096" spans="8:22" x14ac:dyDescent="0.3">
      <c r="H1096" s="2" t="str">
        <f>IF(Planilha1!B1093="","",Planilha1!B1093)</f>
        <v>7:00p</v>
      </c>
      <c r="I1096" s="2" t="str">
        <f>IF(Planilha1!C1093="","",Planilha1!C1093)</f>
        <v>Golden State Warriors</v>
      </c>
      <c r="J1096" s="2">
        <f>IF(Planilha1!D1093="","",Planilha1!D1093)</f>
        <v>0</v>
      </c>
      <c r="K1096" s="10" t="str">
        <f>IF(Planilha1!E1093="","",IF(Planilha1!E1093=0,"",Planilha1!E1093))</f>
        <v>Charlotte Hornets</v>
      </c>
      <c r="L1096" s="10">
        <f>IF(Planilha1!F1093="","",Planilha1!F1093)</f>
        <v>0</v>
      </c>
      <c r="M1096" s="10" t="str">
        <f>IF(Planilha1!G1093="","",IF(Planilha1!G1093=0,"",Planilha1!G1093))</f>
        <v/>
      </c>
      <c r="N1096" s="5">
        <f t="shared" si="137"/>
        <v>1</v>
      </c>
      <c r="O1096" s="5">
        <f t="shared" si="138"/>
        <v>0</v>
      </c>
      <c r="P1096" s="5">
        <f t="shared" si="139"/>
        <v>0</v>
      </c>
      <c r="Q1096" s="5">
        <f t="shared" si="140"/>
        <v>2</v>
      </c>
      <c r="R1096" s="8">
        <f t="shared" si="141"/>
        <v>0</v>
      </c>
      <c r="S1096" s="8">
        <f t="shared" si="142"/>
        <v>0</v>
      </c>
      <c r="T1096" s="3" t="str">
        <f t="shared" si="143"/>
        <v/>
      </c>
      <c r="V1096" s="1" t="e">
        <f t="shared" si="144"/>
        <v>#VALUE!</v>
      </c>
    </row>
    <row r="1097" spans="8:22" x14ac:dyDescent="0.3">
      <c r="H1097" s="2" t="str">
        <f>IF(Planilha1!B1094="","",Planilha1!B1094)</f>
        <v>7:00p</v>
      </c>
      <c r="I1097" s="2" t="str">
        <f>IF(Planilha1!C1094="","",Planilha1!C1094)</f>
        <v>Los Angeles Lakers</v>
      </c>
      <c r="J1097" s="2">
        <f>IF(Planilha1!D1094="","",Planilha1!D1094)</f>
        <v>0</v>
      </c>
      <c r="K1097" s="10" t="str">
        <f>IF(Planilha1!E1094="","",IF(Planilha1!E1094=0,"",Planilha1!E1094))</f>
        <v>Indiana Pacers</v>
      </c>
      <c r="L1097" s="10">
        <f>IF(Planilha1!F1094="","",Planilha1!F1094)</f>
        <v>0</v>
      </c>
      <c r="M1097" s="10" t="str">
        <f>IF(Planilha1!G1094="","",IF(Planilha1!G1094=0,"",Planilha1!G1094))</f>
        <v/>
      </c>
      <c r="N1097" s="5">
        <f t="shared" si="137"/>
        <v>1</v>
      </c>
      <c r="O1097" s="5">
        <f t="shared" si="138"/>
        <v>0</v>
      </c>
      <c r="P1097" s="5">
        <f t="shared" si="139"/>
        <v>0</v>
      </c>
      <c r="Q1097" s="5">
        <f t="shared" si="140"/>
        <v>2</v>
      </c>
      <c r="R1097" s="8">
        <f t="shared" si="141"/>
        <v>0</v>
      </c>
      <c r="S1097" s="8">
        <f t="shared" si="142"/>
        <v>0</v>
      </c>
      <c r="T1097" s="3" t="str">
        <f t="shared" si="143"/>
        <v/>
      </c>
      <c r="V1097" s="1" t="e">
        <f t="shared" si="144"/>
        <v>#VALUE!</v>
      </c>
    </row>
    <row r="1098" spans="8:22" x14ac:dyDescent="0.3">
      <c r="H1098" s="2" t="str">
        <f>IF(Planilha1!B1095="","",Planilha1!B1095)</f>
        <v>7:00p</v>
      </c>
      <c r="I1098" s="2" t="str">
        <f>IF(Planilha1!C1095="","",Planilha1!C1095)</f>
        <v>Los Angeles Clippers</v>
      </c>
      <c r="J1098" s="2">
        <f>IF(Planilha1!D1095="","",Planilha1!D1095)</f>
        <v>0</v>
      </c>
      <c r="K1098" s="10" t="str">
        <f>IF(Planilha1!E1095="","",IF(Planilha1!E1095=0,"",Planilha1!E1095))</f>
        <v>Orlando Magic</v>
      </c>
      <c r="L1098" s="10">
        <f>IF(Planilha1!F1095="","",Planilha1!F1095)</f>
        <v>0</v>
      </c>
      <c r="M1098" s="10" t="str">
        <f>IF(Planilha1!G1095="","",IF(Planilha1!G1095=0,"",Planilha1!G1095))</f>
        <v/>
      </c>
      <c r="N1098" s="5">
        <f t="shared" si="137"/>
        <v>1</v>
      </c>
      <c r="O1098" s="5">
        <f t="shared" si="138"/>
        <v>0</v>
      </c>
      <c r="P1098" s="5">
        <f t="shared" si="139"/>
        <v>0</v>
      </c>
      <c r="Q1098" s="5">
        <f t="shared" si="140"/>
        <v>2</v>
      </c>
      <c r="R1098" s="8">
        <f t="shared" si="141"/>
        <v>0</v>
      </c>
      <c r="S1098" s="8">
        <f t="shared" si="142"/>
        <v>0</v>
      </c>
      <c r="T1098" s="3" t="str">
        <f t="shared" si="143"/>
        <v/>
      </c>
      <c r="V1098" s="1" t="e">
        <f t="shared" si="144"/>
        <v>#VALUE!</v>
      </c>
    </row>
    <row r="1099" spans="8:22" x14ac:dyDescent="0.3">
      <c r="H1099" s="2" t="str">
        <f>IF(Planilha1!B1096="","",Planilha1!B1096)</f>
        <v>7:00p</v>
      </c>
      <c r="I1099" s="2" t="str">
        <f>IF(Planilha1!C1096="","",Planilha1!C1096)</f>
        <v>Detroit Pistons</v>
      </c>
      <c r="J1099" s="2">
        <f>IF(Planilha1!D1096="","",Planilha1!D1096)</f>
        <v>0</v>
      </c>
      <c r="K1099" s="10" t="str">
        <f>IF(Planilha1!E1096="","",IF(Planilha1!E1096=0,"",Planilha1!E1096))</f>
        <v>Washington Wizards</v>
      </c>
      <c r="L1099" s="10">
        <f>IF(Planilha1!F1096="","",Planilha1!F1096)</f>
        <v>0</v>
      </c>
      <c r="M1099" s="10" t="str">
        <f>IF(Planilha1!G1096="","",IF(Planilha1!G1096=0,"",Planilha1!G1096))</f>
        <v/>
      </c>
      <c r="N1099" s="5">
        <f t="shared" si="137"/>
        <v>1</v>
      </c>
      <c r="O1099" s="5">
        <f t="shared" si="138"/>
        <v>0</v>
      </c>
      <c r="P1099" s="5">
        <f t="shared" si="139"/>
        <v>0</v>
      </c>
      <c r="Q1099" s="5">
        <f t="shared" si="140"/>
        <v>2</v>
      </c>
      <c r="R1099" s="8">
        <f t="shared" si="141"/>
        <v>0</v>
      </c>
      <c r="S1099" s="8">
        <f t="shared" si="142"/>
        <v>0</v>
      </c>
      <c r="T1099" s="3" t="str">
        <f t="shared" si="143"/>
        <v/>
      </c>
      <c r="V1099" s="1" t="e">
        <f t="shared" si="144"/>
        <v>#VALUE!</v>
      </c>
    </row>
    <row r="1100" spans="8:22" x14ac:dyDescent="0.3">
      <c r="H1100" s="2" t="str">
        <f>IF(Planilha1!B1097="","",Planilha1!B1097)</f>
        <v>7:30p</v>
      </c>
      <c r="I1100" s="2" t="str">
        <f>IF(Planilha1!C1097="","",Planilha1!C1097)</f>
        <v>Chicago Bulls</v>
      </c>
      <c r="J1100" s="2">
        <f>IF(Planilha1!D1097="","",Planilha1!D1097)</f>
        <v>0</v>
      </c>
      <c r="K1100" s="10" t="str">
        <f>IF(Planilha1!E1097="","",IF(Planilha1!E1097=0,"",Planilha1!E1097))</f>
        <v>Brooklyn Nets</v>
      </c>
      <c r="L1100" s="10">
        <f>IF(Planilha1!F1097="","",Planilha1!F1097)</f>
        <v>0</v>
      </c>
      <c r="M1100" s="10" t="str">
        <f>IF(Planilha1!G1097="","",IF(Planilha1!G1097=0,"",Planilha1!G1097))</f>
        <v/>
      </c>
      <c r="N1100" s="5">
        <f t="shared" si="137"/>
        <v>1</v>
      </c>
      <c r="O1100" s="5">
        <f t="shared" si="138"/>
        <v>0</v>
      </c>
      <c r="P1100" s="5">
        <f t="shared" si="139"/>
        <v>0</v>
      </c>
      <c r="Q1100" s="5">
        <f t="shared" si="140"/>
        <v>2</v>
      </c>
      <c r="R1100" s="8">
        <f t="shared" si="141"/>
        <v>0</v>
      </c>
      <c r="S1100" s="8">
        <f t="shared" si="142"/>
        <v>0</v>
      </c>
      <c r="T1100" s="3" t="str">
        <f t="shared" si="143"/>
        <v/>
      </c>
      <c r="V1100" s="1" t="e">
        <f t="shared" si="144"/>
        <v>#VALUE!</v>
      </c>
    </row>
    <row r="1101" spans="8:22" x14ac:dyDescent="0.3">
      <c r="H1101" s="2" t="str">
        <f>IF(Planilha1!B1098="","",Planilha1!B1098)</f>
        <v>7:30p</v>
      </c>
      <c r="I1101" s="2" t="str">
        <f>IF(Planilha1!C1098="","",Planilha1!C1098)</f>
        <v>Philadelphia 76ers</v>
      </c>
      <c r="J1101" s="2">
        <f>IF(Planilha1!D1098="","",Planilha1!D1098)</f>
        <v>0</v>
      </c>
      <c r="K1101" s="10" t="str">
        <f>IF(Planilha1!E1098="","",IF(Planilha1!E1098=0,"",Planilha1!E1098))</f>
        <v>Cleveland Cavaliers</v>
      </c>
      <c r="L1101" s="10">
        <f>IF(Planilha1!F1098="","",Planilha1!F1098)</f>
        <v>0</v>
      </c>
      <c r="M1101" s="10" t="str">
        <f>IF(Planilha1!G1098="","",IF(Planilha1!G1098=0,"",Planilha1!G1098))</f>
        <v/>
      </c>
      <c r="N1101" s="5">
        <f t="shared" si="137"/>
        <v>1</v>
      </c>
      <c r="O1101" s="5">
        <f t="shared" si="138"/>
        <v>0</v>
      </c>
      <c r="P1101" s="5">
        <f t="shared" si="139"/>
        <v>0</v>
      </c>
      <c r="Q1101" s="5">
        <f t="shared" si="140"/>
        <v>2</v>
      </c>
      <c r="R1101" s="8">
        <f t="shared" si="141"/>
        <v>0</v>
      </c>
      <c r="S1101" s="8">
        <f t="shared" si="142"/>
        <v>0</v>
      </c>
      <c r="T1101" s="3" t="str">
        <f t="shared" si="143"/>
        <v/>
      </c>
      <c r="V1101" s="1" t="e">
        <f t="shared" si="144"/>
        <v>#VALUE!</v>
      </c>
    </row>
    <row r="1102" spans="8:22" x14ac:dyDescent="0.3">
      <c r="H1102" s="2" t="str">
        <f>IF(Planilha1!B1099="","",Planilha1!B1099)</f>
        <v>8:00p</v>
      </c>
      <c r="I1102" s="2" t="str">
        <f>IF(Planilha1!C1099="","",Planilha1!C1099)</f>
        <v>Portland Trail Blazers</v>
      </c>
      <c r="J1102" s="2">
        <f>IF(Planilha1!D1099="","",Planilha1!D1099)</f>
        <v>0</v>
      </c>
      <c r="K1102" s="10" t="str">
        <f>IF(Planilha1!E1099="","",IF(Planilha1!E1099=0,"",Planilha1!E1099))</f>
        <v>Miami Heat</v>
      </c>
      <c r="L1102" s="10">
        <f>IF(Planilha1!F1099="","",Planilha1!F1099)</f>
        <v>0</v>
      </c>
      <c r="M1102" s="10" t="str">
        <f>IF(Planilha1!G1099="","",IF(Planilha1!G1099=0,"",Planilha1!G1099))</f>
        <v/>
      </c>
      <c r="N1102" s="5">
        <f t="shared" si="137"/>
        <v>1</v>
      </c>
      <c r="O1102" s="5">
        <f t="shared" si="138"/>
        <v>0</v>
      </c>
      <c r="P1102" s="5">
        <f t="shared" si="139"/>
        <v>0</v>
      </c>
      <c r="Q1102" s="5">
        <f t="shared" si="140"/>
        <v>2</v>
      </c>
      <c r="R1102" s="8">
        <f t="shared" si="141"/>
        <v>0</v>
      </c>
      <c r="S1102" s="8">
        <f t="shared" si="142"/>
        <v>0</v>
      </c>
      <c r="T1102" s="3" t="str">
        <f t="shared" si="143"/>
        <v/>
      </c>
      <c r="V1102" s="1" t="e">
        <f t="shared" si="144"/>
        <v>#VALUE!</v>
      </c>
    </row>
    <row r="1103" spans="8:22" x14ac:dyDescent="0.3">
      <c r="H1103" s="2" t="str">
        <f>IF(Planilha1!B1100="","",Planilha1!B1100)</f>
        <v>8:00p</v>
      </c>
      <c r="I1103" s="2" t="str">
        <f>IF(Planilha1!C1100="","",Planilha1!C1100)</f>
        <v>Phoenix Suns</v>
      </c>
      <c r="J1103" s="2">
        <f>IF(Planilha1!D1100="","",Planilha1!D1100)</f>
        <v>0</v>
      </c>
      <c r="K1103" s="10" t="str">
        <f>IF(Planilha1!E1100="","",IF(Planilha1!E1100=0,"",Planilha1!E1100))</f>
        <v>Oklahoma City Thunder</v>
      </c>
      <c r="L1103" s="10">
        <f>IF(Planilha1!F1100="","",Planilha1!F1100)</f>
        <v>0</v>
      </c>
      <c r="M1103" s="10" t="str">
        <f>IF(Planilha1!G1100="","",IF(Planilha1!G1100=0,"",Planilha1!G1100))</f>
        <v/>
      </c>
      <c r="N1103" s="5">
        <f t="shared" si="137"/>
        <v>1</v>
      </c>
      <c r="O1103" s="5">
        <f t="shared" si="138"/>
        <v>0</v>
      </c>
      <c r="P1103" s="5">
        <f t="shared" si="139"/>
        <v>0</v>
      </c>
      <c r="Q1103" s="5">
        <f t="shared" si="140"/>
        <v>2</v>
      </c>
      <c r="R1103" s="8">
        <f t="shared" si="141"/>
        <v>0</v>
      </c>
      <c r="S1103" s="8">
        <f t="shared" si="142"/>
        <v>0</v>
      </c>
      <c r="T1103" s="3" t="str">
        <f t="shared" si="143"/>
        <v/>
      </c>
      <c r="V1103" s="1" t="e">
        <f t="shared" si="144"/>
        <v>#VALUE!</v>
      </c>
    </row>
    <row r="1104" spans="8:22" x14ac:dyDescent="0.3">
      <c r="H1104" s="2" t="str">
        <f>IF(Planilha1!B1101="","",Planilha1!B1101)</f>
        <v>8:00p</v>
      </c>
      <c r="I1104" s="2" t="str">
        <f>IF(Planilha1!C1101="","",Planilha1!C1101)</f>
        <v>New York Knicks</v>
      </c>
      <c r="J1104" s="2">
        <f>IF(Planilha1!D1101="","",Planilha1!D1101)</f>
        <v>0</v>
      </c>
      <c r="K1104" s="10" t="str">
        <f>IF(Planilha1!E1101="","",IF(Planilha1!E1101=0,"",Planilha1!E1101))</f>
        <v>San Antonio Spurs</v>
      </c>
      <c r="L1104" s="10">
        <f>IF(Planilha1!F1101="","",Planilha1!F1101)</f>
        <v>0</v>
      </c>
      <c r="M1104" s="10" t="str">
        <f>IF(Planilha1!G1101="","",IF(Planilha1!G1101=0,"",Planilha1!G1101))</f>
        <v/>
      </c>
      <c r="N1104" s="5">
        <f t="shared" si="137"/>
        <v>1</v>
      </c>
      <c r="O1104" s="5">
        <f t="shared" si="138"/>
        <v>0</v>
      </c>
      <c r="P1104" s="5">
        <f t="shared" si="139"/>
        <v>0</v>
      </c>
      <c r="Q1104" s="5">
        <f t="shared" si="140"/>
        <v>2</v>
      </c>
      <c r="R1104" s="8">
        <f t="shared" si="141"/>
        <v>0</v>
      </c>
      <c r="S1104" s="8">
        <f t="shared" si="142"/>
        <v>0</v>
      </c>
      <c r="T1104" s="3" t="str">
        <f t="shared" si="143"/>
        <v/>
      </c>
      <c r="V1104" s="1" t="e">
        <f t="shared" si="144"/>
        <v>#VALUE!</v>
      </c>
    </row>
    <row r="1105" spans="8:22" x14ac:dyDescent="0.3">
      <c r="H1105" s="2" t="str">
        <f>IF(Planilha1!B1102="","",Planilha1!B1102)</f>
        <v>9:00p</v>
      </c>
      <c r="I1105" s="2" t="str">
        <f>IF(Planilha1!C1102="","",Planilha1!C1102)</f>
        <v>Minnesota Timberwolves</v>
      </c>
      <c r="J1105" s="2">
        <f>IF(Planilha1!D1102="","",Planilha1!D1102)</f>
        <v>0</v>
      </c>
      <c r="K1105" s="10" t="str">
        <f>IF(Planilha1!E1102="","",IF(Planilha1!E1102=0,"",Planilha1!E1102))</f>
        <v>Denver Nuggets</v>
      </c>
      <c r="L1105" s="10">
        <f>IF(Planilha1!F1102="","",Planilha1!F1102)</f>
        <v>0</v>
      </c>
      <c r="M1105" s="10" t="str">
        <f>IF(Planilha1!G1102="","",IF(Planilha1!G1102=0,"",Planilha1!G1102))</f>
        <v/>
      </c>
      <c r="N1105" s="5">
        <f t="shared" si="137"/>
        <v>1</v>
      </c>
      <c r="O1105" s="5">
        <f t="shared" si="138"/>
        <v>0</v>
      </c>
      <c r="P1105" s="5">
        <f t="shared" si="139"/>
        <v>0</v>
      </c>
      <c r="Q1105" s="5">
        <f t="shared" si="140"/>
        <v>2</v>
      </c>
      <c r="R1105" s="8">
        <f t="shared" si="141"/>
        <v>0</v>
      </c>
      <c r="S1105" s="8">
        <f t="shared" si="142"/>
        <v>0</v>
      </c>
      <c r="T1105" s="3" t="str">
        <f t="shared" si="143"/>
        <v/>
      </c>
      <c r="V1105" s="1" t="e">
        <f t="shared" si="144"/>
        <v>#VALUE!</v>
      </c>
    </row>
    <row r="1106" spans="8:22" x14ac:dyDescent="0.3">
      <c r="H1106" s="2" t="str">
        <f>IF(Planilha1!B1103="","",Planilha1!B1103)</f>
        <v>9:30p</v>
      </c>
      <c r="I1106" s="2" t="str">
        <f>IF(Planilha1!C1103="","",Planilha1!C1103)</f>
        <v>Houston Rockets</v>
      </c>
      <c r="J1106" s="2">
        <f>IF(Planilha1!D1103="","",Planilha1!D1103)</f>
        <v>0</v>
      </c>
      <c r="K1106" s="10" t="str">
        <f>IF(Planilha1!E1103="","",IF(Planilha1!E1103=0,"",Planilha1!E1103))</f>
        <v>Utah Jazz</v>
      </c>
      <c r="L1106" s="10">
        <f>IF(Planilha1!F1103="","",Planilha1!F1103)</f>
        <v>0</v>
      </c>
      <c r="M1106" s="10" t="str">
        <f>IF(Planilha1!G1103="","",IF(Planilha1!G1103=0,"",Planilha1!G1103))</f>
        <v/>
      </c>
      <c r="N1106" s="5">
        <f t="shared" si="137"/>
        <v>1</v>
      </c>
      <c r="O1106" s="5">
        <f t="shared" si="138"/>
        <v>0</v>
      </c>
      <c r="P1106" s="5">
        <f t="shared" si="139"/>
        <v>0</v>
      </c>
      <c r="Q1106" s="5">
        <f t="shared" si="140"/>
        <v>2</v>
      </c>
      <c r="R1106" s="8">
        <f t="shared" si="141"/>
        <v>0</v>
      </c>
      <c r="S1106" s="8">
        <f t="shared" si="142"/>
        <v>0</v>
      </c>
      <c r="T1106" s="3" t="str">
        <f t="shared" si="143"/>
        <v/>
      </c>
      <c r="V1106" s="1" t="e">
        <f t="shared" si="144"/>
        <v>#VALUE!</v>
      </c>
    </row>
    <row r="1107" spans="8:22" x14ac:dyDescent="0.3">
      <c r="H1107" s="2" t="str">
        <f>IF(Planilha1!B1104="","",Planilha1!B1104)</f>
        <v>10:00p</v>
      </c>
      <c r="I1107" s="2" t="str">
        <f>IF(Planilha1!C1104="","",Planilha1!C1104)</f>
        <v>Dallas Mavericks</v>
      </c>
      <c r="J1107" s="2">
        <f>IF(Planilha1!D1104="","",Planilha1!D1104)</f>
        <v>0</v>
      </c>
      <c r="K1107" s="10" t="str">
        <f>IF(Planilha1!E1104="","",IF(Planilha1!E1104=0,"",Planilha1!E1104))</f>
        <v>Sacramento Kings</v>
      </c>
      <c r="L1107" s="10">
        <f>IF(Planilha1!F1104="","",Planilha1!F1104)</f>
        <v>0</v>
      </c>
      <c r="M1107" s="10" t="str">
        <f>IF(Planilha1!G1104="","",IF(Planilha1!G1104=0,"",Planilha1!G1104))</f>
        <v/>
      </c>
      <c r="N1107" s="5">
        <f t="shared" si="137"/>
        <v>1</v>
      </c>
      <c r="O1107" s="5">
        <f t="shared" si="138"/>
        <v>0</v>
      </c>
      <c r="P1107" s="5">
        <f t="shared" si="139"/>
        <v>0</v>
      </c>
      <c r="Q1107" s="5">
        <f t="shared" si="140"/>
        <v>2</v>
      </c>
      <c r="R1107" s="8">
        <f t="shared" si="141"/>
        <v>0</v>
      </c>
      <c r="S1107" s="8">
        <f t="shared" si="142"/>
        <v>0</v>
      </c>
      <c r="T1107" s="3" t="str">
        <f t="shared" si="143"/>
        <v/>
      </c>
      <c r="V1107" s="1" t="e">
        <f t="shared" si="144"/>
        <v>#VALUE!</v>
      </c>
    </row>
    <row r="1108" spans="8:22" x14ac:dyDescent="0.3">
      <c r="H1108" s="2" t="str">
        <f>IF(Planilha1!B1105="","",Planilha1!B1105)</f>
        <v>5:00p</v>
      </c>
      <c r="I1108" s="2" t="str">
        <f>IF(Planilha1!C1105="","",Planilha1!C1105)</f>
        <v>Boston Celtics</v>
      </c>
      <c r="J1108" s="2">
        <f>IF(Planilha1!D1105="","",Planilha1!D1105)</f>
        <v>0</v>
      </c>
      <c r="K1108" s="10" t="str">
        <f>IF(Planilha1!E1105="","",IF(Planilha1!E1105=0,"",Planilha1!E1105))</f>
        <v>New Orleans Pelicans</v>
      </c>
      <c r="L1108" s="10">
        <f>IF(Planilha1!F1105="","",Planilha1!F1105)</f>
        <v>0</v>
      </c>
      <c r="M1108" s="10" t="str">
        <f>IF(Planilha1!G1105="","",IF(Planilha1!G1105=0,"",Planilha1!G1105))</f>
        <v/>
      </c>
      <c r="N1108" s="5">
        <f t="shared" si="137"/>
        <v>1</v>
      </c>
      <c r="O1108" s="5">
        <f t="shared" si="138"/>
        <v>0</v>
      </c>
      <c r="P1108" s="5">
        <f t="shared" si="139"/>
        <v>0</v>
      </c>
      <c r="Q1108" s="5">
        <f t="shared" si="140"/>
        <v>2</v>
      </c>
      <c r="R1108" s="8">
        <f t="shared" si="141"/>
        <v>0</v>
      </c>
      <c r="S1108" s="8">
        <f t="shared" si="142"/>
        <v>0</v>
      </c>
      <c r="T1108" s="3" t="str">
        <f t="shared" si="143"/>
        <v/>
      </c>
      <c r="V1108" s="1" t="e">
        <f t="shared" si="144"/>
        <v>#VALUE!</v>
      </c>
    </row>
    <row r="1109" spans="8:22" x14ac:dyDescent="0.3">
      <c r="H1109" s="2" t="str">
        <f>IF(Planilha1!B1106="","",Planilha1!B1106)</f>
        <v>7:00p</v>
      </c>
      <c r="I1109" s="2" t="str">
        <f>IF(Planilha1!C1106="","",Planilha1!C1106)</f>
        <v>Memphis Grizzlies</v>
      </c>
      <c r="J1109" s="2">
        <f>IF(Planilha1!D1106="","",Planilha1!D1106)</f>
        <v>0</v>
      </c>
      <c r="K1109" s="10" t="str">
        <f>IF(Planilha1!E1106="","",IF(Planilha1!E1106=0,"",Planilha1!E1106))</f>
        <v>Orlando Magic</v>
      </c>
      <c r="L1109" s="10">
        <f>IF(Planilha1!F1106="","",Planilha1!F1106)</f>
        <v>0</v>
      </c>
      <c r="M1109" s="10" t="str">
        <f>IF(Planilha1!G1106="","",IF(Planilha1!G1106=0,"",Planilha1!G1106))</f>
        <v/>
      </c>
      <c r="N1109" s="5">
        <f t="shared" si="137"/>
        <v>1</v>
      </c>
      <c r="O1109" s="5">
        <f t="shared" si="138"/>
        <v>0</v>
      </c>
      <c r="P1109" s="5">
        <f t="shared" si="139"/>
        <v>0</v>
      </c>
      <c r="Q1109" s="5">
        <f t="shared" si="140"/>
        <v>2</v>
      </c>
      <c r="R1109" s="8">
        <f t="shared" si="141"/>
        <v>0</v>
      </c>
      <c r="S1109" s="8">
        <f t="shared" si="142"/>
        <v>0</v>
      </c>
      <c r="T1109" s="3" t="str">
        <f t="shared" si="143"/>
        <v/>
      </c>
      <c r="V1109" s="1" t="e">
        <f t="shared" si="144"/>
        <v>#VALUE!</v>
      </c>
    </row>
    <row r="1110" spans="8:22" x14ac:dyDescent="0.3">
      <c r="H1110" s="2" t="str">
        <f>IF(Planilha1!B1107="","",Planilha1!B1107)</f>
        <v>7:30p</v>
      </c>
      <c r="I1110" s="2" t="str">
        <f>IF(Planilha1!C1107="","",Planilha1!C1107)</f>
        <v>Milwaukee Bucks</v>
      </c>
      <c r="J1110" s="2">
        <f>IF(Planilha1!D1107="","",Planilha1!D1107)</f>
        <v>0</v>
      </c>
      <c r="K1110" s="10" t="str">
        <f>IF(Planilha1!E1107="","",IF(Planilha1!E1107=0,"",Planilha1!E1107))</f>
        <v>Atlanta Hawks</v>
      </c>
      <c r="L1110" s="10">
        <f>IF(Planilha1!F1107="","",Planilha1!F1107)</f>
        <v>0</v>
      </c>
      <c r="M1110" s="10" t="str">
        <f>IF(Planilha1!G1107="","",IF(Planilha1!G1107=0,"",Planilha1!G1107))</f>
        <v/>
      </c>
      <c r="N1110" s="5">
        <f t="shared" si="137"/>
        <v>1</v>
      </c>
      <c r="O1110" s="5">
        <f t="shared" si="138"/>
        <v>0</v>
      </c>
      <c r="P1110" s="5">
        <f t="shared" si="139"/>
        <v>0</v>
      </c>
      <c r="Q1110" s="5">
        <f t="shared" si="140"/>
        <v>2</v>
      </c>
      <c r="R1110" s="8">
        <f t="shared" si="141"/>
        <v>0</v>
      </c>
      <c r="S1110" s="8">
        <f t="shared" si="142"/>
        <v>0</v>
      </c>
      <c r="T1110" s="3" t="str">
        <f t="shared" si="143"/>
        <v/>
      </c>
      <c r="V1110" s="1" t="e">
        <f t="shared" si="144"/>
        <v>#VALUE!</v>
      </c>
    </row>
    <row r="1111" spans="8:22" x14ac:dyDescent="0.3">
      <c r="H1111" s="2" t="str">
        <f>IF(Planilha1!B1108="","",Planilha1!B1108)</f>
        <v>3:30p</v>
      </c>
      <c r="I1111" s="2" t="str">
        <f>IF(Planilha1!C1108="","",Planilha1!C1108)</f>
        <v>Cleveland Cavaliers</v>
      </c>
      <c r="J1111" s="2">
        <f>IF(Planilha1!D1108="","",Planilha1!D1108)</f>
        <v>0</v>
      </c>
      <c r="K1111" s="10" t="str">
        <f>IF(Planilha1!E1108="","",IF(Planilha1!E1108=0,"",Planilha1!E1108))</f>
        <v>Denver Nuggets</v>
      </c>
      <c r="L1111" s="10">
        <f>IF(Planilha1!F1108="","",Planilha1!F1108)</f>
        <v>0</v>
      </c>
      <c r="M1111" s="10" t="str">
        <f>IF(Planilha1!G1108="","",IF(Planilha1!G1108=0,"",Planilha1!G1108))</f>
        <v/>
      </c>
      <c r="N1111" s="5">
        <f t="shared" si="137"/>
        <v>1</v>
      </c>
      <c r="O1111" s="5">
        <f t="shared" si="138"/>
        <v>0</v>
      </c>
      <c r="P1111" s="5">
        <f t="shared" si="139"/>
        <v>0</v>
      </c>
      <c r="Q1111" s="5">
        <f t="shared" si="140"/>
        <v>2</v>
      </c>
      <c r="R1111" s="8">
        <f t="shared" si="141"/>
        <v>0</v>
      </c>
      <c r="S1111" s="8">
        <f t="shared" si="142"/>
        <v>0</v>
      </c>
      <c r="T1111" s="3" t="str">
        <f t="shared" si="143"/>
        <v/>
      </c>
      <c r="V1111" s="1" t="e">
        <f t="shared" si="144"/>
        <v>#VALUE!</v>
      </c>
    </row>
    <row r="1112" spans="8:22" x14ac:dyDescent="0.3">
      <c r="H1112" s="2" t="str">
        <f>IF(Planilha1!B1109="","",Planilha1!B1109)</f>
        <v>6:00p</v>
      </c>
      <c r="I1112" s="2" t="str">
        <f>IF(Planilha1!C1109="","",Planilha1!C1109)</f>
        <v>Los Angeles Lakers</v>
      </c>
      <c r="J1112" s="2">
        <f>IF(Planilha1!D1109="","",Planilha1!D1109)</f>
        <v>0</v>
      </c>
      <c r="K1112" s="10" t="str">
        <f>IF(Planilha1!E1109="","",IF(Planilha1!E1109=0,"",Planilha1!E1109))</f>
        <v>Brooklyn Nets</v>
      </c>
      <c r="L1112" s="10">
        <f>IF(Planilha1!F1109="","",Planilha1!F1109)</f>
        <v>0</v>
      </c>
      <c r="M1112" s="10" t="str">
        <f>IF(Planilha1!G1109="","",IF(Planilha1!G1109=0,"",Planilha1!G1109))</f>
        <v/>
      </c>
      <c r="N1112" s="5">
        <f t="shared" si="137"/>
        <v>1</v>
      </c>
      <c r="O1112" s="5">
        <f t="shared" si="138"/>
        <v>0</v>
      </c>
      <c r="P1112" s="5">
        <f t="shared" si="139"/>
        <v>0</v>
      </c>
      <c r="Q1112" s="5">
        <f t="shared" si="140"/>
        <v>2</v>
      </c>
      <c r="R1112" s="8">
        <f t="shared" si="141"/>
        <v>0</v>
      </c>
      <c r="S1112" s="8">
        <f t="shared" si="142"/>
        <v>0</v>
      </c>
      <c r="T1112" s="3" t="str">
        <f t="shared" si="143"/>
        <v/>
      </c>
      <c r="V1112" s="1" t="e">
        <f t="shared" si="144"/>
        <v>#VALUE!</v>
      </c>
    </row>
    <row r="1113" spans="8:22" x14ac:dyDescent="0.3">
      <c r="H1113" s="2" t="str">
        <f>IF(Planilha1!B1110="","",Planilha1!B1110)</f>
        <v>6:00p</v>
      </c>
      <c r="I1113" s="2" t="str">
        <f>IF(Planilha1!C1110="","",Planilha1!C1110)</f>
        <v>Los Angeles Clippers</v>
      </c>
      <c r="J1113" s="2">
        <f>IF(Planilha1!D1110="","",Planilha1!D1110)</f>
        <v>0</v>
      </c>
      <c r="K1113" s="10" t="str">
        <f>IF(Planilha1!E1110="","",IF(Planilha1!E1110=0,"",Planilha1!E1110))</f>
        <v>Charlotte Hornets</v>
      </c>
      <c r="L1113" s="10">
        <f>IF(Planilha1!F1110="","",Planilha1!F1110)</f>
        <v>0</v>
      </c>
      <c r="M1113" s="10" t="str">
        <f>IF(Planilha1!G1110="","",IF(Planilha1!G1110=0,"",Planilha1!G1110))</f>
        <v/>
      </c>
      <c r="N1113" s="5">
        <f t="shared" si="137"/>
        <v>1</v>
      </c>
      <c r="O1113" s="5">
        <f t="shared" si="138"/>
        <v>0</v>
      </c>
      <c r="P1113" s="5">
        <f t="shared" si="139"/>
        <v>0</v>
      </c>
      <c r="Q1113" s="5">
        <f t="shared" si="140"/>
        <v>2</v>
      </c>
      <c r="R1113" s="8">
        <f t="shared" si="141"/>
        <v>0</v>
      </c>
      <c r="S1113" s="8">
        <f t="shared" si="142"/>
        <v>0</v>
      </c>
      <c r="T1113" s="3" t="str">
        <f t="shared" si="143"/>
        <v/>
      </c>
      <c r="V1113" s="1" t="e">
        <f t="shared" si="144"/>
        <v>#VALUE!</v>
      </c>
    </row>
    <row r="1114" spans="8:22" x14ac:dyDescent="0.3">
      <c r="H1114" s="2" t="str">
        <f>IF(Planilha1!B1111="","",Planilha1!B1111)</f>
        <v>6:00p</v>
      </c>
      <c r="I1114" s="2" t="str">
        <f>IF(Planilha1!C1111="","",Planilha1!C1111)</f>
        <v>Philadelphia 76ers</v>
      </c>
      <c r="J1114" s="2">
        <f>IF(Planilha1!D1111="","",Planilha1!D1111)</f>
        <v>0</v>
      </c>
      <c r="K1114" s="10" t="str">
        <f>IF(Planilha1!E1111="","",IF(Planilha1!E1111=0,"",Planilha1!E1111))</f>
        <v>Toronto Raptors</v>
      </c>
      <c r="L1114" s="10">
        <f>IF(Planilha1!F1111="","",Planilha1!F1111)</f>
        <v>0</v>
      </c>
      <c r="M1114" s="10" t="str">
        <f>IF(Planilha1!G1111="","",IF(Planilha1!G1111=0,"",Planilha1!G1111))</f>
        <v/>
      </c>
      <c r="N1114" s="5">
        <f t="shared" si="137"/>
        <v>1</v>
      </c>
      <c r="O1114" s="5">
        <f t="shared" si="138"/>
        <v>0</v>
      </c>
      <c r="P1114" s="5">
        <f t="shared" si="139"/>
        <v>0</v>
      </c>
      <c r="Q1114" s="5">
        <f t="shared" si="140"/>
        <v>2</v>
      </c>
      <c r="R1114" s="8">
        <f t="shared" si="141"/>
        <v>0</v>
      </c>
      <c r="S1114" s="8">
        <f t="shared" si="142"/>
        <v>0</v>
      </c>
      <c r="T1114" s="3" t="str">
        <f t="shared" si="143"/>
        <v/>
      </c>
      <c r="V1114" s="1" t="e">
        <f t="shared" si="144"/>
        <v>#VALUE!</v>
      </c>
    </row>
    <row r="1115" spans="8:22" x14ac:dyDescent="0.3">
      <c r="H1115" s="2" t="str">
        <f>IF(Planilha1!B1112="","",Planilha1!B1112)</f>
        <v>6:00p</v>
      </c>
      <c r="I1115" s="2" t="str">
        <f>IF(Planilha1!C1112="","",Planilha1!C1112)</f>
        <v>Miami Heat</v>
      </c>
      <c r="J1115" s="2">
        <f>IF(Planilha1!D1112="","",Planilha1!D1112)</f>
        <v>0</v>
      </c>
      <c r="K1115" s="10" t="str">
        <f>IF(Planilha1!E1112="","",IF(Planilha1!E1112=0,"",Planilha1!E1112))</f>
        <v>Washington Wizards</v>
      </c>
      <c r="L1115" s="10">
        <f>IF(Planilha1!F1112="","",Planilha1!F1112)</f>
        <v>0</v>
      </c>
      <c r="M1115" s="10" t="str">
        <f>IF(Planilha1!G1112="","",IF(Planilha1!G1112=0,"",Planilha1!G1112))</f>
        <v/>
      </c>
      <c r="N1115" s="5">
        <f t="shared" si="137"/>
        <v>1</v>
      </c>
      <c r="O1115" s="5">
        <f t="shared" si="138"/>
        <v>0</v>
      </c>
      <c r="P1115" s="5">
        <f t="shared" si="139"/>
        <v>0</v>
      </c>
      <c r="Q1115" s="5">
        <f t="shared" si="140"/>
        <v>2</v>
      </c>
      <c r="R1115" s="8">
        <f t="shared" si="141"/>
        <v>0</v>
      </c>
      <c r="S1115" s="8">
        <f t="shared" si="142"/>
        <v>0</v>
      </c>
      <c r="T1115" s="3" t="str">
        <f t="shared" si="143"/>
        <v/>
      </c>
      <c r="V1115" s="1" t="e">
        <f t="shared" si="144"/>
        <v>#VALUE!</v>
      </c>
    </row>
    <row r="1116" spans="8:22" x14ac:dyDescent="0.3">
      <c r="H1116" s="2" t="str">
        <f>IF(Planilha1!B1113="","",Planilha1!B1113)</f>
        <v>7:00p</v>
      </c>
      <c r="I1116" s="2" t="str">
        <f>IF(Planilha1!C1113="","",Planilha1!C1113)</f>
        <v>Dallas Mavericks</v>
      </c>
      <c r="J1116" s="2">
        <f>IF(Planilha1!D1113="","",Planilha1!D1113)</f>
        <v>0</v>
      </c>
      <c r="K1116" s="10" t="str">
        <f>IF(Planilha1!E1113="","",IF(Planilha1!E1113=0,"",Planilha1!E1113))</f>
        <v>Houston Rockets</v>
      </c>
      <c r="L1116" s="10">
        <f>IF(Planilha1!F1113="","",Planilha1!F1113)</f>
        <v>0</v>
      </c>
      <c r="M1116" s="10" t="str">
        <f>IF(Planilha1!G1113="","",IF(Planilha1!G1113=0,"",Planilha1!G1113))</f>
        <v/>
      </c>
      <c r="N1116" s="5">
        <f t="shared" si="137"/>
        <v>1</v>
      </c>
      <c r="O1116" s="5">
        <f t="shared" si="138"/>
        <v>0</v>
      </c>
      <c r="P1116" s="5">
        <f t="shared" si="139"/>
        <v>0</v>
      </c>
      <c r="Q1116" s="5">
        <f t="shared" si="140"/>
        <v>2</v>
      </c>
      <c r="R1116" s="8">
        <f t="shared" si="141"/>
        <v>0</v>
      </c>
      <c r="S1116" s="8">
        <f t="shared" si="142"/>
        <v>0</v>
      </c>
      <c r="T1116" s="3" t="str">
        <f t="shared" si="143"/>
        <v/>
      </c>
      <c r="V1116" s="1" t="e">
        <f t="shared" si="144"/>
        <v>#VALUE!</v>
      </c>
    </row>
    <row r="1117" spans="8:22" x14ac:dyDescent="0.3">
      <c r="H1117" s="2" t="str">
        <f>IF(Planilha1!B1114="","",Planilha1!B1114)</f>
        <v>7:00p</v>
      </c>
      <c r="I1117" s="2" t="str">
        <f>IF(Planilha1!C1114="","",Planilha1!C1114)</f>
        <v>Chicago Bulls</v>
      </c>
      <c r="J1117" s="2">
        <f>IF(Planilha1!D1114="","",Planilha1!D1114)</f>
        <v>0</v>
      </c>
      <c r="K1117" s="10" t="str">
        <f>IF(Planilha1!E1114="","",IF(Planilha1!E1114=0,"",Planilha1!E1114))</f>
        <v>Minnesota Timberwolves</v>
      </c>
      <c r="L1117" s="10">
        <f>IF(Planilha1!F1114="","",Planilha1!F1114)</f>
        <v>0</v>
      </c>
      <c r="M1117" s="10" t="str">
        <f>IF(Planilha1!G1114="","",IF(Planilha1!G1114=0,"",Planilha1!G1114))</f>
        <v/>
      </c>
      <c r="N1117" s="5">
        <f t="shared" si="137"/>
        <v>1</v>
      </c>
      <c r="O1117" s="5">
        <f t="shared" si="138"/>
        <v>0</v>
      </c>
      <c r="P1117" s="5">
        <f t="shared" si="139"/>
        <v>0</v>
      </c>
      <c r="Q1117" s="5">
        <f t="shared" si="140"/>
        <v>2</v>
      </c>
      <c r="R1117" s="8">
        <f t="shared" si="141"/>
        <v>0</v>
      </c>
      <c r="S1117" s="8">
        <f t="shared" si="142"/>
        <v>0</v>
      </c>
      <c r="T1117" s="3" t="str">
        <f t="shared" si="143"/>
        <v/>
      </c>
      <c r="V1117" s="1" t="e">
        <f t="shared" si="144"/>
        <v>#VALUE!</v>
      </c>
    </row>
    <row r="1118" spans="8:22" x14ac:dyDescent="0.3">
      <c r="H1118" s="2" t="str">
        <f>IF(Planilha1!B1115="","",Planilha1!B1115)</f>
        <v>7:00p</v>
      </c>
      <c r="I1118" s="2" t="str">
        <f>IF(Planilha1!C1115="","",Planilha1!C1115)</f>
        <v>Oklahoma City Thunder</v>
      </c>
      <c r="J1118" s="2">
        <f>IF(Planilha1!D1115="","",Planilha1!D1115)</f>
        <v>0</v>
      </c>
      <c r="K1118" s="10" t="str">
        <f>IF(Planilha1!E1115="","",IF(Planilha1!E1115=0,"",Planilha1!E1115))</f>
        <v>New York Knicks</v>
      </c>
      <c r="L1118" s="10">
        <f>IF(Planilha1!F1115="","",Planilha1!F1115)</f>
        <v>0</v>
      </c>
      <c r="M1118" s="10" t="str">
        <f>IF(Planilha1!G1115="","",IF(Planilha1!G1115=0,"",Planilha1!G1115))</f>
        <v/>
      </c>
      <c r="N1118" s="5">
        <f t="shared" si="137"/>
        <v>1</v>
      </c>
      <c r="O1118" s="5">
        <f t="shared" si="138"/>
        <v>0</v>
      </c>
      <c r="P1118" s="5">
        <f t="shared" si="139"/>
        <v>0</v>
      </c>
      <c r="Q1118" s="5">
        <f t="shared" si="140"/>
        <v>2</v>
      </c>
      <c r="R1118" s="8">
        <f t="shared" si="141"/>
        <v>0</v>
      </c>
      <c r="S1118" s="8">
        <f t="shared" si="142"/>
        <v>0</v>
      </c>
      <c r="T1118" s="3" t="str">
        <f t="shared" si="143"/>
        <v/>
      </c>
      <c r="V1118" s="1" t="e">
        <f t="shared" si="144"/>
        <v>#VALUE!</v>
      </c>
    </row>
    <row r="1119" spans="8:22" x14ac:dyDescent="0.3">
      <c r="H1119" s="2" t="str">
        <f>IF(Planilha1!B1116="","",Planilha1!B1116)</f>
        <v>7:00p</v>
      </c>
      <c r="I1119" s="2" t="str">
        <f>IF(Planilha1!C1116="","",Planilha1!C1116)</f>
        <v>Golden State Warriors</v>
      </c>
      <c r="J1119" s="2">
        <f>IF(Planilha1!D1116="","",Planilha1!D1116)</f>
        <v>0</v>
      </c>
      <c r="K1119" s="10" t="str">
        <f>IF(Planilha1!E1116="","",IF(Planilha1!E1116=0,"",Planilha1!E1116))</f>
        <v>San Antonio Spurs</v>
      </c>
      <c r="L1119" s="10">
        <f>IF(Planilha1!F1116="","",Planilha1!F1116)</f>
        <v>0</v>
      </c>
      <c r="M1119" s="10" t="str">
        <f>IF(Planilha1!G1116="","",IF(Planilha1!G1116=0,"",Planilha1!G1116))</f>
        <v/>
      </c>
      <c r="N1119" s="5">
        <f t="shared" si="137"/>
        <v>1</v>
      </c>
      <c r="O1119" s="5">
        <f t="shared" si="138"/>
        <v>0</v>
      </c>
      <c r="P1119" s="5">
        <f t="shared" si="139"/>
        <v>0</v>
      </c>
      <c r="Q1119" s="5">
        <f t="shared" si="140"/>
        <v>2</v>
      </c>
      <c r="R1119" s="8">
        <f t="shared" si="141"/>
        <v>0</v>
      </c>
      <c r="S1119" s="8">
        <f t="shared" si="142"/>
        <v>0</v>
      </c>
      <c r="T1119" s="3" t="str">
        <f t="shared" si="143"/>
        <v/>
      </c>
      <c r="V1119" s="1" t="e">
        <f t="shared" si="144"/>
        <v>#VALUE!</v>
      </c>
    </row>
    <row r="1120" spans="8:22" x14ac:dyDescent="0.3">
      <c r="H1120" s="2" t="str">
        <f>IF(Planilha1!B1117="","",Planilha1!B1117)</f>
        <v>9:00p</v>
      </c>
      <c r="I1120" s="2" t="str">
        <f>IF(Planilha1!C1117="","",Planilha1!C1117)</f>
        <v>Utah Jazz</v>
      </c>
      <c r="J1120" s="2">
        <f>IF(Planilha1!D1117="","",Planilha1!D1117)</f>
        <v>0</v>
      </c>
      <c r="K1120" s="10" t="str">
        <f>IF(Planilha1!E1117="","",IF(Planilha1!E1117=0,"",Planilha1!E1117))</f>
        <v>Sacramento Kings</v>
      </c>
      <c r="L1120" s="10">
        <f>IF(Planilha1!F1117="","",Planilha1!F1117)</f>
        <v>0</v>
      </c>
      <c r="M1120" s="10" t="str">
        <f>IF(Planilha1!G1117="","",IF(Planilha1!G1117=0,"",Planilha1!G1117))</f>
        <v/>
      </c>
      <c r="N1120" s="5">
        <f t="shared" si="137"/>
        <v>1</v>
      </c>
      <c r="O1120" s="5">
        <f t="shared" si="138"/>
        <v>0</v>
      </c>
      <c r="P1120" s="5">
        <f t="shared" si="139"/>
        <v>0</v>
      </c>
      <c r="Q1120" s="5">
        <f t="shared" si="140"/>
        <v>2</v>
      </c>
      <c r="R1120" s="8">
        <f t="shared" si="141"/>
        <v>0</v>
      </c>
      <c r="S1120" s="8">
        <f t="shared" si="142"/>
        <v>0</v>
      </c>
      <c r="T1120" s="3" t="str">
        <f t="shared" si="143"/>
        <v/>
      </c>
      <c r="V1120" s="1" t="e">
        <f t="shared" si="144"/>
        <v>#VALUE!</v>
      </c>
    </row>
    <row r="1121" spans="8:22" x14ac:dyDescent="0.3">
      <c r="H1121" s="2" t="str">
        <f>IF(Planilha1!B1118="","",Planilha1!B1118)</f>
        <v>7:00p</v>
      </c>
      <c r="I1121" s="2" t="str">
        <f>IF(Planilha1!C1118="","",Planilha1!C1118)</f>
        <v>Boston Celtics</v>
      </c>
      <c r="J1121" s="2">
        <f>IF(Planilha1!D1118="","",Planilha1!D1118)</f>
        <v>0</v>
      </c>
      <c r="K1121" s="10" t="str">
        <f>IF(Planilha1!E1118="","",IF(Planilha1!E1118=0,"",Planilha1!E1118))</f>
        <v>Charlotte Hornets</v>
      </c>
      <c r="L1121" s="10">
        <f>IF(Planilha1!F1118="","",Planilha1!F1118)</f>
        <v>0</v>
      </c>
      <c r="M1121" s="10" t="str">
        <f>IF(Planilha1!G1118="","",IF(Planilha1!G1118=0,"",Planilha1!G1118))</f>
        <v/>
      </c>
      <c r="N1121" s="5">
        <f t="shared" si="137"/>
        <v>1</v>
      </c>
      <c r="O1121" s="5">
        <f t="shared" si="138"/>
        <v>0</v>
      </c>
      <c r="P1121" s="5">
        <f t="shared" si="139"/>
        <v>0</v>
      </c>
      <c r="Q1121" s="5">
        <f t="shared" si="140"/>
        <v>2</v>
      </c>
      <c r="R1121" s="8">
        <f t="shared" si="141"/>
        <v>0</v>
      </c>
      <c r="S1121" s="8">
        <f t="shared" si="142"/>
        <v>0</v>
      </c>
      <c r="T1121" s="3" t="str">
        <f t="shared" si="143"/>
        <v/>
      </c>
      <c r="V1121" s="1" t="e">
        <f t="shared" si="144"/>
        <v>#VALUE!</v>
      </c>
    </row>
    <row r="1122" spans="8:22" x14ac:dyDescent="0.3">
      <c r="H1122" s="2" t="str">
        <f>IF(Planilha1!B1119="","",Planilha1!B1119)</f>
        <v>7:00p</v>
      </c>
      <c r="I1122" s="2" t="str">
        <f>IF(Planilha1!C1119="","",Planilha1!C1119)</f>
        <v>Memphis Grizzlies</v>
      </c>
      <c r="J1122" s="2">
        <f>IF(Planilha1!D1119="","",Planilha1!D1119)</f>
        <v>0</v>
      </c>
      <c r="K1122" s="10" t="str">
        <f>IF(Planilha1!E1119="","",IF(Planilha1!E1119=0,"",Planilha1!E1119))</f>
        <v>Detroit Pistons</v>
      </c>
      <c r="L1122" s="10">
        <f>IF(Planilha1!F1119="","",Planilha1!F1119)</f>
        <v>0</v>
      </c>
      <c r="M1122" s="10" t="str">
        <f>IF(Planilha1!G1119="","",IF(Planilha1!G1119=0,"",Planilha1!G1119))</f>
        <v/>
      </c>
      <c r="N1122" s="5">
        <f t="shared" si="137"/>
        <v>1</v>
      </c>
      <c r="O1122" s="5">
        <f t="shared" si="138"/>
        <v>0</v>
      </c>
      <c r="P1122" s="5">
        <f t="shared" si="139"/>
        <v>0</v>
      </c>
      <c r="Q1122" s="5">
        <f t="shared" si="140"/>
        <v>2</v>
      </c>
      <c r="R1122" s="8">
        <f t="shared" si="141"/>
        <v>0</v>
      </c>
      <c r="S1122" s="8">
        <f t="shared" si="142"/>
        <v>0</v>
      </c>
      <c r="T1122" s="3" t="str">
        <f t="shared" si="143"/>
        <v/>
      </c>
      <c r="V1122" s="1" t="e">
        <f t="shared" si="144"/>
        <v>#VALUE!</v>
      </c>
    </row>
    <row r="1123" spans="8:22" x14ac:dyDescent="0.3">
      <c r="H1123" s="2" t="str">
        <f>IF(Planilha1!B1120="","",Planilha1!B1120)</f>
        <v>7:00p</v>
      </c>
      <c r="I1123" s="2" t="str">
        <f>IF(Planilha1!C1120="","",Planilha1!C1120)</f>
        <v>Brooklyn Nets</v>
      </c>
      <c r="J1123" s="2">
        <f>IF(Planilha1!D1120="","",Planilha1!D1120)</f>
        <v>0</v>
      </c>
      <c r="K1123" s="10" t="str">
        <f>IF(Planilha1!E1120="","",IF(Planilha1!E1120=0,"",Planilha1!E1120))</f>
        <v>Indiana Pacers</v>
      </c>
      <c r="L1123" s="10">
        <f>IF(Planilha1!F1120="","",Planilha1!F1120)</f>
        <v>0</v>
      </c>
      <c r="M1123" s="10" t="str">
        <f>IF(Planilha1!G1120="","",IF(Planilha1!G1120=0,"",Planilha1!G1120))</f>
        <v/>
      </c>
      <c r="N1123" s="5">
        <f t="shared" si="137"/>
        <v>1</v>
      </c>
      <c r="O1123" s="5">
        <f t="shared" si="138"/>
        <v>0</v>
      </c>
      <c r="P1123" s="5">
        <f t="shared" si="139"/>
        <v>0</v>
      </c>
      <c r="Q1123" s="5">
        <f t="shared" si="140"/>
        <v>2</v>
      </c>
      <c r="R1123" s="8">
        <f t="shared" si="141"/>
        <v>0</v>
      </c>
      <c r="S1123" s="8">
        <f t="shared" si="142"/>
        <v>0</v>
      </c>
      <c r="T1123" s="3" t="str">
        <f t="shared" si="143"/>
        <v/>
      </c>
      <c r="V1123" s="1" t="e">
        <f t="shared" si="144"/>
        <v>#VALUE!</v>
      </c>
    </row>
    <row r="1124" spans="8:22" x14ac:dyDescent="0.3">
      <c r="H1124" s="2" t="str">
        <f>IF(Planilha1!B1121="","",Planilha1!B1121)</f>
        <v>7:00p</v>
      </c>
      <c r="I1124" s="2" t="str">
        <f>IF(Planilha1!C1121="","",Planilha1!C1121)</f>
        <v>Portland Trail Blazers</v>
      </c>
      <c r="J1124" s="2">
        <f>IF(Planilha1!D1121="","",Planilha1!D1121)</f>
        <v>0</v>
      </c>
      <c r="K1124" s="10" t="str">
        <f>IF(Planilha1!E1121="","",IF(Planilha1!E1121=0,"",Planilha1!E1121))</f>
        <v>Orlando Magic</v>
      </c>
      <c r="L1124" s="10">
        <f>IF(Planilha1!F1121="","",Planilha1!F1121)</f>
        <v>0</v>
      </c>
      <c r="M1124" s="10" t="str">
        <f>IF(Planilha1!G1121="","",IF(Planilha1!G1121=0,"",Planilha1!G1121))</f>
        <v/>
      </c>
      <c r="N1124" s="5">
        <f t="shared" si="137"/>
        <v>1</v>
      </c>
      <c r="O1124" s="5">
        <f t="shared" si="138"/>
        <v>0</v>
      </c>
      <c r="P1124" s="5">
        <f t="shared" si="139"/>
        <v>0</v>
      </c>
      <c r="Q1124" s="5">
        <f t="shared" si="140"/>
        <v>2</v>
      </c>
      <c r="R1124" s="8">
        <f t="shared" si="141"/>
        <v>0</v>
      </c>
      <c r="S1124" s="8">
        <f t="shared" si="142"/>
        <v>0</v>
      </c>
      <c r="T1124" s="3" t="str">
        <f t="shared" si="143"/>
        <v/>
      </c>
      <c r="V1124" s="1" t="e">
        <f t="shared" si="144"/>
        <v>#VALUE!</v>
      </c>
    </row>
    <row r="1125" spans="8:22" x14ac:dyDescent="0.3">
      <c r="H1125" s="2" t="str">
        <f>IF(Planilha1!B1122="","",Planilha1!B1122)</f>
        <v>8:00p</v>
      </c>
      <c r="I1125" s="2" t="str">
        <f>IF(Planilha1!C1122="","",Planilha1!C1122)</f>
        <v>Atlanta Hawks</v>
      </c>
      <c r="J1125" s="2">
        <f>IF(Planilha1!D1122="","",Planilha1!D1122)</f>
        <v>0</v>
      </c>
      <c r="K1125" s="10" t="str">
        <f>IF(Planilha1!E1122="","",IF(Planilha1!E1122=0,"",Planilha1!E1122))</f>
        <v>Chicago Bulls</v>
      </c>
      <c r="L1125" s="10">
        <f>IF(Planilha1!F1122="","",Planilha1!F1122)</f>
        <v>0</v>
      </c>
      <c r="M1125" s="10" t="str">
        <f>IF(Planilha1!G1122="","",IF(Planilha1!G1122=0,"",Planilha1!G1122))</f>
        <v/>
      </c>
      <c r="N1125" s="5">
        <f t="shared" si="137"/>
        <v>1</v>
      </c>
      <c r="O1125" s="5">
        <f t="shared" si="138"/>
        <v>0</v>
      </c>
      <c r="P1125" s="5">
        <f t="shared" si="139"/>
        <v>0</v>
      </c>
      <c r="Q1125" s="5">
        <f t="shared" si="140"/>
        <v>2</v>
      </c>
      <c r="R1125" s="8">
        <f t="shared" si="141"/>
        <v>0</v>
      </c>
      <c r="S1125" s="8">
        <f t="shared" si="142"/>
        <v>0</v>
      </c>
      <c r="T1125" s="3" t="str">
        <f t="shared" si="143"/>
        <v/>
      </c>
      <c r="V1125" s="1" t="e">
        <f t="shared" si="144"/>
        <v>#VALUE!</v>
      </c>
    </row>
    <row r="1126" spans="8:22" x14ac:dyDescent="0.3">
      <c r="H1126" s="2" t="str">
        <f>IF(Planilha1!B1123="","",Planilha1!B1123)</f>
        <v>8:00p</v>
      </c>
      <c r="I1126" s="2" t="str">
        <f>IF(Planilha1!C1123="","",Planilha1!C1123)</f>
        <v>Phoenix Suns</v>
      </c>
      <c r="J1126" s="2">
        <f>IF(Planilha1!D1123="","",Planilha1!D1123)</f>
        <v>0</v>
      </c>
      <c r="K1126" s="10" t="str">
        <f>IF(Planilha1!E1123="","",IF(Planilha1!E1123=0,"",Planilha1!E1123))</f>
        <v>New Orleans Pelicans</v>
      </c>
      <c r="L1126" s="10">
        <f>IF(Planilha1!F1123="","",Planilha1!F1123)</f>
        <v>0</v>
      </c>
      <c r="M1126" s="10" t="str">
        <f>IF(Planilha1!G1123="","",IF(Planilha1!G1123=0,"",Planilha1!G1123))</f>
        <v/>
      </c>
      <c r="N1126" s="5">
        <f t="shared" si="137"/>
        <v>1</v>
      </c>
      <c r="O1126" s="5">
        <f t="shared" si="138"/>
        <v>0</v>
      </c>
      <c r="P1126" s="5">
        <f t="shared" si="139"/>
        <v>0</v>
      </c>
      <c r="Q1126" s="5">
        <f t="shared" si="140"/>
        <v>2</v>
      </c>
      <c r="R1126" s="8">
        <f t="shared" si="141"/>
        <v>0</v>
      </c>
      <c r="S1126" s="8">
        <f t="shared" si="142"/>
        <v>0</v>
      </c>
      <c r="T1126" s="3" t="str">
        <f t="shared" si="143"/>
        <v/>
      </c>
      <c r="V1126" s="1" t="e">
        <f t="shared" si="144"/>
        <v>#VALUE!</v>
      </c>
    </row>
    <row r="1127" spans="8:22" x14ac:dyDescent="0.3">
      <c r="H1127" s="2" t="str">
        <f>IF(Planilha1!B1124="","",Planilha1!B1124)</f>
        <v>7:00p</v>
      </c>
      <c r="I1127" s="2" t="str">
        <f>IF(Planilha1!C1124="","",Planilha1!C1124)</f>
        <v>Los Angeles Lakers</v>
      </c>
      <c r="J1127" s="2">
        <f>IF(Planilha1!D1124="","",Planilha1!D1124)</f>
        <v>0</v>
      </c>
      <c r="K1127" s="10" t="str">
        <f>IF(Planilha1!E1124="","",IF(Planilha1!E1124=0,"",Planilha1!E1124))</f>
        <v>Toronto Raptors</v>
      </c>
      <c r="L1127" s="10">
        <f>IF(Planilha1!F1124="","",Planilha1!F1124)</f>
        <v>0</v>
      </c>
      <c r="M1127" s="10" t="str">
        <f>IF(Planilha1!G1124="","",IF(Planilha1!G1124=0,"",Planilha1!G1124))</f>
        <v/>
      </c>
      <c r="N1127" s="5">
        <f t="shared" si="137"/>
        <v>1</v>
      </c>
      <c r="O1127" s="5">
        <f t="shared" si="138"/>
        <v>0</v>
      </c>
      <c r="P1127" s="5">
        <f t="shared" si="139"/>
        <v>0</v>
      </c>
      <c r="Q1127" s="5">
        <f t="shared" si="140"/>
        <v>2</v>
      </c>
      <c r="R1127" s="8">
        <f t="shared" si="141"/>
        <v>0</v>
      </c>
      <c r="S1127" s="8">
        <f t="shared" si="142"/>
        <v>0</v>
      </c>
      <c r="T1127" s="3" t="str">
        <f t="shared" si="143"/>
        <v/>
      </c>
      <c r="V1127" s="1" t="e">
        <f t="shared" si="144"/>
        <v>#VALUE!</v>
      </c>
    </row>
    <row r="1128" spans="8:22" x14ac:dyDescent="0.3">
      <c r="H1128" s="2" t="str">
        <f>IF(Planilha1!B1125="","",Planilha1!B1125)</f>
        <v>7:00p</v>
      </c>
      <c r="I1128" s="2" t="str">
        <f>IF(Planilha1!C1125="","",Planilha1!C1125)</f>
        <v>Milwaukee Bucks</v>
      </c>
      <c r="J1128" s="2">
        <f>IF(Planilha1!D1125="","",Planilha1!D1125)</f>
        <v>0</v>
      </c>
      <c r="K1128" s="10" t="str">
        <f>IF(Planilha1!E1125="","",IF(Planilha1!E1125=0,"",Planilha1!E1125))</f>
        <v>Washington Wizards</v>
      </c>
      <c r="L1128" s="10">
        <f>IF(Planilha1!F1125="","",Planilha1!F1125)</f>
        <v>0</v>
      </c>
      <c r="M1128" s="10" t="str">
        <f>IF(Planilha1!G1125="","",IF(Planilha1!G1125=0,"",Planilha1!G1125))</f>
        <v/>
      </c>
      <c r="N1128" s="5">
        <f t="shared" si="137"/>
        <v>1</v>
      </c>
      <c r="O1128" s="5">
        <f t="shared" si="138"/>
        <v>0</v>
      </c>
      <c r="P1128" s="5">
        <f t="shared" si="139"/>
        <v>0</v>
      </c>
      <c r="Q1128" s="5">
        <f t="shared" si="140"/>
        <v>2</v>
      </c>
      <c r="R1128" s="8">
        <f t="shared" si="141"/>
        <v>0</v>
      </c>
      <c r="S1128" s="8">
        <f t="shared" si="142"/>
        <v>0</v>
      </c>
      <c r="T1128" s="3" t="str">
        <f t="shared" si="143"/>
        <v/>
      </c>
      <c r="V1128" s="1" t="e">
        <f t="shared" si="144"/>
        <v>#VALUE!</v>
      </c>
    </row>
    <row r="1129" spans="8:22" x14ac:dyDescent="0.3">
      <c r="H1129" s="2" t="str">
        <f>IF(Planilha1!B1126="","",Planilha1!B1126)</f>
        <v>7:30p</v>
      </c>
      <c r="I1129" s="2" t="str">
        <f>IF(Planilha1!C1126="","",Planilha1!C1126)</f>
        <v>New York Knicks</v>
      </c>
      <c r="J1129" s="2">
        <f>IF(Planilha1!D1126="","",Planilha1!D1126)</f>
        <v>0</v>
      </c>
      <c r="K1129" s="10" t="str">
        <f>IF(Planilha1!E1126="","",IF(Planilha1!E1126=0,"",Planilha1!E1126))</f>
        <v>Miami Heat</v>
      </c>
      <c r="L1129" s="10">
        <f>IF(Planilha1!F1126="","",Planilha1!F1126)</f>
        <v>0</v>
      </c>
      <c r="M1129" s="10" t="str">
        <f>IF(Planilha1!G1126="","",IF(Planilha1!G1126=0,"",Planilha1!G1126))</f>
        <v/>
      </c>
      <c r="N1129" s="5">
        <f t="shared" si="137"/>
        <v>1</v>
      </c>
      <c r="O1129" s="5">
        <f t="shared" si="138"/>
        <v>0</v>
      </c>
      <c r="P1129" s="5">
        <f t="shared" si="139"/>
        <v>0</v>
      </c>
      <c r="Q1129" s="5">
        <f t="shared" si="140"/>
        <v>2</v>
      </c>
      <c r="R1129" s="8">
        <f t="shared" si="141"/>
        <v>0</v>
      </c>
      <c r="S1129" s="8">
        <f t="shared" si="142"/>
        <v>0</v>
      </c>
      <c r="T1129" s="3" t="str">
        <f t="shared" si="143"/>
        <v/>
      </c>
      <c r="V1129" s="1" t="e">
        <f t="shared" si="144"/>
        <v>#VALUE!</v>
      </c>
    </row>
    <row r="1130" spans="8:22" x14ac:dyDescent="0.3">
      <c r="H1130" s="2" t="str">
        <f>IF(Planilha1!B1127="","",Planilha1!B1127)</f>
        <v>7:30p</v>
      </c>
      <c r="I1130" s="2" t="str">
        <f>IF(Planilha1!C1127="","",Planilha1!C1127)</f>
        <v>Oklahoma City Thunder</v>
      </c>
      <c r="J1130" s="2">
        <f>IF(Planilha1!D1127="","",Planilha1!D1127)</f>
        <v>0</v>
      </c>
      <c r="K1130" s="10" t="str">
        <f>IF(Planilha1!E1127="","",IF(Planilha1!E1127=0,"",Planilha1!E1127))</f>
        <v>Philadelphia 76ers</v>
      </c>
      <c r="L1130" s="10">
        <f>IF(Planilha1!F1127="","",Planilha1!F1127)</f>
        <v>0</v>
      </c>
      <c r="M1130" s="10" t="str">
        <f>IF(Planilha1!G1127="","",IF(Planilha1!G1127=0,"",Planilha1!G1127))</f>
        <v/>
      </c>
      <c r="N1130" s="5">
        <f t="shared" si="137"/>
        <v>1</v>
      </c>
      <c r="O1130" s="5">
        <f t="shared" si="138"/>
        <v>0</v>
      </c>
      <c r="P1130" s="5">
        <f t="shared" si="139"/>
        <v>0</v>
      </c>
      <c r="Q1130" s="5">
        <f t="shared" si="140"/>
        <v>2</v>
      </c>
      <c r="R1130" s="8">
        <f t="shared" si="141"/>
        <v>0</v>
      </c>
      <c r="S1130" s="8">
        <f t="shared" si="142"/>
        <v>0</v>
      </c>
      <c r="T1130" s="3" t="str">
        <f t="shared" si="143"/>
        <v/>
      </c>
      <c r="V1130" s="1" t="e">
        <f t="shared" si="144"/>
        <v>#VALUE!</v>
      </c>
    </row>
    <row r="1131" spans="8:22" x14ac:dyDescent="0.3">
      <c r="H1131" s="2" t="str">
        <f>IF(Planilha1!B1128="","",Planilha1!B1128)</f>
        <v>8:00p</v>
      </c>
      <c r="I1131" s="2" t="str">
        <f>IF(Planilha1!C1128="","",Planilha1!C1128)</f>
        <v>Houston Rockets</v>
      </c>
      <c r="J1131" s="2">
        <f>IF(Planilha1!D1128="","",Planilha1!D1128)</f>
        <v>0</v>
      </c>
      <c r="K1131" s="10" t="str">
        <f>IF(Planilha1!E1128="","",IF(Planilha1!E1128=0,"",Planilha1!E1128))</f>
        <v>Minnesota Timberwolves</v>
      </c>
      <c r="L1131" s="10">
        <f>IF(Planilha1!F1128="","",Planilha1!F1128)</f>
        <v>0</v>
      </c>
      <c r="M1131" s="10" t="str">
        <f>IF(Planilha1!G1128="","",IF(Planilha1!G1128=0,"",Planilha1!G1128))</f>
        <v/>
      </c>
      <c r="N1131" s="5">
        <f t="shared" si="137"/>
        <v>1</v>
      </c>
      <c r="O1131" s="5">
        <f t="shared" si="138"/>
        <v>0</v>
      </c>
      <c r="P1131" s="5">
        <f t="shared" si="139"/>
        <v>0</v>
      </c>
      <c r="Q1131" s="5">
        <f t="shared" si="140"/>
        <v>2</v>
      </c>
      <c r="R1131" s="8">
        <f t="shared" si="141"/>
        <v>0</v>
      </c>
      <c r="S1131" s="8">
        <f t="shared" si="142"/>
        <v>0</v>
      </c>
      <c r="T1131" s="3" t="str">
        <f t="shared" si="143"/>
        <v/>
      </c>
      <c r="V1131" s="1" t="e">
        <f t="shared" si="144"/>
        <v>#VALUE!</v>
      </c>
    </row>
    <row r="1132" spans="8:22" x14ac:dyDescent="0.3">
      <c r="H1132" s="2" t="str">
        <f>IF(Planilha1!B1129="","",Planilha1!B1129)</f>
        <v>9:00p</v>
      </c>
      <c r="I1132" s="2" t="str">
        <f>IF(Planilha1!C1129="","",Planilha1!C1129)</f>
        <v>San Antonio Spurs</v>
      </c>
      <c r="J1132" s="2">
        <f>IF(Planilha1!D1129="","",Planilha1!D1129)</f>
        <v>0</v>
      </c>
      <c r="K1132" s="10" t="str">
        <f>IF(Planilha1!E1129="","",IF(Planilha1!E1129=0,"",Planilha1!E1129))</f>
        <v>Denver Nuggets</v>
      </c>
      <c r="L1132" s="10">
        <f>IF(Planilha1!F1129="","",Planilha1!F1129)</f>
        <v>0</v>
      </c>
      <c r="M1132" s="10" t="str">
        <f>IF(Planilha1!G1129="","",IF(Planilha1!G1129=0,"",Planilha1!G1129))</f>
        <v/>
      </c>
      <c r="N1132" s="5">
        <f t="shared" si="137"/>
        <v>1</v>
      </c>
      <c r="O1132" s="5">
        <f t="shared" si="138"/>
        <v>0</v>
      </c>
      <c r="P1132" s="5">
        <f t="shared" si="139"/>
        <v>0</v>
      </c>
      <c r="Q1132" s="5">
        <f t="shared" si="140"/>
        <v>2</v>
      </c>
      <c r="R1132" s="8">
        <f t="shared" si="141"/>
        <v>0</v>
      </c>
      <c r="S1132" s="8">
        <f t="shared" si="142"/>
        <v>0</v>
      </c>
      <c r="T1132" s="3" t="str">
        <f t="shared" si="143"/>
        <v/>
      </c>
      <c r="V1132" s="1" t="e">
        <f t="shared" si="144"/>
        <v>#VALUE!</v>
      </c>
    </row>
    <row r="1133" spans="8:22" x14ac:dyDescent="0.3">
      <c r="H1133" s="2" t="str">
        <f>IF(Planilha1!B1130="","",Planilha1!B1130)</f>
        <v>9:00p</v>
      </c>
      <c r="I1133" s="2" t="str">
        <f>IF(Planilha1!C1130="","",Planilha1!C1130)</f>
        <v>Cleveland Cavaliers</v>
      </c>
      <c r="J1133" s="2">
        <f>IF(Planilha1!D1130="","",Planilha1!D1130)</f>
        <v>0</v>
      </c>
      <c r="K1133" s="10" t="str">
        <f>IF(Planilha1!E1130="","",IF(Planilha1!E1130=0,"",Planilha1!E1130))</f>
        <v>Utah Jazz</v>
      </c>
      <c r="L1133" s="10">
        <f>IF(Planilha1!F1130="","",Planilha1!F1130)</f>
        <v>0</v>
      </c>
      <c r="M1133" s="10" t="str">
        <f>IF(Planilha1!G1130="","",IF(Planilha1!G1130=0,"",Planilha1!G1130))</f>
        <v/>
      </c>
      <c r="N1133" s="5">
        <f t="shared" si="137"/>
        <v>1</v>
      </c>
      <c r="O1133" s="5">
        <f t="shared" si="138"/>
        <v>0</v>
      </c>
      <c r="P1133" s="5">
        <f t="shared" si="139"/>
        <v>0</v>
      </c>
      <c r="Q1133" s="5">
        <f t="shared" si="140"/>
        <v>2</v>
      </c>
      <c r="R1133" s="8">
        <f t="shared" si="141"/>
        <v>0</v>
      </c>
      <c r="S1133" s="8">
        <f t="shared" si="142"/>
        <v>0</v>
      </c>
      <c r="T1133" s="3" t="str">
        <f t="shared" si="143"/>
        <v/>
      </c>
      <c r="V1133" s="1" t="e">
        <f t="shared" si="144"/>
        <v>#VALUE!</v>
      </c>
    </row>
    <row r="1134" spans="8:22" x14ac:dyDescent="0.3">
      <c r="H1134" s="2" t="str">
        <f>IF(Planilha1!B1131="","",Planilha1!B1131)</f>
        <v>10:00p</v>
      </c>
      <c r="I1134" s="2" t="str">
        <f>IF(Planilha1!C1131="","",Planilha1!C1131)</f>
        <v>Dallas Mavericks</v>
      </c>
      <c r="J1134" s="2">
        <f>IF(Planilha1!D1131="","",Planilha1!D1131)</f>
        <v>0</v>
      </c>
      <c r="K1134" s="10" t="str">
        <f>IF(Planilha1!E1131="","",IF(Planilha1!E1131=0,"",Planilha1!E1131))</f>
        <v>Golden State Warriors</v>
      </c>
      <c r="L1134" s="10">
        <f>IF(Planilha1!F1131="","",Planilha1!F1131)</f>
        <v>0</v>
      </c>
      <c r="M1134" s="10" t="str">
        <f>IF(Planilha1!G1131="","",IF(Planilha1!G1131=0,"",Planilha1!G1131))</f>
        <v/>
      </c>
      <c r="N1134" s="5">
        <f t="shared" si="137"/>
        <v>1</v>
      </c>
      <c r="O1134" s="5">
        <f t="shared" si="138"/>
        <v>0</v>
      </c>
      <c r="P1134" s="5">
        <f t="shared" si="139"/>
        <v>0</v>
      </c>
      <c r="Q1134" s="5">
        <f t="shared" si="140"/>
        <v>2</v>
      </c>
      <c r="R1134" s="8">
        <f t="shared" si="141"/>
        <v>0</v>
      </c>
      <c r="S1134" s="8">
        <f t="shared" si="142"/>
        <v>0</v>
      </c>
      <c r="T1134" s="3" t="str">
        <f t="shared" si="143"/>
        <v/>
      </c>
      <c r="V1134" s="1" t="e">
        <f t="shared" si="144"/>
        <v>#VALUE!</v>
      </c>
    </row>
    <row r="1135" spans="8:22" x14ac:dyDescent="0.3">
      <c r="H1135" s="2" t="str">
        <f>IF(Planilha1!B1132="","",Planilha1!B1132)</f>
        <v>10:00p</v>
      </c>
      <c r="I1135" s="2" t="str">
        <f>IF(Planilha1!C1132="","",Planilha1!C1132)</f>
        <v>Los Angeles Clippers</v>
      </c>
      <c r="J1135" s="2">
        <f>IF(Planilha1!D1132="","",Planilha1!D1132)</f>
        <v>0</v>
      </c>
      <c r="K1135" s="10" t="str">
        <f>IF(Planilha1!E1132="","",IF(Planilha1!E1132=0,"",Planilha1!E1132))</f>
        <v>Sacramento Kings</v>
      </c>
      <c r="L1135" s="10">
        <f>IF(Planilha1!F1132="","",Planilha1!F1132)</f>
        <v>0</v>
      </c>
      <c r="M1135" s="10" t="str">
        <f>IF(Planilha1!G1132="","",IF(Planilha1!G1132=0,"",Planilha1!G1132))</f>
        <v/>
      </c>
      <c r="N1135" s="5">
        <f t="shared" si="137"/>
        <v>1</v>
      </c>
      <c r="O1135" s="5">
        <f t="shared" si="138"/>
        <v>0</v>
      </c>
      <c r="P1135" s="5">
        <f t="shared" si="139"/>
        <v>0</v>
      </c>
      <c r="Q1135" s="5">
        <f t="shared" si="140"/>
        <v>2</v>
      </c>
      <c r="R1135" s="8">
        <f t="shared" si="141"/>
        <v>0</v>
      </c>
      <c r="S1135" s="8">
        <f t="shared" si="142"/>
        <v>0</v>
      </c>
      <c r="T1135" s="3" t="str">
        <f t="shared" si="143"/>
        <v/>
      </c>
      <c r="V1135" s="1" t="e">
        <f t="shared" si="144"/>
        <v>#VALUE!</v>
      </c>
    </row>
    <row r="1136" spans="8:22" x14ac:dyDescent="0.3">
      <c r="H1136" s="2" t="str">
        <f>IF(Planilha1!B1133="","",Planilha1!B1133)</f>
        <v>7:00p</v>
      </c>
      <c r="I1136" s="2" t="str">
        <f>IF(Planilha1!C1133="","",Planilha1!C1133)</f>
        <v>Portland Trail Blazers</v>
      </c>
      <c r="J1136" s="2">
        <f>IF(Planilha1!D1133="","",Planilha1!D1133)</f>
        <v>0</v>
      </c>
      <c r="K1136" s="10" t="str">
        <f>IF(Planilha1!E1133="","",IF(Planilha1!E1133=0,"",Planilha1!E1133))</f>
        <v>Charlotte Hornets</v>
      </c>
      <c r="L1136" s="10">
        <f>IF(Planilha1!F1133="","",Planilha1!F1133)</f>
        <v>0</v>
      </c>
      <c r="M1136" s="10" t="str">
        <f>IF(Planilha1!G1133="","",IF(Planilha1!G1133=0,"",Planilha1!G1133))</f>
        <v/>
      </c>
      <c r="N1136" s="5">
        <f t="shared" si="137"/>
        <v>1</v>
      </c>
      <c r="O1136" s="5">
        <f t="shared" si="138"/>
        <v>0</v>
      </c>
      <c r="P1136" s="5">
        <f t="shared" si="139"/>
        <v>0</v>
      </c>
      <c r="Q1136" s="5">
        <f t="shared" si="140"/>
        <v>2</v>
      </c>
      <c r="R1136" s="8">
        <f t="shared" si="141"/>
        <v>0</v>
      </c>
      <c r="S1136" s="8">
        <f t="shared" si="142"/>
        <v>0</v>
      </c>
      <c r="T1136" s="3" t="str">
        <f t="shared" si="143"/>
        <v/>
      </c>
      <c r="V1136" s="1" t="e">
        <f t="shared" si="144"/>
        <v>#VALUE!</v>
      </c>
    </row>
    <row r="1137" spans="8:22" x14ac:dyDescent="0.3">
      <c r="H1137" s="2" t="str">
        <f>IF(Planilha1!B1134="","",Planilha1!B1134)</f>
        <v>7:00p</v>
      </c>
      <c r="I1137" s="2" t="str">
        <f>IF(Planilha1!C1134="","",Planilha1!C1134)</f>
        <v>Los Angeles Lakers</v>
      </c>
      <c r="J1137" s="2">
        <f>IF(Planilha1!D1134="","",Planilha1!D1134)</f>
        <v>0</v>
      </c>
      <c r="K1137" s="10" t="str">
        <f>IF(Planilha1!E1134="","",IF(Planilha1!E1134=0,"",Planilha1!E1134))</f>
        <v>Washington Wizards</v>
      </c>
      <c r="L1137" s="10">
        <f>IF(Planilha1!F1134="","",Planilha1!F1134)</f>
        <v>0</v>
      </c>
      <c r="M1137" s="10" t="str">
        <f>IF(Planilha1!G1134="","",IF(Planilha1!G1134=0,"",Planilha1!G1134))</f>
        <v/>
      </c>
      <c r="N1137" s="5">
        <f t="shared" si="137"/>
        <v>1</v>
      </c>
      <c r="O1137" s="5">
        <f t="shared" si="138"/>
        <v>0</v>
      </c>
      <c r="P1137" s="5">
        <f t="shared" si="139"/>
        <v>0</v>
      </c>
      <c r="Q1137" s="5">
        <f t="shared" si="140"/>
        <v>2</v>
      </c>
      <c r="R1137" s="8">
        <f t="shared" si="141"/>
        <v>0</v>
      </c>
      <c r="S1137" s="8">
        <f t="shared" si="142"/>
        <v>0</v>
      </c>
      <c r="T1137" s="3" t="str">
        <f t="shared" si="143"/>
        <v/>
      </c>
      <c r="V1137" s="1" t="e">
        <f t="shared" si="144"/>
        <v>#VALUE!</v>
      </c>
    </row>
    <row r="1138" spans="8:22" x14ac:dyDescent="0.3">
      <c r="H1138" s="2" t="str">
        <f>IF(Planilha1!B1135="","",Planilha1!B1135)</f>
        <v>7:30p</v>
      </c>
      <c r="I1138" s="2" t="str">
        <f>IF(Planilha1!C1135="","",Planilha1!C1135)</f>
        <v>Detroit Pistons</v>
      </c>
      <c r="J1138" s="2">
        <f>IF(Planilha1!D1135="","",Planilha1!D1135)</f>
        <v>0</v>
      </c>
      <c r="K1138" s="10" t="str">
        <f>IF(Planilha1!E1135="","",IF(Planilha1!E1135=0,"",Planilha1!E1135))</f>
        <v>Atlanta Hawks</v>
      </c>
      <c r="L1138" s="10">
        <f>IF(Planilha1!F1135="","",Planilha1!F1135)</f>
        <v>0</v>
      </c>
      <c r="M1138" s="10" t="str">
        <f>IF(Planilha1!G1135="","",IF(Planilha1!G1135=0,"",Planilha1!G1135))</f>
        <v/>
      </c>
      <c r="N1138" s="5">
        <f t="shared" si="137"/>
        <v>1</v>
      </c>
      <c r="O1138" s="5">
        <f t="shared" si="138"/>
        <v>0</v>
      </c>
      <c r="P1138" s="5">
        <f t="shared" si="139"/>
        <v>0</v>
      </c>
      <c r="Q1138" s="5">
        <f t="shared" si="140"/>
        <v>2</v>
      </c>
      <c r="R1138" s="8">
        <f t="shared" si="141"/>
        <v>0</v>
      </c>
      <c r="S1138" s="8">
        <f t="shared" si="142"/>
        <v>0</v>
      </c>
      <c r="T1138" s="3" t="str">
        <f t="shared" si="143"/>
        <v/>
      </c>
      <c r="V1138" s="1" t="e">
        <f t="shared" si="144"/>
        <v>#VALUE!</v>
      </c>
    </row>
    <row r="1139" spans="8:22" x14ac:dyDescent="0.3">
      <c r="H1139" s="2" t="str">
        <f>IF(Planilha1!B1136="","",Planilha1!B1136)</f>
        <v>7:30p</v>
      </c>
      <c r="I1139" s="2" t="str">
        <f>IF(Planilha1!C1136="","",Planilha1!C1136)</f>
        <v>Oklahoma City Thunder</v>
      </c>
      <c r="J1139" s="2">
        <f>IF(Planilha1!D1136="","",Planilha1!D1136)</f>
        <v>0</v>
      </c>
      <c r="K1139" s="10" t="str">
        <f>IF(Planilha1!E1136="","",IF(Planilha1!E1136=0,"",Planilha1!E1136))</f>
        <v>Boston Celtics</v>
      </c>
      <c r="L1139" s="10">
        <f>IF(Planilha1!F1136="","",Planilha1!F1136)</f>
        <v>0</v>
      </c>
      <c r="M1139" s="10" t="str">
        <f>IF(Planilha1!G1136="","",IF(Planilha1!G1136=0,"",Planilha1!G1136))</f>
        <v/>
      </c>
      <c r="N1139" s="5">
        <f t="shared" si="137"/>
        <v>1</v>
      </c>
      <c r="O1139" s="5">
        <f t="shared" si="138"/>
        <v>0</v>
      </c>
      <c r="P1139" s="5">
        <f t="shared" si="139"/>
        <v>0</v>
      </c>
      <c r="Q1139" s="5">
        <f t="shared" si="140"/>
        <v>2</v>
      </c>
      <c r="R1139" s="8">
        <f t="shared" si="141"/>
        <v>0</v>
      </c>
      <c r="S1139" s="8">
        <f t="shared" si="142"/>
        <v>0</v>
      </c>
      <c r="T1139" s="3" t="str">
        <f t="shared" si="143"/>
        <v/>
      </c>
      <c r="V1139" s="1" t="e">
        <f t="shared" si="144"/>
        <v>#VALUE!</v>
      </c>
    </row>
    <row r="1140" spans="8:22" x14ac:dyDescent="0.3">
      <c r="H1140" s="2" t="str">
        <f>IF(Planilha1!B1137="","",Planilha1!B1137)</f>
        <v>7:30p</v>
      </c>
      <c r="I1140" s="2" t="str">
        <f>IF(Planilha1!C1137="","",Planilha1!C1137)</f>
        <v>Indiana Pacers</v>
      </c>
      <c r="J1140" s="2">
        <f>IF(Planilha1!D1137="","",Planilha1!D1137)</f>
        <v>0</v>
      </c>
      <c r="K1140" s="10" t="str">
        <f>IF(Planilha1!E1137="","",IF(Planilha1!E1137=0,"",Planilha1!E1137))</f>
        <v>Brooklyn Nets</v>
      </c>
      <c r="L1140" s="10">
        <f>IF(Planilha1!F1137="","",Planilha1!F1137)</f>
        <v>0</v>
      </c>
      <c r="M1140" s="10" t="str">
        <f>IF(Planilha1!G1137="","",IF(Planilha1!G1137=0,"",Planilha1!G1137))</f>
        <v/>
      </c>
      <c r="N1140" s="5">
        <f t="shared" si="137"/>
        <v>1</v>
      </c>
      <c r="O1140" s="5">
        <f t="shared" si="138"/>
        <v>0</v>
      </c>
      <c r="P1140" s="5">
        <f t="shared" si="139"/>
        <v>0</v>
      </c>
      <c r="Q1140" s="5">
        <f t="shared" si="140"/>
        <v>2</v>
      </c>
      <c r="R1140" s="8">
        <f t="shared" si="141"/>
        <v>0</v>
      </c>
      <c r="S1140" s="8">
        <f t="shared" si="142"/>
        <v>0</v>
      </c>
      <c r="T1140" s="3" t="str">
        <f t="shared" si="143"/>
        <v/>
      </c>
      <c r="V1140" s="1" t="e">
        <f t="shared" si="144"/>
        <v>#VALUE!</v>
      </c>
    </row>
    <row r="1141" spans="8:22" x14ac:dyDescent="0.3">
      <c r="H1141" s="2" t="str">
        <f>IF(Planilha1!B1138="","",Planilha1!B1138)</f>
        <v>7:30p</v>
      </c>
      <c r="I1141" s="2" t="str">
        <f>IF(Planilha1!C1138="","",Planilha1!C1138)</f>
        <v>Memphis Grizzlies</v>
      </c>
      <c r="J1141" s="2">
        <f>IF(Planilha1!D1138="","",Planilha1!D1138)</f>
        <v>0</v>
      </c>
      <c r="K1141" s="10" t="str">
        <f>IF(Planilha1!E1138="","",IF(Planilha1!E1138=0,"",Planilha1!E1138))</f>
        <v>Milwaukee Bucks</v>
      </c>
      <c r="L1141" s="10">
        <f>IF(Planilha1!F1138="","",Planilha1!F1138)</f>
        <v>0</v>
      </c>
      <c r="M1141" s="10" t="str">
        <f>IF(Planilha1!G1138="","",IF(Planilha1!G1138=0,"",Planilha1!G1138))</f>
        <v/>
      </c>
      <c r="N1141" s="5">
        <f t="shared" si="137"/>
        <v>1</v>
      </c>
      <c r="O1141" s="5">
        <f t="shared" si="138"/>
        <v>0</v>
      </c>
      <c r="P1141" s="5">
        <f t="shared" si="139"/>
        <v>0</v>
      </c>
      <c r="Q1141" s="5">
        <f t="shared" si="140"/>
        <v>2</v>
      </c>
      <c r="R1141" s="8">
        <f t="shared" si="141"/>
        <v>0</v>
      </c>
      <c r="S1141" s="8">
        <f t="shared" si="142"/>
        <v>0</v>
      </c>
      <c r="T1141" s="3" t="str">
        <f t="shared" si="143"/>
        <v/>
      </c>
      <c r="V1141" s="1" t="e">
        <f t="shared" si="144"/>
        <v>#VALUE!</v>
      </c>
    </row>
    <row r="1142" spans="8:22" x14ac:dyDescent="0.3">
      <c r="H1142" s="2" t="str">
        <f>IF(Planilha1!B1139="","",Planilha1!B1139)</f>
        <v>8:00p</v>
      </c>
      <c r="I1142" s="2" t="str">
        <f>IF(Planilha1!C1139="","",Planilha1!C1139)</f>
        <v>Toronto Raptors</v>
      </c>
      <c r="J1142" s="2">
        <f>IF(Planilha1!D1139="","",Planilha1!D1139)</f>
        <v>0</v>
      </c>
      <c r="K1142" s="10" t="str">
        <f>IF(Planilha1!E1139="","",IF(Planilha1!E1139=0,"",Planilha1!E1139))</f>
        <v>Minnesota Timberwolves</v>
      </c>
      <c r="L1142" s="10">
        <f>IF(Planilha1!F1139="","",Planilha1!F1139)</f>
        <v>0</v>
      </c>
      <c r="M1142" s="10" t="str">
        <f>IF(Planilha1!G1139="","",IF(Planilha1!G1139=0,"",Planilha1!G1139))</f>
        <v/>
      </c>
      <c r="N1142" s="5">
        <f t="shared" si="137"/>
        <v>1</v>
      </c>
      <c r="O1142" s="5">
        <f t="shared" si="138"/>
        <v>0</v>
      </c>
      <c r="P1142" s="5">
        <f t="shared" si="139"/>
        <v>0</v>
      </c>
      <c r="Q1142" s="5">
        <f t="shared" si="140"/>
        <v>2</v>
      </c>
      <c r="R1142" s="8">
        <f t="shared" si="141"/>
        <v>0</v>
      </c>
      <c r="S1142" s="8">
        <f t="shared" si="142"/>
        <v>0</v>
      </c>
      <c r="T1142" s="3" t="str">
        <f t="shared" si="143"/>
        <v/>
      </c>
      <c r="V1142" s="1" t="e">
        <f t="shared" si="144"/>
        <v>#VALUE!</v>
      </c>
    </row>
    <row r="1143" spans="8:22" x14ac:dyDescent="0.3">
      <c r="H1143" s="2" t="str">
        <f>IF(Planilha1!B1140="","",Planilha1!B1140)</f>
        <v>8:00p</v>
      </c>
      <c r="I1143" s="2" t="str">
        <f>IF(Planilha1!C1140="","",Planilha1!C1140)</f>
        <v>Orlando Magic</v>
      </c>
      <c r="J1143" s="2">
        <f>IF(Planilha1!D1140="","",Planilha1!D1140)</f>
        <v>0</v>
      </c>
      <c r="K1143" s="10" t="str">
        <f>IF(Planilha1!E1140="","",IF(Planilha1!E1140=0,"",Planilha1!E1140))</f>
        <v>New Orleans Pelicans</v>
      </c>
      <c r="L1143" s="10">
        <f>IF(Planilha1!F1140="","",Planilha1!F1140)</f>
        <v>0</v>
      </c>
      <c r="M1143" s="10" t="str">
        <f>IF(Planilha1!G1140="","",IF(Planilha1!G1140=0,"",Planilha1!G1140))</f>
        <v/>
      </c>
      <c r="N1143" s="5">
        <f t="shared" si="137"/>
        <v>1</v>
      </c>
      <c r="O1143" s="5">
        <f t="shared" si="138"/>
        <v>0</v>
      </c>
      <c r="P1143" s="5">
        <f t="shared" si="139"/>
        <v>0</v>
      </c>
      <c r="Q1143" s="5">
        <f t="shared" si="140"/>
        <v>2</v>
      </c>
      <c r="R1143" s="8">
        <f t="shared" si="141"/>
        <v>0</v>
      </c>
      <c r="S1143" s="8">
        <f t="shared" si="142"/>
        <v>0</v>
      </c>
      <c r="T1143" s="3" t="str">
        <f t="shared" si="143"/>
        <v/>
      </c>
      <c r="V1143" s="1" t="e">
        <f t="shared" si="144"/>
        <v>#VALUE!</v>
      </c>
    </row>
    <row r="1144" spans="8:22" x14ac:dyDescent="0.3">
      <c r="H1144" s="2" t="str">
        <f>IF(Planilha1!B1141="","",Planilha1!B1141)</f>
        <v>10:00p</v>
      </c>
      <c r="I1144" s="2" t="str">
        <f>IF(Planilha1!C1141="","",Planilha1!C1141)</f>
        <v>Cleveland Cavaliers</v>
      </c>
      <c r="J1144" s="2">
        <f>IF(Planilha1!D1141="","",Planilha1!D1141)</f>
        <v>0</v>
      </c>
      <c r="K1144" s="10" t="str">
        <f>IF(Planilha1!E1141="","",IF(Planilha1!E1141=0,"",Planilha1!E1141))</f>
        <v>Phoenix Suns</v>
      </c>
      <c r="L1144" s="10">
        <f>IF(Planilha1!F1141="","",Planilha1!F1141)</f>
        <v>0</v>
      </c>
      <c r="M1144" s="10" t="str">
        <f>IF(Planilha1!G1141="","",IF(Planilha1!G1141=0,"",Planilha1!G1141))</f>
        <v/>
      </c>
      <c r="N1144" s="5">
        <f t="shared" si="137"/>
        <v>1</v>
      </c>
      <c r="O1144" s="5">
        <f t="shared" si="138"/>
        <v>0</v>
      </c>
      <c r="P1144" s="5">
        <f t="shared" si="139"/>
        <v>0</v>
      </c>
      <c r="Q1144" s="5">
        <f t="shared" si="140"/>
        <v>2</v>
      </c>
      <c r="R1144" s="8">
        <f t="shared" si="141"/>
        <v>0</v>
      </c>
      <c r="S1144" s="8">
        <f t="shared" si="142"/>
        <v>0</v>
      </c>
      <c r="T1144" s="3" t="str">
        <f t="shared" si="143"/>
        <v/>
      </c>
      <c r="V1144" s="1" t="e">
        <f t="shared" si="144"/>
        <v>#VALUE!</v>
      </c>
    </row>
    <row r="1145" spans="8:22" x14ac:dyDescent="0.3">
      <c r="H1145" s="2" t="str">
        <f>IF(Planilha1!B1142="","",Planilha1!B1142)</f>
        <v>7:30p</v>
      </c>
      <c r="I1145" s="2" t="str">
        <f>IF(Planilha1!C1142="","",Planilha1!C1142)</f>
        <v>Philadelphia 76ers</v>
      </c>
      <c r="J1145" s="2">
        <f>IF(Planilha1!D1142="","",Planilha1!D1142)</f>
        <v>0</v>
      </c>
      <c r="K1145" s="10" t="str">
        <f>IF(Planilha1!E1142="","",IF(Planilha1!E1142=0,"",Planilha1!E1142))</f>
        <v>Miami Heat</v>
      </c>
      <c r="L1145" s="10">
        <f>IF(Planilha1!F1142="","",Planilha1!F1142)</f>
        <v>0</v>
      </c>
      <c r="M1145" s="10" t="str">
        <f>IF(Planilha1!G1142="","",IF(Planilha1!G1142=0,"",Planilha1!G1142))</f>
        <v/>
      </c>
      <c r="N1145" s="5">
        <f t="shared" si="137"/>
        <v>1</v>
      </c>
      <c r="O1145" s="5">
        <f t="shared" si="138"/>
        <v>0</v>
      </c>
      <c r="P1145" s="5">
        <f t="shared" si="139"/>
        <v>0</v>
      </c>
      <c r="Q1145" s="5">
        <f t="shared" si="140"/>
        <v>2</v>
      </c>
      <c r="R1145" s="8">
        <f t="shared" si="141"/>
        <v>0</v>
      </c>
      <c r="S1145" s="8">
        <f t="shared" si="142"/>
        <v>0</v>
      </c>
      <c r="T1145" s="3" t="str">
        <f t="shared" si="143"/>
        <v/>
      </c>
      <c r="V1145" s="1" t="e">
        <f t="shared" si="144"/>
        <v>#VALUE!</v>
      </c>
    </row>
    <row r="1146" spans="8:22" x14ac:dyDescent="0.3">
      <c r="H1146" s="2" t="str">
        <f>IF(Planilha1!B1143="","",Planilha1!B1143)</f>
        <v>7:30p</v>
      </c>
      <c r="I1146" s="2" t="str">
        <f>IF(Planilha1!C1143="","",Planilha1!C1143)</f>
        <v>Sacramento Kings</v>
      </c>
      <c r="J1146" s="2">
        <f>IF(Planilha1!D1143="","",Planilha1!D1143)</f>
        <v>0</v>
      </c>
      <c r="K1146" s="10" t="str">
        <f>IF(Planilha1!E1143="","",IF(Planilha1!E1143=0,"",Planilha1!E1143))</f>
        <v>New York Knicks</v>
      </c>
      <c r="L1146" s="10">
        <f>IF(Planilha1!F1143="","",Planilha1!F1143)</f>
        <v>0</v>
      </c>
      <c r="M1146" s="10" t="str">
        <f>IF(Planilha1!G1143="","",IF(Planilha1!G1143=0,"",Planilha1!G1143))</f>
        <v/>
      </c>
      <c r="N1146" s="5">
        <f t="shared" si="137"/>
        <v>1</v>
      </c>
      <c r="O1146" s="5">
        <f t="shared" si="138"/>
        <v>0</v>
      </c>
      <c r="P1146" s="5">
        <f t="shared" si="139"/>
        <v>0</v>
      </c>
      <c r="Q1146" s="5">
        <f t="shared" si="140"/>
        <v>2</v>
      </c>
      <c r="R1146" s="8">
        <f t="shared" si="141"/>
        <v>0</v>
      </c>
      <c r="S1146" s="8">
        <f t="shared" si="142"/>
        <v>0</v>
      </c>
      <c r="T1146" s="3" t="str">
        <f t="shared" si="143"/>
        <v/>
      </c>
      <c r="V1146" s="1" t="e">
        <f t="shared" si="144"/>
        <v>#VALUE!</v>
      </c>
    </row>
    <row r="1147" spans="8:22" x14ac:dyDescent="0.3">
      <c r="H1147" s="2" t="str">
        <f>IF(Planilha1!B1144="","",Planilha1!B1144)</f>
        <v>8:00p</v>
      </c>
      <c r="I1147" s="2" t="str">
        <f>IF(Planilha1!C1144="","",Planilha1!C1144)</f>
        <v>Golden State Warriors</v>
      </c>
      <c r="J1147" s="2">
        <f>IF(Planilha1!D1144="","",Planilha1!D1144)</f>
        <v>0</v>
      </c>
      <c r="K1147" s="10" t="str">
        <f>IF(Planilha1!E1144="","",IF(Planilha1!E1144=0,"",Planilha1!E1144))</f>
        <v>Houston Rockets</v>
      </c>
      <c r="L1147" s="10">
        <f>IF(Planilha1!F1144="","",Planilha1!F1144)</f>
        <v>0</v>
      </c>
      <c r="M1147" s="10" t="str">
        <f>IF(Planilha1!G1144="","",IF(Planilha1!G1144=0,"",Planilha1!G1144))</f>
        <v/>
      </c>
      <c r="N1147" s="5">
        <f t="shared" si="137"/>
        <v>1</v>
      </c>
      <c r="O1147" s="5">
        <f t="shared" si="138"/>
        <v>0</v>
      </c>
      <c r="P1147" s="5">
        <f t="shared" si="139"/>
        <v>0</v>
      </c>
      <c r="Q1147" s="5">
        <f t="shared" si="140"/>
        <v>2</v>
      </c>
      <c r="R1147" s="8">
        <f t="shared" si="141"/>
        <v>0</v>
      </c>
      <c r="S1147" s="8">
        <f t="shared" si="142"/>
        <v>0</v>
      </c>
      <c r="T1147" s="3" t="str">
        <f t="shared" si="143"/>
        <v/>
      </c>
      <c r="V1147" s="1" t="e">
        <f t="shared" si="144"/>
        <v>#VALUE!</v>
      </c>
    </row>
    <row r="1148" spans="8:22" x14ac:dyDescent="0.3">
      <c r="H1148" s="2" t="str">
        <f>IF(Planilha1!B1145="","",Planilha1!B1145)</f>
        <v>8:30p</v>
      </c>
      <c r="I1148" s="2" t="str">
        <f>IF(Planilha1!C1145="","",Planilha1!C1145)</f>
        <v>Atlanta Hawks</v>
      </c>
      <c r="J1148" s="2">
        <f>IF(Planilha1!D1145="","",Planilha1!D1145)</f>
        <v>0</v>
      </c>
      <c r="K1148" s="10" t="str">
        <f>IF(Planilha1!E1145="","",IF(Planilha1!E1145=0,"",Planilha1!E1145))</f>
        <v>Dallas Mavericks</v>
      </c>
      <c r="L1148" s="10">
        <f>IF(Planilha1!F1145="","",Planilha1!F1145)</f>
        <v>0</v>
      </c>
      <c r="M1148" s="10" t="str">
        <f>IF(Planilha1!G1145="","",IF(Planilha1!G1145=0,"",Planilha1!G1145))</f>
        <v/>
      </c>
      <c r="N1148" s="5">
        <f t="shared" si="137"/>
        <v>1</v>
      </c>
      <c r="O1148" s="5">
        <f t="shared" si="138"/>
        <v>0</v>
      </c>
      <c r="P1148" s="5">
        <f t="shared" si="139"/>
        <v>0</v>
      </c>
      <c r="Q1148" s="5">
        <f t="shared" si="140"/>
        <v>2</v>
      </c>
      <c r="R1148" s="8">
        <f t="shared" si="141"/>
        <v>0</v>
      </c>
      <c r="S1148" s="8">
        <f t="shared" si="142"/>
        <v>0</v>
      </c>
      <c r="T1148" s="3" t="str">
        <f t="shared" si="143"/>
        <v/>
      </c>
      <c r="V1148" s="1" t="e">
        <f t="shared" si="144"/>
        <v>#VALUE!</v>
      </c>
    </row>
    <row r="1149" spans="8:22" x14ac:dyDescent="0.3">
      <c r="H1149" s="2" t="str">
        <f>IF(Planilha1!B1146="","",Planilha1!B1146)</f>
        <v>10:00p</v>
      </c>
      <c r="I1149" s="2" t="str">
        <f>IF(Planilha1!C1146="","",Planilha1!C1146)</f>
        <v>Denver Nuggets</v>
      </c>
      <c r="J1149" s="2">
        <f>IF(Planilha1!D1146="","",Planilha1!D1146)</f>
        <v>0</v>
      </c>
      <c r="K1149" s="10" t="str">
        <f>IF(Planilha1!E1146="","",IF(Planilha1!E1146=0,"",Planilha1!E1146))</f>
        <v>Los Angeles Clippers</v>
      </c>
      <c r="L1149" s="10">
        <f>IF(Planilha1!F1146="","",Planilha1!F1146)</f>
        <v>0</v>
      </c>
      <c r="M1149" s="10" t="str">
        <f>IF(Planilha1!G1146="","",IF(Planilha1!G1146=0,"",Planilha1!G1146))</f>
        <v/>
      </c>
      <c r="N1149" s="5">
        <f t="shared" si="137"/>
        <v>1</v>
      </c>
      <c r="O1149" s="5">
        <f t="shared" si="138"/>
        <v>0</v>
      </c>
      <c r="P1149" s="5">
        <f t="shared" si="139"/>
        <v>0</v>
      </c>
      <c r="Q1149" s="5">
        <f t="shared" si="140"/>
        <v>2</v>
      </c>
      <c r="R1149" s="8">
        <f t="shared" si="141"/>
        <v>0</v>
      </c>
      <c r="S1149" s="8">
        <f t="shared" si="142"/>
        <v>0</v>
      </c>
      <c r="T1149" s="3" t="str">
        <f t="shared" si="143"/>
        <v/>
      </c>
      <c r="V1149" s="1" t="e">
        <f t="shared" si="144"/>
        <v>#VALUE!</v>
      </c>
    </row>
    <row r="1150" spans="8:22" x14ac:dyDescent="0.3">
      <c r="H1150" s="2" t="str">
        <f>IF(Planilha1!B1147="","",Planilha1!B1147)</f>
        <v>7:00p</v>
      </c>
      <c r="I1150" s="2" t="str">
        <f>IF(Planilha1!C1147="","",Planilha1!C1147)</f>
        <v>Orlando Magic</v>
      </c>
      <c r="J1150" s="2">
        <f>IF(Planilha1!D1147="","",Planilha1!D1147)</f>
        <v>0</v>
      </c>
      <c r="K1150" s="10" t="str">
        <f>IF(Planilha1!E1147="","",IF(Planilha1!E1147=0,"",Planilha1!E1147))</f>
        <v>Charlotte Hornets</v>
      </c>
      <c r="L1150" s="10">
        <f>IF(Planilha1!F1147="","",Planilha1!F1147)</f>
        <v>0</v>
      </c>
      <c r="M1150" s="10" t="str">
        <f>IF(Planilha1!G1147="","",IF(Planilha1!G1147=0,"",Planilha1!G1147))</f>
        <v/>
      </c>
      <c r="N1150" s="5">
        <f t="shared" si="137"/>
        <v>1</v>
      </c>
      <c r="O1150" s="5">
        <f t="shared" si="138"/>
        <v>0</v>
      </c>
      <c r="P1150" s="5">
        <f t="shared" si="139"/>
        <v>0</v>
      </c>
      <c r="Q1150" s="5">
        <f t="shared" si="140"/>
        <v>2</v>
      </c>
      <c r="R1150" s="8">
        <f t="shared" si="141"/>
        <v>0</v>
      </c>
      <c r="S1150" s="8">
        <f t="shared" si="142"/>
        <v>0</v>
      </c>
      <c r="T1150" s="3" t="str">
        <f t="shared" si="143"/>
        <v/>
      </c>
      <c r="V1150" s="1" t="e">
        <f t="shared" si="144"/>
        <v>#VALUE!</v>
      </c>
    </row>
    <row r="1151" spans="8:22" x14ac:dyDescent="0.3">
      <c r="H1151" s="2" t="str">
        <f>IF(Planilha1!B1148="","",Planilha1!B1148)</f>
        <v>7:00p</v>
      </c>
      <c r="I1151" s="2" t="str">
        <f>IF(Planilha1!C1148="","",Planilha1!C1148)</f>
        <v>Oklahoma City Thunder</v>
      </c>
      <c r="J1151" s="2">
        <f>IF(Planilha1!D1148="","",Planilha1!D1148)</f>
        <v>0</v>
      </c>
      <c r="K1151" s="10" t="str">
        <f>IF(Planilha1!E1148="","",IF(Planilha1!E1148=0,"",Planilha1!E1148))</f>
        <v>Indiana Pacers</v>
      </c>
      <c r="L1151" s="10">
        <f>IF(Planilha1!F1148="","",Planilha1!F1148)</f>
        <v>0</v>
      </c>
      <c r="M1151" s="10" t="str">
        <f>IF(Planilha1!G1148="","",IF(Planilha1!G1148=0,"",Planilha1!G1148))</f>
        <v/>
      </c>
      <c r="N1151" s="5">
        <f t="shared" si="137"/>
        <v>1</v>
      </c>
      <c r="O1151" s="5">
        <f t="shared" si="138"/>
        <v>0</v>
      </c>
      <c r="P1151" s="5">
        <f t="shared" si="139"/>
        <v>0</v>
      </c>
      <c r="Q1151" s="5">
        <f t="shared" si="140"/>
        <v>2</v>
      </c>
      <c r="R1151" s="8">
        <f t="shared" si="141"/>
        <v>0</v>
      </c>
      <c r="S1151" s="8">
        <f t="shared" si="142"/>
        <v>0</v>
      </c>
      <c r="T1151" s="3" t="str">
        <f t="shared" si="143"/>
        <v/>
      </c>
      <c r="V1151" s="1" t="e">
        <f t="shared" si="144"/>
        <v>#VALUE!</v>
      </c>
    </row>
    <row r="1152" spans="8:22" x14ac:dyDescent="0.3">
      <c r="H1152" s="2" t="str">
        <f>IF(Planilha1!B1149="","",Planilha1!B1149)</f>
        <v>7:00p</v>
      </c>
      <c r="I1152" s="2" t="str">
        <f>IF(Planilha1!C1149="","",Planilha1!C1149)</f>
        <v>Portland Trail Blazers</v>
      </c>
      <c r="J1152" s="2">
        <f>IF(Planilha1!D1149="","",Planilha1!D1149)</f>
        <v>0</v>
      </c>
      <c r="K1152" s="10" t="str">
        <f>IF(Planilha1!E1149="","",IF(Planilha1!E1149=0,"",Planilha1!E1149))</f>
        <v>Washington Wizards</v>
      </c>
      <c r="L1152" s="10">
        <f>IF(Planilha1!F1149="","",Planilha1!F1149)</f>
        <v>0</v>
      </c>
      <c r="M1152" s="10" t="str">
        <f>IF(Planilha1!G1149="","",IF(Planilha1!G1149=0,"",Planilha1!G1149))</f>
        <v/>
      </c>
      <c r="N1152" s="5">
        <f t="shared" si="137"/>
        <v>1</v>
      </c>
      <c r="O1152" s="5">
        <f t="shared" si="138"/>
        <v>0</v>
      </c>
      <c r="P1152" s="5">
        <f t="shared" si="139"/>
        <v>0</v>
      </c>
      <c r="Q1152" s="5">
        <f t="shared" si="140"/>
        <v>2</v>
      </c>
      <c r="R1152" s="8">
        <f t="shared" si="141"/>
        <v>0</v>
      </c>
      <c r="S1152" s="8">
        <f t="shared" si="142"/>
        <v>0</v>
      </c>
      <c r="T1152" s="3" t="str">
        <f t="shared" si="143"/>
        <v/>
      </c>
      <c r="V1152" s="1" t="e">
        <f t="shared" si="144"/>
        <v>#VALUE!</v>
      </c>
    </row>
    <row r="1153" spans="8:22" x14ac:dyDescent="0.3">
      <c r="H1153" s="2" t="str">
        <f>IF(Planilha1!B1150="","",Planilha1!B1150)</f>
        <v>7:30p</v>
      </c>
      <c r="I1153" s="2" t="str">
        <f>IF(Planilha1!C1150="","",Planilha1!C1150)</f>
        <v>Sacramento Kings</v>
      </c>
      <c r="J1153" s="2">
        <f>IF(Planilha1!D1150="","",Planilha1!D1150)</f>
        <v>0</v>
      </c>
      <c r="K1153" s="10" t="str">
        <f>IF(Planilha1!E1150="","",IF(Planilha1!E1150=0,"",Planilha1!E1150))</f>
        <v>Boston Celtics</v>
      </c>
      <c r="L1153" s="10">
        <f>IF(Planilha1!F1150="","",Planilha1!F1150)</f>
        <v>0</v>
      </c>
      <c r="M1153" s="10" t="str">
        <f>IF(Planilha1!G1150="","",IF(Planilha1!G1150=0,"",Planilha1!G1150))</f>
        <v/>
      </c>
      <c r="N1153" s="5">
        <f t="shared" si="137"/>
        <v>1</v>
      </c>
      <c r="O1153" s="5">
        <f t="shared" si="138"/>
        <v>0</v>
      </c>
      <c r="P1153" s="5">
        <f t="shared" si="139"/>
        <v>0</v>
      </c>
      <c r="Q1153" s="5">
        <f t="shared" si="140"/>
        <v>2</v>
      </c>
      <c r="R1153" s="8">
        <f t="shared" si="141"/>
        <v>0</v>
      </c>
      <c r="S1153" s="8">
        <f t="shared" si="142"/>
        <v>0</v>
      </c>
      <c r="T1153" s="3" t="str">
        <f t="shared" si="143"/>
        <v/>
      </c>
      <c r="V1153" s="1" t="e">
        <f t="shared" si="144"/>
        <v>#VALUE!</v>
      </c>
    </row>
    <row r="1154" spans="8:22" x14ac:dyDescent="0.3">
      <c r="H1154" s="2" t="str">
        <f>IF(Planilha1!B1151="","",Planilha1!B1151)</f>
        <v>8:00p</v>
      </c>
      <c r="I1154" s="2" t="str">
        <f>IF(Planilha1!C1151="","",Planilha1!C1151)</f>
        <v>New York Knicks</v>
      </c>
      <c r="J1154" s="2">
        <f>IF(Planilha1!D1151="","",Planilha1!D1151)</f>
        <v>0</v>
      </c>
      <c r="K1154" s="10" t="str">
        <f>IF(Planilha1!E1151="","",IF(Planilha1!E1151=0,"",Planilha1!E1151))</f>
        <v>Chicago Bulls</v>
      </c>
      <c r="L1154" s="10">
        <f>IF(Planilha1!F1151="","",Planilha1!F1151)</f>
        <v>0</v>
      </c>
      <c r="M1154" s="10" t="str">
        <f>IF(Planilha1!G1151="","",IF(Planilha1!G1151=0,"",Planilha1!G1151))</f>
        <v/>
      </c>
      <c r="N1154" s="5">
        <f t="shared" si="137"/>
        <v>1</v>
      </c>
      <c r="O1154" s="5">
        <f t="shared" si="138"/>
        <v>0</v>
      </c>
      <c r="P1154" s="5">
        <f t="shared" si="139"/>
        <v>0</v>
      </c>
      <c r="Q1154" s="5">
        <f t="shared" si="140"/>
        <v>2</v>
      </c>
      <c r="R1154" s="8">
        <f t="shared" si="141"/>
        <v>0</v>
      </c>
      <c r="S1154" s="8">
        <f t="shared" si="142"/>
        <v>0</v>
      </c>
      <c r="T1154" s="3" t="str">
        <f t="shared" si="143"/>
        <v/>
      </c>
      <c r="V1154" s="1" t="e">
        <f t="shared" si="144"/>
        <v>#VALUE!</v>
      </c>
    </row>
    <row r="1155" spans="8:22" x14ac:dyDescent="0.3">
      <c r="H1155" s="2" t="str">
        <f>IF(Planilha1!B1152="","",Planilha1!B1152)</f>
        <v>8:00p</v>
      </c>
      <c r="I1155" s="2" t="str">
        <f>IF(Planilha1!C1152="","",Planilha1!C1152)</f>
        <v>Miami Heat</v>
      </c>
      <c r="J1155" s="2">
        <f>IF(Planilha1!D1152="","",Planilha1!D1152)</f>
        <v>0</v>
      </c>
      <c r="K1155" s="10" t="str">
        <f>IF(Planilha1!E1152="","",IF(Planilha1!E1152=0,"",Planilha1!E1152))</f>
        <v>Houston Rockets</v>
      </c>
      <c r="L1155" s="10">
        <f>IF(Planilha1!F1152="","",Planilha1!F1152)</f>
        <v>0</v>
      </c>
      <c r="M1155" s="10" t="str">
        <f>IF(Planilha1!G1152="","",IF(Planilha1!G1152=0,"",Planilha1!G1152))</f>
        <v/>
      </c>
      <c r="N1155" s="5">
        <f t="shared" si="137"/>
        <v>1</v>
      </c>
      <c r="O1155" s="5">
        <f t="shared" si="138"/>
        <v>0</v>
      </c>
      <c r="P1155" s="5">
        <f t="shared" si="139"/>
        <v>0</v>
      </c>
      <c r="Q1155" s="5">
        <f t="shared" si="140"/>
        <v>2</v>
      </c>
      <c r="R1155" s="8">
        <f t="shared" si="141"/>
        <v>0</v>
      </c>
      <c r="S1155" s="8">
        <f t="shared" si="142"/>
        <v>0</v>
      </c>
      <c r="T1155" s="3" t="str">
        <f t="shared" si="143"/>
        <v/>
      </c>
      <c r="V1155" s="1" t="e">
        <f t="shared" si="144"/>
        <v>#VALUE!</v>
      </c>
    </row>
    <row r="1156" spans="8:22" x14ac:dyDescent="0.3">
      <c r="H1156" s="2" t="str">
        <f>IF(Planilha1!B1153="","",Planilha1!B1153)</f>
        <v>8:00p</v>
      </c>
      <c r="I1156" s="2" t="str">
        <f>IF(Planilha1!C1153="","",Planilha1!C1153)</f>
        <v>Detroit Pistons</v>
      </c>
      <c r="J1156" s="2">
        <f>IF(Planilha1!D1153="","",Planilha1!D1153)</f>
        <v>0</v>
      </c>
      <c r="K1156" s="10" t="str">
        <f>IF(Planilha1!E1153="","",IF(Planilha1!E1153=0,"",Planilha1!E1153))</f>
        <v>Memphis Grizzlies</v>
      </c>
      <c r="L1156" s="10">
        <f>IF(Planilha1!F1153="","",Planilha1!F1153)</f>
        <v>0</v>
      </c>
      <c r="M1156" s="10" t="str">
        <f>IF(Planilha1!G1153="","",IF(Planilha1!G1153=0,"",Planilha1!G1153))</f>
        <v/>
      </c>
      <c r="N1156" s="5">
        <f t="shared" si="137"/>
        <v>1</v>
      </c>
      <c r="O1156" s="5">
        <f t="shared" si="138"/>
        <v>0</v>
      </c>
      <c r="P1156" s="5">
        <f t="shared" si="139"/>
        <v>0</v>
      </c>
      <c r="Q1156" s="5">
        <f t="shared" si="140"/>
        <v>2</v>
      </c>
      <c r="R1156" s="8">
        <f t="shared" si="141"/>
        <v>0</v>
      </c>
      <c r="S1156" s="8">
        <f t="shared" si="142"/>
        <v>0</v>
      </c>
      <c r="T1156" s="3" t="str">
        <f t="shared" si="143"/>
        <v/>
      </c>
      <c r="V1156" s="1" t="e">
        <f t="shared" si="144"/>
        <v>#VALUE!</v>
      </c>
    </row>
    <row r="1157" spans="8:22" x14ac:dyDescent="0.3">
      <c r="H1157" s="2" t="str">
        <f>IF(Planilha1!B1154="","",Planilha1!B1154)</f>
        <v>8:00p</v>
      </c>
      <c r="I1157" s="2" t="str">
        <f>IF(Planilha1!C1154="","",Planilha1!C1154)</f>
        <v>Toronto Raptors</v>
      </c>
      <c r="J1157" s="2">
        <f>IF(Planilha1!D1154="","",Planilha1!D1154)</f>
        <v>0</v>
      </c>
      <c r="K1157" s="10" t="str">
        <f>IF(Planilha1!E1154="","",IF(Planilha1!E1154=0,"",Planilha1!E1154))</f>
        <v>Milwaukee Bucks</v>
      </c>
      <c r="L1157" s="10">
        <f>IF(Planilha1!F1154="","",Planilha1!F1154)</f>
        <v>0</v>
      </c>
      <c r="M1157" s="10" t="str">
        <f>IF(Planilha1!G1154="","",IF(Planilha1!G1154=0,"",Planilha1!G1154))</f>
        <v/>
      </c>
      <c r="N1157" s="5">
        <f t="shared" si="137"/>
        <v>1</v>
      </c>
      <c r="O1157" s="5">
        <f t="shared" si="138"/>
        <v>0</v>
      </c>
      <c r="P1157" s="5">
        <f t="shared" si="139"/>
        <v>0</v>
      </c>
      <c r="Q1157" s="5">
        <f t="shared" si="140"/>
        <v>2</v>
      </c>
      <c r="R1157" s="8">
        <f t="shared" si="141"/>
        <v>0</v>
      </c>
      <c r="S1157" s="8">
        <f t="shared" si="142"/>
        <v>0</v>
      </c>
      <c r="T1157" s="3" t="str">
        <f t="shared" si="143"/>
        <v/>
      </c>
      <c r="V1157" s="1" t="e">
        <f t="shared" si="144"/>
        <v>#VALUE!</v>
      </c>
    </row>
    <row r="1158" spans="8:22" x14ac:dyDescent="0.3">
      <c r="H1158" s="2" t="str">
        <f>IF(Planilha1!B1155="","",Planilha1!B1155)</f>
        <v>8:00p</v>
      </c>
      <c r="I1158" s="2" t="str">
        <f>IF(Planilha1!C1155="","",Planilha1!C1155)</f>
        <v>San Antonio Spurs</v>
      </c>
      <c r="J1158" s="2">
        <f>IF(Planilha1!D1155="","",Planilha1!D1155)</f>
        <v>0</v>
      </c>
      <c r="K1158" s="10" t="str">
        <f>IF(Planilha1!E1155="","",IF(Planilha1!E1155=0,"",Planilha1!E1155))</f>
        <v>New Orleans Pelicans</v>
      </c>
      <c r="L1158" s="10">
        <f>IF(Planilha1!F1155="","",Planilha1!F1155)</f>
        <v>0</v>
      </c>
      <c r="M1158" s="10" t="str">
        <f>IF(Planilha1!G1155="","",IF(Planilha1!G1155=0,"",Planilha1!G1155))</f>
        <v/>
      </c>
      <c r="N1158" s="5">
        <f t="shared" ref="N1158:N1221" si="145">IF(K1158="","",IF(K1158&gt;M1158,100%,0%))</f>
        <v>1</v>
      </c>
      <c r="O1158" s="5">
        <f t="shared" ref="O1158:O1221" si="146">IF(K1158="","",IF(K1158&lt;M1158,100%,0%))</f>
        <v>0</v>
      </c>
      <c r="P1158" s="5">
        <f t="shared" ref="P1158:P1221" si="147">IF(M1158="",IF(R1158&gt;S1158,2,0),IF(K1158&lt;M1158,2,0))</f>
        <v>0</v>
      </c>
      <c r="Q1158" s="5">
        <f t="shared" ref="Q1158:Q1221" si="148">IF(M1158="",IF(R1158&gt;S1158,0,2),IF(K1158&gt;M1158,2,0))</f>
        <v>2</v>
      </c>
      <c r="R1158" s="8">
        <f t="shared" ref="R1158:R1221" si="149">SUMIF($B:$B,J1158,$C:$C)+(SUMIF($B:$B,L1158,$F:$F))</f>
        <v>0</v>
      </c>
      <c r="S1158" s="8">
        <f t="shared" ref="S1158:S1221" si="150">SUMIF($B:$B,L1158,$E:$E)+(SUMIF($B:$B,J1158,$D:$D))</f>
        <v>0</v>
      </c>
      <c r="T1158" s="3" t="str">
        <f t="shared" ref="T1158:T1221" si="151">IF(M1158="","",(K1158-S1158)^2+(M1158-R1158)^2)</f>
        <v/>
      </c>
      <c r="V1158" s="1" t="e">
        <f t="shared" ref="V1158:V1221" si="152">IF(O1158="","",1/((M1158-K1158)/(R1158-S1158)))</f>
        <v>#VALUE!</v>
      </c>
    </row>
    <row r="1159" spans="8:22" x14ac:dyDescent="0.3">
      <c r="H1159" s="2" t="str">
        <f>IF(Planilha1!B1156="","",Planilha1!B1156)</f>
        <v>8:30p</v>
      </c>
      <c r="I1159" s="2" t="str">
        <f>IF(Planilha1!C1156="","",Planilha1!C1156)</f>
        <v>Golden State Warriors</v>
      </c>
      <c r="J1159" s="2">
        <f>IF(Planilha1!D1156="","",Planilha1!D1156)</f>
        <v>0</v>
      </c>
      <c r="K1159" s="10" t="str">
        <f>IF(Planilha1!E1156="","",IF(Planilha1!E1156=0,"",Planilha1!E1156))</f>
        <v>Dallas Mavericks</v>
      </c>
      <c r="L1159" s="10">
        <f>IF(Planilha1!F1156="","",Planilha1!F1156)</f>
        <v>0</v>
      </c>
      <c r="M1159" s="10" t="str">
        <f>IF(Planilha1!G1156="","",IF(Planilha1!G1156=0,"",Planilha1!G1156))</f>
        <v/>
      </c>
      <c r="N1159" s="5">
        <f t="shared" si="145"/>
        <v>1</v>
      </c>
      <c r="O1159" s="5">
        <f t="shared" si="146"/>
        <v>0</v>
      </c>
      <c r="P1159" s="5">
        <f t="shared" si="147"/>
        <v>0</v>
      </c>
      <c r="Q1159" s="5">
        <f t="shared" si="148"/>
        <v>2</v>
      </c>
      <c r="R1159" s="8">
        <f t="shared" si="149"/>
        <v>0</v>
      </c>
      <c r="S1159" s="8">
        <f t="shared" si="150"/>
        <v>0</v>
      </c>
      <c r="T1159" s="3" t="str">
        <f t="shared" si="151"/>
        <v/>
      </c>
      <c r="V1159" s="1" t="e">
        <f t="shared" si="152"/>
        <v>#VALUE!</v>
      </c>
    </row>
    <row r="1160" spans="8:22" x14ac:dyDescent="0.3">
      <c r="H1160" s="2" t="str">
        <f>IF(Planilha1!B1157="","",Planilha1!B1157)</f>
        <v>10:00p</v>
      </c>
      <c r="I1160" s="2" t="str">
        <f>IF(Planilha1!C1157="","",Planilha1!C1157)</f>
        <v>Minnesota Timberwolves</v>
      </c>
      <c r="J1160" s="2">
        <f>IF(Planilha1!D1157="","",Planilha1!D1157)</f>
        <v>0</v>
      </c>
      <c r="K1160" s="10" t="str">
        <f>IF(Planilha1!E1157="","",IF(Planilha1!E1157=0,"",Planilha1!E1157))</f>
        <v>Phoenix Suns</v>
      </c>
      <c r="L1160" s="10">
        <f>IF(Planilha1!F1157="","",Planilha1!F1157)</f>
        <v>0</v>
      </c>
      <c r="M1160" s="10" t="str">
        <f>IF(Planilha1!G1157="","",IF(Planilha1!G1157=0,"",Planilha1!G1157))</f>
        <v/>
      </c>
      <c r="N1160" s="5">
        <f t="shared" si="145"/>
        <v>1</v>
      </c>
      <c r="O1160" s="5">
        <f t="shared" si="146"/>
        <v>0</v>
      </c>
      <c r="P1160" s="5">
        <f t="shared" si="147"/>
        <v>0</v>
      </c>
      <c r="Q1160" s="5">
        <f t="shared" si="148"/>
        <v>2</v>
      </c>
      <c r="R1160" s="8">
        <f t="shared" si="149"/>
        <v>0</v>
      </c>
      <c r="S1160" s="8">
        <f t="shared" si="150"/>
        <v>0</v>
      </c>
      <c r="T1160" s="3" t="str">
        <f t="shared" si="151"/>
        <v/>
      </c>
      <c r="V1160" s="1" t="e">
        <f t="shared" si="152"/>
        <v>#VALUE!</v>
      </c>
    </row>
    <row r="1161" spans="8:22" x14ac:dyDescent="0.3">
      <c r="H1161" s="2" t="str">
        <f>IF(Planilha1!B1158="","",Planilha1!B1158)</f>
        <v>10:30p</v>
      </c>
      <c r="I1161" s="2" t="str">
        <f>IF(Planilha1!C1158="","",Planilha1!C1158)</f>
        <v>Utah Jazz</v>
      </c>
      <c r="J1161" s="2">
        <f>IF(Planilha1!D1158="","",Planilha1!D1158)</f>
        <v>0</v>
      </c>
      <c r="K1161" s="10" t="str">
        <f>IF(Planilha1!E1158="","",IF(Planilha1!E1158=0,"",Planilha1!E1158))</f>
        <v>Los Angeles Clippers</v>
      </c>
      <c r="L1161" s="10">
        <f>IF(Planilha1!F1158="","",Planilha1!F1158)</f>
        <v>0</v>
      </c>
      <c r="M1161" s="10" t="str">
        <f>IF(Planilha1!G1158="","",IF(Planilha1!G1158=0,"",Planilha1!G1158))</f>
        <v/>
      </c>
      <c r="N1161" s="5">
        <f t="shared" si="145"/>
        <v>1</v>
      </c>
      <c r="O1161" s="5">
        <f t="shared" si="146"/>
        <v>0</v>
      </c>
      <c r="P1161" s="5">
        <f t="shared" si="147"/>
        <v>0</v>
      </c>
      <c r="Q1161" s="5">
        <f t="shared" si="148"/>
        <v>2</v>
      </c>
      <c r="R1161" s="8">
        <f t="shared" si="149"/>
        <v>0</v>
      </c>
      <c r="S1161" s="8">
        <f t="shared" si="150"/>
        <v>0</v>
      </c>
      <c r="T1161" s="3" t="str">
        <f t="shared" si="151"/>
        <v/>
      </c>
      <c r="V1161" s="1" t="e">
        <f t="shared" si="152"/>
        <v>#VALUE!</v>
      </c>
    </row>
    <row r="1162" spans="8:22" x14ac:dyDescent="0.3">
      <c r="H1162" s="2" t="str">
        <f>IF(Planilha1!B1159="","",Planilha1!B1159)</f>
        <v>3:30p</v>
      </c>
      <c r="I1162" s="2" t="str">
        <f>IF(Planilha1!C1159="","",Planilha1!C1159)</f>
        <v>Cleveland Cavaliers</v>
      </c>
      <c r="J1162" s="2">
        <f>IF(Planilha1!D1159="","",Planilha1!D1159)</f>
        <v>0</v>
      </c>
      <c r="K1162" s="10" t="str">
        <f>IF(Planilha1!E1159="","",IF(Planilha1!E1159=0,"",Planilha1!E1159))</f>
        <v>Los Angeles Lakers</v>
      </c>
      <c r="L1162" s="10">
        <f>IF(Planilha1!F1159="","",Planilha1!F1159)</f>
        <v>0</v>
      </c>
      <c r="M1162" s="10" t="str">
        <f>IF(Planilha1!G1159="","",IF(Planilha1!G1159=0,"",Planilha1!G1159))</f>
        <v/>
      </c>
      <c r="N1162" s="5">
        <f t="shared" si="145"/>
        <v>1</v>
      </c>
      <c r="O1162" s="5">
        <f t="shared" si="146"/>
        <v>0</v>
      </c>
      <c r="P1162" s="5">
        <f t="shared" si="147"/>
        <v>0</v>
      </c>
      <c r="Q1162" s="5">
        <f t="shared" si="148"/>
        <v>2</v>
      </c>
      <c r="R1162" s="8">
        <f t="shared" si="149"/>
        <v>0</v>
      </c>
      <c r="S1162" s="8">
        <f t="shared" si="150"/>
        <v>0</v>
      </c>
      <c r="T1162" s="3" t="str">
        <f t="shared" si="151"/>
        <v/>
      </c>
      <c r="V1162" s="1" t="e">
        <f t="shared" si="152"/>
        <v>#VALUE!</v>
      </c>
    </row>
    <row r="1163" spans="8:22" x14ac:dyDescent="0.3">
      <c r="H1163" s="2" t="str">
        <f>IF(Planilha1!B1160="","",Planilha1!B1160)</f>
        <v>7:00p</v>
      </c>
      <c r="I1163" s="2" t="str">
        <f>IF(Planilha1!C1160="","",Planilha1!C1160)</f>
        <v>Detroit Pistons</v>
      </c>
      <c r="J1163" s="2">
        <f>IF(Planilha1!D1160="","",Planilha1!D1160)</f>
        <v>0</v>
      </c>
      <c r="K1163" s="10" t="str">
        <f>IF(Planilha1!E1160="","",IF(Planilha1!E1160=0,"",Planilha1!E1160))</f>
        <v>Brooklyn Nets</v>
      </c>
      <c r="L1163" s="10">
        <f>IF(Planilha1!F1160="","",Planilha1!F1160)</f>
        <v>0</v>
      </c>
      <c r="M1163" s="10" t="str">
        <f>IF(Planilha1!G1160="","",IF(Planilha1!G1160=0,"",Planilha1!G1160))</f>
        <v/>
      </c>
      <c r="N1163" s="5">
        <f t="shared" si="145"/>
        <v>1</v>
      </c>
      <c r="O1163" s="5">
        <f t="shared" si="146"/>
        <v>0</v>
      </c>
      <c r="P1163" s="5">
        <f t="shared" si="147"/>
        <v>0</v>
      </c>
      <c r="Q1163" s="5">
        <f t="shared" si="148"/>
        <v>2</v>
      </c>
      <c r="R1163" s="8">
        <f t="shared" si="149"/>
        <v>0</v>
      </c>
      <c r="S1163" s="8">
        <f t="shared" si="150"/>
        <v>0</v>
      </c>
      <c r="T1163" s="3" t="str">
        <f t="shared" si="151"/>
        <v/>
      </c>
      <c r="V1163" s="1" t="e">
        <f t="shared" si="152"/>
        <v>#VALUE!</v>
      </c>
    </row>
    <row r="1164" spans="8:22" x14ac:dyDescent="0.3">
      <c r="H1164" s="2" t="str">
        <f>IF(Planilha1!B1161="","",Planilha1!B1161)</f>
        <v>8:00p</v>
      </c>
      <c r="I1164" s="2" t="str">
        <f>IF(Planilha1!C1161="","",Planilha1!C1161)</f>
        <v>Philadelphia 76ers</v>
      </c>
      <c r="J1164" s="2">
        <f>IF(Planilha1!D1161="","",Planilha1!D1161)</f>
        <v>0</v>
      </c>
      <c r="K1164" s="10" t="str">
        <f>IF(Planilha1!E1161="","",IF(Planilha1!E1161=0,"",Planilha1!E1161))</f>
        <v>Memphis Grizzlies</v>
      </c>
      <c r="L1164" s="10">
        <f>IF(Planilha1!F1161="","",Planilha1!F1161)</f>
        <v>0</v>
      </c>
      <c r="M1164" s="10" t="str">
        <f>IF(Planilha1!G1161="","",IF(Planilha1!G1161=0,"",Planilha1!G1161))</f>
        <v/>
      </c>
      <c r="N1164" s="5">
        <f t="shared" si="145"/>
        <v>1</v>
      </c>
      <c r="O1164" s="5">
        <f t="shared" si="146"/>
        <v>0</v>
      </c>
      <c r="P1164" s="5">
        <f t="shared" si="147"/>
        <v>0</v>
      </c>
      <c r="Q1164" s="5">
        <f t="shared" si="148"/>
        <v>2</v>
      </c>
      <c r="R1164" s="8">
        <f t="shared" si="149"/>
        <v>0</v>
      </c>
      <c r="S1164" s="8">
        <f t="shared" si="150"/>
        <v>0</v>
      </c>
      <c r="T1164" s="3" t="str">
        <f t="shared" si="151"/>
        <v/>
      </c>
      <c r="V1164" s="1" t="e">
        <f t="shared" si="152"/>
        <v>#VALUE!</v>
      </c>
    </row>
    <row r="1165" spans="8:22" x14ac:dyDescent="0.3">
      <c r="H1165" s="2" t="str">
        <f>IF(Planilha1!B1162="","",Planilha1!B1162)</f>
        <v>9:00p</v>
      </c>
      <c r="I1165" s="2" t="str">
        <f>IF(Planilha1!C1162="","",Planilha1!C1162)</f>
        <v>Atlanta Hawks</v>
      </c>
      <c r="J1165" s="2">
        <f>IF(Planilha1!D1162="","",Planilha1!D1162)</f>
        <v>0</v>
      </c>
      <c r="K1165" s="10" t="str">
        <f>IF(Planilha1!E1162="","",IF(Planilha1!E1162=0,"",Planilha1!E1162))</f>
        <v>Denver Nuggets</v>
      </c>
      <c r="L1165" s="10">
        <f>IF(Planilha1!F1162="","",Planilha1!F1162)</f>
        <v>0</v>
      </c>
      <c r="M1165" s="10" t="str">
        <f>IF(Planilha1!G1162="","",IF(Planilha1!G1162=0,"",Planilha1!G1162))</f>
        <v/>
      </c>
      <c r="N1165" s="5">
        <f t="shared" si="145"/>
        <v>1</v>
      </c>
      <c r="O1165" s="5">
        <f t="shared" si="146"/>
        <v>0</v>
      </c>
      <c r="P1165" s="5">
        <f t="shared" si="147"/>
        <v>0</v>
      </c>
      <c r="Q1165" s="5">
        <f t="shared" si="148"/>
        <v>2</v>
      </c>
      <c r="R1165" s="8">
        <f t="shared" si="149"/>
        <v>0</v>
      </c>
      <c r="S1165" s="8">
        <f t="shared" si="150"/>
        <v>0</v>
      </c>
      <c r="T1165" s="3" t="str">
        <f t="shared" si="151"/>
        <v/>
      </c>
      <c r="V1165" s="1" t="e">
        <f t="shared" si="152"/>
        <v>#VALUE!</v>
      </c>
    </row>
    <row r="1166" spans="8:22" x14ac:dyDescent="0.3">
      <c r="H1166" s="2" t="str">
        <f>IF(Planilha1!B1163="","",Planilha1!B1163)</f>
        <v>3:30p</v>
      </c>
      <c r="I1166" s="2" t="str">
        <f>IF(Planilha1!C1163="","",Planilha1!C1163)</f>
        <v>Houston Rockets</v>
      </c>
      <c r="J1166" s="2">
        <f>IF(Planilha1!D1163="","",Planilha1!D1163)</f>
        <v>0</v>
      </c>
      <c r="K1166" s="10" t="str">
        <f>IF(Planilha1!E1163="","",IF(Planilha1!E1163=0,"",Planilha1!E1163))</f>
        <v>Dallas Mavericks</v>
      </c>
      <c r="L1166" s="10">
        <f>IF(Planilha1!F1163="","",Planilha1!F1163)</f>
        <v>0</v>
      </c>
      <c r="M1166" s="10" t="str">
        <f>IF(Planilha1!G1163="","",IF(Planilha1!G1163=0,"",Planilha1!G1163))</f>
        <v/>
      </c>
      <c r="N1166" s="5">
        <f t="shared" si="145"/>
        <v>1</v>
      </c>
      <c r="O1166" s="5">
        <f t="shared" si="146"/>
        <v>0</v>
      </c>
      <c r="P1166" s="5">
        <f t="shared" si="147"/>
        <v>0</v>
      </c>
      <c r="Q1166" s="5">
        <f t="shared" si="148"/>
        <v>2</v>
      </c>
      <c r="R1166" s="8">
        <f t="shared" si="149"/>
        <v>0</v>
      </c>
      <c r="S1166" s="8">
        <f t="shared" si="150"/>
        <v>0</v>
      </c>
      <c r="T1166" s="3" t="str">
        <f t="shared" si="151"/>
        <v/>
      </c>
      <c r="V1166" s="1" t="e">
        <f t="shared" si="152"/>
        <v>#VALUE!</v>
      </c>
    </row>
    <row r="1167" spans="8:22" x14ac:dyDescent="0.3">
      <c r="H1167" s="2" t="str">
        <f>IF(Planilha1!B1164="","",Planilha1!B1164)</f>
        <v>3:30p</v>
      </c>
      <c r="I1167" s="2" t="str">
        <f>IF(Planilha1!C1164="","",Planilha1!C1164)</f>
        <v>Cleveland Cavaliers</v>
      </c>
      <c r="J1167" s="2">
        <f>IF(Planilha1!D1164="","",Planilha1!D1164)</f>
        <v>0</v>
      </c>
      <c r="K1167" s="10" t="str">
        <f>IF(Planilha1!E1164="","",IF(Planilha1!E1164=0,"",Planilha1!E1164))</f>
        <v>Los Angeles Clippers</v>
      </c>
      <c r="L1167" s="10">
        <f>IF(Planilha1!F1164="","",Planilha1!F1164)</f>
        <v>0</v>
      </c>
      <c r="M1167" s="10" t="str">
        <f>IF(Planilha1!G1164="","",IF(Planilha1!G1164=0,"",Planilha1!G1164))</f>
        <v/>
      </c>
      <c r="N1167" s="5">
        <f t="shared" si="145"/>
        <v>1</v>
      </c>
      <c r="O1167" s="5">
        <f t="shared" si="146"/>
        <v>0</v>
      </c>
      <c r="P1167" s="5">
        <f t="shared" si="147"/>
        <v>0</v>
      </c>
      <c r="Q1167" s="5">
        <f t="shared" si="148"/>
        <v>2</v>
      </c>
      <c r="R1167" s="8">
        <f t="shared" si="149"/>
        <v>0</v>
      </c>
      <c r="S1167" s="8">
        <f t="shared" si="150"/>
        <v>0</v>
      </c>
      <c r="T1167" s="3" t="str">
        <f t="shared" si="151"/>
        <v/>
      </c>
      <c r="V1167" s="1" t="e">
        <f t="shared" si="152"/>
        <v>#VALUE!</v>
      </c>
    </row>
    <row r="1168" spans="8:22" x14ac:dyDescent="0.3">
      <c r="H1168" s="2" t="str">
        <f>IF(Planilha1!B1165="","",Planilha1!B1165)</f>
        <v>5:00p</v>
      </c>
      <c r="I1168" s="2" t="str">
        <f>IF(Planilha1!C1165="","",Planilha1!C1165)</f>
        <v>Miami Heat</v>
      </c>
      <c r="J1168" s="2">
        <f>IF(Planilha1!D1165="","",Planilha1!D1165)</f>
        <v>0</v>
      </c>
      <c r="K1168" s="10" t="str">
        <f>IF(Planilha1!E1165="","",IF(Planilha1!E1165=0,"",Planilha1!E1165))</f>
        <v>Indiana Pacers</v>
      </c>
      <c r="L1168" s="10">
        <f>IF(Planilha1!F1165="","",Planilha1!F1165)</f>
        <v>0</v>
      </c>
      <c r="M1168" s="10" t="str">
        <f>IF(Planilha1!G1165="","",IF(Planilha1!G1165=0,"",Planilha1!G1165))</f>
        <v/>
      </c>
      <c r="N1168" s="5">
        <f t="shared" si="145"/>
        <v>1</v>
      </c>
      <c r="O1168" s="5">
        <f t="shared" si="146"/>
        <v>0</v>
      </c>
      <c r="P1168" s="5">
        <f t="shared" si="147"/>
        <v>0</v>
      </c>
      <c r="Q1168" s="5">
        <f t="shared" si="148"/>
        <v>2</v>
      </c>
      <c r="R1168" s="8">
        <f t="shared" si="149"/>
        <v>0</v>
      </c>
      <c r="S1168" s="8">
        <f t="shared" si="150"/>
        <v>0</v>
      </c>
      <c r="T1168" s="3" t="str">
        <f t="shared" si="151"/>
        <v/>
      </c>
      <c r="V1168" s="1" t="e">
        <f t="shared" si="152"/>
        <v>#VALUE!</v>
      </c>
    </row>
    <row r="1169" spans="8:22" x14ac:dyDescent="0.3">
      <c r="H1169" s="2" t="str">
        <f>IF(Planilha1!B1166="","",Planilha1!B1166)</f>
        <v>6:00p</v>
      </c>
      <c r="I1169" s="2" t="str">
        <f>IF(Planilha1!C1166="","",Planilha1!C1166)</f>
        <v>Portland Trail Blazers</v>
      </c>
      <c r="J1169" s="2">
        <f>IF(Planilha1!D1166="","",Planilha1!D1166)</f>
        <v>0</v>
      </c>
      <c r="K1169" s="10" t="str">
        <f>IF(Planilha1!E1166="","",IF(Planilha1!E1166=0,"",Planilha1!E1166))</f>
        <v>Boston Celtics</v>
      </c>
      <c r="L1169" s="10">
        <f>IF(Planilha1!F1166="","",Planilha1!F1166)</f>
        <v>0</v>
      </c>
      <c r="M1169" s="10" t="str">
        <f>IF(Planilha1!G1166="","",IF(Planilha1!G1166=0,"",Planilha1!G1166))</f>
        <v/>
      </c>
      <c r="N1169" s="5">
        <f t="shared" si="145"/>
        <v>1</v>
      </c>
      <c r="O1169" s="5">
        <f t="shared" si="146"/>
        <v>0</v>
      </c>
      <c r="P1169" s="5">
        <f t="shared" si="147"/>
        <v>0</v>
      </c>
      <c r="Q1169" s="5">
        <f t="shared" si="148"/>
        <v>2</v>
      </c>
      <c r="R1169" s="8">
        <f t="shared" si="149"/>
        <v>0</v>
      </c>
      <c r="S1169" s="8">
        <f t="shared" si="150"/>
        <v>0</v>
      </c>
      <c r="T1169" s="3" t="str">
        <f t="shared" si="151"/>
        <v/>
      </c>
      <c r="V1169" s="1" t="e">
        <f t="shared" si="152"/>
        <v>#VALUE!</v>
      </c>
    </row>
    <row r="1170" spans="8:22" x14ac:dyDescent="0.3">
      <c r="H1170" s="2" t="str">
        <f>IF(Planilha1!B1167="","",Planilha1!B1167)</f>
        <v>6:00p</v>
      </c>
      <c r="I1170" s="2" t="str">
        <f>IF(Planilha1!C1167="","",Planilha1!C1167)</f>
        <v>Oklahoma City Thunder</v>
      </c>
      <c r="J1170" s="2">
        <f>IF(Planilha1!D1167="","",Planilha1!D1167)</f>
        <v>0</v>
      </c>
      <c r="K1170" s="10" t="str">
        <f>IF(Planilha1!E1167="","",IF(Planilha1!E1167=0,"",Planilha1!E1167))</f>
        <v>Charlotte Hornets</v>
      </c>
      <c r="L1170" s="10">
        <f>IF(Planilha1!F1167="","",Planilha1!F1167)</f>
        <v>0</v>
      </c>
      <c r="M1170" s="10" t="str">
        <f>IF(Planilha1!G1167="","",IF(Planilha1!G1167=0,"",Planilha1!G1167))</f>
        <v/>
      </c>
      <c r="N1170" s="5">
        <f t="shared" si="145"/>
        <v>1</v>
      </c>
      <c r="O1170" s="5">
        <f t="shared" si="146"/>
        <v>0</v>
      </c>
      <c r="P1170" s="5">
        <f t="shared" si="147"/>
        <v>0</v>
      </c>
      <c r="Q1170" s="5">
        <f t="shared" si="148"/>
        <v>2</v>
      </c>
      <c r="R1170" s="8">
        <f t="shared" si="149"/>
        <v>0</v>
      </c>
      <c r="S1170" s="8">
        <f t="shared" si="150"/>
        <v>0</v>
      </c>
      <c r="T1170" s="3" t="str">
        <f t="shared" si="151"/>
        <v/>
      </c>
      <c r="V1170" s="1" t="e">
        <f t="shared" si="152"/>
        <v>#VALUE!</v>
      </c>
    </row>
    <row r="1171" spans="8:22" x14ac:dyDescent="0.3">
      <c r="H1171" s="2" t="str">
        <f>IF(Planilha1!B1168="","",Planilha1!B1168)</f>
        <v>6:00p</v>
      </c>
      <c r="I1171" s="2" t="str">
        <f>IF(Planilha1!C1168="","",Planilha1!C1168)</f>
        <v>Chicago Bulls</v>
      </c>
      <c r="J1171" s="2">
        <f>IF(Planilha1!D1168="","",Planilha1!D1168)</f>
        <v>0</v>
      </c>
      <c r="K1171" s="10" t="str">
        <f>IF(Planilha1!E1168="","",IF(Planilha1!E1168=0,"",Planilha1!E1168))</f>
        <v>Orlando Magic</v>
      </c>
      <c r="L1171" s="10">
        <f>IF(Planilha1!F1168="","",Planilha1!F1168)</f>
        <v>0</v>
      </c>
      <c r="M1171" s="10" t="str">
        <f>IF(Planilha1!G1168="","",IF(Planilha1!G1168=0,"",Planilha1!G1168))</f>
        <v/>
      </c>
      <c r="N1171" s="5">
        <f t="shared" si="145"/>
        <v>1</v>
      </c>
      <c r="O1171" s="5">
        <f t="shared" si="146"/>
        <v>0</v>
      </c>
      <c r="P1171" s="5">
        <f t="shared" si="147"/>
        <v>0</v>
      </c>
      <c r="Q1171" s="5">
        <f t="shared" si="148"/>
        <v>2</v>
      </c>
      <c r="R1171" s="8">
        <f t="shared" si="149"/>
        <v>0</v>
      </c>
      <c r="S1171" s="8">
        <f t="shared" si="150"/>
        <v>0</v>
      </c>
      <c r="T1171" s="3" t="str">
        <f t="shared" si="151"/>
        <v/>
      </c>
      <c r="V1171" s="1" t="e">
        <f t="shared" si="152"/>
        <v>#VALUE!</v>
      </c>
    </row>
    <row r="1172" spans="8:22" x14ac:dyDescent="0.3">
      <c r="H1172" s="2" t="str">
        <f>IF(Planilha1!B1169="","",Planilha1!B1169)</f>
        <v>6:00p</v>
      </c>
      <c r="I1172" s="2" t="str">
        <f>IF(Planilha1!C1169="","",Planilha1!C1169)</f>
        <v>New Orleans Pelicans</v>
      </c>
      <c r="J1172" s="2">
        <f>IF(Planilha1!D1169="","",Planilha1!D1169)</f>
        <v>0</v>
      </c>
      <c r="K1172" s="10" t="str">
        <f>IF(Planilha1!E1169="","",IF(Planilha1!E1169=0,"",Planilha1!E1169))</f>
        <v>Phoenix Suns</v>
      </c>
      <c r="L1172" s="10">
        <f>IF(Planilha1!F1169="","",Planilha1!F1169)</f>
        <v>0</v>
      </c>
      <c r="M1172" s="10" t="str">
        <f>IF(Planilha1!G1169="","",IF(Planilha1!G1169=0,"",Planilha1!G1169))</f>
        <v/>
      </c>
      <c r="N1172" s="5">
        <f t="shared" si="145"/>
        <v>1</v>
      </c>
      <c r="O1172" s="5">
        <f t="shared" si="146"/>
        <v>0</v>
      </c>
      <c r="P1172" s="5">
        <f t="shared" si="147"/>
        <v>0</v>
      </c>
      <c r="Q1172" s="5">
        <f t="shared" si="148"/>
        <v>2</v>
      </c>
      <c r="R1172" s="8">
        <f t="shared" si="149"/>
        <v>0</v>
      </c>
      <c r="S1172" s="8">
        <f t="shared" si="150"/>
        <v>0</v>
      </c>
      <c r="T1172" s="3" t="str">
        <f t="shared" si="151"/>
        <v/>
      </c>
      <c r="V1172" s="1" t="e">
        <f t="shared" si="152"/>
        <v>#VALUE!</v>
      </c>
    </row>
    <row r="1173" spans="8:22" x14ac:dyDescent="0.3">
      <c r="H1173" s="2" t="str">
        <f>IF(Planilha1!B1170="","",Planilha1!B1170)</f>
        <v>6:00p</v>
      </c>
      <c r="I1173" s="2" t="str">
        <f>IF(Planilha1!C1170="","",Planilha1!C1170)</f>
        <v>Washington Wizards</v>
      </c>
      <c r="J1173" s="2">
        <f>IF(Planilha1!D1170="","",Planilha1!D1170)</f>
        <v>0</v>
      </c>
      <c r="K1173" s="10" t="str">
        <f>IF(Planilha1!E1170="","",IF(Planilha1!E1170=0,"",Planilha1!E1170))</f>
        <v>Toronto Raptors</v>
      </c>
      <c r="L1173" s="10">
        <f>IF(Planilha1!F1170="","",Planilha1!F1170)</f>
        <v>0</v>
      </c>
      <c r="M1173" s="10" t="str">
        <f>IF(Planilha1!G1170="","",IF(Planilha1!G1170=0,"",Planilha1!G1170))</f>
        <v/>
      </c>
      <c r="N1173" s="5">
        <f t="shared" si="145"/>
        <v>1</v>
      </c>
      <c r="O1173" s="5">
        <f t="shared" si="146"/>
        <v>0</v>
      </c>
      <c r="P1173" s="5">
        <f t="shared" si="147"/>
        <v>0</v>
      </c>
      <c r="Q1173" s="5">
        <f t="shared" si="148"/>
        <v>2</v>
      </c>
      <c r="R1173" s="8">
        <f t="shared" si="149"/>
        <v>0</v>
      </c>
      <c r="S1173" s="8">
        <f t="shared" si="150"/>
        <v>0</v>
      </c>
      <c r="T1173" s="3" t="str">
        <f t="shared" si="151"/>
        <v/>
      </c>
      <c r="V1173" s="1" t="e">
        <f t="shared" si="152"/>
        <v>#VALUE!</v>
      </c>
    </row>
    <row r="1174" spans="8:22" x14ac:dyDescent="0.3">
      <c r="H1174" s="2" t="str">
        <f>IF(Planilha1!B1171="","",Planilha1!B1171)</f>
        <v>7:00p</v>
      </c>
      <c r="I1174" s="2" t="str">
        <f>IF(Planilha1!C1171="","",Planilha1!C1171)</f>
        <v>New York Knicks</v>
      </c>
      <c r="J1174" s="2">
        <f>IF(Planilha1!D1171="","",Planilha1!D1171)</f>
        <v>0</v>
      </c>
      <c r="K1174" s="10" t="str">
        <f>IF(Planilha1!E1171="","",IF(Planilha1!E1171=0,"",Planilha1!E1171))</f>
        <v>Milwaukee Bucks</v>
      </c>
      <c r="L1174" s="10">
        <f>IF(Planilha1!F1171="","",Planilha1!F1171)</f>
        <v>0</v>
      </c>
      <c r="M1174" s="10" t="str">
        <f>IF(Planilha1!G1171="","",IF(Planilha1!G1171=0,"",Planilha1!G1171))</f>
        <v/>
      </c>
      <c r="N1174" s="5">
        <f t="shared" si="145"/>
        <v>1</v>
      </c>
      <c r="O1174" s="5">
        <f t="shared" si="146"/>
        <v>0</v>
      </c>
      <c r="P1174" s="5">
        <f t="shared" si="147"/>
        <v>0</v>
      </c>
      <c r="Q1174" s="5">
        <f t="shared" si="148"/>
        <v>2</v>
      </c>
      <c r="R1174" s="8">
        <f t="shared" si="149"/>
        <v>0</v>
      </c>
      <c r="S1174" s="8">
        <f t="shared" si="150"/>
        <v>0</v>
      </c>
      <c r="T1174" s="3" t="str">
        <f t="shared" si="151"/>
        <v/>
      </c>
      <c r="V1174" s="1" t="e">
        <f t="shared" si="152"/>
        <v>#VALUE!</v>
      </c>
    </row>
    <row r="1175" spans="8:22" x14ac:dyDescent="0.3">
      <c r="H1175" s="2" t="str">
        <f>IF(Planilha1!B1172="","",Planilha1!B1172)</f>
        <v>7:00p</v>
      </c>
      <c r="I1175" s="2" t="str">
        <f>IF(Planilha1!C1172="","",Planilha1!C1172)</f>
        <v>Philadelphia 76ers</v>
      </c>
      <c r="J1175" s="2">
        <f>IF(Planilha1!D1172="","",Planilha1!D1172)</f>
        <v>0</v>
      </c>
      <c r="K1175" s="10" t="str">
        <f>IF(Planilha1!E1172="","",IF(Planilha1!E1172=0,"",Planilha1!E1172))</f>
        <v>San Antonio Spurs</v>
      </c>
      <c r="L1175" s="10">
        <f>IF(Planilha1!F1172="","",Planilha1!F1172)</f>
        <v>0</v>
      </c>
      <c r="M1175" s="10" t="str">
        <f>IF(Planilha1!G1172="","",IF(Planilha1!G1172=0,"",Planilha1!G1172))</f>
        <v/>
      </c>
      <c r="N1175" s="5">
        <f t="shared" si="145"/>
        <v>1</v>
      </c>
      <c r="O1175" s="5">
        <f t="shared" si="146"/>
        <v>0</v>
      </c>
      <c r="P1175" s="5">
        <f t="shared" si="147"/>
        <v>0</v>
      </c>
      <c r="Q1175" s="5">
        <f t="shared" si="148"/>
        <v>2</v>
      </c>
      <c r="R1175" s="8">
        <f t="shared" si="149"/>
        <v>0</v>
      </c>
      <c r="S1175" s="8">
        <f t="shared" si="150"/>
        <v>0</v>
      </c>
      <c r="T1175" s="3" t="str">
        <f t="shared" si="151"/>
        <v/>
      </c>
      <c r="V1175" s="1" t="e">
        <f t="shared" si="152"/>
        <v>#VALUE!</v>
      </c>
    </row>
    <row r="1176" spans="8:22" x14ac:dyDescent="0.3">
      <c r="H1176" s="2" t="str">
        <f>IF(Planilha1!B1173="","",Planilha1!B1173)</f>
        <v>7:30p</v>
      </c>
      <c r="I1176" s="2" t="str">
        <f>IF(Planilha1!C1173="","",Planilha1!C1173)</f>
        <v>Sacramento Kings</v>
      </c>
      <c r="J1176" s="2">
        <f>IF(Planilha1!D1173="","",Planilha1!D1173)</f>
        <v>0</v>
      </c>
      <c r="K1176" s="10" t="str">
        <f>IF(Planilha1!E1173="","",IF(Planilha1!E1173=0,"",Planilha1!E1173))</f>
        <v>Brooklyn Nets</v>
      </c>
      <c r="L1176" s="10">
        <f>IF(Planilha1!F1173="","",Planilha1!F1173)</f>
        <v>0</v>
      </c>
      <c r="M1176" s="10" t="str">
        <f>IF(Planilha1!G1173="","",IF(Planilha1!G1173=0,"",Planilha1!G1173))</f>
        <v/>
      </c>
      <c r="N1176" s="5">
        <f t="shared" si="145"/>
        <v>1</v>
      </c>
      <c r="O1176" s="5">
        <f t="shared" si="146"/>
        <v>0</v>
      </c>
      <c r="P1176" s="5">
        <f t="shared" si="147"/>
        <v>0</v>
      </c>
      <c r="Q1176" s="5">
        <f t="shared" si="148"/>
        <v>2</v>
      </c>
      <c r="R1176" s="8">
        <f t="shared" si="149"/>
        <v>0</v>
      </c>
      <c r="S1176" s="8">
        <f t="shared" si="150"/>
        <v>0</v>
      </c>
      <c r="T1176" s="3" t="str">
        <f t="shared" si="151"/>
        <v/>
      </c>
      <c r="V1176" s="1" t="e">
        <f t="shared" si="152"/>
        <v>#VALUE!</v>
      </c>
    </row>
    <row r="1177" spans="8:22" x14ac:dyDescent="0.3">
      <c r="H1177" s="2" t="str">
        <f>IF(Planilha1!B1174="","",Planilha1!B1174)</f>
        <v>8:30p</v>
      </c>
      <c r="I1177" s="2" t="str">
        <f>IF(Planilha1!C1174="","",Planilha1!C1174)</f>
        <v>Utah Jazz</v>
      </c>
      <c r="J1177" s="2">
        <f>IF(Planilha1!D1174="","",Planilha1!D1174)</f>
        <v>0</v>
      </c>
      <c r="K1177" s="10" t="str">
        <f>IF(Planilha1!E1174="","",IF(Planilha1!E1174=0,"",Planilha1!E1174))</f>
        <v>Golden State Warriors</v>
      </c>
      <c r="L1177" s="10">
        <f>IF(Planilha1!F1174="","",Planilha1!F1174)</f>
        <v>0</v>
      </c>
      <c r="M1177" s="10" t="str">
        <f>IF(Planilha1!G1174="","",IF(Planilha1!G1174=0,"",Planilha1!G1174))</f>
        <v/>
      </c>
      <c r="N1177" s="5">
        <f t="shared" si="145"/>
        <v>1</v>
      </c>
      <c r="O1177" s="5">
        <f t="shared" si="146"/>
        <v>0</v>
      </c>
      <c r="P1177" s="5">
        <f t="shared" si="147"/>
        <v>0</v>
      </c>
      <c r="Q1177" s="5">
        <f t="shared" si="148"/>
        <v>2</v>
      </c>
      <c r="R1177" s="8">
        <f t="shared" si="149"/>
        <v>0</v>
      </c>
      <c r="S1177" s="8">
        <f t="shared" si="150"/>
        <v>0</v>
      </c>
      <c r="T1177" s="3" t="str">
        <f t="shared" si="151"/>
        <v/>
      </c>
      <c r="V1177" s="1" t="e">
        <f t="shared" si="152"/>
        <v>#VALUE!</v>
      </c>
    </row>
    <row r="1178" spans="8:22" x14ac:dyDescent="0.3">
      <c r="H1178" s="2" t="str">
        <f>IF(Planilha1!B1175="","",Planilha1!B1175)</f>
        <v>10:00p</v>
      </c>
      <c r="I1178" s="2" t="str">
        <f>IF(Planilha1!C1175="","",Planilha1!C1175)</f>
        <v>Minnesota Timberwolves</v>
      </c>
      <c r="J1178" s="2">
        <f>IF(Planilha1!D1175="","",Planilha1!D1175)</f>
        <v>0</v>
      </c>
      <c r="K1178" s="10" t="str">
        <f>IF(Planilha1!E1175="","",IF(Planilha1!E1175=0,"",Planilha1!E1175))</f>
        <v>Los Angeles Lakers</v>
      </c>
      <c r="L1178" s="10">
        <f>IF(Planilha1!F1175="","",Planilha1!F1175)</f>
        <v>0</v>
      </c>
      <c r="M1178" s="10" t="str">
        <f>IF(Planilha1!G1175="","",IF(Planilha1!G1175=0,"",Planilha1!G1175))</f>
        <v/>
      </c>
      <c r="N1178" s="5">
        <f t="shared" si="145"/>
        <v>1</v>
      </c>
      <c r="O1178" s="5">
        <f t="shared" si="146"/>
        <v>0</v>
      </c>
      <c r="P1178" s="5">
        <f t="shared" si="147"/>
        <v>0</v>
      </c>
      <c r="Q1178" s="5">
        <f t="shared" si="148"/>
        <v>2</v>
      </c>
      <c r="R1178" s="8">
        <f t="shared" si="149"/>
        <v>0</v>
      </c>
      <c r="S1178" s="8">
        <f t="shared" si="150"/>
        <v>0</v>
      </c>
      <c r="T1178" s="3" t="str">
        <f t="shared" si="151"/>
        <v/>
      </c>
      <c r="V1178" s="1" t="e">
        <f t="shared" si="152"/>
        <v>#VALUE!</v>
      </c>
    </row>
    <row r="1179" spans="8:22" x14ac:dyDescent="0.3">
      <c r="H1179" s="2" t="str">
        <f>IF(Planilha1!B1176="","",Planilha1!B1176)</f>
        <v>7:00p</v>
      </c>
      <c r="I1179" s="2" t="str">
        <f>IF(Planilha1!C1176="","",Planilha1!C1176)</f>
        <v>Dallas Mavericks</v>
      </c>
      <c r="J1179" s="2">
        <f>IF(Planilha1!D1176="","",Planilha1!D1176)</f>
        <v>0</v>
      </c>
      <c r="K1179" s="10" t="str">
        <f>IF(Planilha1!E1176="","",IF(Planilha1!E1176=0,"",Planilha1!E1176))</f>
        <v>Charlotte Hornets</v>
      </c>
      <c r="L1179" s="10">
        <f>IF(Planilha1!F1176="","",Planilha1!F1176)</f>
        <v>0</v>
      </c>
      <c r="M1179" s="10" t="str">
        <f>IF(Planilha1!G1176="","",IF(Planilha1!G1176=0,"",Planilha1!G1176))</f>
        <v/>
      </c>
      <c r="N1179" s="5">
        <f t="shared" si="145"/>
        <v>1</v>
      </c>
      <c r="O1179" s="5">
        <f t="shared" si="146"/>
        <v>0</v>
      </c>
      <c r="P1179" s="5">
        <f t="shared" si="147"/>
        <v>0</v>
      </c>
      <c r="Q1179" s="5">
        <f t="shared" si="148"/>
        <v>2</v>
      </c>
      <c r="R1179" s="8">
        <f t="shared" si="149"/>
        <v>0</v>
      </c>
      <c r="S1179" s="8">
        <f t="shared" si="150"/>
        <v>0</v>
      </c>
      <c r="T1179" s="3" t="str">
        <f t="shared" si="151"/>
        <v/>
      </c>
      <c r="V1179" s="1" t="e">
        <f t="shared" si="152"/>
        <v>#VALUE!</v>
      </c>
    </row>
    <row r="1180" spans="8:22" x14ac:dyDescent="0.3">
      <c r="H1180" s="2" t="str">
        <f>IF(Planilha1!B1177="","",Planilha1!B1177)</f>
        <v>7:00p</v>
      </c>
      <c r="I1180" s="2" t="str">
        <f>IF(Planilha1!C1177="","",Planilha1!C1177)</f>
        <v>Detroit Pistons</v>
      </c>
      <c r="J1180" s="2">
        <f>IF(Planilha1!D1177="","",Planilha1!D1177)</f>
        <v>0</v>
      </c>
      <c r="K1180" s="10" t="str">
        <f>IF(Planilha1!E1177="","",IF(Planilha1!E1177=0,"",Planilha1!E1177))</f>
        <v>Philadelphia 76ers</v>
      </c>
      <c r="L1180" s="10">
        <f>IF(Planilha1!F1177="","",Planilha1!F1177)</f>
        <v>0</v>
      </c>
      <c r="M1180" s="10" t="str">
        <f>IF(Planilha1!G1177="","",IF(Planilha1!G1177=0,"",Planilha1!G1177))</f>
        <v/>
      </c>
      <c r="N1180" s="5">
        <f t="shared" si="145"/>
        <v>1</v>
      </c>
      <c r="O1180" s="5">
        <f t="shared" si="146"/>
        <v>0</v>
      </c>
      <c r="P1180" s="5">
        <f t="shared" si="147"/>
        <v>0</v>
      </c>
      <c r="Q1180" s="5">
        <f t="shared" si="148"/>
        <v>2</v>
      </c>
      <c r="R1180" s="8">
        <f t="shared" si="149"/>
        <v>0</v>
      </c>
      <c r="S1180" s="8">
        <f t="shared" si="150"/>
        <v>0</v>
      </c>
      <c r="T1180" s="3" t="str">
        <f t="shared" si="151"/>
        <v/>
      </c>
      <c r="V1180" s="1" t="e">
        <f t="shared" si="152"/>
        <v>#VALUE!</v>
      </c>
    </row>
    <row r="1181" spans="8:22" x14ac:dyDescent="0.3">
      <c r="H1181" s="2" t="str">
        <f>IF(Planilha1!B1178="","",Planilha1!B1178)</f>
        <v>7:00p</v>
      </c>
      <c r="I1181" s="2" t="str">
        <f>IF(Planilha1!C1178="","",Planilha1!C1178)</f>
        <v>Indiana Pacers</v>
      </c>
      <c r="J1181" s="2">
        <f>IF(Planilha1!D1178="","",Planilha1!D1178)</f>
        <v>0</v>
      </c>
      <c r="K1181" s="10" t="str">
        <f>IF(Planilha1!E1178="","",IF(Planilha1!E1178=0,"",Planilha1!E1178))</f>
        <v>Toronto Raptors</v>
      </c>
      <c r="L1181" s="10">
        <f>IF(Planilha1!F1178="","",Planilha1!F1178)</f>
        <v>0</v>
      </c>
      <c r="M1181" s="10" t="str">
        <f>IF(Planilha1!G1178="","",IF(Planilha1!G1178=0,"",Planilha1!G1178))</f>
        <v/>
      </c>
      <c r="N1181" s="5">
        <f t="shared" si="145"/>
        <v>1</v>
      </c>
      <c r="O1181" s="5">
        <f t="shared" si="146"/>
        <v>0</v>
      </c>
      <c r="P1181" s="5">
        <f t="shared" si="147"/>
        <v>0</v>
      </c>
      <c r="Q1181" s="5">
        <f t="shared" si="148"/>
        <v>2</v>
      </c>
      <c r="R1181" s="8">
        <f t="shared" si="149"/>
        <v>0</v>
      </c>
      <c r="S1181" s="8">
        <f t="shared" si="150"/>
        <v>0</v>
      </c>
      <c r="T1181" s="3" t="str">
        <f t="shared" si="151"/>
        <v/>
      </c>
      <c r="V1181" s="1" t="e">
        <f t="shared" si="152"/>
        <v>#VALUE!</v>
      </c>
    </row>
    <row r="1182" spans="8:22" x14ac:dyDescent="0.3">
      <c r="H1182" s="2" t="str">
        <f>IF(Planilha1!B1179="","",Planilha1!B1179)</f>
        <v>7:30p</v>
      </c>
      <c r="I1182" s="2" t="str">
        <f>IF(Planilha1!C1179="","",Planilha1!C1179)</f>
        <v>Miami Heat</v>
      </c>
      <c r="J1182" s="2">
        <f>IF(Planilha1!D1179="","",Planilha1!D1179)</f>
        <v>0</v>
      </c>
      <c r="K1182" s="10" t="str">
        <f>IF(Planilha1!E1179="","",IF(Planilha1!E1179=0,"",Planilha1!E1179))</f>
        <v>Atlanta Hawks</v>
      </c>
      <c r="L1182" s="10">
        <f>IF(Planilha1!F1179="","",Planilha1!F1179)</f>
        <v>0</v>
      </c>
      <c r="M1182" s="10" t="str">
        <f>IF(Planilha1!G1179="","",IF(Planilha1!G1179=0,"",Planilha1!G1179))</f>
        <v/>
      </c>
      <c r="N1182" s="5">
        <f t="shared" si="145"/>
        <v>1</v>
      </c>
      <c r="O1182" s="5">
        <f t="shared" si="146"/>
        <v>0</v>
      </c>
      <c r="P1182" s="5">
        <f t="shared" si="147"/>
        <v>0</v>
      </c>
      <c r="Q1182" s="5">
        <f t="shared" si="148"/>
        <v>2</v>
      </c>
      <c r="R1182" s="8">
        <f t="shared" si="149"/>
        <v>0</v>
      </c>
      <c r="S1182" s="8">
        <f t="shared" si="150"/>
        <v>0</v>
      </c>
      <c r="T1182" s="3" t="str">
        <f t="shared" si="151"/>
        <v/>
      </c>
      <c r="V1182" s="1" t="e">
        <f t="shared" si="152"/>
        <v>#VALUE!</v>
      </c>
    </row>
    <row r="1183" spans="8:22" x14ac:dyDescent="0.3">
      <c r="H1183" s="2" t="str">
        <f>IF(Planilha1!B1180="","",Planilha1!B1180)</f>
        <v>7:30p</v>
      </c>
      <c r="I1183" s="2" t="str">
        <f>IF(Planilha1!C1180="","",Planilha1!C1180)</f>
        <v>Boston Celtics</v>
      </c>
      <c r="J1183" s="2">
        <f>IF(Planilha1!D1180="","",Planilha1!D1180)</f>
        <v>0</v>
      </c>
      <c r="K1183" s="10" t="str">
        <f>IF(Planilha1!E1180="","",IF(Planilha1!E1180=0,"",Planilha1!E1180))</f>
        <v>Milwaukee Bucks</v>
      </c>
      <c r="L1183" s="10">
        <f>IF(Planilha1!F1180="","",Planilha1!F1180)</f>
        <v>0</v>
      </c>
      <c r="M1183" s="10" t="str">
        <f>IF(Planilha1!G1180="","",IF(Planilha1!G1180=0,"",Planilha1!G1180))</f>
        <v/>
      </c>
      <c r="N1183" s="5">
        <f t="shared" si="145"/>
        <v>1</v>
      </c>
      <c r="O1183" s="5">
        <f t="shared" si="146"/>
        <v>0</v>
      </c>
      <c r="P1183" s="5">
        <f t="shared" si="147"/>
        <v>0</v>
      </c>
      <c r="Q1183" s="5">
        <f t="shared" si="148"/>
        <v>2</v>
      </c>
      <c r="R1183" s="8">
        <f t="shared" si="149"/>
        <v>0</v>
      </c>
      <c r="S1183" s="8">
        <f t="shared" si="150"/>
        <v>0</v>
      </c>
      <c r="T1183" s="3" t="str">
        <f t="shared" si="151"/>
        <v/>
      </c>
      <c r="V1183" s="1" t="e">
        <f t="shared" si="152"/>
        <v>#VALUE!</v>
      </c>
    </row>
    <row r="1184" spans="8:22" x14ac:dyDescent="0.3">
      <c r="H1184" s="2" t="str">
        <f>IF(Planilha1!B1181="","",Planilha1!B1181)</f>
        <v>8:00p</v>
      </c>
      <c r="I1184" s="2" t="str">
        <f>IF(Planilha1!C1181="","",Planilha1!C1181)</f>
        <v>New York Knicks</v>
      </c>
      <c r="J1184" s="2">
        <f>IF(Planilha1!D1181="","",Planilha1!D1181)</f>
        <v>0</v>
      </c>
      <c r="K1184" s="10" t="str">
        <f>IF(Planilha1!E1181="","",IF(Planilha1!E1181=0,"",Planilha1!E1181))</f>
        <v>Chicago Bulls</v>
      </c>
      <c r="L1184" s="10">
        <f>IF(Planilha1!F1181="","",Planilha1!F1181)</f>
        <v>0</v>
      </c>
      <c r="M1184" s="10" t="str">
        <f>IF(Planilha1!G1181="","",IF(Planilha1!G1181=0,"",Planilha1!G1181))</f>
        <v/>
      </c>
      <c r="N1184" s="5">
        <f t="shared" si="145"/>
        <v>1</v>
      </c>
      <c r="O1184" s="5">
        <f t="shared" si="146"/>
        <v>0</v>
      </c>
      <c r="P1184" s="5">
        <f t="shared" si="147"/>
        <v>0</v>
      </c>
      <c r="Q1184" s="5">
        <f t="shared" si="148"/>
        <v>2</v>
      </c>
      <c r="R1184" s="8">
        <f t="shared" si="149"/>
        <v>0</v>
      </c>
      <c r="S1184" s="8">
        <f t="shared" si="150"/>
        <v>0</v>
      </c>
      <c r="T1184" s="3" t="str">
        <f t="shared" si="151"/>
        <v/>
      </c>
      <c r="V1184" s="1" t="e">
        <f t="shared" si="152"/>
        <v>#VALUE!</v>
      </c>
    </row>
    <row r="1185" spans="8:22" x14ac:dyDescent="0.3">
      <c r="H1185" s="2" t="str">
        <f>IF(Planilha1!B1182="","",Planilha1!B1182)</f>
        <v>8:00p</v>
      </c>
      <c r="I1185" s="2" t="str">
        <f>IF(Planilha1!C1182="","",Planilha1!C1182)</f>
        <v>Orlando Magic</v>
      </c>
      <c r="J1185" s="2">
        <f>IF(Planilha1!D1182="","",Planilha1!D1182)</f>
        <v>0</v>
      </c>
      <c r="K1185" s="10" t="str">
        <f>IF(Planilha1!E1182="","",IF(Planilha1!E1182=0,"",Planilha1!E1182))</f>
        <v>Houston Rockets</v>
      </c>
      <c r="L1185" s="10">
        <f>IF(Planilha1!F1182="","",Planilha1!F1182)</f>
        <v>0</v>
      </c>
      <c r="M1185" s="10" t="str">
        <f>IF(Planilha1!G1182="","",IF(Planilha1!G1182=0,"",Planilha1!G1182))</f>
        <v/>
      </c>
      <c r="N1185" s="5">
        <f t="shared" si="145"/>
        <v>1</v>
      </c>
      <c r="O1185" s="5">
        <f t="shared" si="146"/>
        <v>0</v>
      </c>
      <c r="P1185" s="5">
        <f t="shared" si="147"/>
        <v>0</v>
      </c>
      <c r="Q1185" s="5">
        <f t="shared" si="148"/>
        <v>2</v>
      </c>
      <c r="R1185" s="8">
        <f t="shared" si="149"/>
        <v>0</v>
      </c>
      <c r="S1185" s="8">
        <f t="shared" si="150"/>
        <v>0</v>
      </c>
      <c r="T1185" s="3" t="str">
        <f t="shared" si="151"/>
        <v/>
      </c>
      <c r="V1185" s="1" t="e">
        <f t="shared" si="152"/>
        <v>#VALUE!</v>
      </c>
    </row>
    <row r="1186" spans="8:22" x14ac:dyDescent="0.3">
      <c r="H1186" s="2" t="str">
        <f>IF(Planilha1!B1183="","",Planilha1!B1183)</f>
        <v>8:00p</v>
      </c>
      <c r="I1186" s="2" t="str">
        <f>IF(Planilha1!C1183="","",Planilha1!C1183)</f>
        <v>San Antonio Spurs</v>
      </c>
      <c r="J1186" s="2">
        <f>IF(Planilha1!D1183="","",Planilha1!D1183)</f>
        <v>0</v>
      </c>
      <c r="K1186" s="10" t="str">
        <f>IF(Planilha1!E1183="","",IF(Planilha1!E1183=0,"",Planilha1!E1183))</f>
        <v>Memphis Grizzlies</v>
      </c>
      <c r="L1186" s="10">
        <f>IF(Planilha1!F1183="","",Planilha1!F1183)</f>
        <v>0</v>
      </c>
      <c r="M1186" s="10" t="str">
        <f>IF(Planilha1!G1183="","",IF(Planilha1!G1183=0,"",Planilha1!G1183))</f>
        <v/>
      </c>
      <c r="N1186" s="5">
        <f t="shared" si="145"/>
        <v>1</v>
      </c>
      <c r="O1186" s="5">
        <f t="shared" si="146"/>
        <v>0</v>
      </c>
      <c r="P1186" s="5">
        <f t="shared" si="147"/>
        <v>0</v>
      </c>
      <c r="Q1186" s="5">
        <f t="shared" si="148"/>
        <v>2</v>
      </c>
      <c r="R1186" s="8">
        <f t="shared" si="149"/>
        <v>0</v>
      </c>
      <c r="S1186" s="8">
        <f t="shared" si="150"/>
        <v>0</v>
      </c>
      <c r="T1186" s="3" t="str">
        <f t="shared" si="151"/>
        <v/>
      </c>
      <c r="V1186" s="1" t="e">
        <f t="shared" si="152"/>
        <v>#VALUE!</v>
      </c>
    </row>
    <row r="1187" spans="8:22" x14ac:dyDescent="0.3">
      <c r="H1187" s="2" t="str">
        <f>IF(Planilha1!B1184="","",Planilha1!B1184)</f>
        <v>8:00p</v>
      </c>
      <c r="I1187" s="2" t="str">
        <f>IF(Planilha1!C1184="","",Planilha1!C1184)</f>
        <v>Washington Wizards</v>
      </c>
      <c r="J1187" s="2">
        <f>IF(Planilha1!D1184="","",Planilha1!D1184)</f>
        <v>0</v>
      </c>
      <c r="K1187" s="10" t="str">
        <f>IF(Planilha1!E1184="","",IF(Planilha1!E1184=0,"",Planilha1!E1184))</f>
        <v>Minnesota Timberwolves</v>
      </c>
      <c r="L1187" s="10">
        <f>IF(Planilha1!F1184="","",Planilha1!F1184)</f>
        <v>0</v>
      </c>
      <c r="M1187" s="10" t="str">
        <f>IF(Planilha1!G1184="","",IF(Planilha1!G1184=0,"",Planilha1!G1184))</f>
        <v/>
      </c>
      <c r="N1187" s="5">
        <f t="shared" si="145"/>
        <v>1</v>
      </c>
      <c r="O1187" s="5">
        <f t="shared" si="146"/>
        <v>0</v>
      </c>
      <c r="P1187" s="5">
        <f t="shared" si="147"/>
        <v>0</v>
      </c>
      <c r="Q1187" s="5">
        <f t="shared" si="148"/>
        <v>2</v>
      </c>
      <c r="R1187" s="8">
        <f t="shared" si="149"/>
        <v>0</v>
      </c>
      <c r="S1187" s="8">
        <f t="shared" si="150"/>
        <v>0</v>
      </c>
      <c r="T1187" s="3" t="str">
        <f t="shared" si="151"/>
        <v/>
      </c>
      <c r="V1187" s="1" t="e">
        <f t="shared" si="152"/>
        <v>#VALUE!</v>
      </c>
    </row>
    <row r="1188" spans="8:22" x14ac:dyDescent="0.3">
      <c r="H1188" s="2" t="str">
        <f>IF(Planilha1!B1185="","",Planilha1!B1185)</f>
        <v>8:00p</v>
      </c>
      <c r="I1188" s="2" t="str">
        <f>IF(Planilha1!C1185="","",Planilha1!C1185)</f>
        <v>Sacramento Kings</v>
      </c>
      <c r="J1188" s="2">
        <f>IF(Planilha1!D1185="","",Planilha1!D1185)</f>
        <v>0</v>
      </c>
      <c r="K1188" s="10" t="str">
        <f>IF(Planilha1!E1185="","",IF(Planilha1!E1185=0,"",Planilha1!E1185))</f>
        <v>Oklahoma City Thunder</v>
      </c>
      <c r="L1188" s="10">
        <f>IF(Planilha1!F1185="","",Planilha1!F1185)</f>
        <v>0</v>
      </c>
      <c r="M1188" s="10" t="str">
        <f>IF(Planilha1!G1185="","",IF(Planilha1!G1185=0,"",Planilha1!G1185))</f>
        <v/>
      </c>
      <c r="N1188" s="5">
        <f t="shared" si="145"/>
        <v>1</v>
      </c>
      <c r="O1188" s="5">
        <f t="shared" si="146"/>
        <v>0</v>
      </c>
      <c r="P1188" s="5">
        <f t="shared" si="147"/>
        <v>0</v>
      </c>
      <c r="Q1188" s="5">
        <f t="shared" si="148"/>
        <v>2</v>
      </c>
      <c r="R1188" s="8">
        <f t="shared" si="149"/>
        <v>0</v>
      </c>
      <c r="S1188" s="8">
        <f t="shared" si="150"/>
        <v>0</v>
      </c>
      <c r="T1188" s="3" t="str">
        <f t="shared" si="151"/>
        <v/>
      </c>
      <c r="V1188" s="1" t="e">
        <f t="shared" si="152"/>
        <v>#VALUE!</v>
      </c>
    </row>
    <row r="1189" spans="8:22" x14ac:dyDescent="0.3">
      <c r="H1189" s="2" t="str">
        <f>IF(Planilha1!B1186="","",Planilha1!B1186)</f>
        <v>9:00p</v>
      </c>
      <c r="I1189" s="2" t="str">
        <f>IF(Planilha1!C1186="","",Planilha1!C1186)</f>
        <v>Denver Nuggets</v>
      </c>
      <c r="J1189" s="2">
        <f>IF(Planilha1!D1186="","",Planilha1!D1186)</f>
        <v>0</v>
      </c>
      <c r="K1189" s="10" t="str">
        <f>IF(Planilha1!E1186="","",IF(Planilha1!E1186=0,"",Planilha1!E1186))</f>
        <v>Utah Jazz</v>
      </c>
      <c r="L1189" s="10">
        <f>IF(Planilha1!F1186="","",Planilha1!F1186)</f>
        <v>0</v>
      </c>
      <c r="M1189" s="10" t="str">
        <f>IF(Planilha1!G1186="","",IF(Planilha1!G1186=0,"",Planilha1!G1186))</f>
        <v/>
      </c>
      <c r="N1189" s="5">
        <f t="shared" si="145"/>
        <v>1</v>
      </c>
      <c r="O1189" s="5">
        <f t="shared" si="146"/>
        <v>0</v>
      </c>
      <c r="P1189" s="5">
        <f t="shared" si="147"/>
        <v>0</v>
      </c>
      <c r="Q1189" s="5">
        <f t="shared" si="148"/>
        <v>2</v>
      </c>
      <c r="R1189" s="8">
        <f t="shared" si="149"/>
        <v>0</v>
      </c>
      <c r="S1189" s="8">
        <f t="shared" si="150"/>
        <v>0</v>
      </c>
      <c r="T1189" s="3" t="str">
        <f t="shared" si="151"/>
        <v/>
      </c>
      <c r="V1189" s="1" t="e">
        <f t="shared" si="152"/>
        <v>#VALUE!</v>
      </c>
    </row>
    <row r="1190" spans="8:22" x14ac:dyDescent="0.3">
      <c r="H1190" s="2" t="str">
        <f>IF(Planilha1!B1187="","",Planilha1!B1187)</f>
        <v>10:00p</v>
      </c>
      <c r="I1190" s="2" t="str">
        <f>IF(Planilha1!C1187="","",Planilha1!C1187)</f>
        <v>Golden State Warriors</v>
      </c>
      <c r="J1190" s="2">
        <f>IF(Planilha1!D1187="","",Planilha1!D1187)</f>
        <v>0</v>
      </c>
      <c r="K1190" s="10" t="str">
        <f>IF(Planilha1!E1187="","",IF(Planilha1!E1187=0,"",Planilha1!E1187))</f>
        <v>Los Angeles Lakers</v>
      </c>
      <c r="L1190" s="10">
        <f>IF(Planilha1!F1187="","",Planilha1!F1187)</f>
        <v>0</v>
      </c>
      <c r="M1190" s="10" t="str">
        <f>IF(Planilha1!G1187="","",IF(Planilha1!G1187=0,"",Planilha1!G1187))</f>
        <v/>
      </c>
      <c r="N1190" s="5">
        <f t="shared" si="145"/>
        <v>1</v>
      </c>
      <c r="O1190" s="5">
        <f t="shared" si="146"/>
        <v>0</v>
      </c>
      <c r="P1190" s="5">
        <f t="shared" si="147"/>
        <v>0</v>
      </c>
      <c r="Q1190" s="5">
        <f t="shared" si="148"/>
        <v>2</v>
      </c>
      <c r="R1190" s="8">
        <f t="shared" si="149"/>
        <v>0</v>
      </c>
      <c r="S1190" s="8">
        <f t="shared" si="150"/>
        <v>0</v>
      </c>
      <c r="T1190" s="3" t="str">
        <f t="shared" si="151"/>
        <v/>
      </c>
      <c r="V1190" s="1" t="e">
        <f t="shared" si="152"/>
        <v>#VALUE!</v>
      </c>
    </row>
    <row r="1191" spans="8:22" x14ac:dyDescent="0.3">
      <c r="H1191" s="2" t="str">
        <f>IF(Planilha1!B1188="","",Planilha1!B1188)</f>
        <v>10:00p</v>
      </c>
      <c r="I1191" s="2" t="str">
        <f>IF(Planilha1!C1188="","",Planilha1!C1188)</f>
        <v>Los Angeles Clippers</v>
      </c>
      <c r="J1191" s="2">
        <f>IF(Planilha1!D1188="","",Planilha1!D1188)</f>
        <v>0</v>
      </c>
      <c r="K1191" s="10" t="str">
        <f>IF(Planilha1!E1188="","",IF(Planilha1!E1188=0,"",Planilha1!E1188))</f>
        <v>Phoenix Suns</v>
      </c>
      <c r="L1191" s="10">
        <f>IF(Planilha1!F1188="","",Planilha1!F1188)</f>
        <v>0</v>
      </c>
      <c r="M1191" s="10" t="str">
        <f>IF(Planilha1!G1188="","",IF(Planilha1!G1188=0,"",Planilha1!G1188))</f>
        <v/>
      </c>
      <c r="N1191" s="5">
        <f t="shared" si="145"/>
        <v>1</v>
      </c>
      <c r="O1191" s="5">
        <f t="shared" si="146"/>
        <v>0</v>
      </c>
      <c r="P1191" s="5">
        <f t="shared" si="147"/>
        <v>0</v>
      </c>
      <c r="Q1191" s="5">
        <f t="shared" si="148"/>
        <v>2</v>
      </c>
      <c r="R1191" s="8">
        <f t="shared" si="149"/>
        <v>0</v>
      </c>
      <c r="S1191" s="8">
        <f t="shared" si="150"/>
        <v>0</v>
      </c>
      <c r="T1191" s="3" t="str">
        <f t="shared" si="151"/>
        <v/>
      </c>
      <c r="V1191" s="1" t="e">
        <f t="shared" si="152"/>
        <v>#VALUE!</v>
      </c>
    </row>
    <row r="1192" spans="8:22" x14ac:dyDescent="0.3">
      <c r="H1192" s="2" t="str">
        <f>IF(Planilha1!B1189="","",Planilha1!B1189)</f>
        <v>10:00p</v>
      </c>
      <c r="I1192" s="2" t="str">
        <f>IF(Planilha1!C1189="","",Planilha1!C1189)</f>
        <v>New Orleans Pelicans</v>
      </c>
      <c r="J1192" s="2">
        <f>IF(Planilha1!D1189="","",Planilha1!D1189)</f>
        <v>0</v>
      </c>
      <c r="K1192" s="10" t="str">
        <f>IF(Planilha1!E1189="","",IF(Planilha1!E1189=0,"",Planilha1!E1189))</f>
        <v>Portland Trail Blazers</v>
      </c>
      <c r="L1192" s="10">
        <f>IF(Planilha1!F1189="","",Planilha1!F1189)</f>
        <v>0</v>
      </c>
      <c r="M1192" s="10" t="str">
        <f>IF(Planilha1!G1189="","",IF(Planilha1!G1189=0,"",Planilha1!G1189))</f>
        <v/>
      </c>
      <c r="N1192" s="5">
        <f t="shared" si="145"/>
        <v>1</v>
      </c>
      <c r="O1192" s="5">
        <f t="shared" si="146"/>
        <v>0</v>
      </c>
      <c r="P1192" s="5">
        <f t="shared" si="147"/>
        <v>0</v>
      </c>
      <c r="Q1192" s="5">
        <f t="shared" si="148"/>
        <v>2</v>
      </c>
      <c r="R1192" s="8">
        <f t="shared" si="149"/>
        <v>0</v>
      </c>
      <c r="S1192" s="8">
        <f t="shared" si="150"/>
        <v>0</v>
      </c>
      <c r="T1192" s="3" t="str">
        <f t="shared" si="151"/>
        <v/>
      </c>
      <c r="V1192" s="1" t="e">
        <f t="shared" si="152"/>
        <v>#VALUE!</v>
      </c>
    </row>
    <row r="1193" spans="8:22" x14ac:dyDescent="0.3">
      <c r="H1193" s="2" t="str">
        <f>IF(Planilha1!B1190="","",Planilha1!B1190)</f>
        <v>7:00p</v>
      </c>
      <c r="I1193" s="2" t="str">
        <f>IF(Planilha1!C1190="","",Planilha1!C1190)</f>
        <v>Memphis Grizzlies</v>
      </c>
      <c r="J1193" s="2">
        <f>IF(Planilha1!D1190="","",Planilha1!D1190)</f>
        <v>0</v>
      </c>
      <c r="K1193" s="10" t="str">
        <f>IF(Planilha1!E1190="","",IF(Planilha1!E1190=0,"",Planilha1!E1190))</f>
        <v>Cleveland Cavaliers</v>
      </c>
      <c r="L1193" s="10">
        <f>IF(Planilha1!F1190="","",Planilha1!F1190)</f>
        <v>0</v>
      </c>
      <c r="M1193" s="10" t="str">
        <f>IF(Planilha1!G1190="","",IF(Planilha1!G1190=0,"",Planilha1!G1190))</f>
        <v/>
      </c>
      <c r="N1193" s="5">
        <f t="shared" si="145"/>
        <v>1</v>
      </c>
      <c r="O1193" s="5">
        <f t="shared" si="146"/>
        <v>0</v>
      </c>
      <c r="P1193" s="5">
        <f t="shared" si="147"/>
        <v>0</v>
      </c>
      <c r="Q1193" s="5">
        <f t="shared" si="148"/>
        <v>2</v>
      </c>
      <c r="R1193" s="8">
        <f t="shared" si="149"/>
        <v>0</v>
      </c>
      <c r="S1193" s="8">
        <f t="shared" si="150"/>
        <v>0</v>
      </c>
      <c r="T1193" s="3" t="str">
        <f t="shared" si="151"/>
        <v/>
      </c>
      <c r="V1193" s="1" t="e">
        <f t="shared" si="152"/>
        <v>#VALUE!</v>
      </c>
    </row>
    <row r="1194" spans="8:22" x14ac:dyDescent="0.3">
      <c r="H1194" s="2" t="str">
        <f>IF(Planilha1!B1191="","",Planilha1!B1191)</f>
        <v>7:30p</v>
      </c>
      <c r="I1194" s="2" t="str">
        <f>IF(Planilha1!C1191="","",Planilha1!C1191)</f>
        <v>Charlotte Hornets</v>
      </c>
      <c r="J1194" s="2">
        <f>IF(Planilha1!D1191="","",Planilha1!D1191)</f>
        <v>0</v>
      </c>
      <c r="K1194" s="10" t="str">
        <f>IF(Planilha1!E1191="","",IF(Planilha1!E1191=0,"",Planilha1!E1191))</f>
        <v>Atlanta Hawks</v>
      </c>
      <c r="L1194" s="10">
        <f>IF(Planilha1!F1191="","",Planilha1!F1191)</f>
        <v>0</v>
      </c>
      <c r="M1194" s="10" t="str">
        <f>IF(Planilha1!G1191="","",IF(Planilha1!G1191=0,"",Planilha1!G1191))</f>
        <v/>
      </c>
      <c r="N1194" s="5">
        <f t="shared" si="145"/>
        <v>1</v>
      </c>
      <c r="O1194" s="5">
        <f t="shared" si="146"/>
        <v>0</v>
      </c>
      <c r="P1194" s="5">
        <f t="shared" si="147"/>
        <v>0</v>
      </c>
      <c r="Q1194" s="5">
        <f t="shared" si="148"/>
        <v>2</v>
      </c>
      <c r="R1194" s="8">
        <f t="shared" si="149"/>
        <v>0</v>
      </c>
      <c r="S1194" s="8">
        <f t="shared" si="150"/>
        <v>0</v>
      </c>
      <c r="T1194" s="3" t="str">
        <f t="shared" si="151"/>
        <v/>
      </c>
      <c r="V1194" s="1" t="e">
        <f t="shared" si="152"/>
        <v>#VALUE!</v>
      </c>
    </row>
    <row r="1195" spans="8:22" x14ac:dyDescent="0.3">
      <c r="H1195" s="2" t="str">
        <f>IF(Planilha1!B1192="","",Planilha1!B1192)</f>
        <v>7:30p</v>
      </c>
      <c r="I1195" s="2" t="str">
        <f>IF(Planilha1!C1192="","",Planilha1!C1192)</f>
        <v>Toronto Raptors</v>
      </c>
      <c r="J1195" s="2">
        <f>IF(Planilha1!D1192="","",Planilha1!D1192)</f>
        <v>0</v>
      </c>
      <c r="K1195" s="10" t="str">
        <f>IF(Planilha1!E1192="","",IF(Planilha1!E1192=0,"",Planilha1!E1192))</f>
        <v>Brooklyn Nets</v>
      </c>
      <c r="L1195" s="10">
        <f>IF(Planilha1!F1192="","",Planilha1!F1192)</f>
        <v>0</v>
      </c>
      <c r="M1195" s="10" t="str">
        <f>IF(Planilha1!G1192="","",IF(Planilha1!G1192=0,"",Planilha1!G1192))</f>
        <v/>
      </c>
      <c r="N1195" s="5">
        <f t="shared" si="145"/>
        <v>1</v>
      </c>
      <c r="O1195" s="5">
        <f t="shared" si="146"/>
        <v>0</v>
      </c>
      <c r="P1195" s="5">
        <f t="shared" si="147"/>
        <v>0</v>
      </c>
      <c r="Q1195" s="5">
        <f t="shared" si="148"/>
        <v>2</v>
      </c>
      <c r="R1195" s="8">
        <f t="shared" si="149"/>
        <v>0</v>
      </c>
      <c r="S1195" s="8">
        <f t="shared" si="150"/>
        <v>0</v>
      </c>
      <c r="T1195" s="3" t="str">
        <f t="shared" si="151"/>
        <v/>
      </c>
      <c r="V1195" s="1" t="e">
        <f t="shared" si="152"/>
        <v>#VALUE!</v>
      </c>
    </row>
    <row r="1196" spans="8:22" x14ac:dyDescent="0.3">
      <c r="H1196" s="2" t="str">
        <f>IF(Planilha1!B1193="","",Planilha1!B1193)</f>
        <v>7:30p</v>
      </c>
      <c r="I1196" s="2" t="str">
        <f>IF(Planilha1!C1193="","",Planilha1!C1193)</f>
        <v>Dallas Mavericks</v>
      </c>
      <c r="J1196" s="2">
        <f>IF(Planilha1!D1193="","",Planilha1!D1193)</f>
        <v>0</v>
      </c>
      <c r="K1196" s="10" t="str">
        <f>IF(Planilha1!E1193="","",IF(Planilha1!E1193=0,"",Planilha1!E1193))</f>
        <v>Miami Heat</v>
      </c>
      <c r="L1196" s="10">
        <f>IF(Planilha1!F1193="","",Planilha1!F1193)</f>
        <v>0</v>
      </c>
      <c r="M1196" s="10" t="str">
        <f>IF(Planilha1!G1193="","",IF(Planilha1!G1193=0,"",Planilha1!G1193))</f>
        <v/>
      </c>
      <c r="N1196" s="5">
        <f t="shared" si="145"/>
        <v>1</v>
      </c>
      <c r="O1196" s="5">
        <f t="shared" si="146"/>
        <v>0</v>
      </c>
      <c r="P1196" s="5">
        <f t="shared" si="147"/>
        <v>0</v>
      </c>
      <c r="Q1196" s="5">
        <f t="shared" si="148"/>
        <v>2</v>
      </c>
      <c r="R1196" s="8">
        <f t="shared" si="149"/>
        <v>0</v>
      </c>
      <c r="S1196" s="8">
        <f t="shared" si="150"/>
        <v>0</v>
      </c>
      <c r="T1196" s="3" t="str">
        <f t="shared" si="151"/>
        <v/>
      </c>
      <c r="V1196" s="1" t="e">
        <f t="shared" si="152"/>
        <v>#VALUE!</v>
      </c>
    </row>
    <row r="1197" spans="8:22" x14ac:dyDescent="0.3">
      <c r="H1197" s="2" t="str">
        <f>IF(Planilha1!B1194="","",Planilha1!B1194)</f>
        <v>8:00p</v>
      </c>
      <c r="I1197" s="2" t="str">
        <f>IF(Planilha1!C1194="","",Planilha1!C1194)</f>
        <v>Orlando Magic</v>
      </c>
      <c r="J1197" s="2">
        <f>IF(Planilha1!D1194="","",Planilha1!D1194)</f>
        <v>0</v>
      </c>
      <c r="K1197" s="10" t="str">
        <f>IF(Planilha1!E1194="","",IF(Planilha1!E1194=0,"",Planilha1!E1194))</f>
        <v>Milwaukee Bucks</v>
      </c>
      <c r="L1197" s="10">
        <f>IF(Planilha1!F1194="","",Planilha1!F1194)</f>
        <v>0</v>
      </c>
      <c r="M1197" s="10" t="str">
        <f>IF(Planilha1!G1194="","",IF(Planilha1!G1194=0,"",Planilha1!G1194))</f>
        <v/>
      </c>
      <c r="N1197" s="5">
        <f t="shared" si="145"/>
        <v>1</v>
      </c>
      <c r="O1197" s="5">
        <f t="shared" si="146"/>
        <v>0</v>
      </c>
      <c r="P1197" s="5">
        <f t="shared" si="147"/>
        <v>0</v>
      </c>
      <c r="Q1197" s="5">
        <f t="shared" si="148"/>
        <v>2</v>
      </c>
      <c r="R1197" s="8">
        <f t="shared" si="149"/>
        <v>0</v>
      </c>
      <c r="S1197" s="8">
        <f t="shared" si="150"/>
        <v>0</v>
      </c>
      <c r="T1197" s="3" t="str">
        <f t="shared" si="151"/>
        <v/>
      </c>
      <c r="V1197" s="1" t="e">
        <f t="shared" si="152"/>
        <v>#VALUE!</v>
      </c>
    </row>
    <row r="1198" spans="8:22" x14ac:dyDescent="0.3">
      <c r="H1198" s="2" t="str">
        <f>IF(Planilha1!B1195="","",Planilha1!B1195)</f>
        <v>8:00p</v>
      </c>
      <c r="I1198" s="2" t="str">
        <f>IF(Planilha1!C1195="","",Planilha1!C1195)</f>
        <v>San Antonio Spurs</v>
      </c>
      <c r="J1198" s="2">
        <f>IF(Planilha1!D1195="","",Planilha1!D1195)</f>
        <v>0</v>
      </c>
      <c r="K1198" s="10" t="str">
        <f>IF(Planilha1!E1195="","",IF(Planilha1!E1195=0,"",Planilha1!E1195))</f>
        <v>Oklahoma City Thunder</v>
      </c>
      <c r="L1198" s="10">
        <f>IF(Planilha1!F1195="","",Planilha1!F1195)</f>
        <v>0</v>
      </c>
      <c r="M1198" s="10" t="str">
        <f>IF(Planilha1!G1195="","",IF(Planilha1!G1195=0,"",Planilha1!G1195))</f>
        <v/>
      </c>
      <c r="N1198" s="5">
        <f t="shared" si="145"/>
        <v>1</v>
      </c>
      <c r="O1198" s="5">
        <f t="shared" si="146"/>
        <v>0</v>
      </c>
      <c r="P1198" s="5">
        <f t="shared" si="147"/>
        <v>0</v>
      </c>
      <c r="Q1198" s="5">
        <f t="shared" si="148"/>
        <v>2</v>
      </c>
      <c r="R1198" s="8">
        <f t="shared" si="149"/>
        <v>0</v>
      </c>
      <c r="S1198" s="8">
        <f t="shared" si="150"/>
        <v>0</v>
      </c>
      <c r="T1198" s="3" t="str">
        <f t="shared" si="151"/>
        <v/>
      </c>
      <c r="V1198" s="1" t="e">
        <f t="shared" si="152"/>
        <v>#VALUE!</v>
      </c>
    </row>
    <row r="1199" spans="8:22" x14ac:dyDescent="0.3">
      <c r="H1199" s="2" t="str">
        <f>IF(Planilha1!B1196="","",Planilha1!B1196)</f>
        <v>10:00p</v>
      </c>
      <c r="I1199" s="2" t="str">
        <f>IF(Planilha1!C1196="","",Planilha1!C1196)</f>
        <v>Minnesota Timberwolves</v>
      </c>
      <c r="J1199" s="2">
        <f>IF(Planilha1!D1196="","",Planilha1!D1196)</f>
        <v>0</v>
      </c>
      <c r="K1199" s="10" t="str">
        <f>IF(Planilha1!E1196="","",IF(Planilha1!E1196=0,"",Planilha1!E1196))</f>
        <v>Denver Nuggets</v>
      </c>
      <c r="L1199" s="10">
        <f>IF(Planilha1!F1196="","",Planilha1!F1196)</f>
        <v>0</v>
      </c>
      <c r="M1199" s="10" t="str">
        <f>IF(Planilha1!G1196="","",IF(Planilha1!G1196=0,"",Planilha1!G1196))</f>
        <v/>
      </c>
      <c r="N1199" s="5">
        <f t="shared" si="145"/>
        <v>1</v>
      </c>
      <c r="O1199" s="5">
        <f t="shared" si="146"/>
        <v>0</v>
      </c>
      <c r="P1199" s="5">
        <f t="shared" si="147"/>
        <v>0</v>
      </c>
      <c r="Q1199" s="5">
        <f t="shared" si="148"/>
        <v>2</v>
      </c>
      <c r="R1199" s="8">
        <f t="shared" si="149"/>
        <v>0</v>
      </c>
      <c r="S1199" s="8">
        <f t="shared" si="150"/>
        <v>0</v>
      </c>
      <c r="T1199" s="3" t="str">
        <f t="shared" si="151"/>
        <v/>
      </c>
      <c r="V1199" s="1" t="e">
        <f t="shared" si="152"/>
        <v>#VALUE!</v>
      </c>
    </row>
    <row r="1200" spans="8:22" x14ac:dyDescent="0.3">
      <c r="H1200" s="2" t="str">
        <f>IF(Planilha1!B1197="","",Planilha1!B1197)</f>
        <v>10:30p</v>
      </c>
      <c r="I1200" s="2" t="str">
        <f>IF(Planilha1!C1197="","",Planilha1!C1197)</f>
        <v>Phoenix Suns</v>
      </c>
      <c r="J1200" s="2">
        <f>IF(Planilha1!D1197="","",Planilha1!D1197)</f>
        <v>0</v>
      </c>
      <c r="K1200" s="10" t="str">
        <f>IF(Planilha1!E1197="","",IF(Planilha1!E1197=0,"",Planilha1!E1197))</f>
        <v>Los Angeles Clippers</v>
      </c>
      <c r="L1200" s="10">
        <f>IF(Planilha1!F1197="","",Planilha1!F1197)</f>
        <v>0</v>
      </c>
      <c r="M1200" s="10" t="str">
        <f>IF(Planilha1!G1197="","",IF(Planilha1!G1197=0,"",Planilha1!G1197))</f>
        <v/>
      </c>
      <c r="N1200" s="5">
        <f t="shared" si="145"/>
        <v>1</v>
      </c>
      <c r="O1200" s="5">
        <f t="shared" si="146"/>
        <v>0</v>
      </c>
      <c r="P1200" s="5">
        <f t="shared" si="147"/>
        <v>0</v>
      </c>
      <c r="Q1200" s="5">
        <f t="shared" si="148"/>
        <v>2</v>
      </c>
      <c r="R1200" s="8">
        <f t="shared" si="149"/>
        <v>0</v>
      </c>
      <c r="S1200" s="8">
        <f t="shared" si="150"/>
        <v>0</v>
      </c>
      <c r="T1200" s="3" t="str">
        <f t="shared" si="151"/>
        <v/>
      </c>
      <c r="V1200" s="1" t="e">
        <f t="shared" si="152"/>
        <v>#VALUE!</v>
      </c>
    </row>
    <row r="1201" spans="8:22" x14ac:dyDescent="0.3">
      <c r="H1201" s="2" t="str">
        <f>IF(Planilha1!B1198="","",Planilha1!B1198)</f>
        <v>7:00p</v>
      </c>
      <c r="I1201" s="2" t="str">
        <f>IF(Planilha1!C1198="","",Planilha1!C1198)</f>
        <v>Chicago Bulls</v>
      </c>
      <c r="J1201" s="2">
        <f>IF(Planilha1!D1198="","",Planilha1!D1198)</f>
        <v>0</v>
      </c>
      <c r="K1201" s="10" t="str">
        <f>IF(Planilha1!E1198="","",IF(Planilha1!E1198=0,"",Planilha1!E1198))</f>
        <v>Detroit Pistons</v>
      </c>
      <c r="L1201" s="10">
        <f>IF(Planilha1!F1198="","",Planilha1!F1198)</f>
        <v>0</v>
      </c>
      <c r="M1201" s="10" t="str">
        <f>IF(Planilha1!G1198="","",IF(Planilha1!G1198=0,"",Planilha1!G1198))</f>
        <v/>
      </c>
      <c r="N1201" s="5">
        <f t="shared" si="145"/>
        <v>1</v>
      </c>
      <c r="O1201" s="5">
        <f t="shared" si="146"/>
        <v>0</v>
      </c>
      <c r="P1201" s="5">
        <f t="shared" si="147"/>
        <v>0</v>
      </c>
      <c r="Q1201" s="5">
        <f t="shared" si="148"/>
        <v>2</v>
      </c>
      <c r="R1201" s="8">
        <f t="shared" si="149"/>
        <v>0</v>
      </c>
      <c r="S1201" s="8">
        <f t="shared" si="150"/>
        <v>0</v>
      </c>
      <c r="T1201" s="3" t="str">
        <f t="shared" si="151"/>
        <v/>
      </c>
      <c r="V1201" s="1" t="e">
        <f t="shared" si="152"/>
        <v>#VALUE!</v>
      </c>
    </row>
    <row r="1202" spans="8:22" x14ac:dyDescent="0.3">
      <c r="H1202" s="2" t="str">
        <f>IF(Planilha1!B1199="","",Planilha1!B1199)</f>
        <v>7:30p</v>
      </c>
      <c r="I1202" s="2" t="str">
        <f>IF(Planilha1!C1199="","",Planilha1!C1199)</f>
        <v>New York Knicks</v>
      </c>
      <c r="J1202" s="2">
        <f>IF(Planilha1!D1199="","",Planilha1!D1199)</f>
        <v>0</v>
      </c>
      <c r="K1202" s="10" t="str">
        <f>IF(Planilha1!E1199="","",IF(Planilha1!E1199=0,"",Planilha1!E1199))</f>
        <v>Boston Celtics</v>
      </c>
      <c r="L1202" s="10">
        <f>IF(Planilha1!F1199="","",Planilha1!F1199)</f>
        <v>0</v>
      </c>
      <c r="M1202" s="10" t="str">
        <f>IF(Planilha1!G1199="","",IF(Planilha1!G1199=0,"",Planilha1!G1199))</f>
        <v/>
      </c>
      <c r="N1202" s="5">
        <f t="shared" si="145"/>
        <v>1</v>
      </c>
      <c r="O1202" s="5">
        <f t="shared" si="146"/>
        <v>0</v>
      </c>
      <c r="P1202" s="5">
        <f t="shared" si="147"/>
        <v>0</v>
      </c>
      <c r="Q1202" s="5">
        <f t="shared" si="148"/>
        <v>2</v>
      </c>
      <c r="R1202" s="8">
        <f t="shared" si="149"/>
        <v>0</v>
      </c>
      <c r="S1202" s="8">
        <f t="shared" si="150"/>
        <v>0</v>
      </c>
      <c r="T1202" s="3" t="str">
        <f t="shared" si="151"/>
        <v/>
      </c>
      <c r="V1202" s="1" t="e">
        <f t="shared" si="152"/>
        <v>#VALUE!</v>
      </c>
    </row>
    <row r="1203" spans="8:22" x14ac:dyDescent="0.3">
      <c r="H1203" s="2" t="str">
        <f>IF(Planilha1!B1200="","",Planilha1!B1200)</f>
        <v>9:00p</v>
      </c>
      <c r="I1203" s="2" t="str">
        <f>IF(Planilha1!C1200="","",Planilha1!C1200)</f>
        <v>Houston Rockets</v>
      </c>
      <c r="J1203" s="2">
        <f>IF(Planilha1!D1200="","",Planilha1!D1200)</f>
        <v>0</v>
      </c>
      <c r="K1203" s="10" t="str">
        <f>IF(Planilha1!E1200="","",IF(Planilha1!E1200=0,"",Planilha1!E1200))</f>
        <v>Utah Jazz</v>
      </c>
      <c r="L1203" s="10">
        <f>IF(Planilha1!F1200="","",Planilha1!F1200)</f>
        <v>0</v>
      </c>
      <c r="M1203" s="10" t="str">
        <f>IF(Planilha1!G1200="","",IF(Planilha1!G1200=0,"",Planilha1!G1200))</f>
        <v/>
      </c>
      <c r="N1203" s="5">
        <f t="shared" si="145"/>
        <v>1</v>
      </c>
      <c r="O1203" s="5">
        <f t="shared" si="146"/>
        <v>0</v>
      </c>
      <c r="P1203" s="5">
        <f t="shared" si="147"/>
        <v>0</v>
      </c>
      <c r="Q1203" s="5">
        <f t="shared" si="148"/>
        <v>2</v>
      </c>
      <c r="R1203" s="8">
        <f t="shared" si="149"/>
        <v>0</v>
      </c>
      <c r="S1203" s="8">
        <f t="shared" si="150"/>
        <v>0</v>
      </c>
      <c r="T1203" s="3" t="str">
        <f t="shared" si="151"/>
        <v/>
      </c>
      <c r="V1203" s="1" t="e">
        <f t="shared" si="152"/>
        <v>#VALUE!</v>
      </c>
    </row>
    <row r="1204" spans="8:22" x14ac:dyDescent="0.3">
      <c r="H1204" s="2" t="str">
        <f>IF(Planilha1!B1201="","",Planilha1!B1201)</f>
        <v>10:00p</v>
      </c>
      <c r="I1204" s="2" t="str">
        <f>IF(Planilha1!C1201="","",Planilha1!C1201)</f>
        <v>Golden State Warriors</v>
      </c>
      <c r="J1204" s="2">
        <f>IF(Planilha1!D1201="","",Planilha1!D1201)</f>
        <v>0</v>
      </c>
      <c r="K1204" s="10" t="str">
        <f>IF(Planilha1!E1201="","",IF(Planilha1!E1201=0,"",Planilha1!E1201))</f>
        <v>Portland Trail Blazers</v>
      </c>
      <c r="L1204" s="10">
        <f>IF(Planilha1!F1201="","",Planilha1!F1201)</f>
        <v>0</v>
      </c>
      <c r="M1204" s="10" t="str">
        <f>IF(Planilha1!G1201="","",IF(Planilha1!G1201=0,"",Planilha1!G1201))</f>
        <v/>
      </c>
      <c r="N1204" s="5">
        <f t="shared" si="145"/>
        <v>1</v>
      </c>
      <c r="O1204" s="5">
        <f t="shared" si="146"/>
        <v>0</v>
      </c>
      <c r="P1204" s="5">
        <f t="shared" si="147"/>
        <v>0</v>
      </c>
      <c r="Q1204" s="5">
        <f t="shared" si="148"/>
        <v>2</v>
      </c>
      <c r="R1204" s="8">
        <f t="shared" si="149"/>
        <v>0</v>
      </c>
      <c r="S1204" s="8">
        <f t="shared" si="150"/>
        <v>0</v>
      </c>
      <c r="T1204" s="3" t="str">
        <f t="shared" si="151"/>
        <v/>
      </c>
      <c r="V1204" s="1" t="e">
        <f t="shared" si="152"/>
        <v>#VALUE!</v>
      </c>
    </row>
    <row r="1205" spans="8:22" x14ac:dyDescent="0.3">
      <c r="H1205" s="2" t="str">
        <f>IF(Planilha1!B1202="","",Planilha1!B1202)</f>
        <v>10:00p</v>
      </c>
      <c r="I1205" s="2" t="str">
        <f>IF(Planilha1!C1202="","",Planilha1!C1202)</f>
        <v>New Orleans Pelicans</v>
      </c>
      <c r="J1205" s="2">
        <f>IF(Planilha1!D1202="","",Planilha1!D1202)</f>
        <v>0</v>
      </c>
      <c r="K1205" s="10" t="str">
        <f>IF(Planilha1!E1202="","",IF(Planilha1!E1202=0,"",Planilha1!E1202))</f>
        <v>Sacramento Kings</v>
      </c>
      <c r="L1205" s="10">
        <f>IF(Planilha1!F1202="","",Planilha1!F1202)</f>
        <v>0</v>
      </c>
      <c r="M1205" s="10" t="str">
        <f>IF(Planilha1!G1202="","",IF(Planilha1!G1202=0,"",Planilha1!G1202))</f>
        <v/>
      </c>
      <c r="N1205" s="5">
        <f t="shared" si="145"/>
        <v>1</v>
      </c>
      <c r="O1205" s="5">
        <f t="shared" si="146"/>
        <v>0</v>
      </c>
      <c r="P1205" s="5">
        <f t="shared" si="147"/>
        <v>0</v>
      </c>
      <c r="Q1205" s="5">
        <f t="shared" si="148"/>
        <v>2</v>
      </c>
      <c r="R1205" s="8">
        <f t="shared" si="149"/>
        <v>0</v>
      </c>
      <c r="S1205" s="8">
        <f t="shared" si="150"/>
        <v>0</v>
      </c>
      <c r="T1205" s="3" t="str">
        <f t="shared" si="151"/>
        <v/>
      </c>
      <c r="V1205" s="1" t="e">
        <f t="shared" si="152"/>
        <v>#VALUE!</v>
      </c>
    </row>
    <row r="1206" spans="8:22" x14ac:dyDescent="0.3">
      <c r="H1206" s="2" t="str">
        <f>IF(Planilha1!B1203="","",Planilha1!B1203)</f>
        <v>7:00p</v>
      </c>
      <c r="I1206" s="2" t="str">
        <f>IF(Planilha1!C1203="","",Planilha1!C1203)</f>
        <v>Orlando Magic</v>
      </c>
      <c r="J1206" s="2">
        <f>IF(Planilha1!D1203="","",Planilha1!D1203)</f>
        <v>0</v>
      </c>
      <c r="K1206" s="10" t="str">
        <f>IF(Planilha1!E1203="","",IF(Planilha1!E1203=0,"",Planilha1!E1203))</f>
        <v>Philadelphia 76ers</v>
      </c>
      <c r="L1206" s="10">
        <f>IF(Planilha1!F1203="","",Planilha1!F1203)</f>
        <v>0</v>
      </c>
      <c r="M1206" s="10" t="str">
        <f>IF(Planilha1!G1203="","",IF(Planilha1!G1203=0,"",Planilha1!G1203))</f>
        <v/>
      </c>
      <c r="N1206" s="5">
        <f t="shared" si="145"/>
        <v>1</v>
      </c>
      <c r="O1206" s="5">
        <f t="shared" si="146"/>
        <v>0</v>
      </c>
      <c r="P1206" s="5">
        <f t="shared" si="147"/>
        <v>0</v>
      </c>
      <c r="Q1206" s="5">
        <f t="shared" si="148"/>
        <v>2</v>
      </c>
      <c r="R1206" s="8">
        <f t="shared" si="149"/>
        <v>0</v>
      </c>
      <c r="S1206" s="8">
        <f t="shared" si="150"/>
        <v>0</v>
      </c>
      <c r="T1206" s="3" t="str">
        <f t="shared" si="151"/>
        <v/>
      </c>
      <c r="V1206" s="1" t="e">
        <f t="shared" si="152"/>
        <v>#VALUE!</v>
      </c>
    </row>
    <row r="1207" spans="8:22" x14ac:dyDescent="0.3">
      <c r="H1207" s="2" t="str">
        <f>IF(Planilha1!B1204="","",Planilha1!B1204)</f>
        <v>7:00p</v>
      </c>
      <c r="I1207" s="2" t="str">
        <f>IF(Planilha1!C1204="","",Planilha1!C1204)</f>
        <v>Chicago Bulls</v>
      </c>
      <c r="J1207" s="2">
        <f>IF(Planilha1!D1204="","",Planilha1!D1204)</f>
        <v>0</v>
      </c>
      <c r="K1207" s="10" t="str">
        <f>IF(Planilha1!E1204="","",IF(Planilha1!E1204=0,"",Planilha1!E1204))</f>
        <v>Washington Wizards</v>
      </c>
      <c r="L1207" s="10">
        <f>IF(Planilha1!F1204="","",Planilha1!F1204)</f>
        <v>0</v>
      </c>
      <c r="M1207" s="10" t="str">
        <f>IF(Planilha1!G1204="","",IF(Planilha1!G1204=0,"",Planilha1!G1204))</f>
        <v/>
      </c>
      <c r="N1207" s="5">
        <f t="shared" si="145"/>
        <v>1</v>
      </c>
      <c r="O1207" s="5">
        <f t="shared" si="146"/>
        <v>0</v>
      </c>
      <c r="P1207" s="5">
        <f t="shared" si="147"/>
        <v>0</v>
      </c>
      <c r="Q1207" s="5">
        <f t="shared" si="148"/>
        <v>2</v>
      </c>
      <c r="R1207" s="8">
        <f t="shared" si="149"/>
        <v>0</v>
      </c>
      <c r="S1207" s="8">
        <f t="shared" si="150"/>
        <v>0</v>
      </c>
      <c r="T1207" s="3" t="str">
        <f t="shared" si="151"/>
        <v/>
      </c>
      <c r="V1207" s="1" t="e">
        <f t="shared" si="152"/>
        <v>#VALUE!</v>
      </c>
    </row>
    <row r="1208" spans="8:22" x14ac:dyDescent="0.3">
      <c r="H1208" s="2" t="str">
        <f>IF(Planilha1!B1205="","",Planilha1!B1205)</f>
        <v>7:30p</v>
      </c>
      <c r="I1208" s="2" t="str">
        <f>IF(Planilha1!C1205="","",Planilha1!C1205)</f>
        <v>Charlotte Hornets</v>
      </c>
      <c r="J1208" s="2">
        <f>IF(Planilha1!D1205="","",Planilha1!D1205)</f>
        <v>0</v>
      </c>
      <c r="K1208" s="10" t="str">
        <f>IF(Planilha1!E1205="","",IF(Planilha1!E1205=0,"",Planilha1!E1205))</f>
        <v>Boston Celtics</v>
      </c>
      <c r="L1208" s="10">
        <f>IF(Planilha1!F1205="","",Planilha1!F1205)</f>
        <v>0</v>
      </c>
      <c r="M1208" s="10" t="str">
        <f>IF(Planilha1!G1205="","",IF(Planilha1!G1205=0,"",Planilha1!G1205))</f>
        <v/>
      </c>
      <c r="N1208" s="5">
        <f t="shared" si="145"/>
        <v>1</v>
      </c>
      <c r="O1208" s="5">
        <f t="shared" si="146"/>
        <v>0</v>
      </c>
      <c r="P1208" s="5">
        <f t="shared" si="147"/>
        <v>0</v>
      </c>
      <c r="Q1208" s="5">
        <f t="shared" si="148"/>
        <v>2</v>
      </c>
      <c r="R1208" s="8">
        <f t="shared" si="149"/>
        <v>0</v>
      </c>
      <c r="S1208" s="8">
        <f t="shared" si="150"/>
        <v>0</v>
      </c>
      <c r="T1208" s="3" t="str">
        <f t="shared" si="151"/>
        <v/>
      </c>
      <c r="V1208" s="1" t="e">
        <f t="shared" si="152"/>
        <v>#VALUE!</v>
      </c>
    </row>
    <row r="1209" spans="8:22" x14ac:dyDescent="0.3">
      <c r="H1209" s="2" t="str">
        <f>IF(Planilha1!B1206="","",Planilha1!B1206)</f>
        <v>7:30p</v>
      </c>
      <c r="I1209" s="2" t="str">
        <f>IF(Planilha1!C1206="","",Planilha1!C1206)</f>
        <v>Indiana Pacers</v>
      </c>
      <c r="J1209" s="2">
        <f>IF(Planilha1!D1206="","",Planilha1!D1206)</f>
        <v>0</v>
      </c>
      <c r="K1209" s="10" t="str">
        <f>IF(Planilha1!E1206="","",IF(Planilha1!E1206=0,"",Planilha1!E1206))</f>
        <v>Cleveland Cavaliers</v>
      </c>
      <c r="L1209" s="10">
        <f>IF(Planilha1!F1206="","",Planilha1!F1206)</f>
        <v>0</v>
      </c>
      <c r="M1209" s="10" t="str">
        <f>IF(Planilha1!G1206="","",IF(Planilha1!G1206=0,"",Planilha1!G1206))</f>
        <v/>
      </c>
      <c r="N1209" s="5">
        <f t="shared" si="145"/>
        <v>1</v>
      </c>
      <c r="O1209" s="5">
        <f t="shared" si="146"/>
        <v>0</v>
      </c>
      <c r="P1209" s="5">
        <f t="shared" si="147"/>
        <v>0</v>
      </c>
      <c r="Q1209" s="5">
        <f t="shared" si="148"/>
        <v>2</v>
      </c>
      <c r="R1209" s="8">
        <f t="shared" si="149"/>
        <v>0</v>
      </c>
      <c r="S1209" s="8">
        <f t="shared" si="150"/>
        <v>0</v>
      </c>
      <c r="T1209" s="3" t="str">
        <f t="shared" si="151"/>
        <v/>
      </c>
      <c r="V1209" s="1" t="e">
        <f t="shared" si="152"/>
        <v>#VALUE!</v>
      </c>
    </row>
    <row r="1210" spans="8:22" x14ac:dyDescent="0.3">
      <c r="H1210" s="2" t="str">
        <f>IF(Planilha1!B1207="","",Planilha1!B1207)</f>
        <v>7:30p</v>
      </c>
      <c r="I1210" s="2" t="str">
        <f>IF(Planilha1!C1207="","",Planilha1!C1207)</f>
        <v>Brooklyn Nets</v>
      </c>
      <c r="J1210" s="2">
        <f>IF(Planilha1!D1207="","",Planilha1!D1207)</f>
        <v>0</v>
      </c>
      <c r="K1210" s="10" t="str">
        <f>IF(Planilha1!E1207="","",IF(Planilha1!E1207=0,"",Planilha1!E1207))</f>
        <v>New York Knicks</v>
      </c>
      <c r="L1210" s="10">
        <f>IF(Planilha1!F1207="","",Planilha1!F1207)</f>
        <v>0</v>
      </c>
      <c r="M1210" s="10" t="str">
        <f>IF(Planilha1!G1207="","",IF(Planilha1!G1207=0,"",Planilha1!G1207))</f>
        <v/>
      </c>
      <c r="N1210" s="5">
        <f t="shared" si="145"/>
        <v>1</v>
      </c>
      <c r="O1210" s="5">
        <f t="shared" si="146"/>
        <v>0</v>
      </c>
      <c r="P1210" s="5">
        <f t="shared" si="147"/>
        <v>0</v>
      </c>
      <c r="Q1210" s="5">
        <f t="shared" si="148"/>
        <v>2</v>
      </c>
      <c r="R1210" s="8">
        <f t="shared" si="149"/>
        <v>0</v>
      </c>
      <c r="S1210" s="8">
        <f t="shared" si="150"/>
        <v>0</v>
      </c>
      <c r="T1210" s="3" t="str">
        <f t="shared" si="151"/>
        <v/>
      </c>
      <c r="V1210" s="1" t="e">
        <f t="shared" si="152"/>
        <v>#VALUE!</v>
      </c>
    </row>
    <row r="1211" spans="8:22" x14ac:dyDescent="0.3">
      <c r="H1211" s="2" t="str">
        <f>IF(Planilha1!B1208="","",Planilha1!B1208)</f>
        <v>8:00p</v>
      </c>
      <c r="I1211" s="2" t="str">
        <f>IF(Planilha1!C1208="","",Planilha1!C1208)</f>
        <v>Los Angeles Lakers</v>
      </c>
      <c r="J1211" s="2">
        <f>IF(Planilha1!D1208="","",Planilha1!D1208)</f>
        <v>0</v>
      </c>
      <c r="K1211" s="10" t="str">
        <f>IF(Planilha1!E1208="","",IF(Planilha1!E1208=0,"",Planilha1!E1208))</f>
        <v>Memphis Grizzlies</v>
      </c>
      <c r="L1211" s="10">
        <f>IF(Planilha1!F1208="","",Planilha1!F1208)</f>
        <v>0</v>
      </c>
      <c r="M1211" s="10" t="str">
        <f>IF(Planilha1!G1208="","",IF(Planilha1!G1208=0,"",Planilha1!G1208))</f>
        <v/>
      </c>
      <c r="N1211" s="5">
        <f t="shared" si="145"/>
        <v>1</v>
      </c>
      <c r="O1211" s="5">
        <f t="shared" si="146"/>
        <v>0</v>
      </c>
      <c r="P1211" s="5">
        <f t="shared" si="147"/>
        <v>0</v>
      </c>
      <c r="Q1211" s="5">
        <f t="shared" si="148"/>
        <v>2</v>
      </c>
      <c r="R1211" s="8">
        <f t="shared" si="149"/>
        <v>0</v>
      </c>
      <c r="S1211" s="8">
        <f t="shared" si="150"/>
        <v>0</v>
      </c>
      <c r="T1211" s="3" t="str">
        <f t="shared" si="151"/>
        <v/>
      </c>
      <c r="V1211" s="1" t="e">
        <f t="shared" si="152"/>
        <v>#VALUE!</v>
      </c>
    </row>
    <row r="1212" spans="8:22" x14ac:dyDescent="0.3">
      <c r="H1212" s="2" t="str">
        <f>IF(Planilha1!B1209="","",Planilha1!B1209)</f>
        <v>8:00p</v>
      </c>
      <c r="I1212" s="2" t="str">
        <f>IF(Planilha1!C1209="","",Planilha1!C1209)</f>
        <v>Toronto Raptors</v>
      </c>
      <c r="J1212" s="2">
        <f>IF(Planilha1!D1209="","",Planilha1!D1209)</f>
        <v>0</v>
      </c>
      <c r="K1212" s="10" t="str">
        <f>IF(Planilha1!E1209="","",IF(Planilha1!E1209=0,"",Planilha1!E1209))</f>
        <v>Miami Heat</v>
      </c>
      <c r="L1212" s="10">
        <f>IF(Planilha1!F1209="","",Planilha1!F1209)</f>
        <v>0</v>
      </c>
      <c r="M1212" s="10" t="str">
        <f>IF(Planilha1!G1209="","",IF(Planilha1!G1209=0,"",Planilha1!G1209))</f>
        <v/>
      </c>
      <c r="N1212" s="5">
        <f t="shared" si="145"/>
        <v>1</v>
      </c>
      <c r="O1212" s="5">
        <f t="shared" si="146"/>
        <v>0</v>
      </c>
      <c r="P1212" s="5">
        <f t="shared" si="147"/>
        <v>0</v>
      </c>
      <c r="Q1212" s="5">
        <f t="shared" si="148"/>
        <v>2</v>
      </c>
      <c r="R1212" s="8">
        <f t="shared" si="149"/>
        <v>0</v>
      </c>
      <c r="S1212" s="8">
        <f t="shared" si="150"/>
        <v>0</v>
      </c>
      <c r="T1212" s="3" t="str">
        <f t="shared" si="151"/>
        <v/>
      </c>
      <c r="V1212" s="1" t="e">
        <f t="shared" si="152"/>
        <v>#VALUE!</v>
      </c>
    </row>
    <row r="1213" spans="8:22" x14ac:dyDescent="0.3">
      <c r="H1213" s="2" t="str">
        <f>IF(Planilha1!B1210="","",Planilha1!B1210)</f>
        <v>8:00p</v>
      </c>
      <c r="I1213" s="2" t="str">
        <f>IF(Planilha1!C1210="","",Planilha1!C1210)</f>
        <v>Atlanta Hawks</v>
      </c>
      <c r="J1213" s="2">
        <f>IF(Planilha1!D1210="","",Planilha1!D1210)</f>
        <v>0</v>
      </c>
      <c r="K1213" s="10" t="str">
        <f>IF(Planilha1!E1210="","",IF(Planilha1!E1210=0,"",Planilha1!E1210))</f>
        <v>Minnesota Timberwolves</v>
      </c>
      <c r="L1213" s="10">
        <f>IF(Planilha1!F1210="","",Planilha1!F1210)</f>
        <v>0</v>
      </c>
      <c r="M1213" s="10" t="str">
        <f>IF(Planilha1!G1210="","",IF(Planilha1!G1210=0,"",Planilha1!G1210))</f>
        <v/>
      </c>
      <c r="N1213" s="5">
        <f t="shared" si="145"/>
        <v>1</v>
      </c>
      <c r="O1213" s="5">
        <f t="shared" si="146"/>
        <v>0</v>
      </c>
      <c r="P1213" s="5">
        <f t="shared" si="147"/>
        <v>0</v>
      </c>
      <c r="Q1213" s="5">
        <f t="shared" si="148"/>
        <v>2</v>
      </c>
      <c r="R1213" s="8">
        <f t="shared" si="149"/>
        <v>0</v>
      </c>
      <c r="S1213" s="8">
        <f t="shared" si="150"/>
        <v>0</v>
      </c>
      <c r="T1213" s="3" t="str">
        <f t="shared" si="151"/>
        <v/>
      </c>
      <c r="V1213" s="1" t="e">
        <f t="shared" si="152"/>
        <v>#VALUE!</v>
      </c>
    </row>
    <row r="1214" spans="8:22" x14ac:dyDescent="0.3">
      <c r="H1214" s="2" t="str">
        <f>IF(Planilha1!B1211="","",Planilha1!B1211)</f>
        <v>8:00p</v>
      </c>
      <c r="I1214" s="2" t="str">
        <f>IF(Planilha1!C1211="","",Planilha1!C1211)</f>
        <v>Milwaukee Bucks</v>
      </c>
      <c r="J1214" s="2">
        <f>IF(Planilha1!D1211="","",Planilha1!D1211)</f>
        <v>0</v>
      </c>
      <c r="K1214" s="10" t="str">
        <f>IF(Planilha1!E1211="","",IF(Planilha1!E1211=0,"",Planilha1!E1211))</f>
        <v>Oklahoma City Thunder</v>
      </c>
      <c r="L1214" s="10">
        <f>IF(Planilha1!F1211="","",Planilha1!F1211)</f>
        <v>0</v>
      </c>
      <c r="M1214" s="10" t="str">
        <f>IF(Planilha1!G1211="","",IF(Planilha1!G1211=0,"",Planilha1!G1211))</f>
        <v/>
      </c>
      <c r="N1214" s="5">
        <f t="shared" si="145"/>
        <v>1</v>
      </c>
      <c r="O1214" s="5">
        <f t="shared" si="146"/>
        <v>0</v>
      </c>
      <c r="P1214" s="5">
        <f t="shared" si="147"/>
        <v>0</v>
      </c>
      <c r="Q1214" s="5">
        <f t="shared" si="148"/>
        <v>2</v>
      </c>
      <c r="R1214" s="8">
        <f t="shared" si="149"/>
        <v>0</v>
      </c>
      <c r="S1214" s="8">
        <f t="shared" si="150"/>
        <v>0</v>
      </c>
      <c r="T1214" s="3" t="str">
        <f t="shared" si="151"/>
        <v/>
      </c>
      <c r="V1214" s="1" t="e">
        <f t="shared" si="152"/>
        <v>#VALUE!</v>
      </c>
    </row>
    <row r="1215" spans="8:22" x14ac:dyDescent="0.3">
      <c r="H1215" s="2" t="str">
        <f>IF(Planilha1!B1212="","",Planilha1!B1212)</f>
        <v>8:00p</v>
      </c>
      <c r="I1215" s="2" t="str">
        <f>IF(Planilha1!C1212="","",Planilha1!C1212)</f>
        <v>Denver Nuggets</v>
      </c>
      <c r="J1215" s="2">
        <f>IF(Planilha1!D1212="","",Planilha1!D1212)</f>
        <v>0</v>
      </c>
      <c r="K1215" s="10" t="str">
        <f>IF(Planilha1!E1212="","",IF(Planilha1!E1212=0,"",Planilha1!E1212))</f>
        <v>San Antonio Spurs</v>
      </c>
      <c r="L1215" s="10">
        <f>IF(Planilha1!F1212="","",Planilha1!F1212)</f>
        <v>0</v>
      </c>
      <c r="M1215" s="10" t="str">
        <f>IF(Planilha1!G1212="","",IF(Planilha1!G1212=0,"",Planilha1!G1212))</f>
        <v/>
      </c>
      <c r="N1215" s="5">
        <f t="shared" si="145"/>
        <v>1</v>
      </c>
      <c r="O1215" s="5">
        <f t="shared" si="146"/>
        <v>0</v>
      </c>
      <c r="P1215" s="5">
        <f t="shared" si="147"/>
        <v>0</v>
      </c>
      <c r="Q1215" s="5">
        <f t="shared" si="148"/>
        <v>2</v>
      </c>
      <c r="R1215" s="8">
        <f t="shared" si="149"/>
        <v>0</v>
      </c>
      <c r="S1215" s="8">
        <f t="shared" si="150"/>
        <v>0</v>
      </c>
      <c r="T1215" s="3" t="str">
        <f t="shared" si="151"/>
        <v/>
      </c>
      <c r="V1215" s="1" t="e">
        <f t="shared" si="152"/>
        <v>#VALUE!</v>
      </c>
    </row>
    <row r="1216" spans="8:22" x14ac:dyDescent="0.3">
      <c r="H1216" s="2" t="str">
        <f>IF(Planilha1!B1213="","",Planilha1!B1213)</f>
        <v>8:30p</v>
      </c>
      <c r="I1216" s="2" t="str">
        <f>IF(Planilha1!C1213="","",Planilha1!C1213)</f>
        <v>Detroit Pistons</v>
      </c>
      <c r="J1216" s="2">
        <f>IF(Planilha1!D1213="","",Planilha1!D1213)</f>
        <v>0</v>
      </c>
      <c r="K1216" s="10" t="str">
        <f>IF(Planilha1!E1213="","",IF(Planilha1!E1213=0,"",Planilha1!E1213))</f>
        <v>Dallas Mavericks</v>
      </c>
      <c r="L1216" s="10">
        <f>IF(Planilha1!F1213="","",Planilha1!F1213)</f>
        <v>0</v>
      </c>
      <c r="M1216" s="10" t="str">
        <f>IF(Planilha1!G1213="","",IF(Planilha1!G1213=0,"",Planilha1!G1213))</f>
        <v/>
      </c>
      <c r="N1216" s="5">
        <f t="shared" si="145"/>
        <v>1</v>
      </c>
      <c r="O1216" s="5">
        <f t="shared" si="146"/>
        <v>0</v>
      </c>
      <c r="P1216" s="5">
        <f t="shared" si="147"/>
        <v>0</v>
      </c>
      <c r="Q1216" s="5">
        <f t="shared" si="148"/>
        <v>2</v>
      </c>
      <c r="R1216" s="8">
        <f t="shared" si="149"/>
        <v>0</v>
      </c>
      <c r="S1216" s="8">
        <f t="shared" si="150"/>
        <v>0</v>
      </c>
      <c r="T1216" s="3" t="str">
        <f t="shared" si="151"/>
        <v/>
      </c>
      <c r="V1216" s="1" t="e">
        <f t="shared" si="152"/>
        <v>#VALUE!</v>
      </c>
    </row>
    <row r="1217" spans="8:22" x14ac:dyDescent="0.3">
      <c r="H1217" s="2" t="str">
        <f>IF(Planilha1!B1214="","",Planilha1!B1214)</f>
        <v>10:00p</v>
      </c>
      <c r="I1217" s="2" t="str">
        <f>IF(Planilha1!C1214="","",Planilha1!C1214)</f>
        <v>New Orleans Pelicans</v>
      </c>
      <c r="J1217" s="2">
        <f>IF(Planilha1!D1214="","",Planilha1!D1214)</f>
        <v>0</v>
      </c>
      <c r="K1217" s="10" t="str">
        <f>IF(Planilha1!E1214="","",IF(Planilha1!E1214=0,"",Planilha1!E1214))</f>
        <v>Golden State Warriors</v>
      </c>
      <c r="L1217" s="10">
        <f>IF(Planilha1!F1214="","",Planilha1!F1214)</f>
        <v>0</v>
      </c>
      <c r="M1217" s="10" t="str">
        <f>IF(Planilha1!G1214="","",IF(Planilha1!G1214=0,"",Planilha1!G1214))</f>
        <v/>
      </c>
      <c r="N1217" s="5">
        <f t="shared" si="145"/>
        <v>1</v>
      </c>
      <c r="O1217" s="5">
        <f t="shared" si="146"/>
        <v>0</v>
      </c>
      <c r="P1217" s="5">
        <f t="shared" si="147"/>
        <v>0</v>
      </c>
      <c r="Q1217" s="5">
        <f t="shared" si="148"/>
        <v>2</v>
      </c>
      <c r="R1217" s="8">
        <f t="shared" si="149"/>
        <v>0</v>
      </c>
      <c r="S1217" s="8">
        <f t="shared" si="150"/>
        <v>0</v>
      </c>
      <c r="T1217" s="3" t="str">
        <f t="shared" si="151"/>
        <v/>
      </c>
      <c r="V1217" s="1" t="e">
        <f t="shared" si="152"/>
        <v>#VALUE!</v>
      </c>
    </row>
    <row r="1218" spans="8:22" x14ac:dyDescent="0.3">
      <c r="H1218" s="2" t="str">
        <f>IF(Planilha1!B1215="","",Planilha1!B1215)</f>
        <v>10:00p</v>
      </c>
      <c r="I1218" s="2" t="str">
        <f>IF(Planilha1!C1215="","",Planilha1!C1215)</f>
        <v>Houston Rockets</v>
      </c>
      <c r="J1218" s="2">
        <f>IF(Planilha1!D1215="","",Planilha1!D1215)</f>
        <v>0</v>
      </c>
      <c r="K1218" s="10" t="str">
        <f>IF(Planilha1!E1215="","",IF(Planilha1!E1215=0,"",Planilha1!E1215))</f>
        <v>Portland Trail Blazers</v>
      </c>
      <c r="L1218" s="10">
        <f>IF(Planilha1!F1215="","",Planilha1!F1215)</f>
        <v>0</v>
      </c>
      <c r="M1218" s="10" t="str">
        <f>IF(Planilha1!G1215="","",IF(Planilha1!G1215=0,"",Planilha1!G1215))</f>
        <v/>
      </c>
      <c r="N1218" s="5">
        <f t="shared" si="145"/>
        <v>1</v>
      </c>
      <c r="O1218" s="5">
        <f t="shared" si="146"/>
        <v>0</v>
      </c>
      <c r="P1218" s="5">
        <f t="shared" si="147"/>
        <v>0</v>
      </c>
      <c r="Q1218" s="5">
        <f t="shared" si="148"/>
        <v>2</v>
      </c>
      <c r="R1218" s="8">
        <f t="shared" si="149"/>
        <v>0</v>
      </c>
      <c r="S1218" s="8">
        <f t="shared" si="150"/>
        <v>0</v>
      </c>
      <c r="T1218" s="3" t="str">
        <f t="shared" si="151"/>
        <v/>
      </c>
      <c r="V1218" s="1" t="e">
        <f t="shared" si="152"/>
        <v>#VALUE!</v>
      </c>
    </row>
    <row r="1219" spans="8:22" x14ac:dyDescent="0.3">
      <c r="H1219" s="2" t="str">
        <f>IF(Planilha1!B1216="","",Planilha1!B1216)</f>
        <v>10:30p</v>
      </c>
      <c r="I1219" s="2" t="str">
        <f>IF(Planilha1!C1216="","",Planilha1!C1216)</f>
        <v>Utah Jazz</v>
      </c>
      <c r="J1219" s="2">
        <f>IF(Planilha1!D1216="","",Planilha1!D1216)</f>
        <v>0</v>
      </c>
      <c r="K1219" s="10" t="str">
        <f>IF(Planilha1!E1216="","",IF(Planilha1!E1216=0,"",Planilha1!E1216))</f>
        <v>Los Angeles Clippers</v>
      </c>
      <c r="L1219" s="10">
        <f>IF(Planilha1!F1216="","",Planilha1!F1216)</f>
        <v>0</v>
      </c>
      <c r="M1219" s="10" t="str">
        <f>IF(Planilha1!G1216="","",IF(Planilha1!G1216=0,"",Planilha1!G1216))</f>
        <v/>
      </c>
      <c r="N1219" s="5">
        <f t="shared" si="145"/>
        <v>1</v>
      </c>
      <c r="O1219" s="5">
        <f t="shared" si="146"/>
        <v>0</v>
      </c>
      <c r="P1219" s="5">
        <f t="shared" si="147"/>
        <v>0</v>
      </c>
      <c r="Q1219" s="5">
        <f t="shared" si="148"/>
        <v>2</v>
      </c>
      <c r="R1219" s="8">
        <f t="shared" si="149"/>
        <v>0</v>
      </c>
      <c r="S1219" s="8">
        <f t="shared" si="150"/>
        <v>0</v>
      </c>
      <c r="T1219" s="3" t="str">
        <f t="shared" si="151"/>
        <v/>
      </c>
      <c r="V1219" s="1" t="e">
        <f t="shared" si="152"/>
        <v>#VALUE!</v>
      </c>
    </row>
    <row r="1220" spans="8:22" x14ac:dyDescent="0.3">
      <c r="H1220" s="2" t="str">
        <f>IF(Planilha1!B1217="","",Planilha1!B1217)</f>
        <v>10:30p</v>
      </c>
      <c r="I1220" s="2" t="str">
        <f>IF(Planilha1!C1217="","",Planilha1!C1217)</f>
        <v>Phoenix Suns</v>
      </c>
      <c r="J1220" s="2">
        <f>IF(Planilha1!D1217="","",Planilha1!D1217)</f>
        <v>0</v>
      </c>
      <c r="K1220" s="10" t="str">
        <f>IF(Planilha1!E1217="","",IF(Planilha1!E1217=0,"",Planilha1!E1217))</f>
        <v>Sacramento Kings</v>
      </c>
      <c r="L1220" s="10">
        <f>IF(Planilha1!F1217="","",Planilha1!F1217)</f>
        <v>0</v>
      </c>
      <c r="M1220" s="10" t="str">
        <f>IF(Planilha1!G1217="","",IF(Planilha1!G1217=0,"",Planilha1!G1217))</f>
        <v/>
      </c>
      <c r="N1220" s="5">
        <f t="shared" si="145"/>
        <v>1</v>
      </c>
      <c r="O1220" s="5">
        <f t="shared" si="146"/>
        <v>0</v>
      </c>
      <c r="P1220" s="5">
        <f t="shared" si="147"/>
        <v>0</v>
      </c>
      <c r="Q1220" s="5">
        <f t="shared" si="148"/>
        <v>2</v>
      </c>
      <c r="R1220" s="8">
        <f t="shared" si="149"/>
        <v>0</v>
      </c>
      <c r="S1220" s="8">
        <f t="shared" si="150"/>
        <v>0</v>
      </c>
      <c r="T1220" s="3" t="str">
        <f t="shared" si="151"/>
        <v/>
      </c>
      <c r="V1220" s="1" t="e">
        <f t="shared" si="152"/>
        <v>#VALUE!</v>
      </c>
    </row>
    <row r="1221" spans="8:22" x14ac:dyDescent="0.3">
      <c r="H1221" s="2" t="str">
        <f>IF(Planilha1!B1218="","",Planilha1!B1218)</f>
        <v>1:00p</v>
      </c>
      <c r="I1221" s="2" t="str">
        <f>IF(Planilha1!C1218="","",Planilha1!C1218)</f>
        <v>Washington Wizards</v>
      </c>
      <c r="J1221" s="2">
        <f>IF(Planilha1!D1218="","",Planilha1!D1218)</f>
        <v>0</v>
      </c>
      <c r="K1221" s="10" t="str">
        <f>IF(Planilha1!E1218="","",IF(Planilha1!E1218=0,"",Planilha1!E1218))</f>
        <v>Boston Celtics</v>
      </c>
      <c r="L1221" s="10">
        <f>IF(Planilha1!F1218="","",Planilha1!F1218)</f>
        <v>0</v>
      </c>
      <c r="M1221" s="10" t="str">
        <f>IF(Planilha1!G1218="","",IF(Planilha1!G1218=0,"",Planilha1!G1218))</f>
        <v/>
      </c>
      <c r="N1221" s="5">
        <f t="shared" si="145"/>
        <v>1</v>
      </c>
      <c r="O1221" s="5">
        <f t="shared" si="146"/>
        <v>0</v>
      </c>
      <c r="P1221" s="5">
        <f t="shared" si="147"/>
        <v>0</v>
      </c>
      <c r="Q1221" s="5">
        <f t="shared" si="148"/>
        <v>2</v>
      </c>
      <c r="R1221" s="8">
        <f t="shared" si="149"/>
        <v>0</v>
      </c>
      <c r="S1221" s="8">
        <f t="shared" si="150"/>
        <v>0</v>
      </c>
      <c r="T1221" s="3" t="str">
        <f t="shared" si="151"/>
        <v/>
      </c>
      <c r="V1221" s="1" t="e">
        <f t="shared" si="152"/>
        <v>#VALUE!</v>
      </c>
    </row>
    <row r="1222" spans="8:22" x14ac:dyDescent="0.3">
      <c r="H1222" s="2" t="str">
        <f>IF(Planilha1!B1219="","",Planilha1!B1219)</f>
        <v>1:00p</v>
      </c>
      <c r="I1222" s="2" t="str">
        <f>IF(Planilha1!C1219="","",Planilha1!C1219)</f>
        <v>Charlotte Hornets</v>
      </c>
      <c r="J1222" s="2">
        <f>IF(Planilha1!D1219="","",Planilha1!D1219)</f>
        <v>0</v>
      </c>
      <c r="K1222" s="10" t="str">
        <f>IF(Planilha1!E1219="","",IF(Planilha1!E1219=0,"",Planilha1!E1219))</f>
        <v>Cleveland Cavaliers</v>
      </c>
      <c r="L1222" s="10">
        <f>IF(Planilha1!F1219="","",Planilha1!F1219)</f>
        <v>0</v>
      </c>
      <c r="M1222" s="10" t="str">
        <f>IF(Planilha1!G1219="","",IF(Planilha1!G1219=0,"",Planilha1!G1219))</f>
        <v/>
      </c>
      <c r="N1222" s="5">
        <f t="shared" ref="N1222:N1235" si="153">IF(K1222="","",IF(K1222&gt;M1222,100%,0%))</f>
        <v>1</v>
      </c>
      <c r="O1222" s="5">
        <f t="shared" ref="O1222:O1235" si="154">IF(K1222="","",IF(K1222&lt;M1222,100%,0%))</f>
        <v>0</v>
      </c>
      <c r="P1222" s="5">
        <f t="shared" ref="P1222:P1233" si="155">IF(M1222="",IF(R1222&gt;S1222,2,0),IF(K1222&lt;M1222,2,0))</f>
        <v>0</v>
      </c>
      <c r="Q1222" s="5">
        <f t="shared" ref="Q1222:Q1233" si="156">IF(M1222="",IF(R1222&gt;S1222,0,2),IF(K1222&gt;M1222,2,0))</f>
        <v>2</v>
      </c>
      <c r="R1222" s="8">
        <f t="shared" ref="R1222:R1233" si="157">SUMIF($B:$B,J1222,$C:$C)+(SUMIF($B:$B,L1222,$F:$F))</f>
        <v>0</v>
      </c>
      <c r="S1222" s="8">
        <f t="shared" ref="S1222:S1233" si="158">SUMIF($B:$B,L1222,$E:$E)+(SUMIF($B:$B,J1222,$D:$D))</f>
        <v>0</v>
      </c>
      <c r="T1222" s="3" t="str">
        <f t="shared" ref="T1222:T1235" si="159">IF(M1222="","",(K1222-S1222)^2+(M1222-R1222)^2)</f>
        <v/>
      </c>
      <c r="V1222" s="1" t="e">
        <f t="shared" ref="V1222:V1235" si="160">IF(O1222="","",1/((M1222-K1222)/(R1222-S1222)))</f>
        <v>#VALUE!</v>
      </c>
    </row>
    <row r="1223" spans="8:22" x14ac:dyDescent="0.3">
      <c r="H1223" s="2" t="str">
        <f>IF(Planilha1!B1220="","",Planilha1!B1220)</f>
        <v>1:00p</v>
      </c>
      <c r="I1223" s="2" t="str">
        <f>IF(Planilha1!C1220="","",Planilha1!C1220)</f>
        <v>Atlanta Hawks</v>
      </c>
      <c r="J1223" s="2">
        <f>IF(Planilha1!D1220="","",Planilha1!D1220)</f>
        <v>0</v>
      </c>
      <c r="K1223" s="10" t="str">
        <f>IF(Planilha1!E1220="","",IF(Planilha1!E1220=0,"",Planilha1!E1220))</f>
        <v>Indiana Pacers</v>
      </c>
      <c r="L1223" s="10">
        <f>IF(Planilha1!F1220="","",Planilha1!F1220)</f>
        <v>0</v>
      </c>
      <c r="M1223" s="10" t="str">
        <f>IF(Planilha1!G1220="","",IF(Planilha1!G1220=0,"",Planilha1!G1220))</f>
        <v/>
      </c>
      <c r="N1223" s="5">
        <f t="shared" si="153"/>
        <v>1</v>
      </c>
      <c r="O1223" s="5">
        <f t="shared" si="154"/>
        <v>0</v>
      </c>
      <c r="P1223" s="5">
        <f t="shared" si="155"/>
        <v>0</v>
      </c>
      <c r="Q1223" s="5">
        <f t="shared" si="156"/>
        <v>2</v>
      </c>
      <c r="R1223" s="8">
        <f t="shared" si="157"/>
        <v>0</v>
      </c>
      <c r="S1223" s="8">
        <f t="shared" si="158"/>
        <v>0</v>
      </c>
      <c r="T1223" s="3" t="str">
        <f t="shared" si="159"/>
        <v/>
      </c>
      <c r="V1223" s="1" t="e">
        <f t="shared" si="160"/>
        <v>#VALUE!</v>
      </c>
    </row>
    <row r="1224" spans="8:22" x14ac:dyDescent="0.3">
      <c r="H1224" s="2" t="str">
        <f>IF(Planilha1!B1221="","",Planilha1!B1221)</f>
        <v>1:00p</v>
      </c>
      <c r="I1224" s="2" t="str">
        <f>IF(Planilha1!C1221="","",Planilha1!C1221)</f>
        <v>Toronto Raptors</v>
      </c>
      <c r="J1224" s="2">
        <f>IF(Planilha1!D1221="","",Planilha1!D1221)</f>
        <v>0</v>
      </c>
      <c r="K1224" s="10" t="str">
        <f>IF(Planilha1!E1221="","",IF(Planilha1!E1221=0,"",Planilha1!E1221))</f>
        <v>Miami Heat</v>
      </c>
      <c r="L1224" s="10">
        <f>IF(Planilha1!F1221="","",Planilha1!F1221)</f>
        <v>0</v>
      </c>
      <c r="M1224" s="10" t="str">
        <f>IF(Planilha1!G1221="","",IF(Planilha1!G1221=0,"",Planilha1!G1221))</f>
        <v/>
      </c>
      <c r="N1224" s="5">
        <f t="shared" si="153"/>
        <v>1</v>
      </c>
      <c r="O1224" s="5">
        <f t="shared" si="154"/>
        <v>0</v>
      </c>
      <c r="P1224" s="5">
        <f t="shared" si="155"/>
        <v>0</v>
      </c>
      <c r="Q1224" s="5">
        <f t="shared" si="156"/>
        <v>2</v>
      </c>
      <c r="R1224" s="8">
        <f t="shared" si="157"/>
        <v>0</v>
      </c>
      <c r="S1224" s="8">
        <f t="shared" si="158"/>
        <v>0</v>
      </c>
      <c r="T1224" s="3" t="str">
        <f t="shared" si="159"/>
        <v/>
      </c>
      <c r="V1224" s="1" t="e">
        <f t="shared" si="160"/>
        <v>#VALUE!</v>
      </c>
    </row>
    <row r="1225" spans="8:22" x14ac:dyDescent="0.3">
      <c r="H1225" s="2" t="str">
        <f>IF(Planilha1!B1222="","",Planilha1!B1222)</f>
        <v>1:00p</v>
      </c>
      <c r="I1225" s="2" t="str">
        <f>IF(Planilha1!C1222="","",Planilha1!C1222)</f>
        <v>Chicago Bulls</v>
      </c>
      <c r="J1225" s="2">
        <f>IF(Planilha1!D1222="","",Planilha1!D1222)</f>
        <v>0</v>
      </c>
      <c r="K1225" s="10" t="str">
        <f>IF(Planilha1!E1222="","",IF(Planilha1!E1222=0,"",Planilha1!E1222))</f>
        <v>New York Knicks</v>
      </c>
      <c r="L1225" s="10">
        <f>IF(Planilha1!F1222="","",Planilha1!F1222)</f>
        <v>0</v>
      </c>
      <c r="M1225" s="10" t="str">
        <f>IF(Planilha1!G1222="","",IF(Planilha1!G1222=0,"",Planilha1!G1222))</f>
        <v/>
      </c>
      <c r="N1225" s="5">
        <f t="shared" si="153"/>
        <v>1</v>
      </c>
      <c r="O1225" s="5">
        <f t="shared" si="154"/>
        <v>0</v>
      </c>
      <c r="P1225" s="5">
        <f t="shared" si="155"/>
        <v>0</v>
      </c>
      <c r="Q1225" s="5">
        <f t="shared" si="156"/>
        <v>2</v>
      </c>
      <c r="R1225" s="8">
        <f t="shared" si="157"/>
        <v>0</v>
      </c>
      <c r="S1225" s="8">
        <f t="shared" si="158"/>
        <v>0</v>
      </c>
      <c r="T1225" s="3" t="str">
        <f t="shared" si="159"/>
        <v/>
      </c>
      <c r="V1225" s="1" t="e">
        <f t="shared" si="160"/>
        <v>#VALUE!</v>
      </c>
    </row>
    <row r="1226" spans="8:22" x14ac:dyDescent="0.3">
      <c r="H1226" s="2" t="str">
        <f>IF(Planilha1!B1223="","",Planilha1!B1223)</f>
        <v>1:00p</v>
      </c>
      <c r="I1226" s="2" t="str">
        <f>IF(Planilha1!C1223="","",Planilha1!C1223)</f>
        <v>Milwaukee Bucks</v>
      </c>
      <c r="J1226" s="2">
        <f>IF(Planilha1!D1223="","",Planilha1!D1223)</f>
        <v>0</v>
      </c>
      <c r="K1226" s="10" t="str">
        <f>IF(Planilha1!E1223="","",IF(Planilha1!E1223=0,"",Planilha1!E1223))</f>
        <v>Orlando Magic</v>
      </c>
      <c r="L1226" s="10">
        <f>IF(Planilha1!F1223="","",Planilha1!F1223)</f>
        <v>0</v>
      </c>
      <c r="M1226" s="10" t="str">
        <f>IF(Planilha1!G1223="","",IF(Planilha1!G1223=0,"",Planilha1!G1223))</f>
        <v/>
      </c>
      <c r="N1226" s="5">
        <f t="shared" si="153"/>
        <v>1</v>
      </c>
      <c r="O1226" s="5">
        <f t="shared" si="154"/>
        <v>0</v>
      </c>
      <c r="P1226" s="5">
        <f t="shared" si="155"/>
        <v>0</v>
      </c>
      <c r="Q1226" s="5">
        <f t="shared" si="156"/>
        <v>2</v>
      </c>
      <c r="R1226" s="8">
        <f t="shared" si="157"/>
        <v>0</v>
      </c>
      <c r="S1226" s="8">
        <f t="shared" si="158"/>
        <v>0</v>
      </c>
      <c r="T1226" s="3" t="str">
        <f t="shared" si="159"/>
        <v/>
      </c>
      <c r="V1226" s="1" t="e">
        <f t="shared" si="160"/>
        <v>#VALUE!</v>
      </c>
    </row>
    <row r="1227" spans="8:22" x14ac:dyDescent="0.3">
      <c r="H1227" s="2" t="str">
        <f>IF(Planilha1!B1224="","",Planilha1!B1224)</f>
        <v>1:00p</v>
      </c>
      <c r="I1227" s="2" t="str">
        <f>IF(Planilha1!C1224="","",Planilha1!C1224)</f>
        <v>Brooklyn Nets</v>
      </c>
      <c r="J1227" s="2">
        <f>IF(Planilha1!D1224="","",Planilha1!D1224)</f>
        <v>0</v>
      </c>
      <c r="K1227" s="10" t="str">
        <f>IF(Planilha1!E1224="","",IF(Planilha1!E1224=0,"",Planilha1!E1224))</f>
        <v>Philadelphia 76ers</v>
      </c>
      <c r="L1227" s="10">
        <f>IF(Planilha1!F1224="","",Planilha1!F1224)</f>
        <v>0</v>
      </c>
      <c r="M1227" s="10" t="str">
        <f>IF(Planilha1!G1224="","",IF(Planilha1!G1224=0,"",Planilha1!G1224))</f>
        <v/>
      </c>
      <c r="N1227" s="5">
        <f t="shared" si="153"/>
        <v>1</v>
      </c>
      <c r="O1227" s="5">
        <f t="shared" si="154"/>
        <v>0</v>
      </c>
      <c r="P1227" s="5">
        <f t="shared" si="155"/>
        <v>0</v>
      </c>
      <c r="Q1227" s="5">
        <f t="shared" si="156"/>
        <v>2</v>
      </c>
      <c r="R1227" s="8">
        <f t="shared" si="157"/>
        <v>0</v>
      </c>
      <c r="S1227" s="8">
        <f t="shared" si="158"/>
        <v>0</v>
      </c>
      <c r="T1227" s="3" t="str">
        <f t="shared" si="159"/>
        <v/>
      </c>
      <c r="V1227" s="1" t="e">
        <f t="shared" si="160"/>
        <v>#VALUE!</v>
      </c>
    </row>
    <row r="1228" spans="8:22" x14ac:dyDescent="0.3">
      <c r="H1228" s="2" t="str">
        <f>IF(Planilha1!B1225="","",Planilha1!B1225)</f>
        <v>3:30p</v>
      </c>
      <c r="I1228" s="2" t="str">
        <f>IF(Planilha1!C1225="","",Planilha1!C1225)</f>
        <v>Utah Jazz</v>
      </c>
      <c r="J1228" s="2">
        <f>IF(Planilha1!D1225="","",Planilha1!D1225)</f>
        <v>0</v>
      </c>
      <c r="K1228" s="10" t="str">
        <f>IF(Planilha1!E1225="","",IF(Planilha1!E1225=0,"",Planilha1!E1225))</f>
        <v>Golden State Warriors</v>
      </c>
      <c r="L1228" s="10">
        <f>IF(Planilha1!F1225="","",Planilha1!F1225)</f>
        <v>0</v>
      </c>
      <c r="M1228" s="10" t="str">
        <f>IF(Planilha1!G1225="","",IF(Planilha1!G1225=0,"",Planilha1!G1225))</f>
        <v/>
      </c>
      <c r="N1228" s="5">
        <f t="shared" si="153"/>
        <v>1</v>
      </c>
      <c r="O1228" s="5">
        <f t="shared" si="154"/>
        <v>0</v>
      </c>
      <c r="P1228" s="5">
        <f t="shared" si="155"/>
        <v>0</v>
      </c>
      <c r="Q1228" s="5">
        <f t="shared" si="156"/>
        <v>2</v>
      </c>
      <c r="R1228" s="8">
        <f t="shared" si="157"/>
        <v>0</v>
      </c>
      <c r="S1228" s="8">
        <f t="shared" si="158"/>
        <v>0</v>
      </c>
      <c r="T1228" s="3" t="str">
        <f t="shared" si="159"/>
        <v/>
      </c>
      <c r="V1228" s="1" t="e">
        <f t="shared" si="160"/>
        <v>#VALUE!</v>
      </c>
    </row>
    <row r="1229" spans="8:22" x14ac:dyDescent="0.3">
      <c r="H1229" s="2" t="str">
        <f>IF(Planilha1!B1226="","",Planilha1!B1226)</f>
        <v>3:30p</v>
      </c>
      <c r="I1229" s="2" t="str">
        <f>IF(Planilha1!C1226="","",Planilha1!C1226)</f>
        <v>Houston Rockets</v>
      </c>
      <c r="J1229" s="2">
        <f>IF(Planilha1!D1226="","",Planilha1!D1226)</f>
        <v>0</v>
      </c>
      <c r="K1229" s="10" t="str">
        <f>IF(Planilha1!E1226="","",IF(Planilha1!E1226=0,"",Planilha1!E1226))</f>
        <v>Los Angeles Clippers</v>
      </c>
      <c r="L1229" s="10">
        <f>IF(Planilha1!F1226="","",Planilha1!F1226)</f>
        <v>0</v>
      </c>
      <c r="M1229" s="10" t="str">
        <f>IF(Planilha1!G1226="","",IF(Planilha1!G1226=0,"",Planilha1!G1226))</f>
        <v/>
      </c>
      <c r="N1229" s="5">
        <f t="shared" si="153"/>
        <v>1</v>
      </c>
      <c r="O1229" s="5">
        <f t="shared" si="154"/>
        <v>0</v>
      </c>
      <c r="P1229" s="5">
        <f t="shared" si="155"/>
        <v>0</v>
      </c>
      <c r="Q1229" s="5">
        <f t="shared" si="156"/>
        <v>2</v>
      </c>
      <c r="R1229" s="8">
        <f t="shared" si="157"/>
        <v>0</v>
      </c>
      <c r="S1229" s="8">
        <f t="shared" si="158"/>
        <v>0</v>
      </c>
      <c r="T1229" s="3" t="str">
        <f t="shared" si="159"/>
        <v/>
      </c>
      <c r="V1229" s="1" t="e">
        <f t="shared" si="160"/>
        <v>#VALUE!</v>
      </c>
    </row>
    <row r="1230" spans="8:22" x14ac:dyDescent="0.3">
      <c r="H1230" s="2" t="str">
        <f>IF(Planilha1!B1227="","",Planilha1!B1227)</f>
        <v>3:30p</v>
      </c>
      <c r="I1230" s="2" t="str">
        <f>IF(Planilha1!C1227="","",Planilha1!C1227)</f>
        <v>Denver Nuggets</v>
      </c>
      <c r="J1230" s="2">
        <f>IF(Planilha1!D1227="","",Planilha1!D1227)</f>
        <v>0</v>
      </c>
      <c r="K1230" s="10" t="str">
        <f>IF(Planilha1!E1227="","",IF(Planilha1!E1227=0,"",Planilha1!E1227))</f>
        <v>Memphis Grizzlies</v>
      </c>
      <c r="L1230" s="10">
        <f>IF(Planilha1!F1227="","",Planilha1!F1227)</f>
        <v>0</v>
      </c>
      <c r="M1230" s="10" t="str">
        <f>IF(Planilha1!G1227="","",IF(Planilha1!G1227=0,"",Planilha1!G1227))</f>
        <v/>
      </c>
      <c r="N1230" s="5">
        <f t="shared" si="153"/>
        <v>1</v>
      </c>
      <c r="O1230" s="5">
        <f t="shared" si="154"/>
        <v>0</v>
      </c>
      <c r="P1230" s="5">
        <f t="shared" si="155"/>
        <v>0</v>
      </c>
      <c r="Q1230" s="5">
        <f t="shared" si="156"/>
        <v>2</v>
      </c>
      <c r="R1230" s="8">
        <f t="shared" si="157"/>
        <v>0</v>
      </c>
      <c r="S1230" s="8">
        <f t="shared" si="158"/>
        <v>0</v>
      </c>
      <c r="T1230" s="3" t="str">
        <f t="shared" si="159"/>
        <v/>
      </c>
      <c r="V1230" s="1" t="e">
        <f t="shared" si="160"/>
        <v>#VALUE!</v>
      </c>
    </row>
    <row r="1231" spans="8:22" x14ac:dyDescent="0.3">
      <c r="H1231" s="2" t="str">
        <f>IF(Planilha1!B1228="","",Planilha1!B1228)</f>
        <v>3:30p</v>
      </c>
      <c r="I1231" s="2" t="str">
        <f>IF(Planilha1!C1228="","",Planilha1!C1228)</f>
        <v>Phoenix Suns</v>
      </c>
      <c r="J1231" s="2">
        <f>IF(Planilha1!D1228="","",Planilha1!D1228)</f>
        <v>0</v>
      </c>
      <c r="K1231" s="10" t="str">
        <f>IF(Planilha1!E1228="","",IF(Planilha1!E1228=0,"",Planilha1!E1228))</f>
        <v>Minnesota Timberwolves</v>
      </c>
      <c r="L1231" s="10">
        <f>IF(Planilha1!F1228="","",Planilha1!F1228)</f>
        <v>0</v>
      </c>
      <c r="M1231" s="10" t="str">
        <f>IF(Planilha1!G1228="","",IF(Planilha1!G1228=0,"",Planilha1!G1228))</f>
        <v/>
      </c>
      <c r="N1231" s="5">
        <f t="shared" si="153"/>
        <v>1</v>
      </c>
      <c r="O1231" s="5">
        <f t="shared" si="154"/>
        <v>0</v>
      </c>
      <c r="P1231" s="5">
        <f t="shared" si="155"/>
        <v>0</v>
      </c>
      <c r="Q1231" s="5">
        <f t="shared" si="156"/>
        <v>2</v>
      </c>
      <c r="R1231" s="8">
        <f t="shared" si="157"/>
        <v>0</v>
      </c>
      <c r="S1231" s="8">
        <f t="shared" si="158"/>
        <v>0</v>
      </c>
      <c r="T1231" s="3" t="str">
        <f t="shared" si="159"/>
        <v/>
      </c>
      <c r="V1231" s="1" t="e">
        <f t="shared" si="160"/>
        <v>#VALUE!</v>
      </c>
    </row>
    <row r="1232" spans="8:22" x14ac:dyDescent="0.3">
      <c r="H1232" s="2" t="str">
        <f>IF(Planilha1!B1229="","",Planilha1!B1229)</f>
        <v>3:30p</v>
      </c>
      <c r="I1232" s="2" t="str">
        <f>IF(Planilha1!C1229="","",Planilha1!C1229)</f>
        <v>Los Angeles Lakers</v>
      </c>
      <c r="J1232" s="2">
        <f>IF(Planilha1!D1229="","",Planilha1!D1229)</f>
        <v>0</v>
      </c>
      <c r="K1232" s="10" t="str">
        <f>IF(Planilha1!E1229="","",IF(Planilha1!E1229=0,"",Planilha1!E1229))</f>
        <v>New Orleans Pelicans</v>
      </c>
      <c r="L1232" s="10">
        <f>IF(Planilha1!F1229="","",Planilha1!F1229)</f>
        <v>0</v>
      </c>
      <c r="M1232" s="10" t="str">
        <f>IF(Planilha1!G1229="","",IF(Planilha1!G1229=0,"",Planilha1!G1229))</f>
        <v/>
      </c>
      <c r="N1232" s="5">
        <f t="shared" si="153"/>
        <v>1</v>
      </c>
      <c r="O1232" s="5">
        <f t="shared" si="154"/>
        <v>0</v>
      </c>
      <c r="P1232" s="5">
        <f t="shared" si="155"/>
        <v>0</v>
      </c>
      <c r="Q1232" s="5">
        <f t="shared" si="156"/>
        <v>2</v>
      </c>
      <c r="R1232" s="8">
        <f t="shared" si="157"/>
        <v>0</v>
      </c>
      <c r="S1232" s="8">
        <f t="shared" si="158"/>
        <v>0</v>
      </c>
      <c r="T1232" s="3" t="str">
        <f t="shared" si="159"/>
        <v/>
      </c>
      <c r="V1232" s="1" t="e">
        <f t="shared" si="160"/>
        <v>#VALUE!</v>
      </c>
    </row>
    <row r="1233" spans="8:22" x14ac:dyDescent="0.3">
      <c r="H1233" s="2" t="str">
        <f>IF(Planilha1!B1230="","",Planilha1!B1230)</f>
        <v>3:30p</v>
      </c>
      <c r="I1233" s="2" t="str">
        <f>IF(Planilha1!C1230="","",Planilha1!C1230)</f>
        <v>Dallas Mavericks</v>
      </c>
      <c r="J1233" s="2">
        <f>IF(Planilha1!D1230="","",Planilha1!D1230)</f>
        <v>0</v>
      </c>
      <c r="K1233" s="10" t="str">
        <f>IF(Planilha1!E1230="","",IF(Planilha1!E1230=0,"",Planilha1!E1230))</f>
        <v>Oklahoma City Thunder</v>
      </c>
      <c r="L1233" s="10">
        <f>IF(Planilha1!F1230="","",Planilha1!F1230)</f>
        <v>0</v>
      </c>
      <c r="M1233" s="10" t="str">
        <f>IF(Planilha1!G1230="","",IF(Planilha1!G1230=0,"",Planilha1!G1230))</f>
        <v/>
      </c>
      <c r="N1233" s="5">
        <f t="shared" si="153"/>
        <v>1</v>
      </c>
      <c r="O1233" s="5">
        <f t="shared" si="154"/>
        <v>0</v>
      </c>
      <c r="P1233" s="5">
        <f t="shared" si="155"/>
        <v>0</v>
      </c>
      <c r="Q1233" s="5">
        <f t="shared" si="156"/>
        <v>2</v>
      </c>
      <c r="R1233" s="8">
        <f t="shared" si="157"/>
        <v>0</v>
      </c>
      <c r="S1233" s="8">
        <f t="shared" si="158"/>
        <v>0</v>
      </c>
      <c r="T1233" s="3" t="str">
        <f t="shared" si="159"/>
        <v/>
      </c>
      <c r="V1233" s="1" t="e">
        <f t="shared" si="160"/>
        <v>#VALUE!</v>
      </c>
    </row>
    <row r="1234" spans="8:22" x14ac:dyDescent="0.3">
      <c r="H1234" s="2" t="str">
        <f>IF(Planilha1!B1231="","",Planilha1!B1231)</f>
        <v>3:30p</v>
      </c>
      <c r="I1234" s="2" t="str">
        <f>IF(Planilha1!C1231="","",Planilha1!C1231)</f>
        <v>Portland Trail Blazers</v>
      </c>
      <c r="J1234" s="2">
        <f>IF(Planilha1!D1231="","",Planilha1!D1231)</f>
        <v>0</v>
      </c>
      <c r="K1234" s="10"/>
      <c r="L1234" s="10">
        <f>IF(Planilha1!F1231="","",Planilha1!F1231)</f>
        <v>0</v>
      </c>
      <c r="M1234" s="10"/>
      <c r="N1234" s="5" t="str">
        <f t="shared" si="153"/>
        <v/>
      </c>
      <c r="O1234" s="5" t="str">
        <f t="shared" si="154"/>
        <v/>
      </c>
      <c r="P1234" s="5"/>
      <c r="Q1234" s="5"/>
      <c r="R1234" s="8"/>
      <c r="S1234" s="8"/>
      <c r="T1234" s="3" t="str">
        <f t="shared" si="159"/>
        <v/>
      </c>
      <c r="V1234" s="1" t="str">
        <f t="shared" si="160"/>
        <v/>
      </c>
    </row>
    <row r="1235" spans="8:22" x14ac:dyDescent="0.3">
      <c r="H1235" s="2" t="str">
        <f>IF(Planilha1!B1232="","",Planilha1!B1232)</f>
        <v>3:30p</v>
      </c>
      <c r="I1235" s="2" t="str">
        <f>IF(Planilha1!C1232="","",Planilha1!C1232)</f>
        <v>Detroit Pistons</v>
      </c>
      <c r="J1235" s="2">
        <f>IF(Planilha1!D1232="","",Planilha1!D1232)</f>
        <v>0</v>
      </c>
      <c r="K1235" s="10"/>
      <c r="L1235" s="10">
        <f>IF(Planilha1!F1232="","",Planilha1!F1232)</f>
        <v>0</v>
      </c>
      <c r="M1235" s="10"/>
      <c r="N1235" s="5" t="str">
        <f t="shared" si="153"/>
        <v/>
      </c>
      <c r="O1235" s="5" t="str">
        <f t="shared" si="154"/>
        <v/>
      </c>
      <c r="P1235" s="5"/>
      <c r="Q1235" s="5"/>
      <c r="R1235" s="8"/>
      <c r="S1235" s="8"/>
      <c r="T1235" s="3" t="str">
        <f t="shared" si="159"/>
        <v/>
      </c>
      <c r="V1235" s="1" t="str">
        <f t="shared" si="160"/>
        <v/>
      </c>
    </row>
    <row r="1236" spans="8:22" x14ac:dyDescent="0.3">
      <c r="N1236" s="5"/>
      <c r="O1236" s="5"/>
      <c r="P1236" s="5"/>
      <c r="Q1236" s="5"/>
      <c r="R1236" s="8"/>
      <c r="S1236" s="8"/>
      <c r="T1236" s="3"/>
    </row>
    <row r="1237" spans="8:22" x14ac:dyDescent="0.3">
      <c r="N1237" s="5"/>
      <c r="O1237" s="5"/>
      <c r="P1237" s="5"/>
      <c r="Q1237" s="5"/>
      <c r="R1237" s="8"/>
      <c r="S1237" s="8"/>
      <c r="T1237" s="3"/>
    </row>
    <row r="1238" spans="8:22" x14ac:dyDescent="0.3">
      <c r="N1238" s="5"/>
      <c r="O1238" s="5"/>
      <c r="P1238" s="5"/>
      <c r="Q1238" s="5"/>
      <c r="R1238" s="8"/>
      <c r="S1238" s="8"/>
      <c r="T1238" s="3"/>
    </row>
    <row r="1239" spans="8:22" x14ac:dyDescent="0.3">
      <c r="N1239" s="5"/>
      <c r="O1239" s="5"/>
      <c r="P1239" s="5"/>
      <c r="Q1239" s="5"/>
      <c r="R1239" s="8"/>
      <c r="S1239" s="8"/>
      <c r="T1239" s="3"/>
    </row>
    <row r="1240" spans="8:22" x14ac:dyDescent="0.3">
      <c r="N1240" s="5"/>
      <c r="O1240" s="5"/>
      <c r="P1240" s="5"/>
      <c r="Q1240" s="5"/>
      <c r="R1240" s="8"/>
      <c r="S1240" s="8"/>
      <c r="T1240" s="3"/>
    </row>
    <row r="1241" spans="8:22" x14ac:dyDescent="0.3">
      <c r="N1241" s="5"/>
      <c r="O1241" s="5"/>
      <c r="P1241" s="5"/>
      <c r="Q1241" s="5"/>
      <c r="R1241" s="8"/>
      <c r="S1241" s="8"/>
      <c r="T1241" s="3"/>
    </row>
    <row r="1242" spans="8:22" x14ac:dyDescent="0.3">
      <c r="N1242" s="5"/>
      <c r="O1242" s="5"/>
      <c r="P1242" s="5"/>
      <c r="Q1242" s="5"/>
      <c r="R1242" s="8"/>
      <c r="S1242" s="8"/>
      <c r="T1242" s="3"/>
    </row>
    <row r="1243" spans="8:22" x14ac:dyDescent="0.3">
      <c r="N1243" s="5"/>
      <c r="O1243" s="5"/>
      <c r="P1243" s="5"/>
      <c r="Q1243" s="5"/>
      <c r="R1243" s="8"/>
      <c r="S1243" s="8"/>
      <c r="T1243" s="3"/>
    </row>
    <row r="1244" spans="8:22" x14ac:dyDescent="0.3">
      <c r="N1244" s="5"/>
      <c r="O1244" s="5"/>
      <c r="P1244" s="5"/>
      <c r="Q1244" s="5"/>
      <c r="R1244" s="8"/>
      <c r="S1244" s="8"/>
      <c r="T1244" s="3"/>
    </row>
    <row r="1245" spans="8:22" x14ac:dyDescent="0.3">
      <c r="N1245" s="5"/>
      <c r="O1245" s="5"/>
      <c r="P1245" s="5"/>
      <c r="Q1245" s="5"/>
      <c r="R1245" s="8"/>
      <c r="S1245" s="8"/>
      <c r="T1245" s="3"/>
    </row>
    <row r="1246" spans="8:22" x14ac:dyDescent="0.3">
      <c r="N1246" s="5"/>
      <c r="O1246" s="5"/>
      <c r="P1246" s="5"/>
      <c r="Q1246" s="5"/>
      <c r="R1246" s="8"/>
      <c r="S1246" s="8"/>
      <c r="T1246" s="3"/>
    </row>
    <row r="1247" spans="8:22" x14ac:dyDescent="0.3">
      <c r="N1247" s="5"/>
      <c r="O1247" s="5"/>
      <c r="P1247" s="5"/>
      <c r="Q1247" s="5"/>
      <c r="R1247" s="8"/>
      <c r="S1247" s="8"/>
      <c r="T1247" s="3"/>
    </row>
    <row r="1248" spans="8:22" x14ac:dyDescent="0.3">
      <c r="N1248" s="5"/>
      <c r="O1248" s="5"/>
      <c r="P1248" s="5"/>
      <c r="Q1248" s="5"/>
      <c r="R1248" s="8"/>
      <c r="S1248" s="8"/>
      <c r="T1248" s="3"/>
    </row>
    <row r="1249" spans="14:20" x14ac:dyDescent="0.3">
      <c r="N1249" s="5"/>
      <c r="O1249" s="5"/>
      <c r="P1249" s="5"/>
      <c r="Q1249" s="5"/>
      <c r="R1249" s="8"/>
      <c r="S1249" s="8"/>
      <c r="T1249" s="3"/>
    </row>
    <row r="1250" spans="14:20" x14ac:dyDescent="0.3">
      <c r="N1250" s="5"/>
      <c r="O1250" s="5"/>
      <c r="P1250" s="5"/>
      <c r="Q1250" s="5"/>
      <c r="R1250" s="8"/>
      <c r="S1250" s="8"/>
      <c r="T1250" s="3"/>
    </row>
    <row r="1251" spans="14:20" x14ac:dyDescent="0.3">
      <c r="N1251" s="5"/>
      <c r="O1251" s="5"/>
      <c r="P1251" s="5"/>
      <c r="Q1251" s="5"/>
      <c r="R1251" s="8"/>
      <c r="S1251" s="8"/>
      <c r="T1251" s="3"/>
    </row>
    <row r="1252" spans="14:20" x14ac:dyDescent="0.3">
      <c r="N1252" s="5"/>
      <c r="O1252" s="5"/>
      <c r="P1252" s="5"/>
      <c r="Q1252" s="5"/>
      <c r="R1252" s="8"/>
      <c r="S1252" s="8"/>
      <c r="T1252" s="3"/>
    </row>
    <row r="1253" spans="14:20" x14ac:dyDescent="0.3">
      <c r="N1253" s="5"/>
      <c r="O1253" s="5"/>
      <c r="P1253" s="5"/>
      <c r="Q1253" s="5"/>
      <c r="R1253" s="8"/>
      <c r="S1253" s="8"/>
      <c r="T1253" s="3"/>
    </row>
    <row r="1254" spans="14:20" x14ac:dyDescent="0.3">
      <c r="N1254" s="5"/>
      <c r="O1254" s="5"/>
      <c r="P1254" s="5"/>
      <c r="Q1254" s="5"/>
      <c r="R1254" s="8"/>
      <c r="S1254" s="8"/>
      <c r="T1254" s="3"/>
    </row>
    <row r="1255" spans="14:20" x14ac:dyDescent="0.3">
      <c r="N1255" s="5"/>
      <c r="O1255" s="5"/>
      <c r="P1255" s="5"/>
      <c r="Q1255" s="5"/>
      <c r="R1255" s="8"/>
      <c r="S1255" s="8"/>
      <c r="T1255" s="3"/>
    </row>
    <row r="1256" spans="14:20" x14ac:dyDescent="0.3">
      <c r="N1256" s="5"/>
      <c r="O1256" s="5"/>
      <c r="P1256" s="5"/>
      <c r="Q1256" s="5"/>
      <c r="R1256" s="8"/>
      <c r="S1256" s="8"/>
      <c r="T1256" s="3"/>
    </row>
    <row r="1257" spans="14:20" x14ac:dyDescent="0.3">
      <c r="N1257" s="5"/>
      <c r="O1257" s="5"/>
      <c r="P1257" s="5"/>
      <c r="Q1257" s="5"/>
      <c r="R1257" s="8"/>
      <c r="S1257" s="8"/>
      <c r="T1257" s="3"/>
    </row>
    <row r="1258" spans="14:20" x14ac:dyDescent="0.3">
      <c r="N1258" s="5"/>
      <c r="O1258" s="5"/>
      <c r="P1258" s="5"/>
      <c r="Q1258" s="5"/>
      <c r="R1258" s="8"/>
      <c r="S1258" s="8"/>
      <c r="T1258" s="3"/>
    </row>
    <row r="1259" spans="14:20" x14ac:dyDescent="0.3">
      <c r="N1259" s="5"/>
      <c r="O1259" s="5"/>
      <c r="P1259" s="5"/>
      <c r="Q1259" s="5"/>
      <c r="R1259" s="8"/>
      <c r="S1259" s="8"/>
      <c r="T1259" s="3"/>
    </row>
    <row r="1260" spans="14:20" x14ac:dyDescent="0.3">
      <c r="N1260" s="5"/>
      <c r="O1260" s="5"/>
      <c r="P1260" s="5"/>
      <c r="Q1260" s="5"/>
      <c r="R1260" s="8"/>
      <c r="S1260" s="8"/>
      <c r="T1260" s="3"/>
    </row>
    <row r="1261" spans="14:20" x14ac:dyDescent="0.3">
      <c r="N1261" s="5"/>
      <c r="O1261" s="5"/>
      <c r="P1261" s="5"/>
      <c r="Q1261" s="5"/>
      <c r="R1261" s="8"/>
      <c r="S1261" s="8"/>
      <c r="T1261" s="3"/>
    </row>
    <row r="1262" spans="14:20" x14ac:dyDescent="0.3">
      <c r="N1262" s="5"/>
      <c r="O1262" s="5"/>
      <c r="P1262" s="5"/>
      <c r="Q1262" s="5"/>
      <c r="R1262" s="8"/>
      <c r="S1262" s="8"/>
      <c r="T1262" s="3"/>
    </row>
    <row r="1263" spans="14:20" x14ac:dyDescent="0.3">
      <c r="N1263" s="5"/>
      <c r="O1263" s="5"/>
      <c r="P1263" s="5"/>
      <c r="Q1263" s="5"/>
      <c r="R1263" s="8"/>
      <c r="S1263" s="8"/>
      <c r="T1263" s="3"/>
    </row>
    <row r="1264" spans="14:20" x14ac:dyDescent="0.3">
      <c r="N1264" s="5"/>
      <c r="O1264" s="5"/>
      <c r="P1264" s="5"/>
      <c r="Q1264" s="5"/>
      <c r="R1264" s="8"/>
      <c r="S1264" s="8"/>
      <c r="T1264" s="3"/>
    </row>
    <row r="1265" spans="14:20" x14ac:dyDescent="0.3">
      <c r="N1265" s="5"/>
      <c r="O1265" s="5"/>
      <c r="P1265" s="5"/>
      <c r="Q1265" s="5"/>
      <c r="R1265" s="8"/>
      <c r="S1265" s="8"/>
      <c r="T1265" s="3"/>
    </row>
    <row r="1266" spans="14:20" x14ac:dyDescent="0.3">
      <c r="N1266" s="5"/>
      <c r="O1266" s="5"/>
      <c r="P1266" s="5"/>
      <c r="Q1266" s="5"/>
      <c r="R1266" s="8"/>
      <c r="S1266" s="8"/>
      <c r="T1266" s="3"/>
    </row>
    <row r="1267" spans="14:20" x14ac:dyDescent="0.3">
      <c r="N1267" s="5"/>
      <c r="O1267" s="5"/>
      <c r="P1267" s="5"/>
      <c r="Q1267" s="5"/>
      <c r="R1267" s="8"/>
      <c r="S1267" s="8"/>
      <c r="T1267" s="3"/>
    </row>
    <row r="1268" spans="14:20" x14ac:dyDescent="0.3">
      <c r="N1268" s="5"/>
      <c r="O1268" s="5"/>
      <c r="P1268" s="5"/>
      <c r="Q1268" s="5"/>
      <c r="R1268" s="8"/>
      <c r="S1268" s="8"/>
      <c r="T1268" s="3"/>
    </row>
    <row r="1269" spans="14:20" x14ac:dyDescent="0.3">
      <c r="N1269" s="5"/>
      <c r="O1269" s="5"/>
      <c r="P1269" s="5"/>
      <c r="Q1269" s="5"/>
      <c r="R1269" s="8"/>
      <c r="S1269" s="8"/>
      <c r="T1269" s="3"/>
    </row>
    <row r="1270" spans="14:20" x14ac:dyDescent="0.3">
      <c r="N1270" s="5"/>
      <c r="O1270" s="5"/>
      <c r="P1270" s="5"/>
      <c r="Q1270" s="5"/>
      <c r="R1270" s="8"/>
      <c r="S1270" s="8"/>
      <c r="T1270" s="3"/>
    </row>
    <row r="1271" spans="14:20" x14ac:dyDescent="0.3">
      <c r="N1271" s="5"/>
      <c r="O1271" s="5"/>
      <c r="P1271" s="5"/>
      <c r="Q1271" s="5"/>
      <c r="R1271" s="8"/>
      <c r="S1271" s="8"/>
      <c r="T1271" s="3"/>
    </row>
    <row r="1272" spans="14:20" x14ac:dyDescent="0.3">
      <c r="N1272" s="5"/>
      <c r="O1272" s="5"/>
      <c r="P1272" s="5"/>
      <c r="Q1272" s="5"/>
      <c r="R1272" s="8"/>
      <c r="S1272" s="8"/>
      <c r="T1272" s="3"/>
    </row>
    <row r="1273" spans="14:20" x14ac:dyDescent="0.3">
      <c r="N1273" s="5"/>
      <c r="O1273" s="5"/>
      <c r="P1273" s="5"/>
      <c r="Q1273" s="5"/>
      <c r="R1273" s="8"/>
      <c r="S1273" s="8"/>
      <c r="T1273" s="3"/>
    </row>
    <row r="1274" spans="14:20" x14ac:dyDescent="0.3">
      <c r="N1274" s="5"/>
      <c r="O1274" s="5"/>
      <c r="P1274" s="5"/>
      <c r="Q1274" s="5"/>
      <c r="R1274" s="8"/>
      <c r="S1274" s="8"/>
      <c r="T1274" s="3"/>
    </row>
    <row r="1275" spans="14:20" x14ac:dyDescent="0.3">
      <c r="N1275" s="5"/>
      <c r="O1275" s="5"/>
      <c r="P1275" s="5"/>
      <c r="Q1275" s="5"/>
      <c r="R1275" s="8"/>
      <c r="S1275" s="8"/>
      <c r="T1275" s="3"/>
    </row>
    <row r="1276" spans="14:20" x14ac:dyDescent="0.3">
      <c r="N1276" s="5"/>
      <c r="O1276" s="5"/>
      <c r="P1276" s="5"/>
      <c r="Q1276" s="5"/>
      <c r="R1276" s="8"/>
      <c r="S1276" s="8"/>
      <c r="T1276" s="3"/>
    </row>
    <row r="1277" spans="14:20" x14ac:dyDescent="0.3">
      <c r="N1277" s="5"/>
      <c r="O1277" s="5"/>
      <c r="P1277" s="5"/>
      <c r="Q1277" s="5"/>
      <c r="R1277" s="8"/>
      <c r="S1277" s="8"/>
      <c r="T1277" s="3"/>
    </row>
    <row r="1278" spans="14:20" x14ac:dyDescent="0.3">
      <c r="N1278" s="5"/>
      <c r="O1278" s="5"/>
      <c r="P1278" s="5"/>
      <c r="Q1278" s="5"/>
      <c r="R1278" s="8"/>
      <c r="S1278" s="8"/>
      <c r="T1278" s="3"/>
    </row>
    <row r="1279" spans="14:20" x14ac:dyDescent="0.3">
      <c r="N1279" s="5"/>
      <c r="O1279" s="5"/>
      <c r="P1279" s="5"/>
      <c r="Q1279" s="5"/>
      <c r="R1279" s="8"/>
      <c r="S1279" s="8"/>
      <c r="T1279" s="3"/>
    </row>
    <row r="1280" spans="14:20" x14ac:dyDescent="0.3">
      <c r="N1280" s="5"/>
      <c r="O1280" s="5"/>
      <c r="P1280" s="5"/>
      <c r="Q1280" s="5"/>
      <c r="R1280" s="8"/>
      <c r="S1280" s="8"/>
      <c r="T1280" s="3"/>
    </row>
    <row r="1281" spans="14:20" x14ac:dyDescent="0.3">
      <c r="N1281" s="5"/>
      <c r="O1281" s="5"/>
      <c r="P1281" s="5"/>
      <c r="Q1281" s="5"/>
      <c r="R1281" s="8"/>
      <c r="S1281" s="8"/>
      <c r="T1281" s="3"/>
    </row>
    <row r="1282" spans="14:20" x14ac:dyDescent="0.3">
      <c r="N1282" s="5"/>
      <c r="O1282" s="5"/>
      <c r="P1282" s="5"/>
      <c r="Q1282" s="5"/>
      <c r="R1282" s="8"/>
      <c r="S1282" s="8"/>
      <c r="T1282" s="3"/>
    </row>
    <row r="1283" spans="14:20" x14ac:dyDescent="0.3">
      <c r="N1283" s="5"/>
      <c r="O1283" s="5"/>
      <c r="P1283" s="5"/>
      <c r="Q1283" s="5"/>
      <c r="R1283" s="8"/>
      <c r="S1283" s="8"/>
      <c r="T1283" s="3"/>
    </row>
    <row r="1284" spans="14:20" x14ac:dyDescent="0.3">
      <c r="N1284" s="5"/>
      <c r="O1284" s="5"/>
      <c r="P1284" s="5"/>
      <c r="Q1284" s="5"/>
      <c r="R1284" s="8"/>
      <c r="S1284" s="8"/>
      <c r="T1284" s="3"/>
    </row>
    <row r="1285" spans="14:20" x14ac:dyDescent="0.3">
      <c r="N1285" s="5"/>
      <c r="O1285" s="5"/>
      <c r="P1285" s="5"/>
      <c r="Q1285" s="5"/>
      <c r="R1285" s="8"/>
      <c r="S1285" s="8"/>
      <c r="T1285" s="3"/>
    </row>
    <row r="1286" spans="14:20" x14ac:dyDescent="0.3">
      <c r="N1286" s="5"/>
      <c r="O1286" s="5"/>
      <c r="P1286" s="5"/>
      <c r="Q1286" s="5"/>
      <c r="R1286" s="8"/>
      <c r="S1286" s="8"/>
      <c r="T1286" s="3"/>
    </row>
    <row r="1287" spans="14:20" x14ac:dyDescent="0.3">
      <c r="N1287" s="5"/>
      <c r="O1287" s="5"/>
      <c r="P1287" s="5"/>
      <c r="Q1287" s="5"/>
      <c r="R1287" s="8"/>
      <c r="S1287" s="8"/>
      <c r="T1287" s="3"/>
    </row>
    <row r="1288" spans="14:20" x14ac:dyDescent="0.3">
      <c r="N1288" s="5"/>
      <c r="O1288" s="5"/>
      <c r="P1288" s="5"/>
      <c r="Q1288" s="5"/>
      <c r="R1288" s="8"/>
      <c r="S1288" s="8"/>
      <c r="T1288" s="3"/>
    </row>
    <row r="1289" spans="14:20" x14ac:dyDescent="0.3">
      <c r="N1289" s="5"/>
      <c r="O1289" s="5"/>
      <c r="P1289" s="5"/>
      <c r="Q1289" s="5"/>
      <c r="R1289" s="8"/>
      <c r="S1289" s="8"/>
      <c r="T1289" s="3"/>
    </row>
    <row r="1290" spans="14:20" x14ac:dyDescent="0.3">
      <c r="N1290" s="5"/>
      <c r="O1290" s="5"/>
      <c r="P1290" s="5"/>
      <c r="Q1290" s="5"/>
      <c r="R1290" s="8"/>
      <c r="S1290" s="8"/>
      <c r="T1290" s="3"/>
    </row>
    <row r="1291" spans="14:20" x14ac:dyDescent="0.3">
      <c r="N1291" s="5"/>
      <c r="O1291" s="5"/>
      <c r="P1291" s="5"/>
      <c r="Q1291" s="5"/>
      <c r="R1291" s="8"/>
      <c r="S1291" s="8"/>
      <c r="T1291" s="3"/>
    </row>
    <row r="1292" spans="14:20" x14ac:dyDescent="0.3">
      <c r="N1292" s="5"/>
      <c r="O1292" s="5"/>
      <c r="P1292" s="5"/>
      <c r="Q1292" s="5"/>
      <c r="R1292" s="8"/>
      <c r="S1292" s="8"/>
      <c r="T1292" s="3"/>
    </row>
    <row r="1293" spans="14:20" x14ac:dyDescent="0.3">
      <c r="N1293" s="5"/>
      <c r="O1293" s="5"/>
      <c r="P1293" s="5"/>
      <c r="Q1293" s="5"/>
      <c r="R1293" s="8"/>
      <c r="S1293" s="8"/>
      <c r="T1293" s="3"/>
    </row>
    <row r="1294" spans="14:20" x14ac:dyDescent="0.3">
      <c r="N1294" s="5"/>
      <c r="O1294" s="5"/>
      <c r="P1294" s="5"/>
      <c r="Q1294" s="5"/>
      <c r="R1294" s="8"/>
      <c r="S1294" s="8"/>
      <c r="T1294" s="3"/>
    </row>
    <row r="1295" spans="14:20" x14ac:dyDescent="0.3">
      <c r="N1295" s="5"/>
      <c r="O1295" s="5"/>
      <c r="P1295" s="5"/>
      <c r="Q1295" s="5"/>
      <c r="R1295" s="8"/>
      <c r="S1295" s="8"/>
      <c r="T1295" s="3"/>
    </row>
    <row r="1296" spans="14:20" x14ac:dyDescent="0.3">
      <c r="N1296" s="5"/>
      <c r="O1296" s="5"/>
      <c r="P1296" s="5"/>
      <c r="Q1296" s="5"/>
      <c r="R1296" s="8"/>
      <c r="S1296" s="8"/>
      <c r="T1296" s="3"/>
    </row>
    <row r="1297" spans="14:20" x14ac:dyDescent="0.3">
      <c r="N1297" s="5"/>
      <c r="O1297" s="5"/>
      <c r="P1297" s="5"/>
      <c r="Q1297" s="5"/>
      <c r="R1297" s="8"/>
      <c r="S1297" s="8"/>
      <c r="T1297" s="3"/>
    </row>
    <row r="1298" spans="14:20" x14ac:dyDescent="0.3">
      <c r="N1298" s="5"/>
      <c r="O1298" s="5"/>
      <c r="P1298" s="5"/>
      <c r="Q1298" s="5"/>
      <c r="R1298" s="8"/>
      <c r="S1298" s="8"/>
      <c r="T1298" s="3"/>
    </row>
    <row r="1299" spans="14:20" x14ac:dyDescent="0.3">
      <c r="N1299" s="5"/>
      <c r="O1299" s="5"/>
      <c r="P1299" s="5"/>
      <c r="Q1299" s="5"/>
      <c r="R1299" s="8"/>
      <c r="S1299" s="8"/>
      <c r="T1299" s="3"/>
    </row>
    <row r="1300" spans="14:20" x14ac:dyDescent="0.3">
      <c r="N1300" s="5"/>
      <c r="O1300" s="5"/>
      <c r="P1300" s="5"/>
      <c r="Q1300" s="5"/>
      <c r="R1300" s="8"/>
      <c r="S1300" s="8"/>
      <c r="T1300" s="3"/>
    </row>
    <row r="1301" spans="14:20" x14ac:dyDescent="0.3">
      <c r="N1301" s="5"/>
      <c r="O1301" s="5"/>
      <c r="P1301" s="5"/>
      <c r="Q1301" s="5"/>
      <c r="R1301" s="8"/>
      <c r="S1301" s="8"/>
      <c r="T1301" s="3"/>
    </row>
    <row r="1302" spans="14:20" x14ac:dyDescent="0.3">
      <c r="N1302" s="5"/>
      <c r="O1302" s="5"/>
      <c r="P1302" s="5"/>
      <c r="Q1302" s="5"/>
      <c r="R1302" s="8"/>
      <c r="S1302" s="8"/>
      <c r="T1302" s="3"/>
    </row>
    <row r="1303" spans="14:20" x14ac:dyDescent="0.3">
      <c r="N1303" s="5"/>
      <c r="O1303" s="5"/>
      <c r="P1303" s="5"/>
      <c r="Q1303" s="5"/>
      <c r="R1303" s="8"/>
      <c r="S1303" s="8"/>
      <c r="T1303" s="3"/>
    </row>
    <row r="1304" spans="14:20" x14ac:dyDescent="0.3">
      <c r="N1304" s="5"/>
      <c r="O1304" s="5"/>
      <c r="P1304" s="5"/>
      <c r="Q1304" s="5"/>
      <c r="R1304" s="8"/>
      <c r="S1304" s="8"/>
      <c r="T1304" s="3"/>
    </row>
    <row r="1305" spans="14:20" x14ac:dyDescent="0.3">
      <c r="N1305" s="5"/>
      <c r="O1305" s="5"/>
      <c r="P1305" s="5"/>
      <c r="Q1305" s="5"/>
      <c r="R1305" s="8"/>
      <c r="S1305" s="8"/>
      <c r="T1305" s="3"/>
    </row>
    <row r="1306" spans="14:20" x14ac:dyDescent="0.3">
      <c r="N1306" s="5"/>
      <c r="O1306" s="5"/>
      <c r="P1306" s="5"/>
      <c r="Q1306" s="5"/>
      <c r="R1306" s="8"/>
      <c r="S1306" s="8"/>
      <c r="T1306" s="3"/>
    </row>
    <row r="1307" spans="14:20" x14ac:dyDescent="0.3">
      <c r="N1307" s="5"/>
      <c r="O1307" s="5"/>
      <c r="P1307" s="5"/>
      <c r="Q1307" s="5"/>
      <c r="R1307" s="8"/>
      <c r="S1307" s="8"/>
      <c r="T1307" s="3"/>
    </row>
    <row r="1308" spans="14:20" x14ac:dyDescent="0.3">
      <c r="N1308" s="5"/>
      <c r="O1308" s="5"/>
      <c r="P1308" s="5"/>
      <c r="Q1308" s="5"/>
      <c r="R1308" s="8"/>
      <c r="S1308" s="8"/>
      <c r="T1308" s="3"/>
    </row>
    <row r="1309" spans="14:20" x14ac:dyDescent="0.3">
      <c r="N1309" s="5"/>
      <c r="O1309" s="5"/>
      <c r="P1309" s="5"/>
      <c r="Q1309" s="5"/>
      <c r="R1309" s="8"/>
      <c r="S1309" s="8"/>
      <c r="T1309" s="3"/>
    </row>
    <row r="1310" spans="14:20" x14ac:dyDescent="0.3">
      <c r="N1310" s="5"/>
      <c r="O1310" s="5"/>
      <c r="P1310" s="5"/>
      <c r="Q1310" s="5"/>
      <c r="R1310" s="8"/>
      <c r="S1310" s="8"/>
      <c r="T1310" s="3"/>
    </row>
    <row r="1311" spans="14:20" x14ac:dyDescent="0.3">
      <c r="N1311" s="5"/>
      <c r="O1311" s="5"/>
      <c r="P1311" s="5"/>
      <c r="Q1311" s="5"/>
      <c r="R1311" s="8"/>
      <c r="S1311" s="8"/>
      <c r="T1311" s="3"/>
    </row>
    <row r="1312" spans="14:20" x14ac:dyDescent="0.3">
      <c r="N1312" s="5"/>
      <c r="O1312" s="5"/>
      <c r="P1312" s="5"/>
      <c r="Q1312" s="5"/>
      <c r="R1312" s="8"/>
      <c r="S1312" s="8"/>
      <c r="T1312" s="3"/>
    </row>
    <row r="1313" spans="14:20" x14ac:dyDescent="0.3">
      <c r="N1313" s="5"/>
      <c r="O1313" s="5"/>
      <c r="P1313" s="5"/>
      <c r="Q1313" s="5"/>
      <c r="R1313" s="8"/>
      <c r="S1313" s="8"/>
      <c r="T1313" s="3"/>
    </row>
    <row r="1314" spans="14:20" x14ac:dyDescent="0.3">
      <c r="N1314" s="5"/>
      <c r="O1314" s="5"/>
      <c r="P1314" s="5"/>
      <c r="Q1314" s="5"/>
      <c r="R1314" s="8"/>
      <c r="S1314" s="8"/>
      <c r="T1314" s="3"/>
    </row>
    <row r="1315" spans="14:20" x14ac:dyDescent="0.3">
      <c r="N1315" s="5"/>
      <c r="O1315" s="5"/>
      <c r="P1315" s="5"/>
      <c r="Q1315" s="5"/>
      <c r="R1315" s="8"/>
      <c r="S1315" s="8"/>
      <c r="T1315" s="3"/>
    </row>
    <row r="1316" spans="14:20" x14ac:dyDescent="0.3">
      <c r="N1316" s="5"/>
      <c r="O1316" s="5"/>
      <c r="P1316" s="5"/>
      <c r="Q1316" s="5"/>
      <c r="R1316" s="8"/>
      <c r="S1316" s="8"/>
      <c r="T1316" s="3"/>
    </row>
    <row r="1317" spans="14:20" x14ac:dyDescent="0.3">
      <c r="N1317" s="5"/>
      <c r="O1317" s="5"/>
      <c r="P1317" s="5"/>
      <c r="Q1317" s="5"/>
      <c r="R1317" s="8"/>
      <c r="S1317" s="8"/>
      <c r="T1317" s="3"/>
    </row>
    <row r="1318" spans="14:20" x14ac:dyDescent="0.3">
      <c r="N1318" s="5"/>
      <c r="O1318" s="5"/>
      <c r="P1318" s="5"/>
      <c r="Q1318" s="5"/>
      <c r="R1318" s="8"/>
      <c r="S1318" s="8"/>
      <c r="T1318" s="3"/>
    </row>
    <row r="1319" spans="14:20" x14ac:dyDescent="0.3">
      <c r="N1319" s="5"/>
      <c r="O1319" s="5"/>
      <c r="P1319" s="5"/>
      <c r="Q1319" s="5"/>
      <c r="R1319" s="8"/>
      <c r="S1319" s="8"/>
      <c r="T1319" s="3"/>
    </row>
    <row r="1320" spans="14:20" x14ac:dyDescent="0.3">
      <c r="N1320" s="5"/>
      <c r="O1320" s="5"/>
      <c r="P1320" s="5"/>
      <c r="Q1320" s="5"/>
      <c r="R1320" s="8"/>
      <c r="S1320" s="8"/>
      <c r="T1320" s="3"/>
    </row>
    <row r="1321" spans="14:20" x14ac:dyDescent="0.3">
      <c r="N1321" s="5"/>
      <c r="O1321" s="5"/>
      <c r="P1321" s="5"/>
      <c r="Q1321" s="5"/>
      <c r="R1321" s="8"/>
      <c r="S1321" s="8"/>
      <c r="T1321" s="3"/>
    </row>
    <row r="1322" spans="14:20" x14ac:dyDescent="0.3">
      <c r="N1322" s="5"/>
      <c r="O1322" s="5"/>
      <c r="P1322" s="5"/>
      <c r="Q1322" s="5"/>
      <c r="R1322" s="8"/>
      <c r="S1322" s="8"/>
      <c r="T1322" s="3"/>
    </row>
    <row r="1323" spans="14:20" x14ac:dyDescent="0.3">
      <c r="N1323" s="5"/>
      <c r="O1323" s="5"/>
      <c r="P1323" s="5"/>
      <c r="Q1323" s="5"/>
      <c r="R1323" s="8"/>
      <c r="S1323" s="8"/>
      <c r="T1323" s="3"/>
    </row>
    <row r="1324" spans="14:20" x14ac:dyDescent="0.3">
      <c r="N1324" s="5"/>
      <c r="O1324" s="5"/>
      <c r="P1324" s="5"/>
      <c r="Q1324" s="5"/>
      <c r="R1324" s="8"/>
      <c r="S1324" s="8"/>
      <c r="T1324" s="3"/>
    </row>
    <row r="1325" spans="14:20" x14ac:dyDescent="0.3">
      <c r="N1325" s="5"/>
      <c r="O1325" s="5"/>
      <c r="P1325" s="5"/>
      <c r="Q1325" s="5"/>
      <c r="R1325" s="8"/>
      <c r="S1325" s="8"/>
      <c r="T1325" s="3"/>
    </row>
    <row r="1326" spans="14:20" x14ac:dyDescent="0.3">
      <c r="N1326" s="5"/>
      <c r="O1326" s="5"/>
      <c r="P1326" s="5"/>
      <c r="Q1326" s="5"/>
      <c r="R1326" s="8"/>
      <c r="S1326" s="8"/>
      <c r="T1326" s="3"/>
    </row>
    <row r="1327" spans="14:20" x14ac:dyDescent="0.3">
      <c r="N1327" s="5"/>
      <c r="O1327" s="5"/>
      <c r="P1327" s="5"/>
      <c r="Q1327" s="5"/>
      <c r="R1327" s="8"/>
      <c r="S1327" s="8"/>
      <c r="T1327" s="3"/>
    </row>
    <row r="1328" spans="14:20" x14ac:dyDescent="0.3">
      <c r="N1328" s="5"/>
      <c r="O1328" s="5"/>
      <c r="P1328" s="5"/>
      <c r="Q1328" s="5"/>
      <c r="R1328" s="8"/>
      <c r="S1328" s="8"/>
      <c r="T1328" s="3"/>
    </row>
    <row r="1329" spans="14:20" x14ac:dyDescent="0.3">
      <c r="N1329" s="5"/>
      <c r="O1329" s="5"/>
      <c r="P1329" s="5"/>
      <c r="Q1329" s="5"/>
      <c r="R1329" s="8"/>
      <c r="S1329" s="8"/>
      <c r="T1329" s="3"/>
    </row>
    <row r="1330" spans="14:20" x14ac:dyDescent="0.3">
      <c r="N1330" s="5"/>
      <c r="O1330" s="5"/>
      <c r="P1330" s="5"/>
      <c r="Q1330" s="5"/>
      <c r="R1330" s="8"/>
      <c r="S1330" s="8"/>
      <c r="T1330" s="3"/>
    </row>
    <row r="1331" spans="14:20" x14ac:dyDescent="0.3">
      <c r="N1331" s="5"/>
      <c r="O1331" s="5"/>
      <c r="P1331" s="5"/>
      <c r="Q1331" s="5"/>
      <c r="R1331" s="8"/>
      <c r="S1331" s="8"/>
      <c r="T1331" s="3"/>
    </row>
    <row r="1332" spans="14:20" x14ac:dyDescent="0.3">
      <c r="N1332" s="5"/>
      <c r="O1332" s="5"/>
      <c r="P1332" s="5"/>
      <c r="Q1332" s="5"/>
      <c r="R1332" s="8"/>
      <c r="S1332" s="8"/>
      <c r="T1332" s="3"/>
    </row>
    <row r="1333" spans="14:20" x14ac:dyDescent="0.3">
      <c r="N1333" s="5"/>
      <c r="O1333" s="5"/>
      <c r="P1333" s="5"/>
      <c r="Q1333" s="5"/>
      <c r="R1333" s="8"/>
      <c r="S1333" s="8"/>
      <c r="T1333" s="3"/>
    </row>
    <row r="1334" spans="14:20" x14ac:dyDescent="0.3">
      <c r="N1334" s="5"/>
      <c r="O1334" s="5"/>
      <c r="P1334" s="5"/>
      <c r="Q1334" s="5"/>
      <c r="R1334" s="8"/>
      <c r="S1334" s="8"/>
      <c r="T1334" s="3"/>
    </row>
    <row r="1335" spans="14:20" x14ac:dyDescent="0.3">
      <c r="N1335" s="5"/>
      <c r="O1335" s="5"/>
      <c r="P1335" s="5"/>
      <c r="Q1335" s="5"/>
      <c r="R1335" s="8"/>
      <c r="S1335" s="8"/>
      <c r="T1335" s="3"/>
    </row>
    <row r="1336" spans="14:20" x14ac:dyDescent="0.3">
      <c r="N1336" s="5"/>
      <c r="O1336" s="5"/>
      <c r="P1336" s="5"/>
      <c r="Q1336" s="5"/>
      <c r="R1336" s="8"/>
      <c r="S1336" s="8"/>
      <c r="T1336" s="3"/>
    </row>
    <row r="1337" spans="14:20" x14ac:dyDescent="0.3">
      <c r="N1337" s="5"/>
      <c r="O1337" s="5"/>
      <c r="P1337" s="5"/>
      <c r="Q1337" s="5"/>
      <c r="R1337" s="8"/>
      <c r="S1337" s="8"/>
      <c r="T1337" s="3"/>
    </row>
    <row r="1338" spans="14:20" x14ac:dyDescent="0.3">
      <c r="N1338" s="5"/>
      <c r="O1338" s="5"/>
      <c r="P1338" s="5"/>
      <c r="Q1338" s="5"/>
      <c r="R1338" s="8"/>
      <c r="S1338" s="8"/>
      <c r="T1338" s="3"/>
    </row>
    <row r="1339" spans="14:20" x14ac:dyDescent="0.3">
      <c r="N1339" s="5"/>
      <c r="O1339" s="5"/>
      <c r="P1339" s="5"/>
      <c r="Q1339" s="5"/>
      <c r="R1339" s="8"/>
      <c r="S1339" s="8"/>
      <c r="T1339" s="3"/>
    </row>
    <row r="1340" spans="14:20" x14ac:dyDescent="0.3">
      <c r="N1340" s="5"/>
      <c r="O1340" s="5"/>
      <c r="P1340" s="5"/>
      <c r="Q1340" s="5"/>
      <c r="R1340" s="8"/>
      <c r="S1340" s="8"/>
      <c r="T1340" s="3"/>
    </row>
    <row r="1341" spans="14:20" x14ac:dyDescent="0.3">
      <c r="N1341" s="5"/>
      <c r="O1341" s="5"/>
      <c r="P1341" s="5"/>
      <c r="Q1341" s="5"/>
      <c r="R1341" s="8"/>
      <c r="S1341" s="8"/>
      <c r="T1341" s="3"/>
    </row>
    <row r="1342" spans="14:20" x14ac:dyDescent="0.3">
      <c r="N1342" s="5"/>
      <c r="O1342" s="5"/>
      <c r="P1342" s="5"/>
      <c r="Q1342" s="5"/>
      <c r="R1342" s="8"/>
      <c r="S1342" s="8"/>
      <c r="T1342" s="3"/>
    </row>
    <row r="1343" spans="14:20" x14ac:dyDescent="0.3">
      <c r="N1343" s="5"/>
      <c r="O1343" s="5"/>
      <c r="P1343" s="5"/>
      <c r="Q1343" s="5"/>
      <c r="R1343" s="8"/>
      <c r="S1343" s="8"/>
      <c r="T1343" s="3"/>
    </row>
    <row r="1344" spans="14:20" x14ac:dyDescent="0.3">
      <c r="N1344" s="5"/>
      <c r="O1344" s="5"/>
      <c r="P1344" s="5"/>
      <c r="Q1344" s="5"/>
      <c r="R1344" s="8"/>
      <c r="S1344" s="8"/>
      <c r="T1344" s="3"/>
    </row>
    <row r="1345" spans="14:20" x14ac:dyDescent="0.3">
      <c r="N1345" s="5"/>
      <c r="O1345" s="5"/>
      <c r="P1345" s="5"/>
      <c r="Q1345" s="5"/>
      <c r="R1345" s="8"/>
      <c r="S1345" s="8"/>
      <c r="T1345" s="3"/>
    </row>
    <row r="1346" spans="14:20" x14ac:dyDescent="0.3">
      <c r="N1346" s="5"/>
      <c r="O1346" s="5"/>
      <c r="P1346" s="5"/>
      <c r="Q1346" s="5"/>
      <c r="R1346" s="8"/>
      <c r="S1346" s="8"/>
      <c r="T1346" s="3"/>
    </row>
    <row r="1347" spans="14:20" x14ac:dyDescent="0.3">
      <c r="N1347" s="5"/>
      <c r="O1347" s="5"/>
      <c r="P1347" s="5"/>
      <c r="Q1347" s="5"/>
      <c r="R1347" s="8"/>
      <c r="S1347" s="8"/>
      <c r="T1347" s="3"/>
    </row>
    <row r="1348" spans="14:20" x14ac:dyDescent="0.3">
      <c r="N1348" s="5"/>
      <c r="O1348" s="5"/>
      <c r="P1348" s="5"/>
      <c r="Q1348" s="5"/>
      <c r="R1348" s="8"/>
      <c r="S1348" s="8"/>
      <c r="T1348" s="3"/>
    </row>
    <row r="1349" spans="14:20" x14ac:dyDescent="0.3">
      <c r="N1349" s="5"/>
      <c r="O1349" s="5"/>
      <c r="P1349" s="5"/>
      <c r="Q1349" s="5"/>
      <c r="R1349" s="8"/>
      <c r="S1349" s="8"/>
      <c r="T1349" s="3"/>
    </row>
    <row r="1350" spans="14:20" x14ac:dyDescent="0.3">
      <c r="N1350" s="5"/>
      <c r="O1350" s="5"/>
      <c r="P1350" s="5"/>
      <c r="Q1350" s="5"/>
      <c r="R1350" s="8"/>
      <c r="S1350" s="8"/>
      <c r="T1350" s="3"/>
    </row>
    <row r="1351" spans="14:20" x14ac:dyDescent="0.3">
      <c r="N1351" s="5"/>
      <c r="O1351" s="5"/>
      <c r="P1351" s="5"/>
      <c r="Q1351" s="5"/>
      <c r="R1351" s="8"/>
      <c r="S1351" s="8"/>
      <c r="T1351" s="3"/>
    </row>
    <row r="1352" spans="14:20" x14ac:dyDescent="0.3">
      <c r="N1352" s="5"/>
      <c r="O1352" s="5"/>
      <c r="P1352" s="5"/>
      <c r="Q1352" s="5"/>
      <c r="R1352" s="8"/>
      <c r="S1352" s="8"/>
      <c r="T1352" s="3"/>
    </row>
    <row r="1353" spans="14:20" x14ac:dyDescent="0.3">
      <c r="N1353" s="5"/>
      <c r="O1353" s="5"/>
      <c r="P1353" s="5"/>
      <c r="Q1353" s="5"/>
      <c r="R1353" s="8"/>
      <c r="S1353" s="8"/>
      <c r="T1353" s="3"/>
    </row>
    <row r="1354" spans="14:20" x14ac:dyDescent="0.3">
      <c r="N1354" s="5"/>
      <c r="O1354" s="5"/>
      <c r="P1354" s="5"/>
      <c r="Q1354" s="5"/>
      <c r="R1354" s="8"/>
      <c r="S1354" s="8"/>
      <c r="T1354" s="3"/>
    </row>
    <row r="1355" spans="14:20" x14ac:dyDescent="0.3">
      <c r="N1355" s="5"/>
      <c r="O1355" s="5"/>
      <c r="P1355" s="5"/>
      <c r="Q1355" s="5"/>
      <c r="R1355" s="8"/>
      <c r="S1355" s="8"/>
      <c r="T1355" s="3"/>
    </row>
    <row r="1356" spans="14:20" x14ac:dyDescent="0.3">
      <c r="N1356" s="5"/>
      <c r="O1356" s="5"/>
      <c r="P1356" s="5"/>
      <c r="Q1356" s="5"/>
      <c r="R1356" s="8"/>
      <c r="S1356" s="8"/>
      <c r="T1356" s="3"/>
    </row>
    <row r="1357" spans="14:20" x14ac:dyDescent="0.3">
      <c r="N1357" s="5"/>
      <c r="O1357" s="5"/>
      <c r="P1357" s="5"/>
      <c r="Q1357" s="5"/>
      <c r="R1357" s="8"/>
      <c r="S1357" s="8"/>
      <c r="T1357" s="3"/>
    </row>
    <row r="1358" spans="14:20" x14ac:dyDescent="0.3">
      <c r="N1358" s="5"/>
      <c r="O1358" s="5"/>
      <c r="P1358" s="5"/>
      <c r="Q1358" s="5"/>
      <c r="R1358" s="8"/>
      <c r="S1358" s="8"/>
      <c r="T1358" s="3"/>
    </row>
    <row r="1359" spans="14:20" x14ac:dyDescent="0.3">
      <c r="N1359" s="5"/>
      <c r="O1359" s="5"/>
      <c r="P1359" s="5"/>
      <c r="Q1359" s="5"/>
      <c r="R1359" s="8"/>
      <c r="S1359" s="8"/>
      <c r="T1359" s="3"/>
    </row>
    <row r="1360" spans="14:20" x14ac:dyDescent="0.3">
      <c r="N1360" s="5"/>
      <c r="O1360" s="5"/>
      <c r="P1360" s="5"/>
      <c r="Q1360" s="5"/>
      <c r="R1360" s="8"/>
      <c r="S1360" s="8"/>
      <c r="T1360" s="3"/>
    </row>
    <row r="1361" spans="14:20" x14ac:dyDescent="0.3">
      <c r="N1361" s="5"/>
      <c r="O1361" s="5"/>
      <c r="P1361" s="5"/>
      <c r="Q1361" s="5"/>
      <c r="R1361" s="8"/>
      <c r="S1361" s="8"/>
      <c r="T1361" s="3"/>
    </row>
    <row r="1362" spans="14:20" x14ac:dyDescent="0.3">
      <c r="N1362" s="5"/>
      <c r="O1362" s="5"/>
      <c r="P1362" s="5"/>
      <c r="Q1362" s="5"/>
      <c r="R1362" s="8"/>
      <c r="S1362" s="8"/>
      <c r="T1362" s="3"/>
    </row>
    <row r="1363" spans="14:20" x14ac:dyDescent="0.3">
      <c r="N1363" s="5"/>
      <c r="O1363" s="5"/>
      <c r="P1363" s="5"/>
      <c r="Q1363" s="5"/>
      <c r="R1363" s="8"/>
      <c r="S1363" s="8"/>
      <c r="T1363" s="3"/>
    </row>
    <row r="1364" spans="14:20" x14ac:dyDescent="0.3">
      <c r="N1364" s="5"/>
      <c r="O1364" s="5"/>
      <c r="P1364" s="5"/>
      <c r="Q1364" s="5"/>
      <c r="R1364" s="8"/>
      <c r="S1364" s="8"/>
      <c r="T1364" s="3"/>
    </row>
    <row r="1365" spans="14:20" x14ac:dyDescent="0.3">
      <c r="N1365" s="5"/>
      <c r="O1365" s="5"/>
      <c r="P1365" s="5"/>
      <c r="Q1365" s="5"/>
      <c r="R1365" s="8"/>
      <c r="S1365" s="8"/>
      <c r="T1365" s="3"/>
    </row>
    <row r="1366" spans="14:20" x14ac:dyDescent="0.3">
      <c r="N1366" s="5"/>
      <c r="O1366" s="5"/>
      <c r="P1366" s="5"/>
      <c r="Q1366" s="5"/>
      <c r="R1366" s="8"/>
      <c r="S1366" s="8"/>
      <c r="T1366" s="3"/>
    </row>
    <row r="1367" spans="14:20" x14ac:dyDescent="0.3">
      <c r="N1367" s="5"/>
      <c r="O1367" s="5"/>
      <c r="P1367" s="5"/>
      <c r="Q1367" s="5"/>
      <c r="R1367" s="8"/>
      <c r="S1367" s="8"/>
      <c r="T1367" s="3"/>
    </row>
    <row r="1368" spans="14:20" x14ac:dyDescent="0.3">
      <c r="N1368" s="5"/>
      <c r="O1368" s="5"/>
      <c r="P1368" s="5"/>
      <c r="Q1368" s="5"/>
      <c r="R1368" s="8"/>
      <c r="S1368" s="8"/>
      <c r="T1368" s="3"/>
    </row>
    <row r="1369" spans="14:20" x14ac:dyDescent="0.3">
      <c r="N1369" s="5"/>
      <c r="O1369" s="5"/>
      <c r="P1369" s="5"/>
      <c r="Q1369" s="5"/>
      <c r="R1369" s="8"/>
      <c r="S1369" s="8"/>
      <c r="T1369" s="3"/>
    </row>
    <row r="1370" spans="14:20" x14ac:dyDescent="0.3">
      <c r="N1370" s="5"/>
      <c r="O1370" s="5"/>
      <c r="P1370" s="5"/>
      <c r="Q1370" s="5"/>
      <c r="R1370" s="8"/>
      <c r="S1370" s="8"/>
      <c r="T1370" s="3"/>
    </row>
    <row r="1371" spans="14:20" x14ac:dyDescent="0.3">
      <c r="N1371" s="5"/>
      <c r="O1371" s="5"/>
      <c r="P1371" s="5"/>
      <c r="Q1371" s="5"/>
      <c r="R1371" s="8"/>
      <c r="S1371" s="8"/>
      <c r="T1371" s="3"/>
    </row>
    <row r="1372" spans="14:20" x14ac:dyDescent="0.3">
      <c r="N1372" s="5"/>
      <c r="O1372" s="5"/>
      <c r="P1372" s="5"/>
      <c r="Q1372" s="5"/>
      <c r="R1372" s="8"/>
      <c r="S1372" s="8"/>
      <c r="T1372" s="3"/>
    </row>
    <row r="1373" spans="14:20" x14ac:dyDescent="0.3">
      <c r="N1373" s="5"/>
      <c r="O1373" s="5"/>
      <c r="P1373" s="5"/>
      <c r="Q1373" s="5"/>
      <c r="R1373" s="8"/>
      <c r="S1373" s="8"/>
      <c r="T1373" s="3"/>
    </row>
    <row r="1374" spans="14:20" x14ac:dyDescent="0.3">
      <c r="N1374" s="5"/>
      <c r="O1374" s="5"/>
      <c r="P1374" s="5"/>
      <c r="Q1374" s="5"/>
      <c r="R1374" s="8"/>
      <c r="S1374" s="8"/>
      <c r="T1374" s="3"/>
    </row>
    <row r="1375" spans="14:20" x14ac:dyDescent="0.3">
      <c r="N1375" s="5"/>
      <c r="O1375" s="5"/>
      <c r="P1375" s="5"/>
      <c r="Q1375" s="5"/>
      <c r="R1375" s="8"/>
      <c r="S1375" s="8"/>
      <c r="T1375" s="3"/>
    </row>
    <row r="1376" spans="14:20" x14ac:dyDescent="0.3">
      <c r="N1376" s="5"/>
      <c r="O1376" s="5"/>
      <c r="P1376" s="5"/>
      <c r="Q1376" s="5"/>
      <c r="R1376" s="8"/>
      <c r="S1376" s="8"/>
      <c r="T1376" s="3"/>
    </row>
    <row r="1377" spans="14:20" x14ac:dyDescent="0.3">
      <c r="N1377" s="5"/>
      <c r="O1377" s="5"/>
      <c r="P1377" s="5"/>
      <c r="Q1377" s="5"/>
      <c r="R1377" s="8"/>
      <c r="S1377" s="8"/>
      <c r="T1377" s="3"/>
    </row>
    <row r="1378" spans="14:20" x14ac:dyDescent="0.3">
      <c r="N1378" s="5"/>
      <c r="O1378" s="5"/>
      <c r="P1378" s="5"/>
      <c r="Q1378" s="5"/>
      <c r="R1378" s="8"/>
      <c r="S1378" s="8"/>
      <c r="T1378" s="3"/>
    </row>
    <row r="1379" spans="14:20" x14ac:dyDescent="0.3">
      <c r="N1379" s="5"/>
      <c r="O1379" s="5"/>
      <c r="P1379" s="5"/>
      <c r="Q1379" s="5"/>
      <c r="R1379" s="8"/>
      <c r="S1379" s="8"/>
      <c r="T1379" s="3"/>
    </row>
    <row r="1380" spans="14:20" x14ac:dyDescent="0.3">
      <c r="N1380" s="5"/>
      <c r="O1380" s="5"/>
      <c r="P1380" s="5"/>
      <c r="Q1380" s="5"/>
      <c r="R1380" s="8"/>
      <c r="S1380" s="8"/>
      <c r="T1380" s="3"/>
    </row>
    <row r="1381" spans="14:20" x14ac:dyDescent="0.3">
      <c r="N1381" s="5"/>
      <c r="O1381" s="5"/>
      <c r="P1381" s="5"/>
      <c r="Q1381" s="5"/>
      <c r="R1381" s="8"/>
      <c r="S1381" s="8"/>
      <c r="T1381" s="3"/>
    </row>
    <row r="1382" spans="14:20" x14ac:dyDescent="0.3">
      <c r="N1382" s="5"/>
      <c r="O1382" s="5"/>
      <c r="P1382" s="5"/>
      <c r="Q1382" s="5"/>
      <c r="R1382" s="8"/>
      <c r="S1382" s="8"/>
      <c r="T1382" s="3"/>
    </row>
    <row r="1383" spans="14:20" x14ac:dyDescent="0.3">
      <c r="N1383" s="5"/>
      <c r="O1383" s="5"/>
      <c r="P1383" s="5"/>
      <c r="Q1383" s="5"/>
      <c r="R1383" s="8"/>
      <c r="S1383" s="8"/>
      <c r="T1383" s="3"/>
    </row>
    <row r="1384" spans="14:20" x14ac:dyDescent="0.3">
      <c r="N1384" s="5"/>
      <c r="O1384" s="5"/>
      <c r="P1384" s="5"/>
      <c r="Q1384" s="5"/>
      <c r="R1384" s="8"/>
      <c r="S1384" s="8"/>
      <c r="T1384" s="3"/>
    </row>
    <row r="1385" spans="14:20" x14ac:dyDescent="0.3">
      <c r="N1385" s="5"/>
      <c r="O1385" s="5"/>
      <c r="P1385" s="5"/>
      <c r="Q1385" s="5"/>
      <c r="R1385" s="8"/>
      <c r="S1385" s="8"/>
      <c r="T1385" s="3"/>
    </row>
    <row r="1386" spans="14:20" x14ac:dyDescent="0.3">
      <c r="N1386" s="5"/>
      <c r="O1386" s="5"/>
      <c r="P1386" s="5"/>
      <c r="Q1386" s="5"/>
      <c r="R1386" s="8"/>
      <c r="S1386" s="8"/>
      <c r="T1386" s="3"/>
    </row>
    <row r="1387" spans="14:20" x14ac:dyDescent="0.3">
      <c r="N1387" s="5"/>
      <c r="O1387" s="5"/>
      <c r="P1387" s="5"/>
      <c r="Q1387" s="5"/>
      <c r="R1387" s="8"/>
      <c r="S1387" s="8"/>
      <c r="T1387" s="3"/>
    </row>
    <row r="1388" spans="14:20" x14ac:dyDescent="0.3">
      <c r="N1388" s="5"/>
      <c r="O1388" s="5"/>
      <c r="P1388" s="5"/>
      <c r="Q1388" s="5"/>
      <c r="R1388" s="8"/>
      <c r="S1388" s="8"/>
      <c r="T1388" s="3"/>
    </row>
    <row r="1389" spans="14:20" x14ac:dyDescent="0.3">
      <c r="N1389" s="5"/>
      <c r="O1389" s="5"/>
      <c r="P1389" s="5"/>
      <c r="Q1389" s="5"/>
      <c r="R1389" s="8"/>
      <c r="S1389" s="8"/>
      <c r="T1389" s="3"/>
    </row>
    <row r="1390" spans="14:20" x14ac:dyDescent="0.3">
      <c r="N1390" s="5"/>
      <c r="O1390" s="5"/>
      <c r="P1390" s="5"/>
      <c r="Q1390" s="5"/>
      <c r="R1390" s="8"/>
      <c r="S1390" s="8"/>
      <c r="T1390" s="3"/>
    </row>
    <row r="1391" spans="14:20" x14ac:dyDescent="0.3">
      <c r="N1391" s="5"/>
      <c r="O1391" s="5"/>
      <c r="P1391" s="5"/>
      <c r="Q1391" s="5"/>
      <c r="R1391" s="8"/>
      <c r="S1391" s="8"/>
      <c r="T1391" s="3"/>
    </row>
    <row r="1392" spans="14:20" x14ac:dyDescent="0.3">
      <c r="N1392" s="5"/>
      <c r="O1392" s="5"/>
      <c r="P1392" s="5"/>
      <c r="Q1392" s="5"/>
      <c r="R1392" s="8"/>
      <c r="S1392" s="8"/>
      <c r="T1392" s="3"/>
    </row>
    <row r="1393" spans="14:20" x14ac:dyDescent="0.3">
      <c r="N1393" s="5"/>
      <c r="O1393" s="5"/>
      <c r="P1393" s="5"/>
      <c r="Q1393" s="5"/>
      <c r="R1393" s="8"/>
      <c r="S1393" s="8"/>
      <c r="T1393" s="3"/>
    </row>
    <row r="1394" spans="14:20" x14ac:dyDescent="0.3">
      <c r="N1394" s="5"/>
      <c r="O1394" s="5"/>
      <c r="P1394" s="5"/>
      <c r="Q1394" s="5"/>
      <c r="R1394" s="8"/>
      <c r="S1394" s="8"/>
      <c r="T1394" s="3"/>
    </row>
    <row r="1395" spans="14:20" x14ac:dyDescent="0.3">
      <c r="N1395" s="5"/>
      <c r="O1395" s="5"/>
      <c r="P1395" s="5"/>
      <c r="Q1395" s="5"/>
      <c r="R1395" s="8"/>
      <c r="S1395" s="8"/>
      <c r="T1395" s="3"/>
    </row>
    <row r="1396" spans="14:20" x14ac:dyDescent="0.3">
      <c r="N1396" s="5"/>
      <c r="O1396" s="5"/>
      <c r="P1396" s="5"/>
      <c r="Q1396" s="5"/>
      <c r="R1396" s="8"/>
      <c r="S1396" s="8"/>
      <c r="T1396" s="3"/>
    </row>
    <row r="1397" spans="14:20" x14ac:dyDescent="0.3">
      <c r="N1397" s="5"/>
      <c r="O1397" s="5"/>
      <c r="P1397" s="5"/>
      <c r="Q1397" s="5"/>
      <c r="R1397" s="8"/>
      <c r="S1397" s="8"/>
      <c r="T1397" s="3"/>
    </row>
    <row r="1398" spans="14:20" x14ac:dyDescent="0.3">
      <c r="N1398" s="5"/>
      <c r="O1398" s="5"/>
      <c r="P1398" s="5"/>
      <c r="Q1398" s="5"/>
      <c r="R1398" s="8"/>
      <c r="S1398" s="8"/>
      <c r="T1398" s="3"/>
    </row>
    <row r="1399" spans="14:20" x14ac:dyDescent="0.3">
      <c r="N1399" s="5"/>
      <c r="O1399" s="5"/>
      <c r="P1399" s="5"/>
      <c r="Q1399" s="5"/>
      <c r="R1399" s="8"/>
      <c r="S1399" s="8"/>
      <c r="T1399" s="3"/>
    </row>
    <row r="1400" spans="14:20" x14ac:dyDescent="0.3">
      <c r="N1400" s="5"/>
      <c r="O1400" s="5"/>
      <c r="P1400" s="5"/>
      <c r="Q1400" s="5"/>
      <c r="R1400" s="8"/>
      <c r="S1400" s="8"/>
      <c r="T1400" s="3"/>
    </row>
    <row r="1401" spans="14:20" x14ac:dyDescent="0.3">
      <c r="N1401" s="5"/>
      <c r="O1401" s="5"/>
      <c r="P1401" s="5"/>
      <c r="Q1401" s="5"/>
      <c r="R1401" s="8"/>
      <c r="S1401" s="8"/>
      <c r="T1401" s="3"/>
    </row>
    <row r="1402" spans="14:20" x14ac:dyDescent="0.3">
      <c r="N1402" s="5"/>
      <c r="O1402" s="5"/>
      <c r="P1402" s="5"/>
      <c r="Q1402" s="5"/>
      <c r="R1402" s="8"/>
      <c r="S1402" s="8"/>
      <c r="T1402" s="3"/>
    </row>
    <row r="1403" spans="14:20" x14ac:dyDescent="0.3">
      <c r="N1403" s="5"/>
      <c r="O1403" s="5"/>
      <c r="P1403" s="5"/>
      <c r="Q1403" s="5"/>
      <c r="R1403" s="8"/>
      <c r="S1403" s="8"/>
      <c r="T1403" s="3"/>
    </row>
    <row r="1404" spans="14:20" x14ac:dyDescent="0.3">
      <c r="N1404" s="5"/>
      <c r="O1404" s="5"/>
      <c r="P1404" s="5"/>
      <c r="Q1404" s="5"/>
      <c r="R1404" s="8"/>
      <c r="S1404" s="8"/>
      <c r="T1404" s="3"/>
    </row>
    <row r="1405" spans="14:20" x14ac:dyDescent="0.3">
      <c r="N1405" s="5"/>
      <c r="O1405" s="5"/>
      <c r="P1405" s="5"/>
      <c r="Q1405" s="5"/>
      <c r="R1405" s="8"/>
      <c r="S1405" s="8"/>
      <c r="T1405" s="3"/>
    </row>
    <row r="1406" spans="14:20" x14ac:dyDescent="0.3">
      <c r="N1406" s="5"/>
      <c r="O1406" s="5"/>
      <c r="P1406" s="5"/>
      <c r="Q1406" s="5"/>
      <c r="R1406" s="8"/>
      <c r="S1406" s="8"/>
      <c r="T1406" s="3"/>
    </row>
    <row r="1407" spans="14:20" x14ac:dyDescent="0.3">
      <c r="N1407" s="5"/>
      <c r="O1407" s="5"/>
      <c r="P1407" s="5"/>
      <c r="Q1407" s="5"/>
      <c r="R1407" s="8"/>
      <c r="S1407" s="8"/>
      <c r="T1407" s="3"/>
    </row>
    <row r="1408" spans="14:20" x14ac:dyDescent="0.3">
      <c r="N1408" s="5"/>
      <c r="O1408" s="5"/>
      <c r="P1408" s="5"/>
      <c r="Q1408" s="5"/>
      <c r="R1408" s="8"/>
      <c r="S1408" s="8"/>
      <c r="T1408" s="3"/>
    </row>
    <row r="1409" spans="14:20" x14ac:dyDescent="0.3">
      <c r="N1409" s="5"/>
      <c r="O1409" s="5"/>
      <c r="P1409" s="5"/>
      <c r="Q1409" s="5"/>
      <c r="R1409" s="8"/>
      <c r="S1409" s="8"/>
      <c r="T1409" s="3"/>
    </row>
    <row r="1410" spans="14:20" x14ac:dyDescent="0.3">
      <c r="N1410" s="5"/>
      <c r="O1410" s="5"/>
      <c r="P1410" s="5"/>
      <c r="Q1410" s="5"/>
      <c r="R1410" s="8"/>
      <c r="S1410" s="8"/>
      <c r="T1410" s="3"/>
    </row>
    <row r="1411" spans="14:20" x14ac:dyDescent="0.3">
      <c r="N1411" s="5"/>
      <c r="O1411" s="5"/>
      <c r="P1411" s="5"/>
      <c r="Q1411" s="5"/>
      <c r="R1411" s="8"/>
      <c r="S1411" s="8"/>
      <c r="T1411" s="3"/>
    </row>
    <row r="1412" spans="14:20" x14ac:dyDescent="0.3">
      <c r="N1412" s="5"/>
      <c r="O1412" s="5"/>
      <c r="P1412" s="5"/>
      <c r="Q1412" s="5"/>
      <c r="R1412" s="8"/>
      <c r="S1412" s="8"/>
      <c r="T1412" s="3"/>
    </row>
    <row r="1413" spans="14:20" x14ac:dyDescent="0.3">
      <c r="N1413" s="5"/>
      <c r="O1413" s="5"/>
      <c r="P1413" s="5"/>
      <c r="Q1413" s="5"/>
      <c r="R1413" s="8"/>
      <c r="S1413" s="8"/>
      <c r="T1413" s="3"/>
    </row>
    <row r="1414" spans="14:20" x14ac:dyDescent="0.3">
      <c r="N1414" s="5"/>
      <c r="O1414" s="5"/>
      <c r="P1414" s="5"/>
      <c r="Q1414" s="5"/>
      <c r="R1414" s="8"/>
      <c r="S1414" s="8"/>
      <c r="T1414" s="3"/>
    </row>
    <row r="1415" spans="14:20" x14ac:dyDescent="0.3">
      <c r="N1415" s="5"/>
      <c r="O1415" s="5"/>
      <c r="P1415" s="5"/>
      <c r="Q1415" s="5"/>
      <c r="R1415" s="8"/>
      <c r="S1415" s="8"/>
      <c r="T1415" s="3"/>
    </row>
    <row r="1416" spans="14:20" x14ac:dyDescent="0.3">
      <c r="N1416" s="5"/>
      <c r="O1416" s="5"/>
      <c r="P1416" s="5"/>
      <c r="Q1416" s="5"/>
      <c r="R1416" s="8"/>
      <c r="S1416" s="8"/>
      <c r="T1416" s="3"/>
    </row>
    <row r="1417" spans="14:20" x14ac:dyDescent="0.3">
      <c r="N1417" s="5"/>
      <c r="O1417" s="5"/>
      <c r="P1417" s="5"/>
      <c r="Q1417" s="5"/>
      <c r="R1417" s="8"/>
      <c r="S1417" s="8"/>
      <c r="T1417" s="3"/>
    </row>
    <row r="1418" spans="14:20" x14ac:dyDescent="0.3">
      <c r="N1418" s="5"/>
      <c r="O1418" s="5"/>
      <c r="P1418" s="5"/>
      <c r="Q1418" s="5"/>
      <c r="R1418" s="8"/>
      <c r="S1418" s="8"/>
      <c r="T1418" s="3"/>
    </row>
    <row r="1419" spans="14:20" x14ac:dyDescent="0.3">
      <c r="N1419" s="5"/>
      <c r="O1419" s="5"/>
      <c r="P1419" s="5"/>
      <c r="Q1419" s="5"/>
      <c r="R1419" s="8"/>
      <c r="S1419" s="8"/>
      <c r="T1419" s="3"/>
    </row>
    <row r="1420" spans="14:20" x14ac:dyDescent="0.3">
      <c r="N1420" s="5"/>
      <c r="O1420" s="5"/>
      <c r="P1420" s="5"/>
      <c r="Q1420" s="5"/>
      <c r="R1420" s="8"/>
      <c r="S1420" s="8"/>
      <c r="T1420" s="3"/>
    </row>
    <row r="1421" spans="14:20" x14ac:dyDescent="0.3">
      <c r="N1421" s="5"/>
      <c r="O1421" s="5"/>
      <c r="P1421" s="5"/>
      <c r="Q1421" s="5"/>
      <c r="R1421" s="8"/>
      <c r="S1421" s="8"/>
      <c r="T1421" s="3"/>
    </row>
    <row r="1422" spans="14:20" x14ac:dyDescent="0.3">
      <c r="N1422" s="5"/>
      <c r="O1422" s="5"/>
      <c r="P1422" s="5"/>
      <c r="Q1422" s="5"/>
      <c r="R1422" s="8"/>
      <c r="S1422" s="8"/>
      <c r="T1422" s="3"/>
    </row>
    <row r="1423" spans="14:20" x14ac:dyDescent="0.3">
      <c r="N1423" s="5"/>
      <c r="O1423" s="5"/>
      <c r="P1423" s="5"/>
      <c r="Q1423" s="5"/>
      <c r="R1423" s="8"/>
      <c r="S1423" s="8"/>
      <c r="T1423" s="3"/>
    </row>
    <row r="1424" spans="14:20" x14ac:dyDescent="0.3">
      <c r="N1424" s="5"/>
      <c r="O1424" s="5"/>
      <c r="P1424" s="5"/>
      <c r="Q1424" s="5"/>
      <c r="R1424" s="8"/>
      <c r="S1424" s="8"/>
      <c r="T1424" s="3"/>
    </row>
    <row r="1425" spans="14:20" x14ac:dyDescent="0.3">
      <c r="N1425" s="5"/>
      <c r="O1425" s="5"/>
      <c r="P1425" s="5"/>
      <c r="Q1425" s="5"/>
      <c r="R1425" s="8"/>
      <c r="S1425" s="8"/>
      <c r="T1425" s="3"/>
    </row>
    <row r="1426" spans="14:20" x14ac:dyDescent="0.3">
      <c r="N1426" s="5"/>
      <c r="O1426" s="5"/>
      <c r="P1426" s="5"/>
      <c r="Q1426" s="5"/>
      <c r="R1426" s="8"/>
      <c r="S1426" s="8"/>
      <c r="T1426" s="3"/>
    </row>
    <row r="1427" spans="14:20" x14ac:dyDescent="0.3">
      <c r="N1427" s="5"/>
      <c r="O1427" s="5"/>
      <c r="P1427" s="5"/>
      <c r="Q1427" s="5"/>
      <c r="R1427" s="8"/>
      <c r="S1427" s="8"/>
      <c r="T1427" s="3"/>
    </row>
    <row r="1428" spans="14:20" x14ac:dyDescent="0.3">
      <c r="N1428" s="5"/>
      <c r="O1428" s="5"/>
      <c r="P1428" s="5"/>
      <c r="Q1428" s="5"/>
      <c r="R1428" s="8"/>
      <c r="S1428" s="8"/>
      <c r="T1428" s="3"/>
    </row>
    <row r="1429" spans="14:20" x14ac:dyDescent="0.3">
      <c r="N1429" s="5"/>
      <c r="O1429" s="5"/>
      <c r="P1429" s="5"/>
      <c r="Q1429" s="5"/>
      <c r="R1429" s="8"/>
      <c r="S1429" s="8"/>
      <c r="T1429" s="3"/>
    </row>
    <row r="1430" spans="14:20" x14ac:dyDescent="0.3">
      <c r="N1430" s="5"/>
      <c r="O1430" s="5"/>
      <c r="P1430" s="5"/>
      <c r="Q1430" s="5"/>
      <c r="R1430" s="8"/>
      <c r="S1430" s="8"/>
      <c r="T1430" s="3"/>
    </row>
    <row r="1431" spans="14:20" x14ac:dyDescent="0.3">
      <c r="N1431" s="5"/>
      <c r="O1431" s="5"/>
      <c r="P1431" s="5"/>
      <c r="Q1431" s="5"/>
      <c r="R1431" s="8"/>
      <c r="S1431" s="8"/>
      <c r="T1431" s="3"/>
    </row>
    <row r="1432" spans="14:20" x14ac:dyDescent="0.3">
      <c r="N1432" s="5"/>
      <c r="O1432" s="5"/>
      <c r="P1432" s="5"/>
      <c r="Q1432" s="5"/>
      <c r="R1432" s="8"/>
      <c r="S1432" s="8"/>
      <c r="T1432" s="3"/>
    </row>
    <row r="1433" spans="14:20" x14ac:dyDescent="0.3">
      <c r="N1433" s="5"/>
      <c r="O1433" s="5"/>
      <c r="P1433" s="5"/>
      <c r="Q1433" s="5"/>
      <c r="R1433" s="8"/>
      <c r="S1433" s="8"/>
      <c r="T1433" s="3"/>
    </row>
    <row r="1434" spans="14:20" x14ac:dyDescent="0.3">
      <c r="N1434" s="5"/>
      <c r="O1434" s="5"/>
      <c r="P1434" s="5"/>
      <c r="Q1434" s="5"/>
      <c r="R1434" s="8"/>
      <c r="S1434" s="8"/>
      <c r="T1434" s="3"/>
    </row>
    <row r="1435" spans="14:20" x14ac:dyDescent="0.3">
      <c r="N1435" s="5"/>
      <c r="O1435" s="5"/>
      <c r="P1435" s="5"/>
      <c r="Q1435" s="5"/>
      <c r="R1435" s="8"/>
      <c r="S1435" s="8"/>
      <c r="T1435" s="3"/>
    </row>
    <row r="1436" spans="14:20" x14ac:dyDescent="0.3">
      <c r="N1436" s="5"/>
      <c r="O1436" s="5"/>
      <c r="P1436" s="5"/>
      <c r="Q1436" s="5"/>
      <c r="R1436" s="8"/>
      <c r="S1436" s="8"/>
      <c r="T1436" s="3"/>
    </row>
    <row r="1437" spans="14:20" x14ac:dyDescent="0.3">
      <c r="N1437" s="5"/>
      <c r="O1437" s="5"/>
      <c r="P1437" s="5"/>
      <c r="Q1437" s="5"/>
      <c r="R1437" s="8"/>
      <c r="S1437" s="8"/>
      <c r="T1437" s="3"/>
    </row>
    <row r="1438" spans="14:20" x14ac:dyDescent="0.3">
      <c r="N1438" s="5"/>
      <c r="O1438" s="5"/>
      <c r="P1438" s="5"/>
      <c r="Q1438" s="5"/>
      <c r="R1438" s="8"/>
      <c r="S1438" s="8"/>
      <c r="T1438" s="3"/>
    </row>
    <row r="1439" spans="14:20" x14ac:dyDescent="0.3">
      <c r="N1439" s="5"/>
      <c r="O1439" s="5"/>
      <c r="P1439" s="5"/>
      <c r="Q1439" s="5"/>
      <c r="R1439" s="8"/>
      <c r="S1439" s="8"/>
      <c r="T1439" s="3"/>
    </row>
    <row r="1440" spans="14:20" x14ac:dyDescent="0.3">
      <c r="N1440" s="5"/>
      <c r="O1440" s="5"/>
      <c r="P1440" s="5"/>
      <c r="Q1440" s="5"/>
      <c r="R1440" s="8"/>
      <c r="S1440" s="8"/>
      <c r="T1440" s="3"/>
    </row>
    <row r="1441" spans="14:20" x14ac:dyDescent="0.3">
      <c r="N1441" s="5"/>
      <c r="O1441" s="5"/>
      <c r="P1441" s="5"/>
      <c r="Q1441" s="5"/>
      <c r="R1441" s="8"/>
      <c r="S1441" s="8"/>
      <c r="T1441" s="3"/>
    </row>
    <row r="1442" spans="14:20" x14ac:dyDescent="0.3">
      <c r="N1442" s="5"/>
      <c r="O1442" s="5"/>
      <c r="P1442" s="5"/>
      <c r="Q1442" s="5"/>
      <c r="R1442" s="8"/>
      <c r="S1442" s="8"/>
      <c r="T1442" s="3"/>
    </row>
    <row r="1443" spans="14:20" x14ac:dyDescent="0.3">
      <c r="N1443" s="5"/>
      <c r="O1443" s="5"/>
      <c r="P1443" s="5"/>
      <c r="Q1443" s="5"/>
      <c r="R1443" s="8"/>
      <c r="S1443" s="8"/>
      <c r="T1443" s="3"/>
    </row>
    <row r="1444" spans="14:20" x14ac:dyDescent="0.3">
      <c r="N1444" s="5"/>
      <c r="O1444" s="5"/>
      <c r="P1444" s="5"/>
      <c r="Q1444" s="5"/>
      <c r="R1444" s="8"/>
      <c r="S1444" s="8"/>
      <c r="T1444" s="3"/>
    </row>
    <row r="1445" spans="14:20" x14ac:dyDescent="0.3">
      <c r="N1445" s="5"/>
      <c r="O1445" s="5"/>
      <c r="P1445" s="5"/>
      <c r="Q1445" s="5"/>
      <c r="R1445" s="8"/>
      <c r="S1445" s="8"/>
      <c r="T1445" s="3"/>
    </row>
    <row r="1446" spans="14:20" x14ac:dyDescent="0.3">
      <c r="N1446" s="5"/>
      <c r="O1446" s="5"/>
      <c r="P1446" s="5"/>
      <c r="Q1446" s="5"/>
      <c r="R1446" s="8"/>
      <c r="S1446" s="8"/>
      <c r="T1446" s="3"/>
    </row>
    <row r="1447" spans="14:20" x14ac:dyDescent="0.3">
      <c r="N1447" s="5"/>
      <c r="O1447" s="5"/>
      <c r="P1447" s="5"/>
      <c r="Q1447" s="5"/>
      <c r="R1447" s="8"/>
      <c r="S1447" s="8"/>
      <c r="T1447" s="3"/>
    </row>
    <row r="1448" spans="14:20" x14ac:dyDescent="0.3">
      <c r="N1448" s="5"/>
      <c r="O1448" s="5"/>
      <c r="P1448" s="5"/>
      <c r="Q1448" s="5"/>
      <c r="R1448" s="8"/>
      <c r="S1448" s="8"/>
      <c r="T1448" s="3"/>
    </row>
    <row r="1449" spans="14:20" x14ac:dyDescent="0.3">
      <c r="N1449" s="5"/>
      <c r="O1449" s="5"/>
      <c r="P1449" s="5"/>
      <c r="Q1449" s="5"/>
      <c r="R1449" s="8"/>
      <c r="S1449" s="8"/>
      <c r="T1449" s="3"/>
    </row>
    <row r="1450" spans="14:20" x14ac:dyDescent="0.3">
      <c r="N1450" s="5"/>
      <c r="O1450" s="5"/>
      <c r="P1450" s="5"/>
      <c r="Q1450" s="5"/>
      <c r="R1450" s="8"/>
      <c r="S1450" s="8"/>
      <c r="T1450" s="3"/>
    </row>
    <row r="1451" spans="14:20" x14ac:dyDescent="0.3">
      <c r="N1451" s="5"/>
      <c r="O1451" s="5"/>
      <c r="P1451" s="5"/>
      <c r="Q1451" s="5"/>
      <c r="R1451" s="8"/>
      <c r="S1451" s="8"/>
      <c r="T1451" s="3"/>
    </row>
    <row r="1452" spans="14:20" x14ac:dyDescent="0.3">
      <c r="N1452" s="5"/>
      <c r="O1452" s="5"/>
      <c r="P1452" s="5"/>
      <c r="Q1452" s="5"/>
      <c r="R1452" s="8"/>
      <c r="S1452" s="8"/>
      <c r="T1452" s="3"/>
    </row>
    <row r="1453" spans="14:20" x14ac:dyDescent="0.3">
      <c r="N1453" s="5"/>
      <c r="O1453" s="5"/>
      <c r="P1453" s="5"/>
      <c r="Q1453" s="5"/>
      <c r="R1453" s="8"/>
      <c r="S1453" s="8"/>
      <c r="T1453" s="3"/>
    </row>
    <row r="1454" spans="14:20" x14ac:dyDescent="0.3">
      <c r="N1454" s="5"/>
      <c r="O1454" s="5"/>
      <c r="P1454" s="5"/>
      <c r="Q1454" s="5"/>
      <c r="R1454" s="8"/>
      <c r="S1454" s="8"/>
      <c r="T1454" s="3"/>
    </row>
    <row r="1455" spans="14:20" x14ac:dyDescent="0.3">
      <c r="N1455" s="5"/>
      <c r="O1455" s="5"/>
      <c r="P1455" s="5"/>
      <c r="Q1455" s="5"/>
      <c r="R1455" s="8"/>
      <c r="S1455" s="8"/>
      <c r="T1455" s="3"/>
    </row>
    <row r="1456" spans="14:20" x14ac:dyDescent="0.3">
      <c r="N1456" s="5"/>
      <c r="O1456" s="5"/>
      <c r="P1456" s="5"/>
      <c r="Q1456" s="5"/>
      <c r="R1456" s="8"/>
      <c r="S1456" s="8"/>
      <c r="T1456" s="3"/>
    </row>
    <row r="1457" spans="14:20" x14ac:dyDescent="0.3">
      <c r="N1457" s="5"/>
      <c r="O1457" s="5"/>
      <c r="P1457" s="5"/>
      <c r="Q1457" s="5"/>
      <c r="R1457" s="8"/>
      <c r="S1457" s="8"/>
      <c r="T1457" s="3"/>
    </row>
    <row r="1458" spans="14:20" x14ac:dyDescent="0.3">
      <c r="N1458" s="5"/>
      <c r="O1458" s="5"/>
      <c r="P1458" s="5"/>
      <c r="Q1458" s="5"/>
      <c r="R1458" s="8"/>
      <c r="S1458" s="8"/>
      <c r="T1458" s="3"/>
    </row>
    <row r="1459" spans="14:20" x14ac:dyDescent="0.3">
      <c r="N1459" s="5"/>
      <c r="O1459" s="5"/>
      <c r="P1459" s="5"/>
      <c r="Q1459" s="5"/>
      <c r="R1459" s="8"/>
      <c r="S1459" s="8"/>
      <c r="T1459" s="3"/>
    </row>
    <row r="1460" spans="14:20" x14ac:dyDescent="0.3">
      <c r="N1460" s="5"/>
      <c r="O1460" s="5"/>
      <c r="P1460" s="5"/>
      <c r="Q1460" s="5"/>
      <c r="R1460" s="8"/>
      <c r="S1460" s="8"/>
      <c r="T1460" s="3"/>
    </row>
    <row r="1461" spans="14:20" x14ac:dyDescent="0.3">
      <c r="N1461" s="5"/>
      <c r="O1461" s="5"/>
      <c r="P1461" s="5"/>
      <c r="Q1461" s="5"/>
      <c r="R1461" s="8"/>
      <c r="S1461" s="8"/>
      <c r="T1461" s="3"/>
    </row>
    <row r="1462" spans="14:20" x14ac:dyDescent="0.3">
      <c r="N1462" s="5"/>
      <c r="O1462" s="5"/>
      <c r="P1462" s="5"/>
      <c r="Q1462" s="5"/>
      <c r="R1462" s="8"/>
      <c r="S1462" s="8"/>
      <c r="T1462" s="3"/>
    </row>
    <row r="1463" spans="14:20" x14ac:dyDescent="0.3">
      <c r="N1463" s="5"/>
      <c r="O1463" s="5"/>
      <c r="P1463" s="5"/>
      <c r="Q1463" s="5"/>
      <c r="R1463" s="8"/>
      <c r="S1463" s="8"/>
      <c r="T1463" s="3"/>
    </row>
    <row r="1464" spans="14:20" x14ac:dyDescent="0.3">
      <c r="N1464" s="5"/>
      <c r="O1464" s="5"/>
      <c r="P1464" s="5"/>
      <c r="Q1464" s="5"/>
      <c r="R1464" s="8"/>
      <c r="S1464" s="8"/>
      <c r="T1464" s="3"/>
    </row>
    <row r="1465" spans="14:20" x14ac:dyDescent="0.3">
      <c r="N1465" s="5"/>
      <c r="O1465" s="5"/>
      <c r="P1465" s="5"/>
      <c r="Q1465" s="5"/>
      <c r="R1465" s="8"/>
      <c r="S1465" s="8"/>
      <c r="T1465" s="3"/>
    </row>
    <row r="1466" spans="14:20" x14ac:dyDescent="0.3">
      <c r="N1466" s="5"/>
      <c r="O1466" s="5"/>
      <c r="P1466" s="5"/>
      <c r="Q1466" s="5"/>
      <c r="R1466" s="8"/>
      <c r="S1466" s="8"/>
      <c r="T1466" s="3"/>
    </row>
    <row r="1467" spans="14:20" x14ac:dyDescent="0.3">
      <c r="N1467" s="5"/>
      <c r="O1467" s="5"/>
      <c r="P1467" s="5"/>
      <c r="Q1467" s="5"/>
      <c r="R1467" s="8"/>
      <c r="S1467" s="8"/>
      <c r="T1467" s="3"/>
    </row>
    <row r="1468" spans="14:20" x14ac:dyDescent="0.3">
      <c r="N1468" s="5"/>
      <c r="O1468" s="5"/>
      <c r="P1468" s="5"/>
      <c r="Q1468" s="5"/>
      <c r="R1468" s="8"/>
      <c r="S1468" s="8"/>
      <c r="T1468" s="3"/>
    </row>
    <row r="1469" spans="14:20" x14ac:dyDescent="0.3">
      <c r="N1469" s="5"/>
      <c r="O1469" s="5"/>
      <c r="P1469" s="5"/>
      <c r="Q1469" s="5"/>
      <c r="R1469" s="8"/>
      <c r="S1469" s="8"/>
      <c r="T1469" s="3"/>
    </row>
    <row r="1470" spans="14:20" x14ac:dyDescent="0.3">
      <c r="N1470" s="5"/>
      <c r="O1470" s="5"/>
      <c r="P1470" s="5"/>
      <c r="Q1470" s="5"/>
      <c r="R1470" s="8"/>
      <c r="S1470" s="8"/>
      <c r="T1470" s="3"/>
    </row>
    <row r="1471" spans="14:20" x14ac:dyDescent="0.3">
      <c r="N1471" s="5"/>
      <c r="O1471" s="5"/>
      <c r="P1471" s="5"/>
      <c r="Q1471" s="5"/>
      <c r="R1471" s="8"/>
      <c r="S1471" s="8"/>
      <c r="T1471" s="3"/>
    </row>
    <row r="1472" spans="14:20" x14ac:dyDescent="0.3">
      <c r="N1472" s="5"/>
      <c r="O1472" s="5"/>
      <c r="P1472" s="5"/>
      <c r="Q1472" s="5"/>
      <c r="R1472" s="8"/>
      <c r="S1472" s="8"/>
      <c r="T1472" s="3"/>
    </row>
    <row r="1473" spans="14:20" x14ac:dyDescent="0.3">
      <c r="N1473" s="5"/>
      <c r="O1473" s="5"/>
      <c r="P1473" s="5"/>
      <c r="Q1473" s="5"/>
      <c r="R1473" s="8"/>
      <c r="S1473" s="8"/>
      <c r="T1473" s="3"/>
    </row>
    <row r="1474" spans="14:20" x14ac:dyDescent="0.3">
      <c r="N1474" s="5"/>
      <c r="O1474" s="5"/>
      <c r="P1474" s="5"/>
      <c r="Q1474" s="5"/>
      <c r="R1474" s="8"/>
      <c r="S1474" s="8"/>
      <c r="T1474" s="3"/>
    </row>
    <row r="1475" spans="14:20" x14ac:dyDescent="0.3">
      <c r="N1475" s="5"/>
      <c r="O1475" s="5"/>
      <c r="P1475" s="5"/>
      <c r="Q1475" s="5"/>
      <c r="R1475" s="8"/>
      <c r="S1475" s="8"/>
      <c r="T1475" s="3"/>
    </row>
    <row r="1476" spans="14:20" x14ac:dyDescent="0.3">
      <c r="N1476" s="5"/>
      <c r="O1476" s="5"/>
      <c r="P1476" s="5"/>
      <c r="Q1476" s="5"/>
      <c r="R1476" s="8"/>
      <c r="S1476" s="8"/>
      <c r="T1476" s="3"/>
    </row>
    <row r="1477" spans="14:20" x14ac:dyDescent="0.3">
      <c r="N1477" s="5"/>
      <c r="O1477" s="5"/>
      <c r="P1477" s="5"/>
      <c r="Q1477" s="5"/>
      <c r="R1477" s="8"/>
      <c r="S1477" s="8"/>
      <c r="T1477" s="3"/>
    </row>
    <row r="1478" spans="14:20" x14ac:dyDescent="0.3">
      <c r="N1478" s="5"/>
      <c r="O1478" s="5"/>
      <c r="P1478" s="5"/>
      <c r="Q1478" s="5"/>
      <c r="R1478" s="8"/>
      <c r="S1478" s="8"/>
      <c r="T1478" s="3"/>
    </row>
    <row r="1479" spans="14:20" x14ac:dyDescent="0.3">
      <c r="N1479" s="5"/>
      <c r="O1479" s="5"/>
      <c r="P1479" s="5"/>
      <c r="Q1479" s="5"/>
      <c r="R1479" s="8"/>
      <c r="S1479" s="8"/>
      <c r="T1479" s="3"/>
    </row>
    <row r="1480" spans="14:20" x14ac:dyDescent="0.3">
      <c r="N1480" s="5"/>
      <c r="O1480" s="5"/>
      <c r="P1480" s="5"/>
      <c r="Q1480" s="5"/>
      <c r="R1480" s="8"/>
      <c r="S1480" s="8"/>
      <c r="T1480" s="3"/>
    </row>
    <row r="1481" spans="14:20" x14ac:dyDescent="0.3">
      <c r="N1481" s="5"/>
      <c r="O1481" s="5"/>
      <c r="P1481" s="5"/>
      <c r="Q1481" s="5"/>
      <c r="R1481" s="8"/>
      <c r="S1481" s="8"/>
      <c r="T1481" s="3"/>
    </row>
    <row r="1482" spans="14:20" x14ac:dyDescent="0.3">
      <c r="N1482" s="5"/>
      <c r="O1482" s="5"/>
      <c r="P1482" s="5"/>
      <c r="Q1482" s="5"/>
      <c r="R1482" s="8"/>
      <c r="S1482" s="8"/>
      <c r="T1482" s="3"/>
    </row>
    <row r="1483" spans="14:20" x14ac:dyDescent="0.3">
      <c r="N1483" s="5"/>
      <c r="O1483" s="5"/>
      <c r="P1483" s="5"/>
      <c r="Q1483" s="5"/>
      <c r="R1483" s="8"/>
      <c r="S1483" s="8"/>
      <c r="T1483" s="3"/>
    </row>
    <row r="1484" spans="14:20" x14ac:dyDescent="0.3">
      <c r="N1484" s="5"/>
      <c r="O1484" s="5"/>
      <c r="P1484" s="5"/>
      <c r="Q1484" s="5"/>
      <c r="R1484" s="8"/>
      <c r="S1484" s="8"/>
      <c r="T1484" s="3"/>
    </row>
    <row r="1485" spans="14:20" x14ac:dyDescent="0.3">
      <c r="N1485" s="5"/>
      <c r="O1485" s="5"/>
      <c r="P1485" s="5"/>
      <c r="Q1485" s="5"/>
      <c r="R1485" s="8"/>
      <c r="S1485" s="8"/>
      <c r="T1485" s="3"/>
    </row>
    <row r="1486" spans="14:20" x14ac:dyDescent="0.3">
      <c r="N1486" s="5"/>
      <c r="O1486" s="5"/>
      <c r="P1486" s="5"/>
      <c r="Q1486" s="5"/>
      <c r="R1486" s="8"/>
      <c r="S1486" s="8"/>
      <c r="T1486" s="3"/>
    </row>
    <row r="1487" spans="14:20" x14ac:dyDescent="0.3">
      <c r="N1487" s="5"/>
      <c r="O1487" s="5"/>
      <c r="P1487" s="5"/>
      <c r="Q1487" s="5"/>
      <c r="R1487" s="8"/>
      <c r="S1487" s="8"/>
      <c r="T1487" s="3"/>
    </row>
    <row r="1488" spans="14:20" x14ac:dyDescent="0.3">
      <c r="N1488" s="5"/>
      <c r="O1488" s="5"/>
      <c r="P1488" s="5"/>
      <c r="Q1488" s="5"/>
      <c r="R1488" s="8"/>
      <c r="S1488" s="8"/>
      <c r="T1488" s="3"/>
    </row>
    <row r="1489" spans="14:20" x14ac:dyDescent="0.3">
      <c r="N1489" s="5"/>
      <c r="O1489" s="5"/>
      <c r="P1489" s="5"/>
      <c r="Q1489" s="5"/>
      <c r="R1489" s="8"/>
      <c r="S1489" s="8"/>
      <c r="T1489" s="3"/>
    </row>
    <row r="1490" spans="14:20" x14ac:dyDescent="0.3">
      <c r="N1490" s="5"/>
      <c r="O1490" s="5"/>
      <c r="P1490" s="5"/>
      <c r="Q1490" s="5"/>
      <c r="R1490" s="8"/>
      <c r="S1490" s="8"/>
      <c r="T1490" s="3"/>
    </row>
    <row r="1491" spans="14:20" x14ac:dyDescent="0.3">
      <c r="N1491" s="5"/>
      <c r="O1491" s="5"/>
      <c r="P1491" s="5"/>
      <c r="Q1491" s="5"/>
      <c r="R1491" s="8"/>
      <c r="S1491" s="8"/>
      <c r="T1491" s="3"/>
    </row>
    <row r="1492" spans="14:20" x14ac:dyDescent="0.3">
      <c r="N1492" s="5"/>
      <c r="O1492" s="5"/>
      <c r="P1492" s="5"/>
      <c r="Q1492" s="5"/>
      <c r="R1492" s="8"/>
      <c r="S1492" s="8"/>
      <c r="T1492" s="3"/>
    </row>
    <row r="1493" spans="14:20" x14ac:dyDescent="0.3">
      <c r="N1493" s="5"/>
      <c r="O1493" s="5"/>
      <c r="P1493" s="5"/>
      <c r="Q1493" s="5"/>
      <c r="R1493" s="8"/>
      <c r="S1493" s="8"/>
      <c r="T1493" s="3"/>
    </row>
    <row r="1494" spans="14:20" x14ac:dyDescent="0.3">
      <c r="N1494" s="5"/>
      <c r="O1494" s="5"/>
      <c r="P1494" s="5"/>
      <c r="Q1494" s="5"/>
      <c r="R1494" s="8"/>
      <c r="S1494" s="8"/>
      <c r="T1494" s="3"/>
    </row>
    <row r="1495" spans="14:20" x14ac:dyDescent="0.3">
      <c r="N1495" s="5"/>
      <c r="O1495" s="5"/>
      <c r="P1495" s="5"/>
      <c r="Q1495" s="5"/>
      <c r="R1495" s="8"/>
      <c r="S1495" s="8"/>
      <c r="T1495" s="3"/>
    </row>
    <row r="1496" spans="14:20" x14ac:dyDescent="0.3">
      <c r="N1496" s="5"/>
      <c r="O1496" s="5"/>
      <c r="P1496" s="5"/>
      <c r="Q1496" s="5"/>
      <c r="R1496" s="8"/>
      <c r="S1496" s="8"/>
      <c r="T1496" s="3"/>
    </row>
    <row r="1497" spans="14:20" x14ac:dyDescent="0.3">
      <c r="N1497" s="5"/>
      <c r="O1497" s="5"/>
      <c r="P1497" s="5"/>
      <c r="Q1497" s="5"/>
      <c r="R1497" s="8"/>
      <c r="S1497" s="8"/>
      <c r="T1497" s="3"/>
    </row>
    <row r="1498" spans="14:20" x14ac:dyDescent="0.3">
      <c r="N1498" s="5"/>
      <c r="O1498" s="5"/>
      <c r="P1498" s="5"/>
      <c r="Q1498" s="5"/>
      <c r="R1498" s="8"/>
      <c r="S1498" s="8"/>
      <c r="T1498" s="3"/>
    </row>
    <row r="1499" spans="14:20" x14ac:dyDescent="0.3">
      <c r="N1499" s="5"/>
      <c r="O1499" s="5"/>
      <c r="P1499" s="5"/>
      <c r="Q1499" s="5"/>
      <c r="R1499" s="8"/>
      <c r="S1499" s="8"/>
      <c r="T1499" s="3"/>
    </row>
    <row r="1500" spans="14:20" x14ac:dyDescent="0.3">
      <c r="N1500" s="5"/>
      <c r="O1500" s="5"/>
      <c r="P1500" s="5"/>
      <c r="Q1500" s="5"/>
      <c r="R1500" s="8"/>
      <c r="S1500" s="8"/>
      <c r="T1500" s="3"/>
    </row>
    <row r="1501" spans="14:20" x14ac:dyDescent="0.3">
      <c r="N1501" s="5"/>
      <c r="O1501" s="5"/>
      <c r="P1501" s="5"/>
      <c r="Q1501" s="5"/>
      <c r="R1501" s="8"/>
      <c r="S1501" s="8"/>
      <c r="T1501" s="3"/>
    </row>
    <row r="1502" spans="14:20" x14ac:dyDescent="0.3">
      <c r="N1502" s="5"/>
      <c r="O1502" s="5"/>
      <c r="P1502" s="5"/>
      <c r="Q1502" s="5"/>
      <c r="R1502" s="8"/>
      <c r="S1502" s="8"/>
      <c r="T1502" s="3"/>
    </row>
    <row r="1503" spans="14:20" x14ac:dyDescent="0.3">
      <c r="N1503" s="5"/>
      <c r="O1503" s="5"/>
      <c r="P1503" s="5"/>
      <c r="Q1503" s="5"/>
      <c r="R1503" s="8"/>
      <c r="S1503" s="8"/>
      <c r="T1503" s="3"/>
    </row>
    <row r="1504" spans="14:20" x14ac:dyDescent="0.3">
      <c r="N1504" s="5"/>
      <c r="O1504" s="5"/>
      <c r="P1504" s="5"/>
      <c r="Q1504" s="5"/>
      <c r="R1504" s="8"/>
      <c r="S1504" s="8"/>
      <c r="T1504" s="3"/>
    </row>
    <row r="1505" spans="14:20" x14ac:dyDescent="0.3">
      <c r="N1505" s="5"/>
      <c r="O1505" s="5"/>
      <c r="P1505" s="5"/>
      <c r="Q1505" s="5"/>
      <c r="R1505" s="8"/>
      <c r="S1505" s="8"/>
      <c r="T1505" s="3"/>
    </row>
    <row r="1506" spans="14:20" x14ac:dyDescent="0.3">
      <c r="N1506" s="5"/>
      <c r="O1506" s="5"/>
      <c r="P1506" s="5"/>
      <c r="Q1506" s="5"/>
      <c r="R1506" s="8"/>
      <c r="S1506" s="8"/>
      <c r="T1506" s="3"/>
    </row>
    <row r="1507" spans="14:20" x14ac:dyDescent="0.3">
      <c r="N1507" s="5"/>
      <c r="O1507" s="5"/>
      <c r="P1507" s="5"/>
      <c r="Q1507" s="5"/>
      <c r="R1507" s="8"/>
      <c r="S1507" s="8"/>
      <c r="T1507" s="3"/>
    </row>
    <row r="1508" spans="14:20" x14ac:dyDescent="0.3">
      <c r="N1508" s="5"/>
      <c r="O1508" s="5"/>
      <c r="P1508" s="5"/>
      <c r="Q1508" s="5"/>
      <c r="R1508" s="8"/>
      <c r="S1508" s="8"/>
      <c r="T1508" s="3"/>
    </row>
    <row r="1509" spans="14:20" x14ac:dyDescent="0.3">
      <c r="N1509" s="5"/>
      <c r="O1509" s="5"/>
      <c r="P1509" s="5"/>
      <c r="Q1509" s="5"/>
      <c r="R1509" s="8"/>
      <c r="S1509" s="8"/>
      <c r="T1509" s="3"/>
    </row>
    <row r="1510" spans="14:20" x14ac:dyDescent="0.3">
      <c r="N1510" s="5"/>
      <c r="O1510" s="5"/>
      <c r="P1510" s="5"/>
      <c r="Q1510" s="5"/>
      <c r="R1510" s="8"/>
      <c r="S1510" s="8"/>
      <c r="T1510" s="3"/>
    </row>
    <row r="1511" spans="14:20" x14ac:dyDescent="0.3">
      <c r="N1511" s="5"/>
      <c r="O1511" s="5"/>
      <c r="P1511" s="5"/>
      <c r="Q1511" s="5"/>
      <c r="R1511" s="8"/>
      <c r="S1511" s="8"/>
      <c r="T1511" s="3"/>
    </row>
    <row r="1512" spans="14:20" x14ac:dyDescent="0.3">
      <c r="N1512" s="5"/>
      <c r="O1512" s="5"/>
      <c r="P1512" s="5"/>
      <c r="Q1512" s="5"/>
      <c r="R1512" s="8"/>
      <c r="S1512" s="8"/>
      <c r="T1512" s="3"/>
    </row>
    <row r="1513" spans="14:20" x14ac:dyDescent="0.3">
      <c r="N1513" s="5"/>
      <c r="O1513" s="5"/>
      <c r="P1513" s="5"/>
      <c r="Q1513" s="5"/>
      <c r="R1513" s="8"/>
      <c r="S1513" s="8"/>
      <c r="T1513" s="3"/>
    </row>
    <row r="1514" spans="14:20" x14ac:dyDescent="0.3">
      <c r="N1514" s="5"/>
      <c r="O1514" s="5"/>
      <c r="P1514" s="5"/>
      <c r="Q1514" s="5"/>
      <c r="R1514" s="8"/>
      <c r="S1514" s="8"/>
      <c r="T1514" s="3"/>
    </row>
    <row r="1515" spans="14:20" x14ac:dyDescent="0.3">
      <c r="N1515" s="5"/>
      <c r="O1515" s="5"/>
      <c r="P1515" s="5"/>
      <c r="Q1515" s="5"/>
      <c r="R1515" s="8"/>
      <c r="S1515" s="8"/>
      <c r="T1515" s="3"/>
    </row>
    <row r="1516" spans="14:20" x14ac:dyDescent="0.3">
      <c r="N1516" s="5"/>
      <c r="O1516" s="5"/>
      <c r="P1516" s="5"/>
      <c r="Q1516" s="5"/>
      <c r="R1516" s="8"/>
      <c r="S1516" s="8"/>
      <c r="T1516" s="3"/>
    </row>
    <row r="1517" spans="14:20" x14ac:dyDescent="0.3">
      <c r="N1517" s="5"/>
      <c r="O1517" s="5"/>
      <c r="P1517" s="5"/>
      <c r="Q1517" s="5"/>
      <c r="R1517" s="8"/>
      <c r="S1517" s="8"/>
      <c r="T1517" s="3"/>
    </row>
    <row r="1518" spans="14:20" x14ac:dyDescent="0.3">
      <c r="N1518" s="5"/>
      <c r="O1518" s="5"/>
      <c r="P1518" s="5"/>
      <c r="Q1518" s="5"/>
      <c r="R1518" s="8"/>
      <c r="S1518" s="8"/>
      <c r="T1518" s="3"/>
    </row>
    <row r="1519" spans="14:20" x14ac:dyDescent="0.3">
      <c r="N1519" s="5"/>
      <c r="O1519" s="5"/>
      <c r="P1519" s="5"/>
      <c r="Q1519" s="5"/>
      <c r="R1519" s="8"/>
      <c r="S1519" s="8"/>
      <c r="T1519" s="3"/>
    </row>
    <row r="1520" spans="14:20" x14ac:dyDescent="0.3">
      <c r="N1520" s="5"/>
      <c r="O1520" s="5"/>
      <c r="P1520" s="5"/>
      <c r="Q1520" s="5"/>
      <c r="R1520" s="8"/>
      <c r="S1520" s="8"/>
      <c r="T1520" s="3"/>
    </row>
    <row r="1521" spans="14:20" x14ac:dyDescent="0.3">
      <c r="N1521" s="5"/>
      <c r="O1521" s="5"/>
      <c r="P1521" s="5"/>
      <c r="Q1521" s="5"/>
      <c r="R1521" s="8"/>
      <c r="S1521" s="8"/>
      <c r="T1521" s="3"/>
    </row>
    <row r="1522" spans="14:20" x14ac:dyDescent="0.3">
      <c r="N1522" s="5"/>
      <c r="O1522" s="5"/>
      <c r="P1522" s="5"/>
      <c r="Q1522" s="5"/>
      <c r="R1522" s="8"/>
      <c r="S1522" s="8"/>
      <c r="T1522" s="3"/>
    </row>
    <row r="1523" spans="14:20" x14ac:dyDescent="0.3">
      <c r="N1523" s="5"/>
      <c r="O1523" s="5"/>
      <c r="P1523" s="5"/>
      <c r="Q1523" s="5"/>
      <c r="R1523" s="8"/>
      <c r="S1523" s="8"/>
      <c r="T1523" s="3"/>
    </row>
    <row r="1524" spans="14:20" x14ac:dyDescent="0.3">
      <c r="N1524" s="5"/>
      <c r="O1524" s="5"/>
      <c r="P1524" s="5"/>
      <c r="Q1524" s="5"/>
      <c r="R1524" s="8"/>
      <c r="S1524" s="8"/>
      <c r="T1524" s="3"/>
    </row>
    <row r="1525" spans="14:20" x14ac:dyDescent="0.3">
      <c r="N1525" s="5"/>
      <c r="O1525" s="5"/>
      <c r="P1525" s="5"/>
      <c r="Q1525" s="5"/>
      <c r="R1525" s="8"/>
      <c r="S1525" s="8"/>
      <c r="T1525" s="3"/>
    </row>
    <row r="1526" spans="14:20" x14ac:dyDescent="0.3">
      <c r="N1526" s="5"/>
      <c r="O1526" s="5"/>
      <c r="P1526" s="5"/>
      <c r="Q1526" s="5"/>
      <c r="R1526" s="8"/>
      <c r="S1526" s="8"/>
      <c r="T1526" s="3"/>
    </row>
    <row r="1527" spans="14:20" x14ac:dyDescent="0.3">
      <c r="N1527" s="5"/>
      <c r="O1527" s="5"/>
      <c r="P1527" s="5"/>
      <c r="Q1527" s="5"/>
      <c r="R1527" s="8"/>
      <c r="S1527" s="8"/>
      <c r="T1527" s="3"/>
    </row>
    <row r="1528" spans="14:20" x14ac:dyDescent="0.3">
      <c r="N1528" s="5"/>
      <c r="O1528" s="5"/>
      <c r="P1528" s="5"/>
      <c r="Q1528" s="5"/>
      <c r="R1528" s="8"/>
      <c r="S1528" s="8"/>
      <c r="T1528" s="3"/>
    </row>
    <row r="1529" spans="14:20" x14ac:dyDescent="0.3">
      <c r="N1529" s="5"/>
      <c r="O1529" s="5"/>
      <c r="P1529" s="5"/>
      <c r="Q1529" s="5"/>
      <c r="R1529" s="8"/>
      <c r="S1529" s="8"/>
      <c r="T1529" s="3"/>
    </row>
    <row r="1530" spans="14:20" x14ac:dyDescent="0.3">
      <c r="N1530" s="5"/>
      <c r="O1530" s="5"/>
      <c r="P1530" s="5"/>
      <c r="Q1530" s="5"/>
      <c r="R1530" s="8"/>
      <c r="S1530" s="8"/>
      <c r="T1530" s="3"/>
    </row>
    <row r="1531" spans="14:20" x14ac:dyDescent="0.3">
      <c r="N1531" s="5"/>
      <c r="O1531" s="5"/>
      <c r="P1531" s="5"/>
      <c r="Q1531" s="5"/>
      <c r="R1531" s="8"/>
      <c r="S1531" s="8"/>
      <c r="T1531" s="3"/>
    </row>
    <row r="1532" spans="14:20" x14ac:dyDescent="0.3">
      <c r="N1532" s="5"/>
      <c r="O1532" s="5"/>
      <c r="P1532" s="5"/>
      <c r="Q1532" s="5"/>
      <c r="R1532" s="8"/>
      <c r="S1532" s="8"/>
      <c r="T1532" s="3"/>
    </row>
    <row r="1533" spans="14:20" x14ac:dyDescent="0.3">
      <c r="N1533" s="5"/>
      <c r="O1533" s="5"/>
      <c r="P1533" s="5"/>
      <c r="Q1533" s="5"/>
      <c r="R1533" s="8"/>
      <c r="S1533" s="8"/>
      <c r="T1533" s="3"/>
    </row>
    <row r="1534" spans="14:20" x14ac:dyDescent="0.3">
      <c r="N1534" s="5"/>
      <c r="O1534" s="5"/>
      <c r="P1534" s="5"/>
      <c r="Q1534" s="5"/>
      <c r="R1534" s="8"/>
      <c r="S1534" s="8"/>
      <c r="T1534" s="3"/>
    </row>
    <row r="1535" spans="14:20" x14ac:dyDescent="0.3">
      <c r="N1535" s="5"/>
      <c r="O1535" s="5"/>
      <c r="P1535" s="5"/>
      <c r="Q1535" s="5"/>
      <c r="R1535" s="8"/>
      <c r="S1535" s="8"/>
      <c r="T1535" s="3"/>
    </row>
    <row r="1536" spans="14:20" x14ac:dyDescent="0.3">
      <c r="N1536" s="5"/>
      <c r="O1536" s="5"/>
      <c r="P1536" s="5"/>
      <c r="Q1536" s="5"/>
      <c r="R1536" s="8"/>
      <c r="S1536" s="8"/>
      <c r="T1536" s="3"/>
    </row>
    <row r="1537" spans="14:20" x14ac:dyDescent="0.3">
      <c r="N1537" s="5"/>
      <c r="O1537" s="5"/>
      <c r="P1537" s="5"/>
      <c r="Q1537" s="5"/>
      <c r="R1537" s="8"/>
      <c r="S1537" s="8"/>
      <c r="T1537" s="3"/>
    </row>
    <row r="1538" spans="14:20" x14ac:dyDescent="0.3">
      <c r="N1538" s="5"/>
      <c r="O1538" s="5"/>
      <c r="P1538" s="5"/>
      <c r="Q1538" s="5"/>
      <c r="R1538" s="8"/>
      <c r="S1538" s="8"/>
      <c r="T1538" s="3"/>
    </row>
    <row r="1539" spans="14:20" x14ac:dyDescent="0.3">
      <c r="N1539" s="5"/>
      <c r="O1539" s="5"/>
      <c r="P1539" s="5"/>
      <c r="Q1539" s="5"/>
      <c r="R1539" s="8"/>
      <c r="S1539" s="8"/>
      <c r="T1539" s="3"/>
    </row>
    <row r="1540" spans="14:20" x14ac:dyDescent="0.3">
      <c r="N1540" s="5"/>
      <c r="O1540" s="5"/>
      <c r="P1540" s="5"/>
      <c r="Q1540" s="5"/>
      <c r="R1540" s="8"/>
      <c r="S1540" s="8"/>
      <c r="T1540" s="3"/>
    </row>
    <row r="1541" spans="14:20" x14ac:dyDescent="0.3">
      <c r="N1541" s="5"/>
      <c r="O1541" s="5"/>
      <c r="P1541" s="5"/>
      <c r="Q1541" s="5"/>
      <c r="R1541" s="8"/>
      <c r="S1541" s="8"/>
      <c r="T1541" s="3"/>
    </row>
    <row r="1542" spans="14:20" x14ac:dyDescent="0.3">
      <c r="N1542" s="5"/>
      <c r="O1542" s="5"/>
      <c r="P1542" s="5"/>
      <c r="Q1542" s="5"/>
      <c r="R1542" s="8"/>
      <c r="S1542" s="8"/>
      <c r="T1542" s="3"/>
    </row>
    <row r="1543" spans="14:20" x14ac:dyDescent="0.3">
      <c r="N1543" s="5"/>
      <c r="O1543" s="5"/>
      <c r="P1543" s="5"/>
      <c r="Q1543" s="5"/>
      <c r="R1543" s="8"/>
      <c r="S1543" s="8"/>
      <c r="T1543" s="3"/>
    </row>
    <row r="1544" spans="14:20" x14ac:dyDescent="0.3">
      <c r="N1544" s="5"/>
      <c r="O1544" s="5"/>
      <c r="P1544" s="5"/>
      <c r="Q1544" s="5"/>
      <c r="R1544" s="8"/>
      <c r="S1544" s="8"/>
      <c r="T1544" s="3"/>
    </row>
    <row r="1545" spans="14:20" x14ac:dyDescent="0.3">
      <c r="N1545" s="5"/>
      <c r="O1545" s="5"/>
      <c r="P1545" s="5"/>
      <c r="Q1545" s="5"/>
      <c r="R1545" s="8"/>
      <c r="S1545" s="8"/>
      <c r="T1545" s="3"/>
    </row>
    <row r="1546" spans="14:20" x14ac:dyDescent="0.3">
      <c r="N1546" s="5"/>
      <c r="O1546" s="5"/>
      <c r="P1546" s="5"/>
      <c r="Q1546" s="5"/>
      <c r="R1546" s="8"/>
      <c r="S1546" s="8"/>
      <c r="T1546" s="3"/>
    </row>
    <row r="1547" spans="14:20" x14ac:dyDescent="0.3">
      <c r="N1547" s="5"/>
      <c r="O1547" s="5"/>
      <c r="P1547" s="5"/>
      <c r="Q1547" s="5"/>
      <c r="R1547" s="8"/>
      <c r="S1547" s="8"/>
      <c r="T1547" s="3"/>
    </row>
    <row r="1548" spans="14:20" x14ac:dyDescent="0.3">
      <c r="N1548" s="5"/>
      <c r="O1548" s="5"/>
      <c r="P1548" s="5"/>
      <c r="Q1548" s="5"/>
      <c r="R1548" s="8"/>
      <c r="S1548" s="8"/>
      <c r="T1548" s="3"/>
    </row>
    <row r="1549" spans="14:20" x14ac:dyDescent="0.3">
      <c r="N1549" s="5"/>
      <c r="O1549" s="5"/>
      <c r="P1549" s="5"/>
      <c r="Q1549" s="5"/>
      <c r="R1549" s="8"/>
      <c r="S1549" s="8"/>
      <c r="T1549" s="3"/>
    </row>
    <row r="1550" spans="14:20" x14ac:dyDescent="0.3">
      <c r="N1550" s="5"/>
      <c r="O1550" s="5"/>
      <c r="P1550" s="5"/>
      <c r="Q1550" s="5"/>
      <c r="R1550" s="8"/>
      <c r="S1550" s="8"/>
      <c r="T1550" s="3"/>
    </row>
    <row r="1551" spans="14:20" x14ac:dyDescent="0.3">
      <c r="N1551" s="5"/>
      <c r="O1551" s="5"/>
      <c r="P1551" s="5"/>
      <c r="Q1551" s="5"/>
      <c r="R1551" s="8"/>
      <c r="S1551" s="8"/>
      <c r="T1551" s="3"/>
    </row>
    <row r="1552" spans="14:20" x14ac:dyDescent="0.3">
      <c r="N1552" s="5"/>
      <c r="O1552" s="5"/>
      <c r="P1552" s="5"/>
      <c r="Q1552" s="5"/>
      <c r="R1552" s="8"/>
      <c r="S1552" s="8"/>
      <c r="T1552" s="3"/>
    </row>
    <row r="1553" spans="14:20" x14ac:dyDescent="0.3">
      <c r="N1553" s="5"/>
      <c r="O1553" s="5"/>
      <c r="P1553" s="5"/>
      <c r="Q1553" s="5"/>
      <c r="R1553" s="8"/>
      <c r="S1553" s="8"/>
      <c r="T1553" s="3"/>
    </row>
    <row r="1554" spans="14:20" x14ac:dyDescent="0.3">
      <c r="N1554" s="5"/>
      <c r="O1554" s="5"/>
      <c r="P1554" s="5"/>
      <c r="Q1554" s="5"/>
      <c r="R1554" s="8"/>
      <c r="S1554" s="8"/>
      <c r="T1554" s="3"/>
    </row>
    <row r="1555" spans="14:20" x14ac:dyDescent="0.3">
      <c r="N1555" s="5"/>
      <c r="O1555" s="5"/>
      <c r="P1555" s="5"/>
      <c r="Q1555" s="5"/>
      <c r="R1555" s="8"/>
      <c r="S1555" s="8"/>
      <c r="T1555" s="3"/>
    </row>
    <row r="1556" spans="14:20" x14ac:dyDescent="0.3">
      <c r="N1556" s="5"/>
      <c r="O1556" s="5"/>
      <c r="P1556" s="5"/>
      <c r="Q1556" s="5"/>
      <c r="R1556" s="8"/>
      <c r="S1556" s="8"/>
      <c r="T1556" s="3"/>
    </row>
    <row r="1557" spans="14:20" x14ac:dyDescent="0.3">
      <c r="N1557" s="5"/>
      <c r="O1557" s="5"/>
      <c r="P1557" s="5"/>
      <c r="Q1557" s="5"/>
      <c r="R1557" s="8"/>
      <c r="S1557" s="8"/>
      <c r="T1557" s="3"/>
    </row>
    <row r="1558" spans="14:20" x14ac:dyDescent="0.3">
      <c r="N1558" s="5"/>
      <c r="O1558" s="5"/>
      <c r="P1558" s="5"/>
      <c r="Q1558" s="5"/>
      <c r="R1558" s="8"/>
      <c r="S1558" s="8"/>
      <c r="T1558" s="3"/>
    </row>
    <row r="1559" spans="14:20" x14ac:dyDescent="0.3">
      <c r="N1559" s="5"/>
      <c r="O1559" s="5"/>
      <c r="P1559" s="5"/>
      <c r="Q1559" s="5"/>
      <c r="R1559" s="8"/>
      <c r="S1559" s="8"/>
      <c r="T1559" s="3"/>
    </row>
    <row r="1560" spans="14:20" x14ac:dyDescent="0.3">
      <c r="N1560" s="5"/>
      <c r="O1560" s="5"/>
      <c r="P1560" s="5"/>
      <c r="Q1560" s="5"/>
      <c r="R1560" s="8"/>
      <c r="S1560" s="8"/>
      <c r="T1560" s="3"/>
    </row>
    <row r="1561" spans="14:20" x14ac:dyDescent="0.3">
      <c r="N1561" s="5"/>
      <c r="O1561" s="5"/>
      <c r="P1561" s="5"/>
      <c r="Q1561" s="5"/>
      <c r="R1561" s="8"/>
      <c r="S1561" s="8"/>
      <c r="T1561" s="3"/>
    </row>
    <row r="1562" spans="14:20" x14ac:dyDescent="0.3">
      <c r="N1562" s="5"/>
      <c r="O1562" s="5"/>
      <c r="P1562" s="5"/>
      <c r="Q1562" s="5"/>
      <c r="R1562" s="8"/>
      <c r="S1562" s="8"/>
      <c r="T1562" s="3"/>
    </row>
    <row r="1563" spans="14:20" x14ac:dyDescent="0.3">
      <c r="N1563" s="5"/>
      <c r="O1563" s="5"/>
      <c r="P1563" s="5"/>
      <c r="Q1563" s="5"/>
      <c r="R1563" s="8"/>
      <c r="S1563" s="8"/>
      <c r="T1563" s="3"/>
    </row>
    <row r="1564" spans="14:20" x14ac:dyDescent="0.3">
      <c r="N1564" s="5"/>
      <c r="O1564" s="5"/>
      <c r="P1564" s="5"/>
      <c r="Q1564" s="5"/>
      <c r="R1564" s="8"/>
      <c r="S1564" s="8"/>
      <c r="T1564" s="3"/>
    </row>
    <row r="1565" spans="14:20" x14ac:dyDescent="0.3">
      <c r="N1565" s="5"/>
      <c r="O1565" s="5"/>
      <c r="P1565" s="5"/>
      <c r="Q1565" s="5"/>
      <c r="R1565" s="8"/>
      <c r="S1565" s="8"/>
      <c r="T1565" s="3"/>
    </row>
    <row r="1566" spans="14:20" x14ac:dyDescent="0.3">
      <c r="N1566" s="5"/>
      <c r="O1566" s="5"/>
      <c r="P1566" s="5"/>
      <c r="Q1566" s="5"/>
      <c r="R1566" s="8"/>
      <c r="S1566" s="8"/>
      <c r="T1566" s="3"/>
    </row>
    <row r="1567" spans="14:20" x14ac:dyDescent="0.3">
      <c r="N1567" s="5"/>
      <c r="O1567" s="5"/>
      <c r="P1567" s="5"/>
      <c r="Q1567" s="5"/>
      <c r="R1567" s="8"/>
      <c r="S1567" s="8"/>
      <c r="T1567" s="3"/>
    </row>
    <row r="1568" spans="14:20" x14ac:dyDescent="0.3">
      <c r="N1568" s="5"/>
      <c r="O1568" s="5"/>
      <c r="P1568" s="5"/>
      <c r="Q1568" s="5"/>
      <c r="R1568" s="8"/>
      <c r="S1568" s="8"/>
      <c r="T1568" s="3"/>
    </row>
    <row r="1569" spans="14:20" x14ac:dyDescent="0.3">
      <c r="N1569" s="5"/>
      <c r="O1569" s="5"/>
      <c r="P1569" s="5"/>
      <c r="Q1569" s="5"/>
      <c r="R1569" s="8"/>
      <c r="S1569" s="8"/>
      <c r="T1569" s="3"/>
    </row>
    <row r="1570" spans="14:20" x14ac:dyDescent="0.3">
      <c r="N1570" s="5"/>
      <c r="O1570" s="5"/>
      <c r="P1570" s="5"/>
      <c r="Q1570" s="5"/>
      <c r="R1570" s="8"/>
      <c r="S1570" s="8"/>
      <c r="T1570" s="3"/>
    </row>
    <row r="1571" spans="14:20" x14ac:dyDescent="0.3">
      <c r="N1571" s="5"/>
      <c r="O1571" s="5"/>
      <c r="P1571" s="5"/>
      <c r="Q1571" s="5"/>
      <c r="R1571" s="8"/>
      <c r="S1571" s="8"/>
      <c r="T1571" s="3"/>
    </row>
    <row r="1572" spans="14:20" x14ac:dyDescent="0.3">
      <c r="N1572" s="5"/>
      <c r="O1572" s="5"/>
      <c r="P1572" s="5"/>
      <c r="Q1572" s="5"/>
      <c r="R1572" s="8"/>
      <c r="S1572" s="8"/>
      <c r="T1572" s="3"/>
    </row>
    <row r="1573" spans="14:20" x14ac:dyDescent="0.3">
      <c r="N1573" s="5"/>
      <c r="O1573" s="5"/>
      <c r="P1573" s="5"/>
      <c r="Q1573" s="5"/>
      <c r="R1573" s="8"/>
      <c r="S1573" s="8"/>
      <c r="T1573" s="3"/>
    </row>
    <row r="1574" spans="14:20" x14ac:dyDescent="0.3">
      <c r="N1574" s="5"/>
      <c r="O1574" s="5"/>
      <c r="P1574" s="5"/>
      <c r="Q1574" s="5"/>
      <c r="R1574" s="8"/>
      <c r="S1574" s="8"/>
      <c r="T1574" s="3"/>
    </row>
    <row r="1575" spans="14:20" x14ac:dyDescent="0.3">
      <c r="N1575" s="5"/>
      <c r="O1575" s="5"/>
      <c r="P1575" s="5"/>
      <c r="Q1575" s="5"/>
      <c r="R1575" s="8"/>
      <c r="S1575" s="8"/>
      <c r="T1575" s="3"/>
    </row>
    <row r="1576" spans="14:20" x14ac:dyDescent="0.3">
      <c r="N1576" s="5"/>
      <c r="O1576" s="5"/>
      <c r="P1576" s="5"/>
      <c r="Q1576" s="5"/>
      <c r="R1576" s="8"/>
      <c r="S1576" s="8"/>
      <c r="T1576" s="3"/>
    </row>
    <row r="1577" spans="14:20" x14ac:dyDescent="0.3">
      <c r="N1577" s="5"/>
      <c r="O1577" s="5"/>
      <c r="P1577" s="5"/>
      <c r="Q1577" s="5"/>
      <c r="R1577" s="8"/>
      <c r="S1577" s="8"/>
      <c r="T1577" s="3"/>
    </row>
    <row r="1578" spans="14:20" x14ac:dyDescent="0.3">
      <c r="N1578" s="5"/>
      <c r="O1578" s="5"/>
      <c r="P1578" s="5"/>
      <c r="Q1578" s="5"/>
      <c r="R1578" s="8"/>
      <c r="S1578" s="8"/>
      <c r="T1578" s="3"/>
    </row>
    <row r="1579" spans="14:20" x14ac:dyDescent="0.3">
      <c r="N1579" s="5"/>
      <c r="O1579" s="5"/>
      <c r="P1579" s="5"/>
      <c r="Q1579" s="5"/>
      <c r="R1579" s="8"/>
      <c r="S1579" s="8"/>
      <c r="T1579" s="3"/>
    </row>
    <row r="1580" spans="14:20" x14ac:dyDescent="0.3">
      <c r="N1580" s="5"/>
      <c r="O1580" s="5"/>
      <c r="P1580" s="5"/>
      <c r="Q1580" s="5"/>
      <c r="R1580" s="8"/>
      <c r="S1580" s="8"/>
      <c r="T1580" s="3"/>
    </row>
    <row r="1581" spans="14:20" x14ac:dyDescent="0.3">
      <c r="N1581" s="5"/>
      <c r="O1581" s="5"/>
      <c r="P1581" s="5"/>
      <c r="Q1581" s="5"/>
      <c r="R1581" s="8"/>
      <c r="S1581" s="8"/>
      <c r="T1581" s="3"/>
    </row>
    <row r="1582" spans="14:20" x14ac:dyDescent="0.3">
      <c r="N1582" s="5"/>
      <c r="O1582" s="5"/>
      <c r="P1582" s="5"/>
      <c r="Q1582" s="5"/>
      <c r="R1582" s="8"/>
      <c r="S1582" s="8"/>
      <c r="T1582" s="3"/>
    </row>
    <row r="1583" spans="14:20" x14ac:dyDescent="0.3">
      <c r="N1583" s="5"/>
      <c r="O1583" s="5"/>
      <c r="P1583" s="5"/>
      <c r="Q1583" s="5"/>
      <c r="R1583" s="8"/>
      <c r="S1583" s="8"/>
      <c r="T1583" s="3"/>
    </row>
    <row r="1584" spans="14:20" x14ac:dyDescent="0.3">
      <c r="N1584" s="5"/>
      <c r="O1584" s="5"/>
      <c r="P1584" s="5"/>
      <c r="Q1584" s="5"/>
      <c r="R1584" s="8"/>
      <c r="S1584" s="8"/>
      <c r="T1584" s="3"/>
    </row>
    <row r="1585" spans="14:20" x14ac:dyDescent="0.3">
      <c r="N1585" s="5"/>
      <c r="O1585" s="5"/>
      <c r="P1585" s="5"/>
      <c r="Q1585" s="5"/>
      <c r="R1585" s="8"/>
      <c r="S1585" s="8"/>
      <c r="T1585" s="3"/>
    </row>
    <row r="1586" spans="14:20" x14ac:dyDescent="0.3">
      <c r="N1586" s="5"/>
      <c r="O1586" s="5"/>
      <c r="P1586" s="5"/>
      <c r="Q1586" s="5"/>
      <c r="R1586" s="8"/>
      <c r="S1586" s="8"/>
      <c r="T1586" s="3"/>
    </row>
    <row r="1587" spans="14:20" x14ac:dyDescent="0.3">
      <c r="N1587" s="5"/>
      <c r="O1587" s="5"/>
      <c r="P1587" s="5"/>
      <c r="Q1587" s="5"/>
      <c r="R1587" s="8"/>
      <c r="S1587" s="8"/>
      <c r="T1587" s="3"/>
    </row>
    <row r="1588" spans="14:20" x14ac:dyDescent="0.3">
      <c r="N1588" s="5"/>
      <c r="O1588" s="5"/>
      <c r="P1588" s="5"/>
      <c r="Q1588" s="5"/>
      <c r="R1588" s="8"/>
      <c r="S1588" s="8"/>
      <c r="T1588" s="3"/>
    </row>
    <row r="1589" spans="14:20" x14ac:dyDescent="0.3">
      <c r="N1589" s="5"/>
      <c r="O1589" s="5"/>
      <c r="P1589" s="5"/>
      <c r="Q1589" s="5"/>
      <c r="R1589" s="8"/>
      <c r="S1589" s="8"/>
      <c r="T1589" s="3"/>
    </row>
    <row r="1590" spans="14:20" x14ac:dyDescent="0.3">
      <c r="N1590" s="5"/>
      <c r="O1590" s="5"/>
      <c r="P1590" s="5"/>
      <c r="Q1590" s="5"/>
      <c r="R1590" s="8"/>
      <c r="S1590" s="8"/>
      <c r="T1590" s="3"/>
    </row>
    <row r="1591" spans="14:20" x14ac:dyDescent="0.3">
      <c r="N1591" s="5"/>
      <c r="O1591" s="5"/>
      <c r="P1591" s="5"/>
      <c r="Q1591" s="5"/>
      <c r="R1591" s="8"/>
      <c r="S1591" s="8"/>
      <c r="T1591" s="3"/>
    </row>
    <row r="1592" spans="14:20" x14ac:dyDescent="0.3">
      <c r="N1592" s="5"/>
      <c r="O1592" s="5"/>
      <c r="P1592" s="5"/>
      <c r="Q1592" s="5"/>
      <c r="R1592" s="8"/>
      <c r="S1592" s="8"/>
      <c r="T1592" s="3"/>
    </row>
    <row r="1593" spans="14:20" x14ac:dyDescent="0.3">
      <c r="N1593" s="5"/>
      <c r="O1593" s="5"/>
      <c r="P1593" s="5"/>
      <c r="Q1593" s="5"/>
      <c r="R1593" s="8"/>
      <c r="S1593" s="8"/>
      <c r="T1593" s="3"/>
    </row>
    <row r="1594" spans="14:20" x14ac:dyDescent="0.3">
      <c r="N1594" s="5"/>
      <c r="O1594" s="5"/>
      <c r="P1594" s="5"/>
      <c r="Q1594" s="5"/>
      <c r="R1594" s="8"/>
      <c r="S1594" s="8"/>
      <c r="T1594" s="3"/>
    </row>
    <row r="1595" spans="14:20" x14ac:dyDescent="0.3">
      <c r="N1595" s="5"/>
      <c r="O1595" s="5"/>
      <c r="P1595" s="5"/>
      <c r="Q1595" s="5"/>
      <c r="R1595" s="8"/>
      <c r="S1595" s="8"/>
      <c r="T1595" s="3"/>
    </row>
    <row r="1596" spans="14:20" x14ac:dyDescent="0.3">
      <c r="N1596" s="5"/>
      <c r="O1596" s="5"/>
      <c r="P1596" s="5"/>
      <c r="Q1596" s="5"/>
      <c r="R1596" s="8"/>
      <c r="S1596" s="8"/>
      <c r="T1596" s="3"/>
    </row>
    <row r="1597" spans="14:20" x14ac:dyDescent="0.3">
      <c r="N1597" s="5"/>
      <c r="O1597" s="5"/>
      <c r="P1597" s="5"/>
      <c r="Q1597" s="5"/>
      <c r="R1597" s="8"/>
      <c r="S1597" s="8"/>
      <c r="T1597" s="3"/>
    </row>
    <row r="1598" spans="14:20" x14ac:dyDescent="0.3">
      <c r="N1598" s="5"/>
      <c r="O1598" s="5"/>
      <c r="P1598" s="5"/>
      <c r="Q1598" s="5"/>
      <c r="R1598" s="8"/>
      <c r="S1598" s="8"/>
      <c r="T1598" s="3"/>
    </row>
    <row r="1599" spans="14:20" x14ac:dyDescent="0.3">
      <c r="N1599" s="5"/>
      <c r="O1599" s="5"/>
      <c r="P1599" s="5"/>
      <c r="Q1599" s="5"/>
      <c r="R1599" s="8"/>
      <c r="S1599" s="8"/>
      <c r="T1599" s="3"/>
    </row>
    <row r="1600" spans="14:20" x14ac:dyDescent="0.3">
      <c r="N1600" s="5"/>
      <c r="O1600" s="5"/>
      <c r="P1600" s="5"/>
      <c r="Q1600" s="5"/>
      <c r="R1600" s="8"/>
      <c r="S1600" s="8"/>
      <c r="T1600" s="3"/>
    </row>
    <row r="1601" spans="14:20" x14ac:dyDescent="0.3">
      <c r="N1601" s="5"/>
      <c r="O1601" s="5"/>
      <c r="P1601" s="5"/>
      <c r="Q1601" s="5"/>
      <c r="R1601" s="8"/>
      <c r="S1601" s="8"/>
      <c r="T1601" s="3"/>
    </row>
    <row r="1602" spans="14:20" x14ac:dyDescent="0.3">
      <c r="N1602" s="5"/>
      <c r="O1602" s="5"/>
      <c r="P1602" s="5"/>
      <c r="Q1602" s="5"/>
      <c r="R1602" s="8"/>
      <c r="S1602" s="8"/>
      <c r="T1602" s="3"/>
    </row>
    <row r="1603" spans="14:20" x14ac:dyDescent="0.3">
      <c r="N1603" s="5"/>
      <c r="O1603" s="5"/>
      <c r="P1603" s="5"/>
      <c r="Q1603" s="5"/>
      <c r="R1603" s="8"/>
      <c r="S1603" s="8"/>
      <c r="T1603" s="3"/>
    </row>
    <row r="1604" spans="14:20" x14ac:dyDescent="0.3">
      <c r="N1604" s="5"/>
      <c r="O1604" s="5"/>
      <c r="P1604" s="5"/>
      <c r="Q1604" s="5"/>
      <c r="R1604" s="8"/>
      <c r="S1604" s="8"/>
      <c r="T1604" s="3"/>
    </row>
    <row r="1605" spans="14:20" x14ac:dyDescent="0.3">
      <c r="N1605" s="5"/>
      <c r="O1605" s="5"/>
      <c r="P1605" s="5"/>
      <c r="Q1605" s="5"/>
      <c r="R1605" s="8"/>
      <c r="S1605" s="8"/>
      <c r="T1605" s="3"/>
    </row>
    <row r="1606" spans="14:20" x14ac:dyDescent="0.3">
      <c r="N1606" s="5"/>
      <c r="O1606" s="5"/>
      <c r="P1606" s="5"/>
      <c r="Q1606" s="5"/>
      <c r="R1606" s="8"/>
      <c r="S1606" s="8"/>
      <c r="T1606" s="3"/>
    </row>
    <row r="1607" spans="14:20" x14ac:dyDescent="0.3">
      <c r="N1607" s="5"/>
      <c r="O1607" s="5"/>
      <c r="P1607" s="5"/>
      <c r="Q1607" s="5"/>
      <c r="R1607" s="8"/>
      <c r="S1607" s="8"/>
      <c r="T1607" s="3"/>
    </row>
    <row r="1608" spans="14:20" x14ac:dyDescent="0.3">
      <c r="N1608" s="5"/>
      <c r="O1608" s="5"/>
      <c r="P1608" s="5"/>
      <c r="Q1608" s="5"/>
      <c r="R1608" s="8"/>
      <c r="S1608" s="8"/>
      <c r="T1608" s="3"/>
    </row>
    <row r="1609" spans="14:20" x14ac:dyDescent="0.3">
      <c r="N1609" s="5"/>
      <c r="O1609" s="5"/>
      <c r="P1609" s="5"/>
      <c r="Q1609" s="5"/>
      <c r="R1609" s="8"/>
      <c r="S1609" s="8"/>
      <c r="T1609" s="3"/>
    </row>
    <row r="1610" spans="14:20" x14ac:dyDescent="0.3">
      <c r="N1610" s="5"/>
      <c r="O1610" s="5"/>
      <c r="P1610" s="5"/>
      <c r="Q1610" s="5"/>
      <c r="R1610" s="8"/>
      <c r="S1610" s="8"/>
      <c r="T1610" s="3"/>
    </row>
    <row r="1611" spans="14:20" x14ac:dyDescent="0.3">
      <c r="N1611" s="5"/>
      <c r="O1611" s="5"/>
      <c r="P1611" s="5"/>
      <c r="Q1611" s="5"/>
      <c r="R1611" s="8"/>
      <c r="S1611" s="8"/>
      <c r="T1611" s="3"/>
    </row>
    <row r="1612" spans="14:20" x14ac:dyDescent="0.3">
      <c r="N1612" s="5"/>
      <c r="O1612" s="5"/>
      <c r="P1612" s="5"/>
      <c r="Q1612" s="5"/>
      <c r="R1612" s="8"/>
      <c r="S1612" s="8"/>
      <c r="T1612" s="3"/>
    </row>
    <row r="1613" spans="14:20" x14ac:dyDescent="0.3">
      <c r="N1613" s="5"/>
      <c r="O1613" s="5"/>
      <c r="P1613" s="5"/>
      <c r="Q1613" s="5"/>
      <c r="R1613" s="8"/>
      <c r="S1613" s="8"/>
      <c r="T1613" s="3"/>
    </row>
    <row r="1614" spans="14:20" x14ac:dyDescent="0.3">
      <c r="N1614" s="5"/>
      <c r="O1614" s="5"/>
      <c r="P1614" s="5"/>
      <c r="Q1614" s="5"/>
      <c r="R1614" s="8"/>
      <c r="S1614" s="8"/>
      <c r="T1614" s="3"/>
    </row>
    <row r="1615" spans="14:20" x14ac:dyDescent="0.3">
      <c r="N1615" s="5"/>
      <c r="O1615" s="5"/>
      <c r="P1615" s="5"/>
      <c r="Q1615" s="5"/>
      <c r="R1615" s="8"/>
      <c r="S1615" s="8"/>
      <c r="T1615" s="3"/>
    </row>
    <row r="1616" spans="14:20" x14ac:dyDescent="0.3">
      <c r="N1616" s="5"/>
      <c r="O1616" s="5"/>
      <c r="P1616" s="5"/>
      <c r="Q1616" s="5"/>
      <c r="R1616" s="8"/>
      <c r="S1616" s="8"/>
      <c r="T1616" s="3"/>
    </row>
    <row r="1617" spans="14:20" x14ac:dyDescent="0.3">
      <c r="N1617" s="5"/>
      <c r="O1617" s="5"/>
      <c r="P1617" s="5"/>
      <c r="Q1617" s="5"/>
      <c r="R1617" s="8"/>
      <c r="S1617" s="8"/>
      <c r="T1617" s="3"/>
    </row>
    <row r="1618" spans="14:20" x14ac:dyDescent="0.3">
      <c r="N1618" s="5"/>
      <c r="O1618" s="5"/>
      <c r="P1618" s="5"/>
      <c r="Q1618" s="5"/>
      <c r="R1618" s="8"/>
      <c r="S1618" s="8"/>
      <c r="T1618" s="3"/>
    </row>
    <row r="1619" spans="14:20" x14ac:dyDescent="0.3">
      <c r="N1619" s="5"/>
      <c r="O1619" s="5"/>
      <c r="P1619" s="5"/>
      <c r="Q1619" s="5"/>
      <c r="R1619" s="8"/>
      <c r="S1619" s="8"/>
      <c r="T1619" s="3"/>
    </row>
    <row r="1620" spans="14:20" x14ac:dyDescent="0.3">
      <c r="N1620" s="5"/>
      <c r="O1620" s="5"/>
      <c r="P1620" s="5"/>
      <c r="Q1620" s="5"/>
      <c r="R1620" s="8"/>
      <c r="S1620" s="8"/>
      <c r="T1620" s="3"/>
    </row>
    <row r="1621" spans="14:20" x14ac:dyDescent="0.3">
      <c r="N1621" s="5"/>
      <c r="O1621" s="5"/>
      <c r="P1621" s="5"/>
      <c r="Q1621" s="5"/>
      <c r="R1621" s="8"/>
      <c r="S1621" s="8"/>
      <c r="T1621" s="3"/>
    </row>
    <row r="1622" spans="14:20" x14ac:dyDescent="0.3">
      <c r="N1622" s="5"/>
      <c r="O1622" s="5"/>
      <c r="P1622" s="5"/>
      <c r="Q1622" s="5"/>
      <c r="R1622" s="8"/>
      <c r="S1622" s="8"/>
      <c r="T1622" s="3"/>
    </row>
    <row r="1623" spans="14:20" x14ac:dyDescent="0.3">
      <c r="N1623" s="5"/>
      <c r="O1623" s="5"/>
      <c r="P1623" s="5"/>
      <c r="Q1623" s="5"/>
      <c r="R1623" s="8"/>
      <c r="S1623" s="8"/>
      <c r="T1623" s="3"/>
    </row>
    <row r="1624" spans="14:20" x14ac:dyDescent="0.3">
      <c r="N1624" s="5"/>
      <c r="O1624" s="5"/>
      <c r="P1624" s="5"/>
      <c r="Q1624" s="5"/>
      <c r="R1624" s="8"/>
      <c r="S1624" s="8"/>
      <c r="T1624" s="3"/>
    </row>
    <row r="1625" spans="14:20" x14ac:dyDescent="0.3">
      <c r="N1625" s="5"/>
      <c r="O1625" s="5"/>
      <c r="P1625" s="5"/>
      <c r="Q1625" s="5"/>
      <c r="R1625" s="8"/>
      <c r="S1625" s="8"/>
      <c r="T1625" s="3"/>
    </row>
    <row r="1626" spans="14:20" x14ac:dyDescent="0.3">
      <c r="N1626" s="5"/>
      <c r="O1626" s="5"/>
      <c r="P1626" s="5"/>
      <c r="Q1626" s="5"/>
      <c r="R1626" s="8"/>
      <c r="S1626" s="8"/>
      <c r="T1626" s="3"/>
    </row>
    <row r="1627" spans="14:20" x14ac:dyDescent="0.3">
      <c r="N1627" s="5"/>
      <c r="O1627" s="5"/>
      <c r="P1627" s="5"/>
      <c r="Q1627" s="5"/>
      <c r="R1627" s="8"/>
      <c r="S1627" s="8"/>
      <c r="T1627" s="3"/>
    </row>
    <row r="1628" spans="14:20" x14ac:dyDescent="0.3">
      <c r="N1628" s="5"/>
      <c r="O1628" s="5"/>
      <c r="P1628" s="5"/>
      <c r="Q1628" s="5"/>
      <c r="R1628" s="8"/>
      <c r="S1628" s="8"/>
      <c r="T1628" s="3"/>
    </row>
    <row r="1629" spans="14:20" x14ac:dyDescent="0.3">
      <c r="N1629" s="5"/>
      <c r="O1629" s="5"/>
      <c r="P1629" s="5"/>
      <c r="Q1629" s="5"/>
      <c r="R1629" s="8"/>
      <c r="S1629" s="8"/>
      <c r="T1629" s="3"/>
    </row>
    <row r="1630" spans="14:20" x14ac:dyDescent="0.3">
      <c r="N1630" s="5"/>
      <c r="O1630" s="5"/>
      <c r="P1630" s="5"/>
      <c r="Q1630" s="5"/>
      <c r="R1630" s="8"/>
      <c r="S1630" s="8"/>
      <c r="T1630" s="3"/>
    </row>
    <row r="1631" spans="14:20" x14ac:dyDescent="0.3">
      <c r="N1631" s="5"/>
      <c r="O1631" s="5"/>
      <c r="P1631" s="5"/>
      <c r="Q1631" s="5"/>
      <c r="R1631" s="8"/>
      <c r="S1631" s="8"/>
      <c r="T1631" s="3"/>
    </row>
    <row r="1632" spans="14:20" x14ac:dyDescent="0.3">
      <c r="N1632" s="5"/>
      <c r="O1632" s="5"/>
      <c r="P1632" s="5"/>
      <c r="Q1632" s="5"/>
      <c r="R1632" s="8"/>
      <c r="S1632" s="8"/>
      <c r="T1632" s="3"/>
    </row>
    <row r="1633" spans="14:20" x14ac:dyDescent="0.3">
      <c r="N1633" s="5"/>
      <c r="O1633" s="5"/>
      <c r="P1633" s="5"/>
      <c r="Q1633" s="5"/>
      <c r="R1633" s="8"/>
      <c r="S1633" s="8"/>
      <c r="T1633" s="3"/>
    </row>
    <row r="1634" spans="14:20" x14ac:dyDescent="0.3">
      <c r="N1634" s="5"/>
      <c r="O1634" s="5"/>
      <c r="P1634" s="5"/>
      <c r="Q1634" s="5"/>
      <c r="R1634" s="8"/>
      <c r="S1634" s="8"/>
      <c r="T1634" s="3"/>
    </row>
    <row r="1635" spans="14:20" x14ac:dyDescent="0.3">
      <c r="N1635" s="5"/>
      <c r="O1635" s="5"/>
      <c r="P1635" s="5"/>
      <c r="Q1635" s="5"/>
      <c r="R1635" s="8"/>
      <c r="S1635" s="8"/>
      <c r="T1635" s="3"/>
    </row>
    <row r="1636" spans="14:20" x14ac:dyDescent="0.3">
      <c r="N1636" s="5"/>
      <c r="O1636" s="5"/>
      <c r="P1636" s="5"/>
      <c r="Q1636" s="5"/>
      <c r="R1636" s="8"/>
      <c r="S1636" s="8"/>
      <c r="T1636" s="3"/>
    </row>
    <row r="1637" spans="14:20" x14ac:dyDescent="0.3">
      <c r="N1637" s="5"/>
      <c r="O1637" s="5"/>
      <c r="P1637" s="5"/>
      <c r="Q1637" s="5"/>
      <c r="R1637" s="8"/>
      <c r="S1637" s="8"/>
      <c r="T1637" s="3"/>
    </row>
    <row r="1638" spans="14:20" x14ac:dyDescent="0.3">
      <c r="N1638" s="5"/>
      <c r="O1638" s="5"/>
      <c r="P1638" s="5"/>
      <c r="Q1638" s="5"/>
      <c r="R1638" s="8"/>
      <c r="S1638" s="8"/>
      <c r="T1638" s="3"/>
    </row>
    <row r="1639" spans="14:20" x14ac:dyDescent="0.3">
      <c r="N1639" s="5"/>
      <c r="O1639" s="5"/>
      <c r="P1639" s="5"/>
      <c r="Q1639" s="5"/>
      <c r="R1639" s="8"/>
      <c r="S1639" s="8"/>
      <c r="T1639" s="3"/>
    </row>
    <row r="1640" spans="14:20" x14ac:dyDescent="0.3">
      <c r="N1640" s="5"/>
      <c r="O1640" s="5"/>
      <c r="P1640" s="5"/>
      <c r="Q1640" s="5"/>
      <c r="R1640" s="8"/>
      <c r="S1640" s="8"/>
      <c r="T1640" s="3"/>
    </row>
    <row r="1641" spans="14:20" x14ac:dyDescent="0.3">
      <c r="N1641" s="5"/>
      <c r="O1641" s="5"/>
      <c r="P1641" s="5"/>
      <c r="Q1641" s="5"/>
      <c r="R1641" s="8"/>
      <c r="S1641" s="8"/>
      <c r="T1641" s="3"/>
    </row>
    <row r="1642" spans="14:20" x14ac:dyDescent="0.3">
      <c r="N1642" s="5"/>
      <c r="O1642" s="5"/>
      <c r="P1642" s="5"/>
      <c r="Q1642" s="5"/>
      <c r="R1642" s="8"/>
      <c r="S1642" s="8"/>
      <c r="T1642" s="3"/>
    </row>
    <row r="1643" spans="14:20" x14ac:dyDescent="0.3">
      <c r="N1643" s="5"/>
      <c r="O1643" s="5"/>
      <c r="P1643" s="5"/>
      <c r="Q1643" s="5"/>
      <c r="R1643" s="8"/>
      <c r="S1643" s="8"/>
      <c r="T1643" s="3"/>
    </row>
    <row r="1644" spans="14:20" x14ac:dyDescent="0.3">
      <c r="N1644" s="5"/>
      <c r="O1644" s="5"/>
      <c r="P1644" s="5"/>
      <c r="Q1644" s="5"/>
      <c r="R1644" s="8"/>
      <c r="S1644" s="8"/>
      <c r="T1644" s="3"/>
    </row>
    <row r="1645" spans="14:20" x14ac:dyDescent="0.3">
      <c r="N1645" s="5"/>
      <c r="O1645" s="5"/>
      <c r="P1645" s="5"/>
      <c r="Q1645" s="5"/>
      <c r="R1645" s="8"/>
      <c r="S1645" s="8"/>
      <c r="T1645" s="3"/>
    </row>
    <row r="1646" spans="14:20" x14ac:dyDescent="0.3">
      <c r="N1646" s="5"/>
      <c r="O1646" s="5"/>
      <c r="P1646" s="5"/>
      <c r="Q1646" s="5"/>
      <c r="R1646" s="8"/>
      <c r="S1646" s="8"/>
      <c r="T1646" s="3"/>
    </row>
    <row r="1647" spans="14:20" x14ac:dyDescent="0.3">
      <c r="N1647" s="5"/>
      <c r="O1647" s="5"/>
      <c r="P1647" s="5"/>
      <c r="Q1647" s="5"/>
      <c r="R1647" s="8"/>
      <c r="S1647" s="8"/>
      <c r="T1647" s="3"/>
    </row>
    <row r="1648" spans="14:20" x14ac:dyDescent="0.3">
      <c r="N1648" s="5"/>
      <c r="O1648" s="5"/>
      <c r="P1648" s="5"/>
      <c r="Q1648" s="5"/>
      <c r="R1648" s="8"/>
      <c r="S1648" s="8"/>
      <c r="T1648" s="3"/>
    </row>
    <row r="1649" spans="14:20" x14ac:dyDescent="0.3">
      <c r="N1649" s="5"/>
      <c r="O1649" s="5"/>
      <c r="P1649" s="5"/>
      <c r="Q1649" s="5"/>
      <c r="R1649" s="8"/>
      <c r="S1649" s="8"/>
      <c r="T1649" s="3"/>
    </row>
    <row r="1650" spans="14:20" x14ac:dyDescent="0.3">
      <c r="N1650" s="5"/>
      <c r="O1650" s="5"/>
      <c r="P1650" s="5"/>
      <c r="Q1650" s="5"/>
      <c r="R1650" s="8"/>
      <c r="S1650" s="8"/>
      <c r="T1650" s="3"/>
    </row>
    <row r="1651" spans="14:20" x14ac:dyDescent="0.3">
      <c r="N1651" s="5"/>
      <c r="O1651" s="5"/>
      <c r="P1651" s="5"/>
      <c r="Q1651" s="5"/>
      <c r="R1651" s="8"/>
      <c r="S1651" s="8"/>
      <c r="T1651" s="3"/>
    </row>
    <row r="1652" spans="14:20" x14ac:dyDescent="0.3">
      <c r="N1652" s="5"/>
      <c r="O1652" s="5"/>
      <c r="P1652" s="5"/>
      <c r="Q1652" s="5"/>
      <c r="R1652" s="8"/>
      <c r="S1652" s="8"/>
      <c r="T1652" s="3"/>
    </row>
    <row r="1653" spans="14:20" x14ac:dyDescent="0.3">
      <c r="N1653" s="5"/>
      <c r="O1653" s="5"/>
      <c r="P1653" s="5"/>
      <c r="Q1653" s="5"/>
      <c r="R1653" s="8"/>
      <c r="S1653" s="8"/>
      <c r="T1653" s="3"/>
    </row>
    <row r="1654" spans="14:20" x14ac:dyDescent="0.3">
      <c r="N1654" s="5"/>
      <c r="O1654" s="5"/>
      <c r="P1654" s="5"/>
      <c r="Q1654" s="5"/>
      <c r="R1654" s="8"/>
      <c r="S1654" s="8"/>
      <c r="T1654" s="3"/>
    </row>
    <row r="1655" spans="14:20" x14ac:dyDescent="0.3">
      <c r="N1655" s="5"/>
      <c r="O1655" s="5"/>
      <c r="P1655" s="5"/>
      <c r="Q1655" s="5"/>
      <c r="R1655" s="8"/>
      <c r="S1655" s="8"/>
      <c r="T1655" s="3"/>
    </row>
    <row r="1656" spans="14:20" x14ac:dyDescent="0.3">
      <c r="N1656" s="5"/>
      <c r="O1656" s="5"/>
      <c r="P1656" s="5"/>
      <c r="Q1656" s="5"/>
      <c r="R1656" s="8"/>
      <c r="S1656" s="8"/>
      <c r="T1656" s="3"/>
    </row>
    <row r="1657" spans="14:20" x14ac:dyDescent="0.3">
      <c r="N1657" s="5"/>
      <c r="O1657" s="5"/>
      <c r="P1657" s="5"/>
      <c r="Q1657" s="5"/>
      <c r="R1657" s="8"/>
      <c r="S1657" s="8"/>
      <c r="T1657" s="3"/>
    </row>
    <row r="1658" spans="14:20" x14ac:dyDescent="0.3">
      <c r="N1658" s="5"/>
      <c r="O1658" s="5"/>
      <c r="P1658" s="5"/>
      <c r="Q1658" s="5"/>
      <c r="R1658" s="8"/>
      <c r="S1658" s="8"/>
      <c r="T1658" s="3"/>
    </row>
    <row r="1659" spans="14:20" x14ac:dyDescent="0.3">
      <c r="N1659" s="5"/>
      <c r="O1659" s="5"/>
      <c r="P1659" s="5"/>
      <c r="Q1659" s="5"/>
      <c r="R1659" s="8"/>
      <c r="S1659" s="8"/>
      <c r="T1659" s="3"/>
    </row>
    <row r="1660" spans="14:20" x14ac:dyDescent="0.3">
      <c r="N1660" s="5"/>
      <c r="O1660" s="5"/>
      <c r="P1660" s="5"/>
      <c r="Q1660" s="5"/>
      <c r="R1660" s="8"/>
      <c r="S1660" s="8"/>
      <c r="T1660" s="3"/>
    </row>
    <row r="1661" spans="14:20" x14ac:dyDescent="0.3">
      <c r="N1661" s="5"/>
      <c r="O1661" s="5"/>
      <c r="P1661" s="5"/>
      <c r="Q1661" s="5"/>
      <c r="R1661" s="8"/>
      <c r="S1661" s="8"/>
      <c r="T1661" s="3"/>
    </row>
    <row r="1662" spans="14:20" x14ac:dyDescent="0.3">
      <c r="N1662" s="5"/>
      <c r="O1662" s="5"/>
      <c r="P1662" s="5"/>
      <c r="Q1662" s="5"/>
      <c r="R1662" s="8"/>
      <c r="S1662" s="8"/>
      <c r="T1662" s="3"/>
    </row>
    <row r="1663" spans="14:20" x14ac:dyDescent="0.3">
      <c r="N1663" s="5"/>
      <c r="O1663" s="5"/>
      <c r="P1663" s="5"/>
      <c r="Q1663" s="5"/>
      <c r="R1663" s="8"/>
      <c r="S1663" s="8"/>
      <c r="T1663" s="3"/>
    </row>
    <row r="1664" spans="14:20" x14ac:dyDescent="0.3">
      <c r="N1664" s="5"/>
      <c r="O1664" s="5"/>
      <c r="P1664" s="5"/>
      <c r="Q1664" s="5"/>
      <c r="R1664" s="8"/>
      <c r="S1664" s="8"/>
      <c r="T1664" s="3"/>
    </row>
    <row r="1665" spans="14:20" x14ac:dyDescent="0.3">
      <c r="N1665" s="5"/>
      <c r="O1665" s="5"/>
      <c r="P1665" s="5"/>
      <c r="Q1665" s="5"/>
      <c r="R1665" s="8"/>
      <c r="S1665" s="8"/>
      <c r="T1665" s="3"/>
    </row>
    <row r="1666" spans="14:20" x14ac:dyDescent="0.3">
      <c r="N1666" s="5"/>
      <c r="O1666" s="5"/>
      <c r="P1666" s="5"/>
      <c r="Q1666" s="5"/>
      <c r="R1666" s="8"/>
      <c r="S1666" s="8"/>
      <c r="T1666" s="3"/>
    </row>
    <row r="1667" spans="14:20" x14ac:dyDescent="0.3">
      <c r="N1667" s="5"/>
      <c r="O1667" s="5"/>
      <c r="P1667" s="5"/>
      <c r="Q1667" s="5"/>
      <c r="R1667" s="8"/>
      <c r="S1667" s="8"/>
      <c r="T1667" s="3"/>
    </row>
    <row r="1668" spans="14:20" x14ac:dyDescent="0.3">
      <c r="N1668" s="5"/>
      <c r="O1668" s="5"/>
      <c r="P1668" s="5"/>
      <c r="Q1668" s="5"/>
      <c r="R1668" s="8"/>
      <c r="S1668" s="8"/>
      <c r="T1668" s="3"/>
    </row>
    <row r="1669" spans="14:20" x14ac:dyDescent="0.3">
      <c r="N1669" s="5"/>
      <c r="O1669" s="5"/>
      <c r="P1669" s="5"/>
      <c r="Q1669" s="5"/>
      <c r="R1669" s="8"/>
      <c r="S1669" s="8"/>
      <c r="T1669" s="3"/>
    </row>
    <row r="1670" spans="14:20" x14ac:dyDescent="0.3">
      <c r="N1670" s="5"/>
      <c r="O1670" s="5"/>
      <c r="P1670" s="5"/>
      <c r="Q1670" s="5"/>
      <c r="R1670" s="8"/>
      <c r="S1670" s="8"/>
      <c r="T1670" s="3"/>
    </row>
    <row r="1671" spans="14:20" x14ac:dyDescent="0.3">
      <c r="N1671" s="5"/>
      <c r="O1671" s="5"/>
      <c r="P1671" s="5"/>
      <c r="Q1671" s="5"/>
      <c r="R1671" s="8"/>
      <c r="S1671" s="8"/>
      <c r="T1671" s="3"/>
    </row>
    <row r="1672" spans="14:20" x14ac:dyDescent="0.3">
      <c r="N1672" s="5"/>
      <c r="O1672" s="5"/>
      <c r="P1672" s="5"/>
      <c r="Q1672" s="5"/>
      <c r="R1672" s="8"/>
      <c r="S1672" s="8"/>
      <c r="T1672" s="3"/>
    </row>
    <row r="1673" spans="14:20" x14ac:dyDescent="0.3">
      <c r="N1673" s="5"/>
      <c r="O1673" s="5"/>
      <c r="P1673" s="5"/>
      <c r="Q1673" s="5"/>
      <c r="R1673" s="8"/>
      <c r="S1673" s="8"/>
      <c r="T1673" s="3"/>
    </row>
    <row r="1674" spans="14:20" x14ac:dyDescent="0.3">
      <c r="N1674" s="5"/>
      <c r="O1674" s="5"/>
      <c r="P1674" s="5"/>
      <c r="Q1674" s="5"/>
      <c r="R1674" s="8"/>
      <c r="S1674" s="8"/>
      <c r="T1674" s="3"/>
    </row>
    <row r="1675" spans="14:20" x14ac:dyDescent="0.3">
      <c r="N1675" s="5"/>
      <c r="O1675" s="5"/>
      <c r="P1675" s="5"/>
      <c r="Q1675" s="5"/>
      <c r="R1675" s="8"/>
      <c r="S1675" s="8"/>
      <c r="T1675" s="3"/>
    </row>
    <row r="1676" spans="14:20" x14ac:dyDescent="0.3">
      <c r="N1676" s="5"/>
      <c r="O1676" s="5"/>
      <c r="P1676" s="5"/>
      <c r="Q1676" s="5"/>
      <c r="R1676" s="8"/>
      <c r="S1676" s="8"/>
      <c r="T1676" s="3"/>
    </row>
    <row r="1677" spans="14:20" x14ac:dyDescent="0.3">
      <c r="N1677" s="5"/>
      <c r="O1677" s="5"/>
      <c r="P1677" s="5"/>
      <c r="Q1677" s="5"/>
      <c r="R1677" s="8"/>
      <c r="S1677" s="8"/>
      <c r="T1677" s="3"/>
    </row>
    <row r="1678" spans="14:20" x14ac:dyDescent="0.3">
      <c r="N1678" s="5"/>
      <c r="O1678" s="5"/>
      <c r="P1678" s="5"/>
      <c r="Q1678" s="5"/>
      <c r="R1678" s="8"/>
      <c r="S1678" s="8"/>
      <c r="T1678" s="3"/>
    </row>
    <row r="1679" spans="14:20" x14ac:dyDescent="0.3">
      <c r="N1679" s="5"/>
      <c r="O1679" s="5"/>
      <c r="P1679" s="5"/>
      <c r="Q1679" s="5"/>
      <c r="R1679" s="8"/>
      <c r="S1679" s="8"/>
      <c r="T1679" s="3"/>
    </row>
    <row r="1680" spans="14:20" x14ac:dyDescent="0.3">
      <c r="N1680" s="5"/>
      <c r="O1680" s="5"/>
      <c r="P1680" s="5"/>
      <c r="Q1680" s="5"/>
      <c r="R1680" s="8"/>
      <c r="S1680" s="8"/>
      <c r="T1680" s="3"/>
    </row>
    <row r="1681" spans="14:20" x14ac:dyDescent="0.3">
      <c r="N1681" s="5"/>
      <c r="O1681" s="5"/>
      <c r="P1681" s="5"/>
      <c r="Q1681" s="5"/>
      <c r="R1681" s="8"/>
      <c r="S1681" s="8"/>
      <c r="T1681" s="3"/>
    </row>
    <row r="1682" spans="14:20" x14ac:dyDescent="0.3">
      <c r="N1682" s="5"/>
      <c r="O1682" s="5"/>
      <c r="P1682" s="5"/>
      <c r="Q1682" s="5"/>
      <c r="R1682" s="8"/>
      <c r="S1682" s="8"/>
      <c r="T1682" s="3"/>
    </row>
    <row r="1683" spans="14:20" x14ac:dyDescent="0.3">
      <c r="N1683" s="5"/>
      <c r="O1683" s="5"/>
      <c r="P1683" s="5"/>
      <c r="Q1683" s="5"/>
      <c r="R1683" s="8"/>
      <c r="S1683" s="8"/>
      <c r="T1683" s="3"/>
    </row>
    <row r="1684" spans="14:20" x14ac:dyDescent="0.3">
      <c r="N1684" s="5"/>
      <c r="O1684" s="5"/>
      <c r="P1684" s="5"/>
      <c r="Q1684" s="5"/>
      <c r="R1684" s="8"/>
      <c r="S1684" s="8"/>
      <c r="T1684" s="3"/>
    </row>
    <row r="1685" spans="14:20" x14ac:dyDescent="0.3">
      <c r="N1685" s="5"/>
      <c r="O1685" s="5"/>
      <c r="P1685" s="5"/>
      <c r="Q1685" s="5"/>
      <c r="R1685" s="8"/>
      <c r="S1685" s="8"/>
      <c r="T1685" s="3"/>
    </row>
    <row r="1686" spans="14:20" x14ac:dyDescent="0.3">
      <c r="N1686" s="5"/>
      <c r="O1686" s="5"/>
      <c r="P1686" s="5"/>
      <c r="Q1686" s="5"/>
      <c r="R1686" s="8"/>
      <c r="S1686" s="8"/>
      <c r="T1686" s="3"/>
    </row>
    <row r="1687" spans="14:20" x14ac:dyDescent="0.3">
      <c r="N1687" s="5"/>
      <c r="O1687" s="5"/>
      <c r="P1687" s="5"/>
      <c r="Q1687" s="5"/>
      <c r="R1687" s="8"/>
      <c r="S1687" s="8"/>
      <c r="T1687" s="3"/>
    </row>
    <row r="1688" spans="14:20" x14ac:dyDescent="0.3">
      <c r="N1688" s="5"/>
      <c r="O1688" s="5"/>
      <c r="P1688" s="5"/>
      <c r="Q1688" s="5"/>
      <c r="R1688" s="8"/>
      <c r="S1688" s="8"/>
      <c r="T1688" s="3"/>
    </row>
    <row r="1689" spans="14:20" x14ac:dyDescent="0.3">
      <c r="N1689" s="5"/>
      <c r="O1689" s="5"/>
      <c r="P1689" s="5"/>
      <c r="Q1689" s="5"/>
      <c r="R1689" s="8"/>
      <c r="S1689" s="8"/>
      <c r="T1689" s="3"/>
    </row>
    <row r="1690" spans="14:20" x14ac:dyDescent="0.3">
      <c r="N1690" s="5"/>
      <c r="O1690" s="5"/>
      <c r="P1690" s="5"/>
      <c r="Q1690" s="5"/>
      <c r="R1690" s="8"/>
      <c r="S1690" s="8"/>
      <c r="T1690" s="3"/>
    </row>
    <row r="1691" spans="14:20" x14ac:dyDescent="0.3">
      <c r="N1691" s="5"/>
      <c r="O1691" s="5"/>
      <c r="P1691" s="5"/>
      <c r="Q1691" s="5"/>
      <c r="R1691" s="8"/>
      <c r="S1691" s="8"/>
      <c r="T1691" s="3"/>
    </row>
    <row r="1692" spans="14:20" x14ac:dyDescent="0.3">
      <c r="N1692" s="5"/>
      <c r="O1692" s="5"/>
      <c r="P1692" s="5"/>
      <c r="Q1692" s="5"/>
      <c r="R1692" s="8"/>
      <c r="S1692" s="8"/>
      <c r="T1692" s="3"/>
    </row>
    <row r="1693" spans="14:20" x14ac:dyDescent="0.3">
      <c r="N1693" s="5"/>
      <c r="O1693" s="5"/>
      <c r="P1693" s="5"/>
      <c r="Q1693" s="5"/>
      <c r="R1693" s="8"/>
      <c r="S1693" s="8"/>
      <c r="T1693" s="3"/>
    </row>
    <row r="1694" spans="14:20" x14ac:dyDescent="0.3">
      <c r="N1694" s="5"/>
      <c r="O1694" s="5"/>
      <c r="P1694" s="5"/>
      <c r="Q1694" s="5"/>
      <c r="R1694" s="8"/>
      <c r="S1694" s="8"/>
      <c r="T1694" s="3"/>
    </row>
    <row r="1695" spans="14:20" x14ac:dyDescent="0.3">
      <c r="N1695" s="5"/>
      <c r="O1695" s="5"/>
      <c r="P1695" s="5"/>
      <c r="Q1695" s="5"/>
      <c r="R1695" s="8"/>
      <c r="S1695" s="8"/>
      <c r="T1695" s="3"/>
    </row>
    <row r="1696" spans="14:20" x14ac:dyDescent="0.3">
      <c r="N1696" s="5"/>
      <c r="O1696" s="5"/>
      <c r="P1696" s="5"/>
      <c r="Q1696" s="5"/>
      <c r="R1696" s="8"/>
      <c r="S1696" s="8"/>
      <c r="T1696" s="3"/>
    </row>
    <row r="1697" spans="14:20" x14ac:dyDescent="0.3">
      <c r="N1697" s="5"/>
      <c r="O1697" s="5"/>
      <c r="P1697" s="5"/>
      <c r="Q1697" s="5"/>
      <c r="R1697" s="8"/>
      <c r="S1697" s="8"/>
      <c r="T1697" s="3"/>
    </row>
    <row r="1698" spans="14:20" x14ac:dyDescent="0.3">
      <c r="N1698" s="5"/>
      <c r="O1698" s="5"/>
      <c r="P1698" s="5"/>
      <c r="Q1698" s="5"/>
      <c r="R1698" s="8"/>
      <c r="S1698" s="8"/>
      <c r="T1698" s="3"/>
    </row>
    <row r="1699" spans="14:20" x14ac:dyDescent="0.3">
      <c r="N1699" s="5"/>
      <c r="O1699" s="5"/>
      <c r="P1699" s="5"/>
      <c r="Q1699" s="5"/>
      <c r="R1699" s="8"/>
      <c r="S1699" s="8"/>
      <c r="T1699" s="3"/>
    </row>
    <row r="1700" spans="14:20" x14ac:dyDescent="0.3">
      <c r="N1700" s="5"/>
      <c r="O1700" s="5"/>
      <c r="P1700" s="5"/>
      <c r="Q1700" s="5"/>
      <c r="R1700" s="8"/>
      <c r="S1700" s="8"/>
      <c r="T1700" s="3"/>
    </row>
    <row r="1701" spans="14:20" x14ac:dyDescent="0.3">
      <c r="N1701" s="5"/>
      <c r="O1701" s="5"/>
      <c r="P1701" s="5"/>
      <c r="Q1701" s="5"/>
      <c r="R1701" s="8"/>
      <c r="S1701" s="8"/>
      <c r="T1701" s="3"/>
    </row>
    <row r="1702" spans="14:20" x14ac:dyDescent="0.3">
      <c r="N1702" s="5"/>
      <c r="O1702" s="5"/>
      <c r="P1702" s="5"/>
      <c r="Q1702" s="5"/>
      <c r="R1702" s="8"/>
      <c r="S1702" s="8"/>
      <c r="T1702" s="3"/>
    </row>
    <row r="1703" spans="14:20" x14ac:dyDescent="0.3">
      <c r="N1703" s="5"/>
      <c r="O1703" s="5"/>
      <c r="P1703" s="5"/>
      <c r="Q1703" s="5"/>
      <c r="R1703" s="8"/>
      <c r="S1703" s="8"/>
      <c r="T1703" s="3"/>
    </row>
    <row r="1704" spans="14:20" x14ac:dyDescent="0.3">
      <c r="N1704" s="5"/>
      <c r="O1704" s="5"/>
      <c r="P1704" s="5"/>
      <c r="Q1704" s="5"/>
      <c r="R1704" s="8"/>
      <c r="S1704" s="8"/>
      <c r="T1704" s="3"/>
    </row>
    <row r="1705" spans="14:20" x14ac:dyDescent="0.3">
      <c r="N1705" s="5"/>
      <c r="O1705" s="5"/>
      <c r="P1705" s="5"/>
      <c r="Q1705" s="5"/>
      <c r="R1705" s="8"/>
      <c r="S1705" s="8"/>
      <c r="T1705" s="3"/>
    </row>
    <row r="1706" spans="14:20" x14ac:dyDescent="0.3">
      <c r="N1706" s="5"/>
      <c r="O1706" s="5"/>
      <c r="P1706" s="5"/>
      <c r="Q1706" s="5"/>
      <c r="R1706" s="8"/>
      <c r="S1706" s="8"/>
      <c r="T1706" s="3"/>
    </row>
    <row r="1707" spans="14:20" x14ac:dyDescent="0.3">
      <c r="N1707" s="5"/>
      <c r="O1707" s="5"/>
      <c r="P1707" s="5"/>
      <c r="Q1707" s="5"/>
      <c r="R1707" s="8"/>
      <c r="S1707" s="8"/>
      <c r="T1707" s="3"/>
    </row>
    <row r="1708" spans="14:20" x14ac:dyDescent="0.3">
      <c r="N1708" s="5"/>
      <c r="O1708" s="5"/>
      <c r="P1708" s="5"/>
      <c r="Q1708" s="5"/>
      <c r="R1708" s="8"/>
      <c r="S1708" s="8"/>
      <c r="T1708" s="3"/>
    </row>
    <row r="1709" spans="14:20" x14ac:dyDescent="0.3">
      <c r="N1709" s="5"/>
      <c r="O1709" s="5"/>
      <c r="P1709" s="5"/>
      <c r="Q1709" s="5"/>
      <c r="R1709" s="8"/>
      <c r="S1709" s="8"/>
      <c r="T1709" s="3"/>
    </row>
    <row r="1710" spans="14:20" x14ac:dyDescent="0.3">
      <c r="N1710" s="5"/>
      <c r="O1710" s="5"/>
      <c r="P1710" s="5"/>
      <c r="Q1710" s="5"/>
      <c r="R1710" s="8"/>
      <c r="S1710" s="8"/>
      <c r="T1710" s="3"/>
    </row>
    <row r="1711" spans="14:20" x14ac:dyDescent="0.3">
      <c r="N1711" s="5"/>
      <c r="O1711" s="5"/>
      <c r="P1711" s="5"/>
      <c r="Q1711" s="5"/>
      <c r="R1711" s="8"/>
      <c r="S1711" s="8"/>
      <c r="T1711" s="3"/>
    </row>
    <row r="1712" spans="14:20" x14ac:dyDescent="0.3">
      <c r="N1712" s="5"/>
      <c r="O1712" s="5"/>
      <c r="P1712" s="5"/>
      <c r="Q1712" s="5"/>
      <c r="R1712" s="8"/>
      <c r="S1712" s="8"/>
      <c r="T1712" s="3"/>
    </row>
    <row r="1713" spans="14:20" x14ac:dyDescent="0.3">
      <c r="N1713" s="5"/>
      <c r="O1713" s="5"/>
      <c r="P1713" s="5"/>
      <c r="Q1713" s="5"/>
      <c r="R1713" s="8"/>
      <c r="S1713" s="8"/>
      <c r="T1713" s="3"/>
    </row>
    <row r="1714" spans="14:20" x14ac:dyDescent="0.3">
      <c r="N1714" s="5"/>
      <c r="O1714" s="5"/>
      <c r="P1714" s="5"/>
      <c r="Q1714" s="5"/>
      <c r="R1714" s="8"/>
      <c r="S1714" s="8"/>
      <c r="T1714" s="3"/>
    </row>
    <row r="1715" spans="14:20" x14ac:dyDescent="0.3">
      <c r="N1715" s="5"/>
      <c r="O1715" s="5"/>
      <c r="P1715" s="5"/>
      <c r="Q1715" s="5"/>
      <c r="R1715" s="8"/>
      <c r="S1715" s="8"/>
      <c r="T1715" s="3"/>
    </row>
    <row r="1716" spans="14:20" x14ac:dyDescent="0.3">
      <c r="N1716" s="5"/>
      <c r="O1716" s="5"/>
      <c r="P1716" s="5"/>
      <c r="Q1716" s="5"/>
      <c r="R1716" s="8"/>
      <c r="S1716" s="8"/>
      <c r="T1716" s="3"/>
    </row>
    <row r="1717" spans="14:20" x14ac:dyDescent="0.3">
      <c r="N1717" s="5"/>
      <c r="O1717" s="5"/>
      <c r="P1717" s="5"/>
      <c r="Q1717" s="5"/>
      <c r="R1717" s="8"/>
      <c r="S1717" s="8"/>
      <c r="T1717" s="3"/>
    </row>
    <row r="1718" spans="14:20" x14ac:dyDescent="0.3">
      <c r="N1718" s="5"/>
      <c r="O1718" s="5"/>
      <c r="P1718" s="5"/>
      <c r="Q1718" s="5"/>
      <c r="R1718" s="8"/>
      <c r="S1718" s="8"/>
      <c r="T1718" s="3"/>
    </row>
    <row r="1719" spans="14:20" x14ac:dyDescent="0.3">
      <c r="N1719" s="5"/>
      <c r="O1719" s="5"/>
      <c r="P1719" s="5"/>
      <c r="Q1719" s="5"/>
      <c r="R1719" s="8"/>
      <c r="S1719" s="8"/>
      <c r="T1719" s="3"/>
    </row>
    <row r="1720" spans="14:20" x14ac:dyDescent="0.3">
      <c r="N1720" s="5"/>
      <c r="O1720" s="5"/>
      <c r="P1720" s="5"/>
      <c r="Q1720" s="5"/>
      <c r="R1720" s="8"/>
      <c r="S1720" s="8"/>
      <c r="T1720" s="3"/>
    </row>
    <row r="1721" spans="14:20" x14ac:dyDescent="0.3">
      <c r="N1721" s="5"/>
      <c r="O1721" s="5"/>
      <c r="P1721" s="5"/>
      <c r="Q1721" s="5"/>
      <c r="R1721" s="8"/>
      <c r="S1721" s="8"/>
      <c r="T1721" s="3"/>
    </row>
    <row r="1722" spans="14:20" x14ac:dyDescent="0.3">
      <c r="N1722" s="5"/>
      <c r="O1722" s="5"/>
      <c r="P1722" s="5"/>
      <c r="Q1722" s="5"/>
      <c r="R1722" s="8"/>
      <c r="S1722" s="8"/>
      <c r="T1722" s="3"/>
    </row>
    <row r="1723" spans="14:20" x14ac:dyDescent="0.3">
      <c r="N1723" s="5"/>
      <c r="O1723" s="5"/>
      <c r="P1723" s="5"/>
      <c r="Q1723" s="5"/>
      <c r="R1723" s="8"/>
      <c r="S1723" s="8"/>
      <c r="T1723" s="3"/>
    </row>
    <row r="1724" spans="14:20" x14ac:dyDescent="0.3">
      <c r="N1724" s="5"/>
      <c r="O1724" s="5"/>
      <c r="P1724" s="5"/>
      <c r="Q1724" s="5"/>
      <c r="R1724" s="8"/>
      <c r="S1724" s="8"/>
      <c r="T1724" s="3"/>
    </row>
    <row r="1725" spans="14:20" x14ac:dyDescent="0.3">
      <c r="N1725" s="5"/>
      <c r="O1725" s="5"/>
      <c r="P1725" s="5"/>
      <c r="Q1725" s="5"/>
      <c r="R1725" s="8"/>
      <c r="S1725" s="8"/>
      <c r="T1725" s="3"/>
    </row>
    <row r="1726" spans="14:20" x14ac:dyDescent="0.3">
      <c r="N1726" s="5"/>
      <c r="O1726" s="5"/>
      <c r="P1726" s="5"/>
      <c r="Q1726" s="5"/>
      <c r="R1726" s="8"/>
      <c r="S1726" s="8"/>
      <c r="T1726" s="3"/>
    </row>
    <row r="1727" spans="14:20" x14ac:dyDescent="0.3">
      <c r="N1727" s="5"/>
      <c r="O1727" s="5"/>
      <c r="P1727" s="5"/>
      <c r="Q1727" s="5"/>
      <c r="R1727" s="8"/>
      <c r="S1727" s="8"/>
      <c r="T1727" s="3"/>
    </row>
    <row r="1728" spans="14:20" x14ac:dyDescent="0.3">
      <c r="N1728" s="5"/>
      <c r="O1728" s="5"/>
      <c r="P1728" s="5"/>
      <c r="Q1728" s="5"/>
      <c r="R1728" s="8"/>
      <c r="S1728" s="8"/>
      <c r="T1728" s="3"/>
    </row>
    <row r="1729" spans="14:20" x14ac:dyDescent="0.3">
      <c r="N1729" s="5"/>
      <c r="O1729" s="5"/>
      <c r="P1729" s="5"/>
      <c r="Q1729" s="5"/>
      <c r="R1729" s="8"/>
      <c r="S1729" s="8"/>
      <c r="T1729" s="3"/>
    </row>
    <row r="1730" spans="14:20" x14ac:dyDescent="0.3">
      <c r="N1730" s="5"/>
      <c r="O1730" s="5"/>
      <c r="P1730" s="5"/>
      <c r="Q1730" s="5"/>
      <c r="R1730" s="8"/>
      <c r="S1730" s="8"/>
      <c r="T1730" s="3"/>
    </row>
    <row r="1731" spans="14:20" x14ac:dyDescent="0.3">
      <c r="N1731" s="5"/>
      <c r="O1731" s="5"/>
      <c r="P1731" s="5"/>
      <c r="Q1731" s="5"/>
      <c r="R1731" s="8"/>
      <c r="S1731" s="8"/>
      <c r="T1731" s="3"/>
    </row>
    <row r="1732" spans="14:20" x14ac:dyDescent="0.3">
      <c r="N1732" s="5"/>
      <c r="O1732" s="5"/>
      <c r="P1732" s="5"/>
      <c r="Q1732" s="5"/>
      <c r="R1732" s="8"/>
      <c r="S1732" s="8"/>
      <c r="T1732" s="3"/>
    </row>
    <row r="1733" spans="14:20" x14ac:dyDescent="0.3">
      <c r="N1733" s="5"/>
      <c r="O1733" s="5"/>
      <c r="P1733" s="5"/>
      <c r="Q1733" s="5"/>
      <c r="R1733" s="8"/>
      <c r="S1733" s="8"/>
      <c r="T1733" s="3"/>
    </row>
    <row r="1734" spans="14:20" x14ac:dyDescent="0.3">
      <c r="N1734" s="5"/>
      <c r="O1734" s="5"/>
      <c r="P1734" s="5"/>
      <c r="Q1734" s="5"/>
      <c r="R1734" s="8"/>
      <c r="S1734" s="8"/>
      <c r="T1734" s="3"/>
    </row>
    <row r="1735" spans="14:20" x14ac:dyDescent="0.3">
      <c r="N1735" s="5"/>
      <c r="O1735" s="5"/>
      <c r="P1735" s="5"/>
      <c r="Q1735" s="5"/>
      <c r="R1735" s="8"/>
      <c r="S1735" s="8"/>
      <c r="T1735" s="3"/>
    </row>
    <row r="1736" spans="14:20" x14ac:dyDescent="0.3">
      <c r="N1736" s="5"/>
      <c r="O1736" s="5"/>
      <c r="P1736" s="5"/>
      <c r="Q1736" s="5"/>
      <c r="R1736" s="8"/>
      <c r="S1736" s="8"/>
      <c r="T1736" s="3"/>
    </row>
    <row r="1737" spans="14:20" x14ac:dyDescent="0.3">
      <c r="N1737" s="5"/>
      <c r="O1737" s="5"/>
      <c r="P1737" s="5"/>
      <c r="Q1737" s="5"/>
      <c r="R1737" s="8"/>
      <c r="S1737" s="8"/>
      <c r="T1737" s="3"/>
    </row>
    <row r="1738" spans="14:20" x14ac:dyDescent="0.3">
      <c r="N1738" s="5"/>
      <c r="O1738" s="5"/>
      <c r="P1738" s="5"/>
      <c r="Q1738" s="5"/>
      <c r="R1738" s="8"/>
      <c r="S1738" s="8"/>
      <c r="T1738" s="3"/>
    </row>
    <row r="1739" spans="14:20" x14ac:dyDescent="0.3">
      <c r="N1739" s="5"/>
      <c r="O1739" s="5"/>
      <c r="P1739" s="5"/>
      <c r="Q1739" s="5"/>
      <c r="R1739" s="8"/>
      <c r="S1739" s="8"/>
      <c r="T1739" s="3"/>
    </row>
    <row r="1740" spans="14:20" x14ac:dyDescent="0.3">
      <c r="N1740" s="5"/>
      <c r="O1740" s="5"/>
      <c r="P1740" s="5"/>
      <c r="Q1740" s="5"/>
      <c r="R1740" s="8"/>
      <c r="S1740" s="8"/>
      <c r="T1740" s="3"/>
    </row>
    <row r="1741" spans="14:20" x14ac:dyDescent="0.3">
      <c r="N1741" s="5"/>
      <c r="O1741" s="5"/>
      <c r="P1741" s="5"/>
      <c r="Q1741" s="5"/>
      <c r="R1741" s="8"/>
      <c r="S1741" s="8"/>
      <c r="T1741" s="3"/>
    </row>
    <row r="1742" spans="14:20" x14ac:dyDescent="0.3">
      <c r="N1742" s="5"/>
      <c r="O1742" s="5"/>
      <c r="P1742" s="5"/>
      <c r="Q1742" s="5"/>
      <c r="R1742" s="8"/>
      <c r="S1742" s="8"/>
      <c r="T1742" s="3"/>
    </row>
    <row r="1743" spans="14:20" x14ac:dyDescent="0.3">
      <c r="N1743" s="5"/>
      <c r="O1743" s="5"/>
      <c r="P1743" s="5"/>
      <c r="Q1743" s="5"/>
      <c r="R1743" s="8"/>
      <c r="S1743" s="8"/>
      <c r="T1743" s="3"/>
    </row>
    <row r="1744" spans="14:20" x14ac:dyDescent="0.3">
      <c r="N1744" s="5"/>
      <c r="O1744" s="5"/>
      <c r="P1744" s="5"/>
      <c r="Q1744" s="5"/>
      <c r="R1744" s="8"/>
      <c r="S1744" s="8"/>
      <c r="T1744" s="3"/>
    </row>
    <row r="1745" spans="14:20" x14ac:dyDescent="0.3">
      <c r="N1745" s="5"/>
      <c r="O1745" s="5"/>
      <c r="P1745" s="5"/>
      <c r="Q1745" s="5"/>
      <c r="R1745" s="8"/>
      <c r="S1745" s="8"/>
      <c r="T1745" s="3"/>
    </row>
    <row r="1746" spans="14:20" x14ac:dyDescent="0.3">
      <c r="N1746" s="5"/>
      <c r="O1746" s="5"/>
      <c r="P1746" s="5"/>
      <c r="Q1746" s="5"/>
      <c r="R1746" s="8"/>
      <c r="S1746" s="8"/>
      <c r="T1746" s="3"/>
    </row>
    <row r="1747" spans="14:20" x14ac:dyDescent="0.3">
      <c r="N1747" s="5"/>
      <c r="O1747" s="5"/>
      <c r="P1747" s="5"/>
      <c r="Q1747" s="5"/>
      <c r="R1747" s="8"/>
      <c r="S1747" s="8"/>
      <c r="T1747" s="3"/>
    </row>
    <row r="1748" spans="14:20" x14ac:dyDescent="0.3">
      <c r="N1748" s="5"/>
      <c r="O1748" s="5"/>
      <c r="P1748" s="5"/>
      <c r="Q1748" s="5"/>
      <c r="R1748" s="8"/>
      <c r="S1748" s="8"/>
      <c r="T1748" s="3"/>
    </row>
    <row r="1749" spans="14:20" x14ac:dyDescent="0.3">
      <c r="N1749" s="5"/>
      <c r="O1749" s="5"/>
      <c r="P1749" s="5"/>
      <c r="Q1749" s="5"/>
      <c r="R1749" s="8"/>
      <c r="S1749" s="8"/>
      <c r="T1749" s="3"/>
    </row>
    <row r="1750" spans="14:20" x14ac:dyDescent="0.3">
      <c r="N1750" s="5"/>
      <c r="O1750" s="5"/>
      <c r="P1750" s="5"/>
      <c r="Q1750" s="5"/>
      <c r="R1750" s="8"/>
      <c r="S1750" s="8"/>
      <c r="T1750" s="3"/>
    </row>
    <row r="1751" spans="14:20" x14ac:dyDescent="0.3">
      <c r="N1751" s="5"/>
      <c r="O1751" s="5"/>
      <c r="P1751" s="5"/>
      <c r="Q1751" s="5"/>
      <c r="R1751" s="8"/>
      <c r="S1751" s="8"/>
      <c r="T1751" s="3"/>
    </row>
    <row r="1752" spans="14:20" x14ac:dyDescent="0.3">
      <c r="N1752" s="5"/>
      <c r="O1752" s="5"/>
      <c r="P1752" s="5"/>
      <c r="Q1752" s="5"/>
      <c r="R1752" s="8"/>
      <c r="S1752" s="8"/>
      <c r="T1752" s="3"/>
    </row>
    <row r="1753" spans="14:20" x14ac:dyDescent="0.3">
      <c r="N1753" s="5"/>
      <c r="O1753" s="5"/>
      <c r="P1753" s="5"/>
      <c r="Q1753" s="5"/>
      <c r="R1753" s="8"/>
      <c r="S1753" s="8"/>
      <c r="T1753" s="3"/>
    </row>
    <row r="1754" spans="14:20" x14ac:dyDescent="0.3">
      <c r="N1754" s="5"/>
      <c r="O1754" s="5"/>
      <c r="P1754" s="5"/>
      <c r="Q1754" s="5"/>
      <c r="R1754" s="8"/>
      <c r="S1754" s="8"/>
      <c r="T1754" s="3"/>
    </row>
    <row r="1755" spans="14:20" x14ac:dyDescent="0.3">
      <c r="N1755" s="5"/>
      <c r="O1755" s="5"/>
      <c r="P1755" s="5"/>
      <c r="Q1755" s="5"/>
      <c r="R1755" s="8"/>
      <c r="S1755" s="8"/>
      <c r="T1755" s="3"/>
    </row>
    <row r="1756" spans="14:20" x14ac:dyDescent="0.3">
      <c r="N1756" s="5"/>
      <c r="O1756" s="5"/>
      <c r="P1756" s="5"/>
      <c r="Q1756" s="5"/>
      <c r="R1756" s="8"/>
      <c r="S1756" s="8"/>
      <c r="T1756" s="3"/>
    </row>
    <row r="1757" spans="14:20" x14ac:dyDescent="0.3">
      <c r="N1757" s="5"/>
      <c r="O1757" s="5"/>
      <c r="P1757" s="5"/>
      <c r="Q1757" s="5"/>
      <c r="R1757" s="8"/>
      <c r="S1757" s="8"/>
      <c r="T1757" s="3"/>
    </row>
    <row r="1758" spans="14:20" x14ac:dyDescent="0.3">
      <c r="N1758" s="5"/>
      <c r="O1758" s="5"/>
      <c r="P1758" s="5"/>
      <c r="Q1758" s="5"/>
      <c r="R1758" s="8"/>
      <c r="S1758" s="8"/>
      <c r="T1758" s="3"/>
    </row>
    <row r="1759" spans="14:20" x14ac:dyDescent="0.3">
      <c r="N1759" s="5"/>
      <c r="O1759" s="5"/>
      <c r="P1759" s="5"/>
      <c r="Q1759" s="5"/>
      <c r="R1759" s="8"/>
      <c r="S1759" s="8"/>
      <c r="T1759" s="3"/>
    </row>
    <row r="1760" spans="14:20" x14ac:dyDescent="0.3">
      <c r="N1760" s="5"/>
      <c r="O1760" s="5"/>
      <c r="P1760" s="5"/>
      <c r="Q1760" s="5"/>
      <c r="R1760" s="8"/>
      <c r="S1760" s="8"/>
      <c r="T1760" s="3"/>
    </row>
    <row r="1761" spans="14:20" x14ac:dyDescent="0.3">
      <c r="N1761" s="5"/>
      <c r="O1761" s="5"/>
      <c r="P1761" s="5"/>
      <c r="Q1761" s="5"/>
      <c r="R1761" s="8"/>
      <c r="S1761" s="8"/>
      <c r="T1761" s="3"/>
    </row>
    <row r="1762" spans="14:20" x14ac:dyDescent="0.3">
      <c r="N1762" s="5"/>
      <c r="O1762" s="5"/>
      <c r="P1762" s="5"/>
      <c r="Q1762" s="5"/>
      <c r="R1762" s="8"/>
      <c r="S1762" s="8"/>
      <c r="T1762" s="3"/>
    </row>
    <row r="1763" spans="14:20" x14ac:dyDescent="0.3">
      <c r="N1763" s="5"/>
      <c r="O1763" s="5"/>
      <c r="P1763" s="5"/>
      <c r="Q1763" s="5"/>
      <c r="R1763" s="8"/>
      <c r="S1763" s="8"/>
      <c r="T1763" s="3"/>
    </row>
    <row r="1764" spans="14:20" x14ac:dyDescent="0.3">
      <c r="N1764" s="5"/>
      <c r="O1764" s="5"/>
      <c r="P1764" s="5"/>
      <c r="Q1764" s="5"/>
      <c r="R1764" s="8"/>
      <c r="S1764" s="8"/>
      <c r="T1764" s="3"/>
    </row>
    <row r="1765" spans="14:20" x14ac:dyDescent="0.3">
      <c r="N1765" s="5"/>
      <c r="O1765" s="5"/>
      <c r="P1765" s="5"/>
      <c r="Q1765" s="5"/>
      <c r="R1765" s="8"/>
      <c r="S1765" s="8"/>
      <c r="T1765" s="3"/>
    </row>
    <row r="1766" spans="14:20" x14ac:dyDescent="0.3">
      <c r="N1766" s="5"/>
      <c r="O1766" s="5"/>
      <c r="P1766" s="5"/>
      <c r="Q1766" s="5"/>
      <c r="R1766" s="8"/>
      <c r="S1766" s="8"/>
      <c r="T1766" s="3"/>
    </row>
    <row r="1767" spans="14:20" x14ac:dyDescent="0.3">
      <c r="N1767" s="5"/>
      <c r="O1767" s="5"/>
      <c r="P1767" s="5"/>
      <c r="Q1767" s="5"/>
      <c r="R1767" s="8"/>
      <c r="S1767" s="8"/>
      <c r="T1767" s="3"/>
    </row>
    <row r="1768" spans="14:20" x14ac:dyDescent="0.3">
      <c r="N1768" s="5"/>
      <c r="O1768" s="5"/>
      <c r="P1768" s="5"/>
      <c r="Q1768" s="5"/>
      <c r="R1768" s="8"/>
      <c r="S1768" s="8"/>
      <c r="T1768" s="3"/>
    </row>
    <row r="1769" spans="14:20" x14ac:dyDescent="0.3">
      <c r="N1769" s="5"/>
      <c r="O1769" s="5"/>
      <c r="P1769" s="5"/>
      <c r="Q1769" s="5"/>
      <c r="R1769" s="8"/>
      <c r="S1769" s="8"/>
      <c r="T1769" s="3"/>
    </row>
    <row r="1770" spans="14:20" x14ac:dyDescent="0.3">
      <c r="N1770" s="5"/>
      <c r="O1770" s="5"/>
      <c r="P1770" s="5"/>
      <c r="Q1770" s="5"/>
      <c r="R1770" s="8"/>
      <c r="S1770" s="8"/>
      <c r="T1770" s="3"/>
    </row>
    <row r="1771" spans="14:20" x14ac:dyDescent="0.3">
      <c r="N1771" s="5"/>
      <c r="O1771" s="5"/>
      <c r="P1771" s="5"/>
      <c r="Q1771" s="5"/>
      <c r="R1771" s="8"/>
      <c r="S1771" s="8"/>
      <c r="T1771" s="3"/>
    </row>
    <row r="1772" spans="14:20" x14ac:dyDescent="0.3">
      <c r="N1772" s="5"/>
      <c r="O1772" s="5"/>
      <c r="P1772" s="5"/>
      <c r="Q1772" s="5"/>
      <c r="R1772" s="8"/>
      <c r="S1772" s="8"/>
      <c r="T1772" s="3"/>
    </row>
    <row r="1773" spans="14:20" x14ac:dyDescent="0.3">
      <c r="N1773" s="5"/>
      <c r="O1773" s="5"/>
      <c r="P1773" s="5"/>
      <c r="Q1773" s="5"/>
      <c r="R1773" s="8"/>
      <c r="S1773" s="8"/>
      <c r="T1773" s="3"/>
    </row>
    <row r="1774" spans="14:20" x14ac:dyDescent="0.3">
      <c r="N1774" s="5"/>
      <c r="O1774" s="5"/>
      <c r="P1774" s="5"/>
      <c r="Q1774" s="5"/>
      <c r="R1774" s="8"/>
      <c r="S1774" s="8"/>
      <c r="T1774" s="3"/>
    </row>
    <row r="1775" spans="14:20" x14ac:dyDescent="0.3">
      <c r="N1775" s="5"/>
      <c r="O1775" s="5"/>
      <c r="P1775" s="5"/>
      <c r="Q1775" s="5"/>
      <c r="R1775" s="8"/>
      <c r="S1775" s="8"/>
      <c r="T1775" s="3"/>
    </row>
    <row r="1776" spans="14:20" x14ac:dyDescent="0.3">
      <c r="N1776" s="5"/>
      <c r="O1776" s="5"/>
      <c r="P1776" s="5"/>
      <c r="Q1776" s="5"/>
      <c r="R1776" s="8"/>
      <c r="S1776" s="8"/>
      <c r="T1776" s="3"/>
    </row>
    <row r="1777" spans="14:20" x14ac:dyDescent="0.3">
      <c r="N1777" s="5"/>
      <c r="O1777" s="5"/>
      <c r="P1777" s="5"/>
      <c r="Q1777" s="5"/>
      <c r="R1777" s="8"/>
      <c r="S1777" s="8"/>
      <c r="T1777" s="3"/>
    </row>
    <row r="1778" spans="14:20" x14ac:dyDescent="0.3">
      <c r="N1778" s="5"/>
      <c r="O1778" s="5"/>
      <c r="P1778" s="5"/>
      <c r="Q1778" s="5"/>
      <c r="R1778" s="8"/>
      <c r="S1778" s="8"/>
      <c r="T1778" s="3"/>
    </row>
    <row r="1779" spans="14:20" x14ac:dyDescent="0.3">
      <c r="N1779" s="5"/>
      <c r="O1779" s="5"/>
      <c r="P1779" s="5"/>
      <c r="Q1779" s="5"/>
      <c r="R1779" s="8"/>
      <c r="S1779" s="8"/>
      <c r="T1779" s="3"/>
    </row>
    <row r="1780" spans="14:20" x14ac:dyDescent="0.3">
      <c r="N1780" s="5"/>
      <c r="O1780" s="5"/>
      <c r="P1780" s="5"/>
      <c r="Q1780" s="5"/>
      <c r="R1780" s="8"/>
      <c r="S1780" s="8"/>
      <c r="T1780" s="3"/>
    </row>
    <row r="1781" spans="14:20" x14ac:dyDescent="0.3">
      <c r="N1781" s="5"/>
      <c r="O1781" s="5"/>
      <c r="P1781" s="5"/>
      <c r="Q1781" s="5"/>
      <c r="R1781" s="8"/>
      <c r="S1781" s="8"/>
      <c r="T1781" s="3"/>
    </row>
    <row r="1782" spans="14:20" x14ac:dyDescent="0.3">
      <c r="N1782" s="5"/>
      <c r="O1782" s="5"/>
      <c r="P1782" s="5"/>
      <c r="Q1782" s="5"/>
      <c r="R1782" s="8"/>
      <c r="S1782" s="8"/>
      <c r="T1782" s="3"/>
    </row>
    <row r="1783" spans="14:20" x14ac:dyDescent="0.3">
      <c r="N1783" s="5"/>
      <c r="O1783" s="5"/>
      <c r="P1783" s="5"/>
      <c r="Q1783" s="5"/>
      <c r="R1783" s="8"/>
      <c r="S1783" s="8"/>
      <c r="T1783" s="3"/>
    </row>
    <row r="1784" spans="14:20" x14ac:dyDescent="0.3">
      <c r="N1784" s="5"/>
      <c r="O1784" s="5"/>
      <c r="P1784" s="5"/>
      <c r="Q1784" s="5"/>
      <c r="R1784" s="8"/>
      <c r="S1784" s="8"/>
      <c r="T1784" s="3"/>
    </row>
    <row r="1785" spans="14:20" x14ac:dyDescent="0.3">
      <c r="N1785" s="5"/>
      <c r="O1785" s="5"/>
      <c r="P1785" s="5"/>
      <c r="Q1785" s="5"/>
      <c r="R1785" s="8"/>
      <c r="S1785" s="8"/>
      <c r="T1785" s="3"/>
    </row>
    <row r="1786" spans="14:20" x14ac:dyDescent="0.3">
      <c r="N1786" s="5"/>
      <c r="O1786" s="5"/>
      <c r="P1786" s="5"/>
      <c r="Q1786" s="5"/>
      <c r="R1786" s="8"/>
      <c r="S1786" s="8"/>
      <c r="T1786" s="3"/>
    </row>
    <row r="1787" spans="14:20" x14ac:dyDescent="0.3">
      <c r="N1787" s="5"/>
      <c r="O1787" s="5"/>
      <c r="P1787" s="5"/>
      <c r="Q1787" s="5"/>
      <c r="R1787" s="8"/>
      <c r="S1787" s="8"/>
      <c r="T1787" s="3"/>
    </row>
    <row r="1788" spans="14:20" x14ac:dyDescent="0.3">
      <c r="N1788" s="5"/>
      <c r="O1788" s="5"/>
      <c r="P1788" s="5"/>
      <c r="Q1788" s="5"/>
      <c r="R1788" s="8"/>
      <c r="S1788" s="8"/>
      <c r="T1788" s="3"/>
    </row>
    <row r="1789" spans="14:20" x14ac:dyDescent="0.3">
      <c r="N1789" s="5"/>
      <c r="O1789" s="5"/>
      <c r="P1789" s="5"/>
      <c r="Q1789" s="5"/>
      <c r="R1789" s="8"/>
      <c r="S1789" s="8"/>
      <c r="T1789" s="3"/>
    </row>
    <row r="1790" spans="14:20" x14ac:dyDescent="0.3">
      <c r="N1790" s="5"/>
      <c r="O1790" s="5"/>
      <c r="P1790" s="5"/>
      <c r="Q1790" s="5"/>
      <c r="R1790" s="8"/>
      <c r="S1790" s="8"/>
      <c r="T1790" s="3"/>
    </row>
    <row r="1791" spans="14:20" x14ac:dyDescent="0.3">
      <c r="N1791" s="5"/>
      <c r="O1791" s="5"/>
      <c r="P1791" s="5"/>
      <c r="Q1791" s="5"/>
      <c r="R1791" s="8"/>
      <c r="S1791" s="8"/>
      <c r="T1791" s="3"/>
    </row>
    <row r="1792" spans="14:20" x14ac:dyDescent="0.3">
      <c r="N1792" s="5"/>
      <c r="O1792" s="5"/>
      <c r="P1792" s="5"/>
      <c r="Q1792" s="5"/>
      <c r="R1792" s="8"/>
      <c r="S1792" s="8"/>
      <c r="T1792" s="3"/>
    </row>
    <row r="1793" spans="14:20" x14ac:dyDescent="0.3">
      <c r="N1793" s="5"/>
      <c r="O1793" s="5"/>
      <c r="P1793" s="5"/>
      <c r="Q1793" s="5"/>
      <c r="R1793" s="8"/>
      <c r="S1793" s="8"/>
      <c r="T1793" s="3"/>
    </row>
    <row r="1794" spans="14:20" x14ac:dyDescent="0.3">
      <c r="N1794" s="5"/>
      <c r="O1794" s="5"/>
      <c r="P1794" s="5"/>
      <c r="Q1794" s="5"/>
      <c r="R1794" s="8"/>
      <c r="S1794" s="8"/>
      <c r="T1794" s="3"/>
    </row>
    <row r="1795" spans="14:20" x14ac:dyDescent="0.3">
      <c r="N1795" s="5"/>
      <c r="O1795" s="5"/>
      <c r="P1795" s="5"/>
      <c r="Q1795" s="5"/>
      <c r="R1795" s="8"/>
      <c r="S1795" s="8"/>
      <c r="T1795" s="3"/>
    </row>
    <row r="1796" spans="14:20" x14ac:dyDescent="0.3">
      <c r="N1796" s="5"/>
      <c r="O1796" s="5"/>
      <c r="P1796" s="5"/>
      <c r="Q1796" s="5"/>
      <c r="R1796" s="8"/>
      <c r="S1796" s="8"/>
      <c r="T1796" s="3"/>
    </row>
    <row r="1797" spans="14:20" x14ac:dyDescent="0.3">
      <c r="N1797" s="5"/>
      <c r="O1797" s="5"/>
      <c r="P1797" s="5"/>
      <c r="Q1797" s="5"/>
      <c r="R1797" s="8"/>
      <c r="S1797" s="8"/>
      <c r="T1797" s="3"/>
    </row>
    <row r="1798" spans="14:20" x14ac:dyDescent="0.3">
      <c r="N1798" s="5"/>
      <c r="O1798" s="5"/>
      <c r="P1798" s="5"/>
      <c r="Q1798" s="5"/>
      <c r="R1798" s="8"/>
      <c r="S1798" s="8"/>
      <c r="T1798" s="3"/>
    </row>
    <row r="1799" spans="14:20" x14ac:dyDescent="0.3">
      <c r="N1799" s="5"/>
      <c r="O1799" s="5"/>
      <c r="P1799" s="5"/>
      <c r="Q1799" s="5"/>
      <c r="R1799" s="8"/>
      <c r="S1799" s="8"/>
      <c r="T1799" s="3"/>
    </row>
    <row r="1800" spans="14:20" x14ac:dyDescent="0.3">
      <c r="N1800" s="5"/>
      <c r="O1800" s="5"/>
      <c r="P1800" s="5"/>
      <c r="Q1800" s="5"/>
      <c r="R1800" s="8"/>
      <c r="S1800" s="8"/>
      <c r="T1800" s="3"/>
    </row>
    <row r="1801" spans="14:20" x14ac:dyDescent="0.3">
      <c r="N1801" s="5"/>
      <c r="O1801" s="5"/>
      <c r="P1801" s="5"/>
      <c r="Q1801" s="5"/>
      <c r="R1801" s="8"/>
      <c r="S1801" s="8"/>
      <c r="T1801" s="3"/>
    </row>
    <row r="1802" spans="14:20" x14ac:dyDescent="0.3">
      <c r="N1802" s="5"/>
      <c r="O1802" s="5"/>
      <c r="P1802" s="5"/>
      <c r="Q1802" s="5"/>
      <c r="R1802" s="8"/>
      <c r="S1802" s="8"/>
      <c r="T1802" s="3"/>
    </row>
    <row r="1803" spans="14:20" x14ac:dyDescent="0.3">
      <c r="N1803" s="5"/>
      <c r="O1803" s="5"/>
      <c r="P1803" s="5"/>
      <c r="Q1803" s="5"/>
      <c r="R1803" s="8"/>
      <c r="S1803" s="8"/>
      <c r="T1803" s="3"/>
    </row>
    <row r="1804" spans="14:20" x14ac:dyDescent="0.3">
      <c r="N1804" s="5"/>
      <c r="O1804" s="5"/>
      <c r="P1804" s="5"/>
      <c r="Q1804" s="5"/>
      <c r="R1804" s="8"/>
      <c r="S1804" s="8"/>
      <c r="T1804" s="3"/>
    </row>
    <row r="1805" spans="14:20" x14ac:dyDescent="0.3">
      <c r="N1805" s="5"/>
      <c r="O1805" s="5"/>
      <c r="P1805" s="5"/>
      <c r="Q1805" s="5"/>
      <c r="R1805" s="8"/>
      <c r="S1805" s="8"/>
      <c r="T1805" s="3"/>
    </row>
    <row r="1806" spans="14:20" x14ac:dyDescent="0.3">
      <c r="N1806" s="5"/>
      <c r="O1806" s="5"/>
      <c r="P1806" s="5"/>
      <c r="Q1806" s="5"/>
      <c r="R1806" s="8"/>
      <c r="S1806" s="8"/>
      <c r="T1806" s="3"/>
    </row>
    <row r="1807" spans="14:20" x14ac:dyDescent="0.3">
      <c r="N1807" s="5"/>
      <c r="O1807" s="5"/>
      <c r="P1807" s="5"/>
      <c r="Q1807" s="5"/>
      <c r="R1807" s="8"/>
      <c r="S1807" s="8"/>
      <c r="T1807" s="3"/>
    </row>
    <row r="1808" spans="14:20" x14ac:dyDescent="0.3">
      <c r="N1808" s="5"/>
      <c r="O1808" s="5"/>
      <c r="P1808" s="5"/>
      <c r="Q1808" s="5"/>
      <c r="R1808" s="8"/>
      <c r="S1808" s="8"/>
      <c r="T1808" s="3"/>
    </row>
    <row r="1809" spans="14:20" x14ac:dyDescent="0.3">
      <c r="N1809" s="5"/>
      <c r="O1809" s="5"/>
      <c r="P1809" s="5"/>
      <c r="Q1809" s="5"/>
      <c r="R1809" s="8"/>
      <c r="S1809" s="8"/>
      <c r="T1809" s="3"/>
    </row>
    <row r="1810" spans="14:20" x14ac:dyDescent="0.3">
      <c r="N1810" s="5"/>
      <c r="O1810" s="5"/>
      <c r="P1810" s="5"/>
      <c r="Q1810" s="5"/>
      <c r="R1810" s="8"/>
      <c r="S1810" s="8"/>
      <c r="T1810" s="3"/>
    </row>
    <row r="1811" spans="14:20" x14ac:dyDescent="0.3">
      <c r="N1811" s="5"/>
      <c r="O1811" s="5"/>
      <c r="P1811" s="5"/>
      <c r="Q1811" s="5"/>
      <c r="R1811" s="8"/>
      <c r="S1811" s="8"/>
      <c r="T1811" s="3"/>
    </row>
    <row r="1812" spans="14:20" x14ac:dyDescent="0.3">
      <c r="N1812" s="5"/>
      <c r="O1812" s="5"/>
      <c r="P1812" s="5"/>
      <c r="Q1812" s="5"/>
      <c r="R1812" s="8"/>
      <c r="S1812" s="8"/>
      <c r="T1812" s="3"/>
    </row>
    <row r="1813" spans="14:20" x14ac:dyDescent="0.3">
      <c r="N1813" s="5"/>
      <c r="O1813" s="5"/>
      <c r="P1813" s="5"/>
      <c r="Q1813" s="5"/>
      <c r="R1813" s="8"/>
      <c r="S1813" s="8"/>
      <c r="T1813" s="3"/>
    </row>
    <row r="1814" spans="14:20" x14ac:dyDescent="0.3">
      <c r="N1814" s="5"/>
      <c r="O1814" s="5"/>
      <c r="P1814" s="5"/>
      <c r="Q1814" s="5"/>
      <c r="R1814" s="8"/>
      <c r="S1814" s="8"/>
      <c r="T1814" s="3"/>
    </row>
    <row r="1815" spans="14:20" x14ac:dyDescent="0.3">
      <c r="N1815" s="5"/>
      <c r="O1815" s="5"/>
      <c r="P1815" s="5"/>
      <c r="Q1815" s="5"/>
      <c r="R1815" s="8"/>
      <c r="S1815" s="8"/>
      <c r="T1815" s="3"/>
    </row>
    <row r="1816" spans="14:20" x14ac:dyDescent="0.3">
      <c r="N1816" s="5"/>
      <c r="O1816" s="5"/>
      <c r="P1816" s="5"/>
      <c r="Q1816" s="5"/>
      <c r="R1816" s="8"/>
      <c r="S1816" s="8"/>
      <c r="T1816" s="3"/>
    </row>
    <row r="1817" spans="14:20" x14ac:dyDescent="0.3">
      <c r="N1817" s="5"/>
      <c r="O1817" s="5"/>
      <c r="P1817" s="5"/>
      <c r="Q1817" s="5"/>
      <c r="R1817" s="8"/>
      <c r="S1817" s="8"/>
      <c r="T1817" s="3"/>
    </row>
    <row r="1818" spans="14:20" x14ac:dyDescent="0.3">
      <c r="N1818" s="5"/>
      <c r="O1818" s="5"/>
      <c r="P1818" s="5"/>
      <c r="Q1818" s="5"/>
      <c r="R1818" s="8"/>
      <c r="S1818" s="8"/>
      <c r="T1818" s="3"/>
    </row>
    <row r="1819" spans="14:20" x14ac:dyDescent="0.3">
      <c r="N1819" s="5"/>
      <c r="O1819" s="5"/>
      <c r="P1819" s="5"/>
      <c r="Q1819" s="5"/>
      <c r="R1819" s="8"/>
      <c r="S1819" s="8"/>
      <c r="T1819" s="3"/>
    </row>
    <row r="1820" spans="14:20" x14ac:dyDescent="0.3">
      <c r="N1820" s="5"/>
      <c r="O1820" s="5"/>
      <c r="P1820" s="5"/>
      <c r="Q1820" s="5"/>
      <c r="R1820" s="8"/>
      <c r="S1820" s="8"/>
      <c r="T1820" s="3"/>
    </row>
    <row r="1821" spans="14:20" x14ac:dyDescent="0.3">
      <c r="N1821" s="5"/>
      <c r="O1821" s="5"/>
      <c r="P1821" s="5"/>
      <c r="Q1821" s="5"/>
      <c r="R1821" s="8"/>
      <c r="S1821" s="8"/>
      <c r="T1821" s="3"/>
    </row>
    <row r="1822" spans="14:20" x14ac:dyDescent="0.3">
      <c r="N1822" s="5"/>
      <c r="O1822" s="5"/>
      <c r="P1822" s="5"/>
      <c r="Q1822" s="5"/>
      <c r="R1822" s="8"/>
      <c r="S1822" s="8"/>
      <c r="T1822" s="3"/>
    </row>
    <row r="1823" spans="14:20" x14ac:dyDescent="0.3">
      <c r="N1823" s="5"/>
      <c r="O1823" s="5"/>
      <c r="P1823" s="5"/>
      <c r="Q1823" s="5"/>
      <c r="R1823" s="8"/>
      <c r="S1823" s="8"/>
      <c r="T1823" s="3"/>
    </row>
    <row r="1824" spans="14:20" x14ac:dyDescent="0.3">
      <c r="N1824" s="5"/>
      <c r="O1824" s="5"/>
      <c r="P1824" s="5"/>
      <c r="Q1824" s="5"/>
      <c r="R1824" s="8"/>
      <c r="S1824" s="8"/>
      <c r="T1824" s="3"/>
    </row>
    <row r="1825" spans="14:20" x14ac:dyDescent="0.3">
      <c r="N1825" s="5"/>
      <c r="O1825" s="5"/>
      <c r="P1825" s="5"/>
      <c r="Q1825" s="5"/>
      <c r="R1825" s="8"/>
      <c r="S1825" s="8"/>
      <c r="T1825" s="3"/>
    </row>
    <row r="1826" spans="14:20" x14ac:dyDescent="0.3">
      <c r="N1826" s="5"/>
      <c r="O1826" s="5"/>
      <c r="P1826" s="5"/>
      <c r="Q1826" s="5"/>
      <c r="R1826" s="8"/>
      <c r="S1826" s="8"/>
      <c r="T1826" s="3"/>
    </row>
    <row r="1827" spans="14:20" x14ac:dyDescent="0.3">
      <c r="N1827" s="5"/>
      <c r="O1827" s="5"/>
      <c r="P1827" s="5"/>
      <c r="Q1827" s="5"/>
      <c r="R1827" s="8"/>
      <c r="S1827" s="8"/>
      <c r="T1827" s="3"/>
    </row>
    <row r="1828" spans="14:20" x14ac:dyDescent="0.3">
      <c r="N1828" s="5"/>
      <c r="O1828" s="5"/>
      <c r="P1828" s="5"/>
      <c r="Q1828" s="5"/>
      <c r="R1828" s="8"/>
      <c r="S1828" s="8"/>
      <c r="T1828" s="3"/>
    </row>
    <row r="1829" spans="14:20" x14ac:dyDescent="0.3">
      <c r="N1829" s="5"/>
      <c r="O1829" s="5"/>
      <c r="P1829" s="5"/>
      <c r="Q1829" s="5"/>
      <c r="R1829" s="8"/>
      <c r="S1829" s="8"/>
      <c r="T1829" s="3"/>
    </row>
    <row r="1830" spans="14:20" x14ac:dyDescent="0.3">
      <c r="N1830" s="5"/>
      <c r="O1830" s="5"/>
      <c r="P1830" s="5"/>
      <c r="Q1830" s="5"/>
      <c r="R1830" s="8"/>
      <c r="S1830" s="8"/>
      <c r="T1830" s="3"/>
    </row>
    <row r="1831" spans="14:20" x14ac:dyDescent="0.3">
      <c r="N1831" s="5"/>
      <c r="O1831" s="5"/>
      <c r="P1831" s="5"/>
      <c r="Q1831" s="5"/>
      <c r="R1831" s="8"/>
      <c r="S1831" s="8"/>
      <c r="T1831" s="3"/>
    </row>
    <row r="1832" spans="14:20" x14ac:dyDescent="0.3">
      <c r="N1832" s="5"/>
      <c r="O1832" s="5"/>
      <c r="P1832" s="5"/>
      <c r="Q1832" s="5"/>
      <c r="R1832" s="8"/>
      <c r="S1832" s="8"/>
      <c r="T1832" s="3"/>
    </row>
    <row r="1833" spans="14:20" x14ac:dyDescent="0.3">
      <c r="N1833" s="5"/>
      <c r="O1833" s="5"/>
      <c r="P1833" s="5"/>
      <c r="Q1833" s="5"/>
      <c r="R1833" s="8"/>
      <c r="S1833" s="8"/>
      <c r="T1833" s="3"/>
    </row>
    <row r="1834" spans="14:20" x14ac:dyDescent="0.3">
      <c r="N1834" s="5"/>
      <c r="O1834" s="5"/>
      <c r="P1834" s="5"/>
      <c r="Q1834" s="5"/>
      <c r="R1834" s="8"/>
      <c r="S1834" s="8"/>
      <c r="T1834" s="3"/>
    </row>
    <row r="1835" spans="14:20" x14ac:dyDescent="0.3">
      <c r="N1835" s="5"/>
      <c r="O1835" s="5"/>
      <c r="P1835" s="5"/>
      <c r="Q1835" s="5"/>
      <c r="R1835" s="8"/>
      <c r="S1835" s="8"/>
      <c r="T1835" s="3"/>
    </row>
    <row r="1836" spans="14:20" x14ac:dyDescent="0.3">
      <c r="N1836" s="5"/>
      <c r="O1836" s="5"/>
      <c r="P1836" s="5"/>
      <c r="Q1836" s="5"/>
      <c r="R1836" s="8"/>
      <c r="S1836" s="8"/>
      <c r="T1836" s="3"/>
    </row>
    <row r="1837" spans="14:20" x14ac:dyDescent="0.3">
      <c r="N1837" s="5"/>
      <c r="O1837" s="5"/>
      <c r="P1837" s="5"/>
      <c r="Q1837" s="5"/>
      <c r="R1837" s="8"/>
      <c r="S1837" s="8"/>
      <c r="T1837" s="3"/>
    </row>
    <row r="1838" spans="14:20" x14ac:dyDescent="0.3">
      <c r="N1838" s="5"/>
      <c r="O1838" s="5"/>
      <c r="P1838" s="5"/>
      <c r="Q1838" s="5"/>
      <c r="R1838" s="8"/>
      <c r="S1838" s="8"/>
      <c r="T1838" s="3"/>
    </row>
    <row r="1839" spans="14:20" x14ac:dyDescent="0.3">
      <c r="N1839" s="5"/>
      <c r="O1839" s="5"/>
      <c r="P1839" s="5"/>
      <c r="Q1839" s="5"/>
      <c r="R1839" s="8"/>
      <c r="S1839" s="8"/>
      <c r="T1839" s="3"/>
    </row>
    <row r="1840" spans="14:20" x14ac:dyDescent="0.3">
      <c r="N1840" s="5"/>
      <c r="O1840" s="5"/>
      <c r="P1840" s="5"/>
      <c r="Q1840" s="5"/>
      <c r="R1840" s="8"/>
      <c r="S1840" s="8"/>
      <c r="T1840" s="3"/>
    </row>
    <row r="1841" spans="14:20" x14ac:dyDescent="0.3">
      <c r="N1841" s="5"/>
      <c r="O1841" s="5"/>
      <c r="P1841" s="5"/>
      <c r="Q1841" s="5"/>
      <c r="R1841" s="8"/>
      <c r="S1841" s="8"/>
      <c r="T1841" s="3"/>
    </row>
    <row r="1842" spans="14:20" x14ac:dyDescent="0.3">
      <c r="N1842" s="5"/>
      <c r="O1842" s="5"/>
      <c r="P1842" s="5"/>
      <c r="Q1842" s="5"/>
      <c r="R1842" s="8"/>
      <c r="S1842" s="8"/>
      <c r="T1842" s="3"/>
    </row>
    <row r="1843" spans="14:20" x14ac:dyDescent="0.3">
      <c r="N1843" s="5"/>
      <c r="O1843" s="5"/>
      <c r="P1843" s="5"/>
      <c r="Q1843" s="5"/>
      <c r="R1843" s="8"/>
      <c r="S1843" s="8"/>
      <c r="T1843" s="3"/>
    </row>
    <row r="1844" spans="14:20" x14ac:dyDescent="0.3">
      <c r="N1844" s="5"/>
      <c r="O1844" s="5"/>
      <c r="P1844" s="5"/>
      <c r="Q1844" s="5"/>
      <c r="R1844" s="8"/>
      <c r="S1844" s="8"/>
      <c r="T1844" s="3"/>
    </row>
    <row r="1845" spans="14:20" x14ac:dyDescent="0.3">
      <c r="N1845" s="5"/>
      <c r="O1845" s="5"/>
      <c r="P1845" s="5"/>
      <c r="Q1845" s="5"/>
      <c r="R1845" s="8"/>
      <c r="S1845" s="8"/>
      <c r="T1845" s="3"/>
    </row>
    <row r="1846" spans="14:20" x14ac:dyDescent="0.3">
      <c r="N1846" s="5"/>
      <c r="O1846" s="5"/>
      <c r="P1846" s="5"/>
      <c r="Q1846" s="5"/>
      <c r="R1846" s="8"/>
      <c r="S1846" s="8"/>
      <c r="T1846" s="3"/>
    </row>
    <row r="1847" spans="14:20" x14ac:dyDescent="0.3">
      <c r="N1847" s="5"/>
      <c r="O1847" s="5"/>
      <c r="P1847" s="5"/>
      <c r="Q1847" s="5"/>
      <c r="R1847" s="8"/>
      <c r="S1847" s="8"/>
      <c r="T1847" s="3"/>
    </row>
    <row r="1848" spans="14:20" x14ac:dyDescent="0.3">
      <c r="N1848" s="5"/>
      <c r="O1848" s="5"/>
      <c r="P1848" s="5"/>
      <c r="Q1848" s="5"/>
      <c r="R1848" s="8"/>
      <c r="S1848" s="8"/>
      <c r="T1848" s="3"/>
    </row>
    <row r="1849" spans="14:20" x14ac:dyDescent="0.3">
      <c r="N1849" s="5"/>
      <c r="O1849" s="5"/>
      <c r="P1849" s="5"/>
      <c r="Q1849" s="5"/>
      <c r="R1849" s="8"/>
      <c r="S1849" s="8"/>
      <c r="T1849" s="3"/>
    </row>
    <row r="1850" spans="14:20" x14ac:dyDescent="0.3">
      <c r="N1850" s="5"/>
      <c r="O1850" s="5"/>
      <c r="P1850" s="5"/>
      <c r="Q1850" s="5"/>
      <c r="R1850" s="8"/>
      <c r="S1850" s="8"/>
      <c r="T1850" s="3"/>
    </row>
    <row r="1851" spans="14:20" x14ac:dyDescent="0.3">
      <c r="N1851" s="5"/>
      <c r="O1851" s="5"/>
      <c r="P1851" s="5"/>
      <c r="Q1851" s="5"/>
      <c r="R1851" s="8"/>
      <c r="S1851" s="8"/>
      <c r="T1851" s="3"/>
    </row>
    <row r="1852" spans="14:20" x14ac:dyDescent="0.3">
      <c r="N1852" s="5"/>
      <c r="O1852" s="5"/>
      <c r="P1852" s="5"/>
      <c r="Q1852" s="5"/>
      <c r="R1852" s="8"/>
      <c r="S1852" s="8"/>
      <c r="T1852" s="3"/>
    </row>
    <row r="1853" spans="14:20" x14ac:dyDescent="0.3">
      <c r="N1853" s="5"/>
      <c r="O1853" s="5"/>
      <c r="P1853" s="5"/>
      <c r="Q1853" s="5"/>
      <c r="R1853" s="8"/>
      <c r="S1853" s="8"/>
      <c r="T1853" s="3"/>
    </row>
    <row r="1854" spans="14:20" x14ac:dyDescent="0.3">
      <c r="N1854" s="5"/>
      <c r="O1854" s="5"/>
      <c r="P1854" s="5"/>
      <c r="Q1854" s="5"/>
      <c r="R1854" s="8"/>
      <c r="S1854" s="8"/>
      <c r="T1854" s="3"/>
    </row>
    <row r="1855" spans="14:20" x14ac:dyDescent="0.3">
      <c r="N1855" s="5"/>
      <c r="O1855" s="5"/>
      <c r="P1855" s="5"/>
      <c r="Q1855" s="5"/>
      <c r="R1855" s="8"/>
      <c r="S1855" s="8"/>
      <c r="T1855" s="3"/>
    </row>
    <row r="1856" spans="14:20" x14ac:dyDescent="0.3">
      <c r="N1856" s="5"/>
      <c r="O1856" s="5"/>
      <c r="P1856" s="5"/>
      <c r="Q1856" s="5"/>
      <c r="R1856" s="8"/>
      <c r="S1856" s="8"/>
      <c r="T1856" s="3"/>
    </row>
    <row r="1857" spans="14:20" x14ac:dyDescent="0.3">
      <c r="N1857" s="5"/>
      <c r="O1857" s="5"/>
      <c r="P1857" s="5"/>
      <c r="Q1857" s="5"/>
      <c r="R1857" s="8"/>
      <c r="S1857" s="8"/>
      <c r="T1857" s="3"/>
    </row>
    <row r="1858" spans="14:20" x14ac:dyDescent="0.3">
      <c r="N1858" s="5"/>
      <c r="O1858" s="5"/>
      <c r="P1858" s="5"/>
      <c r="Q1858" s="5"/>
      <c r="R1858" s="8"/>
      <c r="S1858" s="8"/>
      <c r="T1858" s="3"/>
    </row>
    <row r="1859" spans="14:20" x14ac:dyDescent="0.3">
      <c r="N1859" s="5"/>
      <c r="O1859" s="5"/>
      <c r="P1859" s="5"/>
      <c r="Q1859" s="5"/>
      <c r="R1859" s="8"/>
      <c r="S1859" s="8"/>
      <c r="T1859" s="3"/>
    </row>
    <row r="1860" spans="14:20" x14ac:dyDescent="0.3">
      <c r="N1860" s="5"/>
      <c r="O1860" s="5"/>
      <c r="P1860" s="5"/>
      <c r="Q1860" s="5"/>
      <c r="R1860" s="8"/>
      <c r="S1860" s="8"/>
      <c r="T1860" s="3"/>
    </row>
    <row r="1861" spans="14:20" x14ac:dyDescent="0.3">
      <c r="N1861" s="5"/>
      <c r="O1861" s="5"/>
      <c r="P1861" s="5"/>
      <c r="Q1861" s="5"/>
      <c r="R1861" s="8"/>
      <c r="S1861" s="8"/>
      <c r="T1861" s="3"/>
    </row>
    <row r="1862" spans="14:20" x14ac:dyDescent="0.3">
      <c r="N1862" s="5"/>
      <c r="O1862" s="5"/>
      <c r="P1862" s="5"/>
      <c r="Q1862" s="5"/>
      <c r="R1862" s="8"/>
      <c r="S1862" s="8"/>
      <c r="T1862" s="3"/>
    </row>
    <row r="1863" spans="14:20" x14ac:dyDescent="0.3">
      <c r="N1863" s="5"/>
      <c r="O1863" s="5"/>
      <c r="P1863" s="5"/>
      <c r="Q1863" s="5"/>
      <c r="R1863" s="8"/>
      <c r="S1863" s="8"/>
      <c r="T1863" s="3"/>
    </row>
    <row r="1864" spans="14:20" x14ac:dyDescent="0.3">
      <c r="N1864" s="5"/>
      <c r="O1864" s="5"/>
      <c r="P1864" s="5"/>
      <c r="Q1864" s="5"/>
      <c r="R1864" s="8"/>
      <c r="S1864" s="8"/>
      <c r="T1864" s="3"/>
    </row>
    <row r="1865" spans="14:20" x14ac:dyDescent="0.3">
      <c r="N1865" s="5"/>
      <c r="O1865" s="5"/>
      <c r="P1865" s="5"/>
      <c r="Q1865" s="5"/>
      <c r="R1865" s="8"/>
      <c r="S1865" s="8"/>
      <c r="T1865" s="3"/>
    </row>
    <row r="1866" spans="14:20" x14ac:dyDescent="0.3">
      <c r="N1866" s="5"/>
      <c r="O1866" s="5"/>
      <c r="P1866" s="5"/>
      <c r="Q1866" s="5"/>
      <c r="R1866" s="8"/>
      <c r="S1866" s="8"/>
      <c r="T1866" s="3"/>
    </row>
    <row r="1867" spans="14:20" x14ac:dyDescent="0.3">
      <c r="N1867" s="5"/>
      <c r="O1867" s="5"/>
      <c r="P1867" s="5"/>
      <c r="Q1867" s="5"/>
      <c r="R1867" s="8"/>
      <c r="S1867" s="8"/>
      <c r="T1867" s="3"/>
    </row>
    <row r="1868" spans="14:20" x14ac:dyDescent="0.3">
      <c r="N1868" s="5"/>
      <c r="O1868" s="5"/>
      <c r="P1868" s="5"/>
      <c r="Q1868" s="5"/>
      <c r="R1868" s="8"/>
      <c r="S1868" s="8"/>
      <c r="T1868" s="3"/>
    </row>
    <row r="1869" spans="14:20" x14ac:dyDescent="0.3">
      <c r="N1869" s="5"/>
      <c r="O1869" s="5"/>
      <c r="P1869" s="5"/>
      <c r="Q1869" s="5"/>
      <c r="R1869" s="8"/>
      <c r="S1869" s="8"/>
      <c r="T1869" s="3"/>
    </row>
    <row r="1870" spans="14:20" x14ac:dyDescent="0.3">
      <c r="N1870" s="5"/>
      <c r="O1870" s="5"/>
      <c r="P1870" s="5"/>
      <c r="Q1870" s="5"/>
      <c r="R1870" s="8"/>
      <c r="S1870" s="8"/>
      <c r="T1870" s="3"/>
    </row>
    <row r="1871" spans="14:20" x14ac:dyDescent="0.3">
      <c r="N1871" s="5"/>
      <c r="O1871" s="5"/>
      <c r="P1871" s="5"/>
      <c r="Q1871" s="5"/>
      <c r="R1871" s="8"/>
      <c r="S1871" s="8"/>
      <c r="T1871" s="3"/>
    </row>
    <row r="1872" spans="14:20" x14ac:dyDescent="0.3">
      <c r="N1872" s="5"/>
      <c r="O1872" s="5"/>
      <c r="P1872" s="5"/>
      <c r="Q1872" s="5"/>
      <c r="R1872" s="8"/>
      <c r="S1872" s="8"/>
      <c r="T1872" s="3"/>
    </row>
    <row r="1873" spans="14:20" x14ac:dyDescent="0.3">
      <c r="N1873" s="5"/>
      <c r="O1873" s="5"/>
      <c r="P1873" s="5"/>
      <c r="Q1873" s="5"/>
      <c r="R1873" s="8"/>
      <c r="S1873" s="8"/>
      <c r="T1873" s="3"/>
    </row>
    <row r="1874" spans="14:20" x14ac:dyDescent="0.3">
      <c r="N1874" s="5"/>
      <c r="O1874" s="5"/>
      <c r="P1874" s="5"/>
      <c r="Q1874" s="5"/>
      <c r="R1874" s="8"/>
      <c r="S1874" s="8"/>
      <c r="T1874" s="3"/>
    </row>
    <row r="1875" spans="14:20" x14ac:dyDescent="0.3">
      <c r="N1875" s="5"/>
      <c r="O1875" s="5"/>
      <c r="P1875" s="5"/>
      <c r="Q1875" s="5"/>
      <c r="R1875" s="8"/>
      <c r="S1875" s="8"/>
      <c r="T1875" s="3"/>
    </row>
    <row r="1876" spans="14:20" x14ac:dyDescent="0.3">
      <c r="N1876" s="5"/>
      <c r="O1876" s="5"/>
      <c r="P1876" s="5"/>
      <c r="Q1876" s="5"/>
      <c r="R1876" s="8"/>
      <c r="S1876" s="8"/>
      <c r="T1876" s="3"/>
    </row>
    <row r="1877" spans="14:20" x14ac:dyDescent="0.3">
      <c r="N1877" s="5"/>
      <c r="O1877" s="5"/>
      <c r="P1877" s="5"/>
      <c r="Q1877" s="5"/>
      <c r="R1877" s="8"/>
      <c r="S1877" s="8"/>
      <c r="T1877" s="3"/>
    </row>
    <row r="1878" spans="14:20" x14ac:dyDescent="0.3">
      <c r="N1878" s="5"/>
      <c r="O1878" s="5"/>
      <c r="P1878" s="5"/>
      <c r="Q1878" s="5"/>
      <c r="R1878" s="8"/>
      <c r="S1878" s="8"/>
      <c r="T1878" s="3"/>
    </row>
    <row r="1879" spans="14:20" x14ac:dyDescent="0.3">
      <c r="N1879" s="5"/>
      <c r="O1879" s="5"/>
      <c r="P1879" s="5"/>
      <c r="Q1879" s="5"/>
      <c r="R1879" s="8"/>
      <c r="S1879" s="8"/>
      <c r="T1879" s="3"/>
    </row>
    <row r="1880" spans="14:20" x14ac:dyDescent="0.3">
      <c r="N1880" s="5"/>
      <c r="O1880" s="5"/>
      <c r="P1880" s="5"/>
      <c r="Q1880" s="5"/>
      <c r="R1880" s="8"/>
      <c r="S1880" s="8"/>
      <c r="T1880" s="3"/>
    </row>
    <row r="1881" spans="14:20" x14ac:dyDescent="0.3">
      <c r="N1881" s="5"/>
      <c r="O1881" s="5"/>
      <c r="P1881" s="5"/>
      <c r="Q1881" s="5"/>
      <c r="R1881" s="8"/>
      <c r="S1881" s="8"/>
      <c r="T1881" s="3"/>
    </row>
    <row r="1882" spans="14:20" x14ac:dyDescent="0.3">
      <c r="N1882" s="5"/>
      <c r="O1882" s="5"/>
      <c r="P1882" s="5"/>
      <c r="Q1882" s="5"/>
      <c r="R1882" s="8"/>
      <c r="S1882" s="8"/>
      <c r="T1882" s="3"/>
    </row>
    <row r="1883" spans="14:20" x14ac:dyDescent="0.3">
      <c r="N1883" s="5"/>
      <c r="O1883" s="5"/>
      <c r="P1883" s="5"/>
      <c r="Q1883" s="5"/>
      <c r="R1883" s="8"/>
      <c r="S1883" s="8"/>
      <c r="T1883" s="3"/>
    </row>
    <row r="1884" spans="14:20" x14ac:dyDescent="0.3">
      <c r="N1884" s="5"/>
      <c r="O1884" s="5"/>
      <c r="P1884" s="5"/>
      <c r="Q1884" s="5"/>
      <c r="R1884" s="8"/>
      <c r="S1884" s="8"/>
      <c r="T1884" s="3"/>
    </row>
    <row r="1885" spans="14:20" x14ac:dyDescent="0.3">
      <c r="N1885" s="5"/>
      <c r="O1885" s="5"/>
      <c r="P1885" s="5"/>
      <c r="Q1885" s="5"/>
      <c r="R1885" s="8"/>
      <c r="S1885" s="8"/>
      <c r="T1885" s="3"/>
    </row>
    <row r="1886" spans="14:20" x14ac:dyDescent="0.3">
      <c r="N1886" s="5"/>
      <c r="O1886" s="5"/>
      <c r="P1886" s="5"/>
      <c r="Q1886" s="5"/>
      <c r="R1886" s="8"/>
      <c r="S1886" s="8"/>
      <c r="T1886" s="3"/>
    </row>
    <row r="1887" spans="14:20" x14ac:dyDescent="0.3">
      <c r="N1887" s="5"/>
      <c r="O1887" s="5"/>
      <c r="P1887" s="5"/>
      <c r="Q1887" s="5"/>
      <c r="R1887" s="8"/>
      <c r="S1887" s="8"/>
      <c r="T1887" s="3"/>
    </row>
    <row r="1888" spans="14:20" x14ac:dyDescent="0.3">
      <c r="N1888" s="5"/>
      <c r="O1888" s="5"/>
      <c r="P1888" s="5"/>
      <c r="Q1888" s="5"/>
      <c r="R1888" s="8"/>
      <c r="S1888" s="8"/>
      <c r="T1888" s="3"/>
    </row>
    <row r="1889" spans="14:20" x14ac:dyDescent="0.3">
      <c r="N1889" s="5"/>
      <c r="O1889" s="5"/>
      <c r="P1889" s="5"/>
      <c r="Q1889" s="5"/>
      <c r="R1889" s="8"/>
      <c r="S1889" s="8"/>
      <c r="T1889" s="3"/>
    </row>
    <row r="1890" spans="14:20" x14ac:dyDescent="0.3">
      <c r="N1890" s="5"/>
      <c r="O1890" s="5"/>
      <c r="P1890" s="5"/>
      <c r="Q1890" s="5"/>
      <c r="R1890" s="8"/>
      <c r="S1890" s="8"/>
      <c r="T1890" s="3"/>
    </row>
    <row r="1891" spans="14:20" x14ac:dyDescent="0.3">
      <c r="N1891" s="5"/>
      <c r="O1891" s="5"/>
      <c r="P1891" s="5"/>
      <c r="Q1891" s="5"/>
      <c r="R1891" s="8"/>
      <c r="S1891" s="8"/>
      <c r="T1891" s="3"/>
    </row>
    <row r="1892" spans="14:20" x14ac:dyDescent="0.3">
      <c r="N1892" s="5"/>
      <c r="O1892" s="5"/>
      <c r="P1892" s="5"/>
      <c r="Q1892" s="5"/>
      <c r="R1892" s="8"/>
      <c r="S1892" s="8"/>
      <c r="T1892" s="3"/>
    </row>
    <row r="1893" spans="14:20" x14ac:dyDescent="0.3">
      <c r="N1893" s="5"/>
      <c r="O1893" s="5"/>
      <c r="P1893" s="5"/>
      <c r="Q1893" s="5"/>
      <c r="R1893" s="8"/>
      <c r="S1893" s="8"/>
      <c r="T1893" s="3"/>
    </row>
    <row r="1894" spans="14:20" x14ac:dyDescent="0.3">
      <c r="N1894" s="5"/>
      <c r="O1894" s="5"/>
      <c r="P1894" s="5"/>
      <c r="Q1894" s="5"/>
      <c r="R1894" s="8"/>
      <c r="S1894" s="8"/>
      <c r="T1894" s="3"/>
    </row>
    <row r="1895" spans="14:20" x14ac:dyDescent="0.3">
      <c r="N1895" s="5"/>
      <c r="O1895" s="5"/>
      <c r="P1895" s="5"/>
      <c r="Q1895" s="5"/>
      <c r="R1895" s="8"/>
      <c r="S1895" s="8"/>
      <c r="T1895" s="3"/>
    </row>
    <row r="1896" spans="14:20" x14ac:dyDescent="0.3">
      <c r="N1896" s="5"/>
      <c r="O1896" s="5"/>
      <c r="P1896" s="5"/>
      <c r="Q1896" s="5"/>
      <c r="R1896" s="8"/>
      <c r="S1896" s="8"/>
      <c r="T1896" s="3"/>
    </row>
    <row r="1897" spans="14:20" x14ac:dyDescent="0.3">
      <c r="N1897" s="5"/>
      <c r="O1897" s="5"/>
      <c r="P1897" s="5"/>
      <c r="Q1897" s="5"/>
      <c r="R1897" s="8"/>
      <c r="S1897" s="8"/>
      <c r="T1897" s="3"/>
    </row>
    <row r="1898" spans="14:20" x14ac:dyDescent="0.3">
      <c r="N1898" s="5"/>
      <c r="O1898" s="5"/>
      <c r="P1898" s="5"/>
      <c r="Q1898" s="5"/>
      <c r="R1898" s="8"/>
      <c r="S1898" s="8"/>
      <c r="T1898" s="3"/>
    </row>
    <row r="1899" spans="14:20" x14ac:dyDescent="0.3">
      <c r="N1899" s="5"/>
      <c r="O1899" s="5"/>
      <c r="P1899" s="5"/>
      <c r="Q1899" s="5"/>
      <c r="R1899" s="8"/>
      <c r="S1899" s="8"/>
      <c r="T1899" s="3"/>
    </row>
    <row r="1900" spans="14:20" x14ac:dyDescent="0.3">
      <c r="N1900" s="5"/>
      <c r="O1900" s="5"/>
      <c r="P1900" s="5"/>
      <c r="Q1900" s="5"/>
      <c r="R1900" s="8"/>
      <c r="S1900" s="8"/>
      <c r="T1900" s="3"/>
    </row>
    <row r="1901" spans="14:20" x14ac:dyDescent="0.3">
      <c r="N1901" s="5"/>
      <c r="O1901" s="5"/>
      <c r="P1901" s="5"/>
      <c r="Q1901" s="5"/>
      <c r="R1901" s="8"/>
      <c r="S1901" s="8"/>
      <c r="T1901" s="3"/>
    </row>
    <row r="1902" spans="14:20" x14ac:dyDescent="0.3">
      <c r="N1902" s="5"/>
      <c r="O1902" s="5"/>
      <c r="P1902" s="5"/>
      <c r="Q1902" s="5"/>
      <c r="R1902" s="8"/>
      <c r="S1902" s="8"/>
      <c r="T1902" s="3"/>
    </row>
    <row r="1903" spans="14:20" x14ac:dyDescent="0.3">
      <c r="N1903" s="5"/>
      <c r="O1903" s="5"/>
      <c r="P1903" s="5"/>
      <c r="Q1903" s="5"/>
      <c r="R1903" s="8"/>
      <c r="S1903" s="8"/>
      <c r="T1903" s="3"/>
    </row>
    <row r="1904" spans="14:20" x14ac:dyDescent="0.3">
      <c r="N1904" s="5"/>
      <c r="O1904" s="5"/>
      <c r="P1904" s="5"/>
      <c r="Q1904" s="5"/>
      <c r="R1904" s="8"/>
      <c r="S1904" s="8"/>
      <c r="T1904" s="3"/>
    </row>
    <row r="1905" spans="14:20" x14ac:dyDescent="0.3">
      <c r="N1905" s="5"/>
      <c r="O1905" s="5"/>
      <c r="P1905" s="5"/>
      <c r="Q1905" s="5"/>
      <c r="R1905" s="8"/>
      <c r="S1905" s="8"/>
      <c r="T1905" s="3"/>
    </row>
    <row r="1906" spans="14:20" x14ac:dyDescent="0.3">
      <c r="N1906" s="5"/>
      <c r="O1906" s="5"/>
      <c r="P1906" s="5"/>
      <c r="Q1906" s="5"/>
      <c r="R1906" s="8"/>
      <c r="S1906" s="8"/>
      <c r="T1906" s="3"/>
    </row>
    <row r="1907" spans="14:20" x14ac:dyDescent="0.3">
      <c r="N1907" s="5"/>
      <c r="O1907" s="5"/>
      <c r="P1907" s="5"/>
      <c r="Q1907" s="5"/>
      <c r="R1907" s="8"/>
      <c r="S1907" s="8"/>
      <c r="T1907" s="3"/>
    </row>
    <row r="1908" spans="14:20" x14ac:dyDescent="0.3">
      <c r="N1908" s="5"/>
      <c r="O1908" s="5"/>
      <c r="P1908" s="5"/>
      <c r="Q1908" s="5"/>
      <c r="R1908" s="8"/>
      <c r="S1908" s="8"/>
      <c r="T1908" s="3"/>
    </row>
    <row r="1909" spans="14:20" x14ac:dyDescent="0.3">
      <c r="N1909" s="5"/>
      <c r="O1909" s="5"/>
      <c r="P1909" s="5"/>
      <c r="Q1909" s="5"/>
      <c r="R1909" s="8"/>
      <c r="S1909" s="8"/>
      <c r="T1909" s="3"/>
    </row>
    <row r="1910" spans="14:20" x14ac:dyDescent="0.3">
      <c r="N1910" s="5"/>
      <c r="O1910" s="5"/>
      <c r="P1910" s="5"/>
      <c r="Q1910" s="5"/>
      <c r="R1910" s="8"/>
      <c r="S1910" s="8"/>
      <c r="T1910" s="3"/>
    </row>
    <row r="1911" spans="14:20" x14ac:dyDescent="0.3">
      <c r="N1911" s="5"/>
      <c r="O1911" s="5"/>
      <c r="P1911" s="5"/>
      <c r="Q1911" s="5"/>
      <c r="R1911" s="8"/>
      <c r="S1911" s="8"/>
      <c r="T1911" s="3"/>
    </row>
    <row r="1912" spans="14:20" x14ac:dyDescent="0.3">
      <c r="N1912" s="5"/>
      <c r="O1912" s="5"/>
      <c r="P1912" s="5"/>
      <c r="Q1912" s="5"/>
      <c r="R1912" s="8"/>
      <c r="S1912" s="8"/>
      <c r="T1912" s="3"/>
    </row>
    <row r="1913" spans="14:20" x14ac:dyDescent="0.3">
      <c r="N1913" s="5"/>
      <c r="O1913" s="5"/>
      <c r="P1913" s="5"/>
      <c r="Q1913" s="5"/>
      <c r="R1913" s="8"/>
      <c r="S1913" s="8"/>
      <c r="T1913" s="3"/>
    </row>
    <row r="1914" spans="14:20" x14ac:dyDescent="0.3">
      <c r="N1914" s="5"/>
      <c r="O1914" s="5"/>
      <c r="P1914" s="5"/>
      <c r="Q1914" s="5"/>
      <c r="R1914" s="8"/>
      <c r="S1914" s="8"/>
      <c r="T1914" s="3"/>
    </row>
    <row r="1915" spans="14:20" x14ac:dyDescent="0.3">
      <c r="N1915" s="5"/>
      <c r="O1915" s="5"/>
      <c r="P1915" s="5"/>
      <c r="Q1915" s="5"/>
      <c r="R1915" s="8"/>
      <c r="S1915" s="8"/>
      <c r="T1915" s="3"/>
    </row>
    <row r="1916" spans="14:20" x14ac:dyDescent="0.3">
      <c r="N1916" s="5"/>
      <c r="O1916" s="5"/>
      <c r="P1916" s="5"/>
      <c r="Q1916" s="5"/>
      <c r="R1916" s="8"/>
      <c r="S1916" s="8"/>
      <c r="T1916" s="3"/>
    </row>
    <row r="1917" spans="14:20" x14ac:dyDescent="0.3">
      <c r="N1917" s="5"/>
      <c r="O1917" s="5"/>
      <c r="P1917" s="5"/>
      <c r="Q1917" s="5"/>
      <c r="R1917" s="8"/>
      <c r="S1917" s="8"/>
      <c r="T1917" s="3"/>
    </row>
    <row r="1918" spans="14:20" x14ac:dyDescent="0.3">
      <c r="N1918" s="5"/>
      <c r="O1918" s="5"/>
      <c r="P1918" s="5"/>
      <c r="Q1918" s="5"/>
      <c r="R1918" s="8"/>
      <c r="S1918" s="8"/>
      <c r="T1918" s="3"/>
    </row>
    <row r="1919" spans="14:20" x14ac:dyDescent="0.3">
      <c r="N1919" s="5"/>
      <c r="O1919" s="5"/>
      <c r="P1919" s="5"/>
      <c r="Q1919" s="5"/>
      <c r="R1919" s="8"/>
      <c r="S1919" s="8"/>
      <c r="T1919" s="3"/>
    </row>
    <row r="1920" spans="14:20" x14ac:dyDescent="0.3">
      <c r="N1920" s="5"/>
      <c r="O1920" s="5"/>
      <c r="P1920" s="5"/>
      <c r="Q1920" s="5"/>
      <c r="R1920" s="8"/>
      <c r="S1920" s="8"/>
      <c r="T1920" s="3"/>
    </row>
    <row r="1921" spans="14:20" x14ac:dyDescent="0.3">
      <c r="N1921" s="5"/>
      <c r="O1921" s="5"/>
      <c r="P1921" s="5"/>
      <c r="Q1921" s="5"/>
      <c r="R1921" s="8"/>
      <c r="S1921" s="8"/>
      <c r="T1921" s="3"/>
    </row>
    <row r="1922" spans="14:20" x14ac:dyDescent="0.3">
      <c r="N1922" s="5"/>
      <c r="O1922" s="5"/>
      <c r="P1922" s="5"/>
      <c r="Q1922" s="5"/>
      <c r="R1922" s="8"/>
      <c r="S1922" s="8"/>
      <c r="T1922" s="3"/>
    </row>
    <row r="1923" spans="14:20" x14ac:dyDescent="0.3">
      <c r="N1923" s="5"/>
      <c r="O1923" s="5"/>
      <c r="P1923" s="5"/>
      <c r="Q1923" s="5"/>
      <c r="R1923" s="8"/>
      <c r="S1923" s="8"/>
      <c r="T1923" s="3"/>
    </row>
    <row r="1924" spans="14:20" x14ac:dyDescent="0.3">
      <c r="N1924" s="5"/>
      <c r="O1924" s="5"/>
      <c r="P1924" s="5"/>
      <c r="Q1924" s="5"/>
      <c r="R1924" s="8"/>
      <c r="S1924" s="8"/>
      <c r="T1924" s="3"/>
    </row>
    <row r="1925" spans="14:20" x14ac:dyDescent="0.3">
      <c r="N1925" s="5"/>
      <c r="O1925" s="5"/>
      <c r="P1925" s="5"/>
      <c r="Q1925" s="5"/>
      <c r="R1925" s="8"/>
      <c r="S1925" s="8"/>
      <c r="T1925" s="3"/>
    </row>
    <row r="1926" spans="14:20" x14ac:dyDescent="0.3">
      <c r="N1926" s="5"/>
      <c r="O1926" s="5"/>
      <c r="P1926" s="5"/>
      <c r="Q1926" s="5"/>
      <c r="R1926" s="8"/>
      <c r="S1926" s="8"/>
      <c r="T1926" s="3"/>
    </row>
    <row r="1927" spans="14:20" x14ac:dyDescent="0.3">
      <c r="N1927" s="5"/>
      <c r="O1927" s="5"/>
      <c r="P1927" s="5"/>
      <c r="Q1927" s="5"/>
      <c r="R1927" s="8"/>
      <c r="S1927" s="8"/>
      <c r="T1927" s="3"/>
    </row>
    <row r="1928" spans="14:20" x14ac:dyDescent="0.3">
      <c r="N1928" s="5"/>
      <c r="O1928" s="5"/>
      <c r="P1928" s="5"/>
      <c r="Q1928" s="5"/>
      <c r="R1928" s="8"/>
      <c r="S1928" s="8"/>
      <c r="T1928" s="3"/>
    </row>
    <row r="1929" spans="14:20" x14ac:dyDescent="0.3">
      <c r="N1929" s="5"/>
      <c r="O1929" s="5"/>
      <c r="P1929" s="5"/>
      <c r="Q1929" s="5"/>
      <c r="R1929" s="8"/>
      <c r="S1929" s="8"/>
      <c r="T1929" s="3"/>
    </row>
    <row r="1930" spans="14:20" x14ac:dyDescent="0.3">
      <c r="N1930" s="5"/>
      <c r="O1930" s="5"/>
      <c r="P1930" s="5"/>
      <c r="Q1930" s="5"/>
      <c r="R1930" s="8"/>
      <c r="S1930" s="8"/>
      <c r="T1930" s="3"/>
    </row>
    <row r="1931" spans="14:20" x14ac:dyDescent="0.3">
      <c r="N1931" s="5"/>
      <c r="O1931" s="5"/>
      <c r="P1931" s="5"/>
      <c r="Q1931" s="5"/>
      <c r="R1931" s="8"/>
      <c r="S1931" s="8"/>
      <c r="T1931" s="3"/>
    </row>
    <row r="1932" spans="14:20" x14ac:dyDescent="0.3">
      <c r="N1932" s="5"/>
      <c r="O1932" s="5"/>
      <c r="P1932" s="5"/>
      <c r="Q1932" s="5"/>
      <c r="R1932" s="8"/>
      <c r="S1932" s="8"/>
      <c r="T1932" s="3"/>
    </row>
    <row r="1933" spans="14:20" x14ac:dyDescent="0.3">
      <c r="N1933" s="5"/>
      <c r="O1933" s="5"/>
      <c r="P1933" s="5"/>
      <c r="Q1933" s="5"/>
      <c r="R1933" s="8"/>
      <c r="S1933" s="8"/>
      <c r="T1933" s="3"/>
    </row>
    <row r="1934" spans="14:20" x14ac:dyDescent="0.3">
      <c r="N1934" s="5"/>
      <c r="O1934" s="5"/>
      <c r="P1934" s="5"/>
      <c r="Q1934" s="5"/>
      <c r="R1934" s="8"/>
      <c r="S1934" s="8"/>
      <c r="T1934" s="3"/>
    </row>
    <row r="1935" spans="14:20" x14ac:dyDescent="0.3">
      <c r="N1935" s="5"/>
      <c r="O1935" s="5"/>
      <c r="P1935" s="5"/>
      <c r="Q1935" s="5"/>
      <c r="R1935" s="8"/>
      <c r="S1935" s="8"/>
      <c r="T1935" s="3"/>
    </row>
    <row r="1936" spans="14:20" x14ac:dyDescent="0.3">
      <c r="N1936" s="5"/>
      <c r="O1936" s="5"/>
      <c r="P1936" s="5"/>
      <c r="Q1936" s="5"/>
      <c r="R1936" s="8"/>
      <c r="S1936" s="8"/>
      <c r="T1936" s="3"/>
    </row>
    <row r="1937" spans="14:20" x14ac:dyDescent="0.3">
      <c r="N1937" s="5"/>
      <c r="O1937" s="5"/>
      <c r="P1937" s="5"/>
      <c r="Q1937" s="5"/>
      <c r="R1937" s="8"/>
      <c r="S1937" s="8"/>
      <c r="T1937" s="3"/>
    </row>
    <row r="1938" spans="14:20" x14ac:dyDescent="0.3">
      <c r="N1938" s="5"/>
      <c r="O1938" s="5"/>
      <c r="P1938" s="5"/>
      <c r="Q1938" s="5"/>
      <c r="R1938" s="8"/>
      <c r="S1938" s="8"/>
      <c r="T1938" s="3"/>
    </row>
    <row r="1939" spans="14:20" x14ac:dyDescent="0.3">
      <c r="N1939" s="5"/>
      <c r="O1939" s="5"/>
      <c r="P1939" s="5"/>
      <c r="Q1939" s="5"/>
      <c r="R1939" s="8"/>
      <c r="S1939" s="8"/>
      <c r="T1939" s="3"/>
    </row>
    <row r="1940" spans="14:20" x14ac:dyDescent="0.3">
      <c r="N1940" s="5"/>
      <c r="O1940" s="5"/>
      <c r="P1940" s="5"/>
      <c r="Q1940" s="5"/>
      <c r="R1940" s="8"/>
      <c r="S1940" s="8"/>
      <c r="T1940" s="3"/>
    </row>
    <row r="1941" spans="14:20" x14ac:dyDescent="0.3">
      <c r="N1941" s="5"/>
      <c r="O1941" s="5"/>
      <c r="P1941" s="5"/>
      <c r="Q1941" s="5"/>
      <c r="R1941" s="8"/>
      <c r="S1941" s="8"/>
      <c r="T1941" s="3"/>
    </row>
    <row r="1942" spans="14:20" x14ac:dyDescent="0.3">
      <c r="N1942" s="5"/>
      <c r="O1942" s="5"/>
      <c r="P1942" s="5"/>
      <c r="Q1942" s="5"/>
      <c r="R1942" s="8"/>
      <c r="S1942" s="8"/>
      <c r="T1942" s="3"/>
    </row>
    <row r="1943" spans="14:20" x14ac:dyDescent="0.3">
      <c r="N1943" s="5"/>
      <c r="O1943" s="5"/>
      <c r="P1943" s="5"/>
      <c r="Q1943" s="5"/>
      <c r="R1943" s="8"/>
      <c r="S1943" s="8"/>
      <c r="T1943" s="3"/>
    </row>
    <row r="1944" spans="14:20" x14ac:dyDescent="0.3">
      <c r="N1944" s="5"/>
      <c r="O1944" s="5"/>
      <c r="P1944" s="5"/>
      <c r="Q1944" s="5"/>
      <c r="R1944" s="8"/>
      <c r="S1944" s="8"/>
      <c r="T1944" s="3"/>
    </row>
    <row r="1945" spans="14:20" x14ac:dyDescent="0.3">
      <c r="N1945" s="5"/>
      <c r="O1945" s="5"/>
      <c r="P1945" s="5"/>
      <c r="Q1945" s="5"/>
      <c r="R1945" s="8"/>
      <c r="S1945" s="8"/>
      <c r="T1945" s="3"/>
    </row>
    <row r="1946" spans="14:20" x14ac:dyDescent="0.3">
      <c r="N1946" s="5"/>
      <c r="O1946" s="5"/>
      <c r="P1946" s="5"/>
      <c r="Q1946" s="5"/>
      <c r="R1946" s="8"/>
      <c r="S1946" s="8"/>
      <c r="T1946" s="3"/>
    </row>
    <row r="1947" spans="14:20" x14ac:dyDescent="0.3">
      <c r="N1947" s="5"/>
      <c r="O1947" s="5"/>
      <c r="P1947" s="5"/>
      <c r="Q1947" s="5"/>
      <c r="R1947" s="8"/>
      <c r="S1947" s="8"/>
      <c r="T1947" s="3"/>
    </row>
    <row r="1948" spans="14:20" x14ac:dyDescent="0.3">
      <c r="N1948" s="5"/>
      <c r="O1948" s="5"/>
      <c r="P1948" s="5"/>
      <c r="Q1948" s="5"/>
      <c r="R1948" s="8"/>
      <c r="S1948" s="8"/>
      <c r="T1948" s="3"/>
    </row>
    <row r="1949" spans="14:20" x14ac:dyDescent="0.3">
      <c r="N1949" s="5"/>
      <c r="O1949" s="5"/>
      <c r="P1949" s="5"/>
      <c r="Q1949" s="5"/>
      <c r="R1949" s="8"/>
      <c r="S1949" s="8"/>
      <c r="T1949" s="3"/>
    </row>
    <row r="1950" spans="14:20" x14ac:dyDescent="0.3">
      <c r="N1950" s="5"/>
      <c r="O1950" s="5"/>
      <c r="P1950" s="5"/>
      <c r="Q1950" s="5"/>
      <c r="R1950" s="8"/>
      <c r="S1950" s="8"/>
      <c r="T1950" s="3"/>
    </row>
    <row r="1951" spans="14:20" x14ac:dyDescent="0.3">
      <c r="N1951" s="5"/>
      <c r="O1951" s="5"/>
      <c r="P1951" s="5"/>
      <c r="Q1951" s="5"/>
      <c r="R1951" s="8"/>
      <c r="S1951" s="8"/>
      <c r="T1951" s="3"/>
    </row>
    <row r="1952" spans="14:20" x14ac:dyDescent="0.3">
      <c r="N1952" s="5"/>
      <c r="O1952" s="5"/>
      <c r="P1952" s="5"/>
      <c r="Q1952" s="5"/>
      <c r="R1952" s="8"/>
      <c r="S1952" s="8"/>
      <c r="T1952" s="3"/>
    </row>
    <row r="1953" spans="14:20" x14ac:dyDescent="0.3">
      <c r="N1953" s="5"/>
      <c r="O1953" s="5"/>
      <c r="P1953" s="5"/>
      <c r="Q1953" s="5"/>
      <c r="R1953" s="8"/>
      <c r="S1953" s="8"/>
      <c r="T1953" s="3"/>
    </row>
    <row r="1954" spans="14:20" x14ac:dyDescent="0.3">
      <c r="N1954" s="5"/>
      <c r="O1954" s="5"/>
      <c r="P1954" s="5"/>
      <c r="Q1954" s="5"/>
      <c r="R1954" s="8"/>
      <c r="S1954" s="8"/>
      <c r="T1954" s="3"/>
    </row>
    <row r="1955" spans="14:20" x14ac:dyDescent="0.3">
      <c r="N1955" s="5"/>
      <c r="O1955" s="5"/>
      <c r="P1955" s="5"/>
      <c r="Q1955" s="5"/>
      <c r="R1955" s="8"/>
      <c r="S1955" s="8"/>
      <c r="T1955" s="3"/>
    </row>
    <row r="1956" spans="14:20" x14ac:dyDescent="0.3">
      <c r="N1956" s="5"/>
      <c r="O1956" s="5"/>
      <c r="P1956" s="5"/>
      <c r="Q1956" s="5"/>
      <c r="R1956" s="8"/>
      <c r="S1956" s="8"/>
      <c r="T1956" s="3"/>
    </row>
    <row r="1957" spans="14:20" x14ac:dyDescent="0.3">
      <c r="N1957" s="5"/>
      <c r="O1957" s="5"/>
      <c r="P1957" s="5"/>
      <c r="Q1957" s="5"/>
      <c r="R1957" s="8"/>
      <c r="S1957" s="8"/>
      <c r="T1957" s="3"/>
    </row>
    <row r="1958" spans="14:20" x14ac:dyDescent="0.3">
      <c r="N1958" s="5"/>
      <c r="O1958" s="5"/>
      <c r="P1958" s="5"/>
      <c r="Q1958" s="5"/>
      <c r="R1958" s="8"/>
      <c r="S1958" s="8"/>
      <c r="T1958" s="3"/>
    </row>
    <row r="1959" spans="14:20" x14ac:dyDescent="0.3">
      <c r="N1959" s="5"/>
      <c r="O1959" s="5"/>
      <c r="P1959" s="5"/>
      <c r="Q1959" s="5"/>
      <c r="R1959" s="8"/>
      <c r="S1959" s="8"/>
      <c r="T1959" s="3"/>
    </row>
    <row r="1960" spans="14:20" x14ac:dyDescent="0.3">
      <c r="N1960" s="5"/>
      <c r="O1960" s="5"/>
      <c r="P1960" s="5"/>
      <c r="Q1960" s="5"/>
      <c r="R1960" s="8"/>
      <c r="S1960" s="8"/>
      <c r="T1960" s="3"/>
    </row>
    <row r="1961" spans="14:20" x14ac:dyDescent="0.3">
      <c r="N1961" s="5"/>
      <c r="O1961" s="5"/>
      <c r="P1961" s="5"/>
      <c r="Q1961" s="5"/>
      <c r="R1961" s="8"/>
      <c r="S1961" s="8"/>
      <c r="T1961" s="3"/>
    </row>
    <row r="1962" spans="14:20" x14ac:dyDescent="0.3">
      <c r="N1962" s="5"/>
      <c r="O1962" s="5"/>
      <c r="P1962" s="5"/>
      <c r="Q1962" s="5"/>
      <c r="R1962" s="8"/>
      <c r="S1962" s="8"/>
      <c r="T1962" s="3"/>
    </row>
    <row r="1963" spans="14:20" x14ac:dyDescent="0.3">
      <c r="N1963" s="5"/>
      <c r="O1963" s="5"/>
      <c r="P1963" s="5"/>
      <c r="Q1963" s="5"/>
      <c r="R1963" s="8"/>
      <c r="S1963" s="8"/>
      <c r="T1963" s="3"/>
    </row>
    <row r="1964" spans="14:20" x14ac:dyDescent="0.3">
      <c r="N1964" s="5"/>
      <c r="O1964" s="5"/>
      <c r="P1964" s="5"/>
      <c r="Q1964" s="5"/>
      <c r="R1964" s="8"/>
      <c r="S1964" s="8"/>
      <c r="T1964" s="3"/>
    </row>
    <row r="1965" spans="14:20" x14ac:dyDescent="0.3">
      <c r="N1965" s="5"/>
      <c r="O1965" s="5"/>
      <c r="P1965" s="5"/>
      <c r="Q1965" s="5"/>
      <c r="R1965" s="8"/>
      <c r="S1965" s="8"/>
      <c r="T1965" s="3"/>
    </row>
    <row r="1966" spans="14:20" x14ac:dyDescent="0.3">
      <c r="N1966" s="5"/>
      <c r="O1966" s="5"/>
      <c r="P1966" s="5"/>
      <c r="Q1966" s="5"/>
      <c r="R1966" s="8"/>
      <c r="S1966" s="8"/>
      <c r="T1966" s="3"/>
    </row>
    <row r="1967" spans="14:20" x14ac:dyDescent="0.3">
      <c r="N1967" s="5"/>
      <c r="O1967" s="5"/>
      <c r="P1967" s="5"/>
      <c r="Q1967" s="5"/>
      <c r="R1967" s="8"/>
      <c r="S1967" s="8"/>
      <c r="T1967" s="3"/>
    </row>
    <row r="1968" spans="14:20" x14ac:dyDescent="0.3">
      <c r="N1968" s="5"/>
      <c r="O1968" s="5"/>
      <c r="P1968" s="5"/>
      <c r="Q1968" s="5"/>
      <c r="R1968" s="8"/>
      <c r="S1968" s="8"/>
      <c r="T1968" s="3"/>
    </row>
    <row r="1969" spans="14:20" x14ac:dyDescent="0.3">
      <c r="N1969" s="5"/>
      <c r="O1969" s="5"/>
      <c r="P1969" s="5"/>
      <c r="Q1969" s="5"/>
      <c r="R1969" s="8"/>
      <c r="S1969" s="8"/>
      <c r="T1969" s="3"/>
    </row>
    <row r="1970" spans="14:20" x14ac:dyDescent="0.3">
      <c r="N1970" s="5"/>
      <c r="O1970" s="5"/>
      <c r="P1970" s="5"/>
      <c r="Q1970" s="5"/>
      <c r="R1970" s="8"/>
      <c r="S1970" s="8"/>
      <c r="T1970" s="3"/>
    </row>
    <row r="1971" spans="14:20" x14ac:dyDescent="0.3">
      <c r="N1971" s="5"/>
      <c r="O1971" s="5"/>
      <c r="P1971" s="5"/>
      <c r="Q1971" s="5"/>
      <c r="R1971" s="8"/>
      <c r="S1971" s="8"/>
      <c r="T1971" s="3"/>
    </row>
    <row r="1972" spans="14:20" x14ac:dyDescent="0.3">
      <c r="N1972" s="5"/>
      <c r="O1972" s="5"/>
      <c r="P1972" s="5"/>
      <c r="Q1972" s="5"/>
      <c r="R1972" s="8"/>
      <c r="S1972" s="8"/>
      <c r="T1972" s="3"/>
    </row>
    <row r="1973" spans="14:20" x14ac:dyDescent="0.3">
      <c r="N1973" s="5"/>
      <c r="O1973" s="5"/>
      <c r="P1973" s="5"/>
      <c r="Q1973" s="5"/>
      <c r="R1973" s="8"/>
      <c r="S1973" s="8"/>
      <c r="T1973" s="3"/>
    </row>
    <row r="1974" spans="14:20" x14ac:dyDescent="0.3">
      <c r="N1974" s="5"/>
      <c r="O1974" s="5"/>
      <c r="P1974" s="5"/>
      <c r="Q1974" s="5"/>
      <c r="R1974" s="8"/>
      <c r="S1974" s="8"/>
      <c r="T1974" s="3"/>
    </row>
    <row r="1975" spans="14:20" x14ac:dyDescent="0.3">
      <c r="N1975" s="5"/>
      <c r="O1975" s="5"/>
      <c r="P1975" s="5"/>
      <c r="Q1975" s="5"/>
      <c r="R1975" s="8"/>
      <c r="S1975" s="8"/>
      <c r="T1975" s="3"/>
    </row>
    <row r="1976" spans="14:20" x14ac:dyDescent="0.3">
      <c r="N1976" s="5"/>
      <c r="O1976" s="5"/>
      <c r="P1976" s="5"/>
      <c r="Q1976" s="5"/>
      <c r="R1976" s="8"/>
      <c r="S1976" s="8"/>
      <c r="T1976" s="3"/>
    </row>
    <row r="1977" spans="14:20" x14ac:dyDescent="0.3">
      <c r="N1977" s="5"/>
      <c r="O1977" s="5"/>
      <c r="P1977" s="5"/>
      <c r="Q1977" s="5"/>
      <c r="R1977" s="8"/>
      <c r="S1977" s="8"/>
      <c r="T1977" s="3"/>
    </row>
    <row r="1978" spans="14:20" x14ac:dyDescent="0.3">
      <c r="N1978" s="5"/>
      <c r="O1978" s="5"/>
      <c r="P1978" s="5"/>
      <c r="Q1978" s="5"/>
      <c r="R1978" s="8"/>
      <c r="S1978" s="8"/>
      <c r="T1978" s="3"/>
    </row>
    <row r="1979" spans="14:20" x14ac:dyDescent="0.3">
      <c r="N1979" s="5"/>
      <c r="O1979" s="5"/>
      <c r="P1979" s="5"/>
      <c r="Q1979" s="5"/>
      <c r="R1979" s="8"/>
      <c r="S1979" s="8"/>
      <c r="T1979" s="3"/>
    </row>
    <row r="1980" spans="14:20" x14ac:dyDescent="0.3">
      <c r="N1980" s="5"/>
      <c r="O1980" s="5"/>
      <c r="P1980" s="5"/>
      <c r="Q1980" s="5"/>
      <c r="R1980" s="8"/>
      <c r="S1980" s="8"/>
      <c r="T1980" s="3"/>
    </row>
    <row r="1981" spans="14:20" x14ac:dyDescent="0.3">
      <c r="N1981" s="5"/>
      <c r="O1981" s="5"/>
      <c r="P1981" s="5"/>
      <c r="Q1981" s="5"/>
      <c r="R1981" s="8"/>
      <c r="S1981" s="8"/>
      <c r="T1981" s="3"/>
    </row>
    <row r="1982" spans="14:20" x14ac:dyDescent="0.3">
      <c r="N1982" s="5"/>
      <c r="O1982" s="5"/>
      <c r="P1982" s="5"/>
      <c r="Q1982" s="5"/>
      <c r="R1982" s="8"/>
      <c r="S1982" s="8"/>
      <c r="T1982" s="3"/>
    </row>
    <row r="1983" spans="14:20" x14ac:dyDescent="0.3">
      <c r="N1983" s="5"/>
      <c r="O1983" s="5"/>
      <c r="P1983" s="5"/>
      <c r="Q1983" s="5"/>
      <c r="R1983" s="8"/>
      <c r="S1983" s="8"/>
      <c r="T1983" s="3"/>
    </row>
    <row r="1984" spans="14:20" x14ac:dyDescent="0.3">
      <c r="N1984" s="5"/>
      <c r="O1984" s="5"/>
      <c r="P1984" s="5"/>
      <c r="Q1984" s="5"/>
      <c r="R1984" s="8"/>
      <c r="S1984" s="8"/>
      <c r="T1984" s="3"/>
    </row>
    <row r="1985" spans="14:20" x14ac:dyDescent="0.3">
      <c r="N1985" s="5"/>
      <c r="O1985" s="5"/>
      <c r="P1985" s="5"/>
      <c r="Q1985" s="5"/>
      <c r="R1985" s="8"/>
      <c r="S1985" s="8"/>
      <c r="T1985" s="3"/>
    </row>
    <row r="1986" spans="14:20" x14ac:dyDescent="0.3">
      <c r="N1986" s="5"/>
      <c r="O1986" s="5"/>
      <c r="P1986" s="5"/>
      <c r="Q1986" s="5"/>
      <c r="R1986" s="8"/>
      <c r="S1986" s="8"/>
      <c r="T1986" s="3"/>
    </row>
    <row r="1987" spans="14:20" x14ac:dyDescent="0.3">
      <c r="N1987" s="5"/>
      <c r="O1987" s="5"/>
      <c r="P1987" s="5"/>
      <c r="Q1987" s="5"/>
      <c r="R1987" s="8"/>
      <c r="S1987" s="8"/>
      <c r="T1987" s="3"/>
    </row>
    <row r="1988" spans="14:20" x14ac:dyDescent="0.3">
      <c r="N1988" s="5"/>
      <c r="O1988" s="5"/>
      <c r="P1988" s="5"/>
      <c r="Q1988" s="5"/>
      <c r="R1988" s="8"/>
      <c r="S1988" s="8"/>
      <c r="T1988" s="3"/>
    </row>
    <row r="1989" spans="14:20" x14ac:dyDescent="0.3">
      <c r="N1989" s="5"/>
      <c r="O1989" s="5"/>
      <c r="P1989" s="5"/>
      <c r="Q1989" s="5"/>
      <c r="R1989" s="8"/>
      <c r="S1989" s="8"/>
      <c r="T1989" s="3"/>
    </row>
    <row r="1990" spans="14:20" x14ac:dyDescent="0.3">
      <c r="N1990" s="5"/>
      <c r="O1990" s="5"/>
      <c r="P1990" s="5"/>
      <c r="Q1990" s="5"/>
      <c r="R1990" s="8"/>
      <c r="S1990" s="8"/>
      <c r="T1990" s="3"/>
    </row>
    <row r="1991" spans="14:20" x14ac:dyDescent="0.3">
      <c r="N1991" s="5"/>
      <c r="O1991" s="5"/>
      <c r="P1991" s="5"/>
      <c r="Q1991" s="5"/>
      <c r="R1991" s="8"/>
      <c r="S1991" s="8"/>
      <c r="T1991" s="3"/>
    </row>
    <row r="1992" spans="14:20" x14ac:dyDescent="0.3">
      <c r="N1992" s="5"/>
      <c r="O1992" s="5"/>
      <c r="P1992" s="5"/>
      <c r="Q1992" s="5"/>
      <c r="R1992" s="8"/>
      <c r="S1992" s="8"/>
      <c r="T1992" s="3"/>
    </row>
    <row r="1993" spans="14:20" x14ac:dyDescent="0.3">
      <c r="N1993" s="5"/>
      <c r="O1993" s="5"/>
      <c r="P1993" s="5"/>
      <c r="Q1993" s="5"/>
      <c r="R1993" s="8"/>
      <c r="S1993" s="8"/>
      <c r="T1993" s="3"/>
    </row>
    <row r="1994" spans="14:20" x14ac:dyDescent="0.3">
      <c r="N1994" s="5"/>
      <c r="O1994" s="5"/>
      <c r="P1994" s="5"/>
      <c r="Q1994" s="5"/>
      <c r="R1994" s="8"/>
      <c r="S1994" s="8"/>
      <c r="T1994" s="3"/>
    </row>
    <row r="1995" spans="14:20" x14ac:dyDescent="0.3">
      <c r="N1995" s="5"/>
      <c r="O1995" s="5"/>
      <c r="P1995" s="5"/>
      <c r="Q1995" s="5"/>
      <c r="R1995" s="8"/>
      <c r="S1995" s="8"/>
      <c r="T1995" s="3"/>
    </row>
    <row r="1996" spans="14:20" x14ac:dyDescent="0.3">
      <c r="N1996" s="5"/>
      <c r="O1996" s="5"/>
      <c r="P1996" s="5"/>
      <c r="Q1996" s="5"/>
      <c r="R1996" s="8"/>
      <c r="S1996" s="8"/>
      <c r="T1996" s="3"/>
    </row>
    <row r="1997" spans="14:20" x14ac:dyDescent="0.3">
      <c r="N1997" s="5"/>
      <c r="O1997" s="5"/>
      <c r="P1997" s="5"/>
      <c r="Q1997" s="5"/>
      <c r="R1997" s="8"/>
      <c r="S1997" s="8"/>
      <c r="T1997" s="3"/>
    </row>
    <row r="1998" spans="14:20" x14ac:dyDescent="0.3">
      <c r="N1998" s="5"/>
      <c r="O1998" s="5"/>
      <c r="P1998" s="5"/>
      <c r="Q1998" s="5"/>
      <c r="R1998" s="8"/>
      <c r="S1998" s="8"/>
      <c r="T1998" s="3"/>
    </row>
    <row r="1999" spans="14:20" x14ac:dyDescent="0.3">
      <c r="N1999" s="5"/>
      <c r="O1999" s="5"/>
      <c r="P1999" s="5"/>
      <c r="Q1999" s="5"/>
      <c r="R1999" s="8"/>
      <c r="S1999" s="8"/>
      <c r="T1999" s="3"/>
    </row>
    <row r="2000" spans="14:20" x14ac:dyDescent="0.3">
      <c r="N2000" s="5"/>
      <c r="O2000" s="5"/>
      <c r="P2000" s="5"/>
      <c r="Q2000" s="5"/>
      <c r="R2000" s="8"/>
      <c r="S2000" s="8"/>
      <c r="T2000" s="3"/>
    </row>
    <row r="2001" spans="14:20" x14ac:dyDescent="0.3">
      <c r="N2001" s="5"/>
      <c r="O2001" s="5"/>
      <c r="P2001" s="5"/>
      <c r="Q2001" s="5"/>
      <c r="R2001" s="8"/>
      <c r="S2001" s="8"/>
      <c r="T2001" s="3"/>
    </row>
    <row r="2002" spans="14:20" x14ac:dyDescent="0.3">
      <c r="N2002" s="5"/>
      <c r="O2002" s="5"/>
      <c r="P2002" s="5"/>
      <c r="Q2002" s="5"/>
      <c r="R2002" s="8"/>
      <c r="S2002" s="8"/>
      <c r="T2002" s="3"/>
    </row>
    <row r="2003" spans="14:20" x14ac:dyDescent="0.3">
      <c r="N2003" s="5"/>
      <c r="O2003" s="5"/>
      <c r="P2003" s="5"/>
      <c r="Q2003" s="5"/>
      <c r="R2003" s="8"/>
      <c r="S2003" s="8"/>
      <c r="T2003" s="3"/>
    </row>
    <row r="2004" spans="14:20" x14ac:dyDescent="0.3">
      <c r="N2004" s="5"/>
      <c r="O2004" s="5"/>
      <c r="P2004" s="5"/>
      <c r="Q2004" s="5"/>
      <c r="R2004" s="8"/>
      <c r="S2004" s="8"/>
      <c r="T2004" s="3"/>
    </row>
    <row r="2005" spans="14:20" x14ac:dyDescent="0.3">
      <c r="N2005" s="5"/>
      <c r="O2005" s="5"/>
      <c r="P2005" s="5"/>
      <c r="Q2005" s="5"/>
      <c r="R2005" s="8"/>
      <c r="S2005" s="8"/>
      <c r="T2005" s="3"/>
    </row>
    <row r="2006" spans="14:20" x14ac:dyDescent="0.3">
      <c r="N2006" s="5"/>
      <c r="O2006" s="5"/>
      <c r="P2006" s="5"/>
      <c r="Q2006" s="5"/>
      <c r="R2006" s="8"/>
      <c r="S2006" s="8"/>
      <c r="T2006" s="3"/>
    </row>
    <row r="2007" spans="14:20" x14ac:dyDescent="0.3">
      <c r="N2007" s="5"/>
      <c r="O2007" s="5"/>
      <c r="P2007" s="5"/>
      <c r="Q2007" s="5"/>
      <c r="R2007" s="8"/>
      <c r="S2007" s="8"/>
      <c r="T2007" s="3"/>
    </row>
    <row r="2008" spans="14:20" x14ac:dyDescent="0.3">
      <c r="N2008" s="5"/>
      <c r="O2008" s="5"/>
      <c r="P2008" s="5"/>
      <c r="Q2008" s="5"/>
      <c r="R2008" s="8"/>
      <c r="S2008" s="8"/>
      <c r="T2008" s="3"/>
    </row>
    <row r="2009" spans="14:20" x14ac:dyDescent="0.3">
      <c r="N2009" s="5"/>
      <c r="O2009" s="5"/>
      <c r="P2009" s="5"/>
      <c r="Q2009" s="5"/>
      <c r="R2009" s="8"/>
      <c r="S2009" s="8"/>
      <c r="T2009" s="3"/>
    </row>
    <row r="2010" spans="14:20" x14ac:dyDescent="0.3">
      <c r="N2010" s="5"/>
      <c r="O2010" s="5"/>
      <c r="P2010" s="5"/>
      <c r="Q2010" s="5"/>
      <c r="R2010" s="8"/>
      <c r="S2010" s="8"/>
      <c r="T2010" s="3"/>
    </row>
    <row r="2011" spans="14:20" x14ac:dyDescent="0.3">
      <c r="N2011" s="5"/>
      <c r="O2011" s="5"/>
      <c r="P2011" s="5"/>
      <c r="Q2011" s="5"/>
      <c r="R2011" s="8"/>
      <c r="S2011" s="8"/>
      <c r="T2011" s="3"/>
    </row>
    <row r="2012" spans="14:20" x14ac:dyDescent="0.3">
      <c r="N2012" s="5"/>
      <c r="O2012" s="5"/>
      <c r="P2012" s="5"/>
      <c r="Q2012" s="5"/>
      <c r="R2012" s="8"/>
      <c r="S2012" s="8"/>
      <c r="T2012" s="3"/>
    </row>
    <row r="2013" spans="14:20" x14ac:dyDescent="0.3">
      <c r="N2013" s="5"/>
      <c r="O2013" s="5"/>
      <c r="P2013" s="5"/>
      <c r="Q2013" s="5"/>
      <c r="R2013" s="8"/>
      <c r="S2013" s="8"/>
      <c r="T2013" s="3"/>
    </row>
    <row r="2014" spans="14:20" x14ac:dyDescent="0.3">
      <c r="N2014" s="5"/>
      <c r="O2014" s="5"/>
      <c r="P2014" s="5"/>
      <c r="Q2014" s="5"/>
      <c r="R2014" s="8"/>
      <c r="S2014" s="8"/>
      <c r="T2014" s="3"/>
    </row>
    <row r="2015" spans="14:20" x14ac:dyDescent="0.3">
      <c r="N2015" s="5"/>
      <c r="O2015" s="5"/>
      <c r="P2015" s="5"/>
      <c r="Q2015" s="5"/>
      <c r="R2015" s="8"/>
      <c r="S2015" s="8"/>
      <c r="T2015" s="3"/>
    </row>
    <row r="2016" spans="14:20" x14ac:dyDescent="0.3">
      <c r="N2016" s="5"/>
      <c r="O2016" s="5"/>
      <c r="P2016" s="5"/>
      <c r="Q2016" s="5"/>
      <c r="R2016" s="8"/>
      <c r="S2016" s="8"/>
      <c r="T2016" s="3"/>
    </row>
    <row r="2017" spans="14:20" x14ac:dyDescent="0.3">
      <c r="N2017" s="5"/>
      <c r="O2017" s="5"/>
      <c r="P2017" s="5"/>
      <c r="Q2017" s="5"/>
      <c r="R2017" s="8"/>
      <c r="S2017" s="8"/>
      <c r="T2017" s="3"/>
    </row>
    <row r="2018" spans="14:20" x14ac:dyDescent="0.3">
      <c r="N2018" s="5"/>
      <c r="O2018" s="5"/>
      <c r="P2018" s="5"/>
      <c r="Q2018" s="5"/>
      <c r="R2018" s="8"/>
      <c r="S2018" s="8"/>
      <c r="T2018" s="3"/>
    </row>
    <row r="2019" spans="14:20" x14ac:dyDescent="0.3">
      <c r="N2019" s="5"/>
      <c r="O2019" s="5"/>
      <c r="P2019" s="5"/>
      <c r="Q2019" s="5"/>
      <c r="R2019" s="8"/>
      <c r="S2019" s="8"/>
      <c r="T2019" s="3"/>
    </row>
    <row r="2020" spans="14:20" x14ac:dyDescent="0.3">
      <c r="N2020" s="5"/>
      <c r="O2020" s="5"/>
      <c r="P2020" s="5"/>
      <c r="Q2020" s="5"/>
      <c r="R2020" s="8"/>
      <c r="S2020" s="8"/>
      <c r="T2020" s="3"/>
    </row>
    <row r="2021" spans="14:20" x14ac:dyDescent="0.3">
      <c r="N2021" s="5"/>
      <c r="O2021" s="5"/>
      <c r="P2021" s="5"/>
      <c r="Q2021" s="5"/>
      <c r="R2021" s="8"/>
      <c r="S2021" s="8"/>
      <c r="T2021" s="3"/>
    </row>
    <row r="2022" spans="14:20" x14ac:dyDescent="0.3">
      <c r="N2022" s="5"/>
      <c r="O2022" s="5"/>
      <c r="P2022" s="5"/>
      <c r="Q2022" s="5"/>
      <c r="R2022" s="8"/>
      <c r="S2022" s="8"/>
      <c r="T2022" s="3"/>
    </row>
    <row r="2023" spans="14:20" x14ac:dyDescent="0.3">
      <c r="N2023" s="5"/>
      <c r="O2023" s="5"/>
      <c r="P2023" s="5"/>
      <c r="Q2023" s="5"/>
      <c r="R2023" s="8"/>
      <c r="S2023" s="8"/>
      <c r="T2023" s="3"/>
    </row>
    <row r="2024" spans="14:20" x14ac:dyDescent="0.3">
      <c r="N2024" s="5"/>
      <c r="O2024" s="5"/>
      <c r="P2024" s="5"/>
      <c r="Q2024" s="5"/>
      <c r="R2024" s="8"/>
      <c r="S2024" s="8"/>
      <c r="T2024" s="3"/>
    </row>
    <row r="2025" spans="14:20" x14ac:dyDescent="0.3">
      <c r="N2025" s="5"/>
      <c r="O2025" s="5"/>
      <c r="P2025" s="5"/>
      <c r="Q2025" s="5"/>
      <c r="R2025" s="8"/>
      <c r="S2025" s="8"/>
      <c r="T2025" s="3"/>
    </row>
    <row r="2026" spans="14:20" x14ac:dyDescent="0.3">
      <c r="N2026" s="5"/>
      <c r="O2026" s="5"/>
      <c r="P2026" s="5"/>
      <c r="Q2026" s="5"/>
      <c r="R2026" s="8"/>
      <c r="S2026" s="8"/>
      <c r="T2026" s="3"/>
    </row>
    <row r="2027" spans="14:20" x14ac:dyDescent="0.3">
      <c r="N2027" s="5"/>
      <c r="O2027" s="5"/>
      <c r="P2027" s="5"/>
      <c r="Q2027" s="5"/>
      <c r="R2027" s="8"/>
      <c r="S2027" s="8"/>
      <c r="T2027" s="3"/>
    </row>
    <row r="2028" spans="14:20" x14ac:dyDescent="0.3">
      <c r="N2028" s="5"/>
      <c r="O2028" s="5"/>
      <c r="P2028" s="5"/>
      <c r="Q2028" s="5"/>
      <c r="R2028" s="8"/>
      <c r="S2028" s="8"/>
      <c r="T2028" s="3"/>
    </row>
    <row r="2029" spans="14:20" x14ac:dyDescent="0.3">
      <c r="N2029" s="5"/>
      <c r="O2029" s="5"/>
      <c r="P2029" s="5"/>
      <c r="Q2029" s="5"/>
      <c r="R2029" s="8"/>
      <c r="S2029" s="8"/>
      <c r="T2029" s="3"/>
    </row>
    <row r="2030" spans="14:20" x14ac:dyDescent="0.3">
      <c r="N2030" s="5"/>
      <c r="O2030" s="5"/>
      <c r="P2030" s="5"/>
      <c r="Q2030" s="5"/>
      <c r="R2030" s="8"/>
      <c r="S2030" s="8"/>
      <c r="T2030" s="3"/>
    </row>
    <row r="2031" spans="14:20" x14ac:dyDescent="0.3">
      <c r="N2031" s="5"/>
      <c r="O2031" s="5"/>
      <c r="P2031" s="5"/>
      <c r="Q2031" s="5"/>
      <c r="R2031" s="8"/>
      <c r="S2031" s="8"/>
      <c r="T2031" s="3"/>
    </row>
    <row r="2032" spans="14:20" x14ac:dyDescent="0.3">
      <c r="N2032" s="5"/>
      <c r="O2032" s="5"/>
      <c r="P2032" s="5"/>
      <c r="Q2032" s="5"/>
      <c r="R2032" s="8"/>
      <c r="S2032" s="8"/>
      <c r="T2032" s="3"/>
    </row>
    <row r="2033" spans="14:20" x14ac:dyDescent="0.3">
      <c r="N2033" s="5"/>
      <c r="O2033" s="5"/>
      <c r="P2033" s="5"/>
      <c r="Q2033" s="5"/>
      <c r="R2033" s="8"/>
      <c r="S2033" s="8"/>
      <c r="T2033" s="3"/>
    </row>
    <row r="2034" spans="14:20" x14ac:dyDescent="0.3">
      <c r="N2034" s="5"/>
      <c r="O2034" s="5"/>
      <c r="P2034" s="5"/>
      <c r="Q2034" s="5"/>
      <c r="R2034" s="8"/>
      <c r="S2034" s="8"/>
      <c r="T2034" s="3"/>
    </row>
    <row r="2035" spans="14:20" x14ac:dyDescent="0.3">
      <c r="N2035" s="5"/>
      <c r="O2035" s="5"/>
      <c r="P2035" s="5"/>
      <c r="Q2035" s="5"/>
      <c r="R2035" s="8"/>
      <c r="S2035" s="8"/>
      <c r="T2035" s="3"/>
    </row>
    <row r="2036" spans="14:20" x14ac:dyDescent="0.3">
      <c r="N2036" s="5"/>
      <c r="O2036" s="5"/>
      <c r="P2036" s="5"/>
      <c r="Q2036" s="5"/>
      <c r="R2036" s="8"/>
      <c r="S2036" s="8"/>
      <c r="T2036" s="3"/>
    </row>
    <row r="2037" spans="14:20" x14ac:dyDescent="0.3">
      <c r="N2037" s="5"/>
      <c r="O2037" s="5"/>
      <c r="P2037" s="5"/>
      <c r="Q2037" s="5"/>
      <c r="R2037" s="8"/>
      <c r="S2037" s="8"/>
      <c r="T2037" s="3"/>
    </row>
    <row r="2038" spans="14:20" x14ac:dyDescent="0.3">
      <c r="N2038" s="5"/>
      <c r="O2038" s="5"/>
      <c r="P2038" s="5"/>
      <c r="Q2038" s="5"/>
      <c r="R2038" s="8"/>
      <c r="S2038" s="8"/>
      <c r="T2038" s="3"/>
    </row>
    <row r="2039" spans="14:20" x14ac:dyDescent="0.3">
      <c r="N2039" s="5"/>
      <c r="O2039" s="5"/>
      <c r="P2039" s="5"/>
      <c r="Q2039" s="5"/>
      <c r="R2039" s="8"/>
      <c r="S2039" s="8"/>
      <c r="T2039" s="3"/>
    </row>
    <row r="2040" spans="14:20" x14ac:dyDescent="0.3">
      <c r="N2040" s="5"/>
      <c r="O2040" s="5"/>
      <c r="P2040" s="5"/>
      <c r="Q2040" s="5"/>
      <c r="R2040" s="8"/>
      <c r="S2040" s="8"/>
      <c r="T2040" s="3"/>
    </row>
    <row r="2041" spans="14:20" x14ac:dyDescent="0.3">
      <c r="N2041" s="5"/>
      <c r="O2041" s="5"/>
      <c r="P2041" s="5"/>
      <c r="Q2041" s="5"/>
      <c r="R2041" s="8"/>
      <c r="S2041" s="8"/>
      <c r="T2041" s="3"/>
    </row>
    <row r="2042" spans="14:20" x14ac:dyDescent="0.3">
      <c r="N2042" s="5"/>
      <c r="O2042" s="5"/>
      <c r="P2042" s="5"/>
      <c r="Q2042" s="5"/>
      <c r="R2042" s="8"/>
      <c r="S2042" s="8"/>
      <c r="T2042" s="3"/>
    </row>
    <row r="2043" spans="14:20" x14ac:dyDescent="0.3">
      <c r="N2043" s="5"/>
      <c r="O2043" s="5"/>
      <c r="P2043" s="5"/>
      <c r="Q2043" s="5"/>
      <c r="R2043" s="8"/>
      <c r="S2043" s="8"/>
      <c r="T2043" s="3"/>
    </row>
    <row r="2044" spans="14:20" x14ac:dyDescent="0.3">
      <c r="N2044" s="5"/>
      <c r="O2044" s="5"/>
      <c r="P2044" s="5"/>
      <c r="Q2044" s="5"/>
      <c r="R2044" s="8"/>
      <c r="S2044" s="8"/>
      <c r="T2044" s="3"/>
    </row>
    <row r="2045" spans="14:20" x14ac:dyDescent="0.3">
      <c r="N2045" s="5"/>
      <c r="O2045" s="5"/>
      <c r="P2045" s="5"/>
      <c r="Q2045" s="5"/>
      <c r="R2045" s="8"/>
      <c r="S2045" s="8"/>
      <c r="T2045" s="3"/>
    </row>
    <row r="2046" spans="14:20" x14ac:dyDescent="0.3">
      <c r="N2046" s="5"/>
      <c r="O2046" s="5"/>
      <c r="P2046" s="5"/>
      <c r="Q2046" s="5"/>
      <c r="R2046" s="8"/>
      <c r="S2046" s="8"/>
      <c r="T2046" s="3"/>
    </row>
    <row r="2047" spans="14:20" x14ac:dyDescent="0.3">
      <c r="N2047" s="5"/>
      <c r="O2047" s="5"/>
      <c r="P2047" s="5"/>
      <c r="Q2047" s="5"/>
      <c r="R2047" s="8"/>
      <c r="S2047" s="8"/>
      <c r="T2047" s="3"/>
    </row>
    <row r="2048" spans="14:20" x14ac:dyDescent="0.3">
      <c r="N2048" s="5"/>
      <c r="O2048" s="5"/>
      <c r="P2048" s="5"/>
      <c r="Q2048" s="5"/>
      <c r="R2048" s="8"/>
      <c r="S2048" s="8"/>
      <c r="T2048" s="3"/>
    </row>
    <row r="2049" spans="14:20" x14ac:dyDescent="0.3">
      <c r="N2049" s="5"/>
      <c r="O2049" s="5"/>
      <c r="P2049" s="5"/>
      <c r="Q2049" s="5"/>
      <c r="R2049" s="8"/>
      <c r="S2049" s="8"/>
      <c r="T2049" s="3"/>
    </row>
    <row r="2050" spans="14:20" x14ac:dyDescent="0.3">
      <c r="N2050" s="5"/>
      <c r="O2050" s="5"/>
      <c r="P2050" s="5"/>
      <c r="Q2050" s="5"/>
      <c r="R2050" s="8"/>
      <c r="S2050" s="8"/>
      <c r="T2050" s="3"/>
    </row>
    <row r="2051" spans="14:20" x14ac:dyDescent="0.3">
      <c r="N2051" s="5"/>
      <c r="O2051" s="5"/>
      <c r="P2051" s="5"/>
      <c r="Q2051" s="5"/>
      <c r="R2051" s="8"/>
      <c r="S2051" s="8"/>
      <c r="T2051" s="3"/>
    </row>
    <row r="2052" spans="14:20" x14ac:dyDescent="0.3">
      <c r="N2052" s="5"/>
      <c r="O2052" s="5"/>
      <c r="P2052" s="5"/>
      <c r="Q2052" s="5"/>
      <c r="R2052" s="8"/>
      <c r="S2052" s="8"/>
      <c r="T2052" s="3"/>
    </row>
    <row r="2053" spans="14:20" x14ac:dyDescent="0.3">
      <c r="N2053" s="5"/>
      <c r="O2053" s="5"/>
      <c r="P2053" s="5"/>
      <c r="Q2053" s="5"/>
      <c r="R2053" s="8"/>
      <c r="S2053" s="8"/>
      <c r="T2053" s="3"/>
    </row>
    <row r="2054" spans="14:20" x14ac:dyDescent="0.3">
      <c r="N2054" s="5"/>
      <c r="O2054" s="5"/>
      <c r="P2054" s="5"/>
      <c r="Q2054" s="5"/>
      <c r="R2054" s="8"/>
      <c r="S2054" s="8"/>
      <c r="T2054" s="3"/>
    </row>
    <row r="2055" spans="14:20" x14ac:dyDescent="0.3">
      <c r="N2055" s="5"/>
      <c r="O2055" s="5"/>
      <c r="P2055" s="5"/>
      <c r="Q2055" s="5"/>
      <c r="R2055" s="8"/>
      <c r="S2055" s="8"/>
      <c r="T2055" s="3"/>
    </row>
    <row r="2056" spans="14:20" x14ac:dyDescent="0.3">
      <c r="N2056" s="5"/>
      <c r="O2056" s="5"/>
      <c r="P2056" s="5"/>
      <c r="Q2056" s="5"/>
      <c r="R2056" s="8"/>
      <c r="S2056" s="8"/>
      <c r="T2056" s="3"/>
    </row>
    <row r="2057" spans="14:20" x14ac:dyDescent="0.3">
      <c r="N2057" s="5"/>
      <c r="O2057" s="5"/>
      <c r="P2057" s="5"/>
      <c r="Q2057" s="5"/>
      <c r="R2057" s="8"/>
      <c r="S2057" s="8"/>
      <c r="T2057" s="3"/>
    </row>
    <row r="2058" spans="14:20" x14ac:dyDescent="0.3">
      <c r="N2058" s="5"/>
      <c r="O2058" s="5"/>
      <c r="P2058" s="5"/>
      <c r="Q2058" s="5"/>
      <c r="R2058" s="8"/>
      <c r="S2058" s="8"/>
      <c r="T2058" s="3"/>
    </row>
    <row r="2059" spans="14:20" x14ac:dyDescent="0.3">
      <c r="N2059" s="5"/>
      <c r="O2059" s="5"/>
      <c r="P2059" s="5"/>
      <c r="Q2059" s="5"/>
      <c r="R2059" s="8"/>
      <c r="S2059" s="8"/>
      <c r="T2059" s="3"/>
    </row>
    <row r="2060" spans="14:20" x14ac:dyDescent="0.3">
      <c r="N2060" s="5"/>
      <c r="O2060" s="5"/>
      <c r="P2060" s="5"/>
      <c r="Q2060" s="5"/>
      <c r="R2060" s="8"/>
      <c r="S2060" s="8"/>
      <c r="T2060" s="3"/>
    </row>
    <row r="2061" spans="14:20" x14ac:dyDescent="0.3">
      <c r="N2061" s="5"/>
      <c r="O2061" s="5"/>
      <c r="P2061" s="5"/>
      <c r="Q2061" s="5"/>
      <c r="R2061" s="8"/>
      <c r="S2061" s="8"/>
      <c r="T2061" s="3"/>
    </row>
    <row r="2062" spans="14:20" x14ac:dyDescent="0.3">
      <c r="N2062" s="5"/>
      <c r="O2062" s="5"/>
      <c r="P2062" s="5"/>
      <c r="Q2062" s="5"/>
      <c r="R2062" s="8"/>
      <c r="S2062" s="8"/>
      <c r="T2062" s="3"/>
    </row>
    <row r="2063" spans="14:20" x14ac:dyDescent="0.3">
      <c r="N2063" s="5"/>
      <c r="O2063" s="5"/>
      <c r="P2063" s="5"/>
      <c r="Q2063" s="5"/>
      <c r="R2063" s="8"/>
      <c r="S2063" s="8"/>
      <c r="T2063" s="3"/>
    </row>
    <row r="2064" spans="14:20" x14ac:dyDescent="0.3">
      <c r="N2064" s="5"/>
      <c r="O2064" s="5"/>
      <c r="P2064" s="5"/>
      <c r="Q2064" s="5"/>
      <c r="R2064" s="8"/>
      <c r="S2064" s="8"/>
      <c r="T2064" s="3"/>
    </row>
    <row r="2065" spans="14:20" x14ac:dyDescent="0.3">
      <c r="N2065" s="5"/>
      <c r="O2065" s="5"/>
      <c r="P2065" s="5"/>
      <c r="Q2065" s="5"/>
      <c r="R2065" s="8"/>
      <c r="S2065" s="8"/>
      <c r="T2065" s="3"/>
    </row>
    <row r="2066" spans="14:20" x14ac:dyDescent="0.3">
      <c r="N2066" s="5"/>
      <c r="O2066" s="5"/>
      <c r="P2066" s="5"/>
      <c r="Q2066" s="5"/>
      <c r="R2066" s="8"/>
      <c r="S2066" s="8"/>
      <c r="T2066" s="3"/>
    </row>
    <row r="2067" spans="14:20" x14ac:dyDescent="0.3">
      <c r="N2067" s="5"/>
      <c r="O2067" s="5"/>
      <c r="P2067" s="5"/>
      <c r="Q2067" s="5"/>
      <c r="R2067" s="8"/>
      <c r="S2067" s="8"/>
      <c r="T2067" s="3"/>
    </row>
    <row r="2068" spans="14:20" x14ac:dyDescent="0.3">
      <c r="N2068" s="5"/>
      <c r="O2068" s="5"/>
      <c r="P2068" s="5"/>
      <c r="Q2068" s="5"/>
      <c r="R2068" s="8"/>
      <c r="S2068" s="8"/>
      <c r="T2068" s="3"/>
    </row>
    <row r="2069" spans="14:20" x14ac:dyDescent="0.3">
      <c r="N2069" s="5"/>
      <c r="O2069" s="5"/>
      <c r="P2069" s="5"/>
      <c r="Q2069" s="5"/>
      <c r="R2069" s="8"/>
      <c r="S2069" s="8"/>
      <c r="T2069" s="3"/>
    </row>
    <row r="2070" spans="14:20" x14ac:dyDescent="0.3">
      <c r="N2070" s="5"/>
      <c r="O2070" s="5"/>
      <c r="P2070" s="5"/>
      <c r="Q2070" s="5"/>
      <c r="R2070" s="8"/>
      <c r="S2070" s="8"/>
      <c r="T2070" s="3"/>
    </row>
    <row r="2071" spans="14:20" x14ac:dyDescent="0.3">
      <c r="N2071" s="5"/>
      <c r="O2071" s="5"/>
      <c r="P2071" s="5"/>
      <c r="Q2071" s="5"/>
      <c r="R2071" s="8"/>
      <c r="S2071" s="8"/>
      <c r="T2071" s="3"/>
    </row>
    <row r="2072" spans="14:20" x14ac:dyDescent="0.3">
      <c r="N2072" s="5"/>
      <c r="O2072" s="5"/>
      <c r="P2072" s="5"/>
      <c r="Q2072" s="5"/>
      <c r="R2072" s="8"/>
      <c r="S2072" s="8"/>
      <c r="T2072" s="3"/>
    </row>
    <row r="2073" spans="14:20" x14ac:dyDescent="0.3">
      <c r="N2073" s="5"/>
      <c r="O2073" s="5"/>
      <c r="P2073" s="5"/>
      <c r="Q2073" s="5"/>
      <c r="R2073" s="8"/>
      <c r="S2073" s="8"/>
      <c r="T2073" s="3"/>
    </row>
    <row r="2074" spans="14:20" x14ac:dyDescent="0.3">
      <c r="N2074" s="5"/>
      <c r="O2074" s="5"/>
      <c r="P2074" s="5"/>
      <c r="Q2074" s="5"/>
      <c r="R2074" s="8"/>
      <c r="S2074" s="8"/>
      <c r="T2074" s="3"/>
    </row>
    <row r="2075" spans="14:20" x14ac:dyDescent="0.3">
      <c r="N2075" s="5"/>
      <c r="O2075" s="5"/>
      <c r="P2075" s="5"/>
      <c r="Q2075" s="5"/>
      <c r="R2075" s="8"/>
      <c r="S2075" s="8"/>
      <c r="T2075" s="3"/>
    </row>
    <row r="2076" spans="14:20" x14ac:dyDescent="0.3">
      <c r="N2076" s="5"/>
      <c r="O2076" s="5"/>
      <c r="P2076" s="5"/>
      <c r="Q2076" s="5"/>
      <c r="R2076" s="8"/>
      <c r="S2076" s="8"/>
      <c r="T2076" s="3"/>
    </row>
    <row r="2077" spans="14:20" x14ac:dyDescent="0.3">
      <c r="N2077" s="5"/>
      <c r="O2077" s="5"/>
      <c r="P2077" s="5"/>
      <c r="Q2077" s="5"/>
      <c r="R2077" s="8"/>
      <c r="S2077" s="8"/>
      <c r="T2077" s="3"/>
    </row>
    <row r="2078" spans="14:20" x14ac:dyDescent="0.3">
      <c r="N2078" s="5"/>
      <c r="O2078" s="5"/>
      <c r="P2078" s="5"/>
      <c r="Q2078" s="5"/>
      <c r="R2078" s="8"/>
      <c r="S2078" s="8"/>
      <c r="T2078" s="3"/>
    </row>
    <row r="2079" spans="14:20" x14ac:dyDescent="0.3">
      <c r="N2079" s="5"/>
      <c r="O2079" s="5"/>
      <c r="P2079" s="5"/>
      <c r="Q2079" s="5"/>
      <c r="R2079" s="8"/>
      <c r="S2079" s="8"/>
      <c r="T2079" s="3"/>
    </row>
    <row r="2080" spans="14:20" x14ac:dyDescent="0.3">
      <c r="N2080" s="5"/>
      <c r="O2080" s="5"/>
      <c r="P2080" s="5"/>
      <c r="Q2080" s="5"/>
      <c r="R2080" s="8"/>
      <c r="S2080" s="8"/>
      <c r="T2080" s="3"/>
    </row>
    <row r="2081" spans="14:20" x14ac:dyDescent="0.3">
      <c r="N2081" s="5"/>
      <c r="O2081" s="5"/>
      <c r="P2081" s="5"/>
      <c r="Q2081" s="5"/>
      <c r="R2081" s="8"/>
      <c r="S2081" s="8"/>
      <c r="T2081" s="3"/>
    </row>
    <row r="2082" spans="14:20" x14ac:dyDescent="0.3">
      <c r="N2082" s="5"/>
      <c r="O2082" s="5"/>
      <c r="P2082" s="5"/>
      <c r="Q2082" s="5"/>
      <c r="R2082" s="8"/>
      <c r="S2082" s="8"/>
      <c r="T2082" s="3"/>
    </row>
    <row r="2083" spans="14:20" x14ac:dyDescent="0.3">
      <c r="N2083" s="5"/>
      <c r="O2083" s="5"/>
      <c r="P2083" s="5"/>
      <c r="Q2083" s="5"/>
      <c r="R2083" s="8"/>
      <c r="S2083" s="8"/>
      <c r="T2083" s="3"/>
    </row>
    <row r="2084" spans="14:20" x14ac:dyDescent="0.3">
      <c r="N2084" s="5"/>
      <c r="O2084" s="5"/>
      <c r="P2084" s="5"/>
      <c r="Q2084" s="5"/>
      <c r="R2084" s="8"/>
      <c r="S2084" s="8"/>
      <c r="T2084" s="3"/>
    </row>
    <row r="2085" spans="14:20" x14ac:dyDescent="0.3">
      <c r="N2085" s="5"/>
      <c r="O2085" s="5"/>
      <c r="P2085" s="5"/>
      <c r="Q2085" s="5"/>
      <c r="R2085" s="8"/>
      <c r="S2085" s="8"/>
      <c r="T2085" s="3"/>
    </row>
    <row r="2086" spans="14:20" x14ac:dyDescent="0.3">
      <c r="N2086" s="5"/>
      <c r="O2086" s="5"/>
      <c r="P2086" s="5"/>
      <c r="Q2086" s="5"/>
      <c r="R2086" s="8"/>
      <c r="S2086" s="8"/>
      <c r="T2086" s="3"/>
    </row>
    <row r="2087" spans="14:20" x14ac:dyDescent="0.3">
      <c r="N2087" s="5"/>
      <c r="O2087" s="5"/>
      <c r="P2087" s="5"/>
      <c r="Q2087" s="5"/>
      <c r="R2087" s="8"/>
      <c r="S2087" s="8"/>
      <c r="T2087" s="3"/>
    </row>
    <row r="2088" spans="14:20" x14ac:dyDescent="0.3">
      <c r="N2088" s="5"/>
      <c r="O2088" s="5"/>
      <c r="P2088" s="5"/>
      <c r="Q2088" s="5"/>
      <c r="R2088" s="8"/>
      <c r="S2088" s="8"/>
      <c r="T2088" s="3"/>
    </row>
    <row r="2089" spans="14:20" x14ac:dyDescent="0.3">
      <c r="N2089" s="5"/>
      <c r="O2089" s="5"/>
      <c r="P2089" s="5"/>
      <c r="Q2089" s="5"/>
      <c r="R2089" s="8"/>
      <c r="S2089" s="8"/>
      <c r="T2089" s="3"/>
    </row>
    <row r="2090" spans="14:20" x14ac:dyDescent="0.3">
      <c r="N2090" s="5"/>
      <c r="O2090" s="5"/>
      <c r="P2090" s="5"/>
      <c r="Q2090" s="5"/>
      <c r="R2090" s="8"/>
      <c r="S2090" s="8"/>
      <c r="T2090" s="3"/>
    </row>
    <row r="2091" spans="14:20" x14ac:dyDescent="0.3">
      <c r="N2091" s="5"/>
      <c r="O2091" s="5"/>
      <c r="P2091" s="5"/>
      <c r="Q2091" s="5"/>
      <c r="R2091" s="8"/>
      <c r="S2091" s="8"/>
      <c r="T2091" s="3"/>
    </row>
    <row r="2092" spans="14:20" x14ac:dyDescent="0.3">
      <c r="N2092" s="5"/>
      <c r="O2092" s="5"/>
      <c r="P2092" s="5"/>
      <c r="Q2092" s="5"/>
      <c r="R2092" s="8"/>
      <c r="S2092" s="8"/>
      <c r="T2092" s="3"/>
    </row>
    <row r="2093" spans="14:20" x14ac:dyDescent="0.3">
      <c r="N2093" s="5"/>
      <c r="O2093" s="5"/>
      <c r="P2093" s="5"/>
      <c r="Q2093" s="5"/>
      <c r="R2093" s="8"/>
      <c r="S2093" s="8"/>
      <c r="T2093" s="3"/>
    </row>
    <row r="2094" spans="14:20" x14ac:dyDescent="0.3">
      <c r="N2094" s="5"/>
      <c r="O2094" s="5"/>
      <c r="P2094" s="5"/>
      <c r="Q2094" s="5"/>
      <c r="R2094" s="8"/>
      <c r="S2094" s="8"/>
      <c r="T2094" s="3"/>
    </row>
    <row r="2095" spans="14:20" x14ac:dyDescent="0.3">
      <c r="N2095" s="5"/>
      <c r="O2095" s="5"/>
      <c r="P2095" s="5"/>
      <c r="Q2095" s="5"/>
      <c r="R2095" s="8"/>
      <c r="S2095" s="8"/>
      <c r="T2095" s="3"/>
    </row>
    <row r="2096" spans="14:20" x14ac:dyDescent="0.3">
      <c r="N2096" s="5"/>
      <c r="O2096" s="5"/>
      <c r="P2096" s="5"/>
      <c r="Q2096" s="5"/>
      <c r="R2096" s="8"/>
      <c r="S2096" s="8"/>
      <c r="T2096" s="3"/>
    </row>
    <row r="2097" spans="14:20" x14ac:dyDescent="0.3">
      <c r="N2097" s="5"/>
      <c r="O2097" s="5"/>
      <c r="P2097" s="5"/>
      <c r="Q2097" s="5"/>
      <c r="R2097" s="8"/>
      <c r="S2097" s="8"/>
      <c r="T2097" s="3"/>
    </row>
    <row r="2098" spans="14:20" x14ac:dyDescent="0.3">
      <c r="N2098" s="5"/>
      <c r="O2098" s="5"/>
      <c r="P2098" s="5"/>
      <c r="Q2098" s="5"/>
      <c r="R2098" s="8"/>
      <c r="S2098" s="8"/>
      <c r="T2098" s="3"/>
    </row>
    <row r="2099" spans="14:20" x14ac:dyDescent="0.3">
      <c r="N2099" s="5"/>
      <c r="O2099" s="5"/>
      <c r="P2099" s="5"/>
      <c r="Q2099" s="5"/>
      <c r="R2099" s="8"/>
      <c r="S2099" s="8"/>
      <c r="T2099" s="3"/>
    </row>
    <row r="2100" spans="14:20" x14ac:dyDescent="0.3">
      <c r="N2100" s="5"/>
      <c r="O2100" s="5"/>
      <c r="P2100" s="5"/>
      <c r="Q2100" s="5"/>
      <c r="R2100" s="8"/>
      <c r="S2100" s="8"/>
      <c r="T2100" s="3"/>
    </row>
    <row r="2101" spans="14:20" x14ac:dyDescent="0.3">
      <c r="N2101" s="5"/>
      <c r="O2101" s="5"/>
      <c r="P2101" s="5"/>
      <c r="Q2101" s="5"/>
      <c r="R2101" s="8"/>
      <c r="S2101" s="8"/>
      <c r="T2101" s="3"/>
    </row>
    <row r="2102" spans="14:20" x14ac:dyDescent="0.3">
      <c r="N2102" s="5"/>
      <c r="O2102" s="5"/>
      <c r="P2102" s="5"/>
      <c r="Q2102" s="5"/>
      <c r="R2102" s="8"/>
      <c r="S2102" s="8"/>
      <c r="T2102" s="3"/>
    </row>
    <row r="2103" spans="14:20" x14ac:dyDescent="0.3">
      <c r="N2103" s="5"/>
      <c r="O2103" s="5"/>
      <c r="P2103" s="5"/>
      <c r="Q2103" s="5"/>
      <c r="R2103" s="8"/>
      <c r="S2103" s="8"/>
      <c r="T2103" s="3"/>
    </row>
    <row r="2104" spans="14:20" x14ac:dyDescent="0.3">
      <c r="N2104" s="5"/>
      <c r="O2104" s="5"/>
      <c r="P2104" s="5"/>
      <c r="Q2104" s="5"/>
      <c r="R2104" s="8"/>
      <c r="S2104" s="8"/>
      <c r="T2104" s="3"/>
    </row>
    <row r="2105" spans="14:20" x14ac:dyDescent="0.3">
      <c r="N2105" s="5"/>
      <c r="O2105" s="5"/>
      <c r="P2105" s="5"/>
      <c r="Q2105" s="5"/>
      <c r="R2105" s="8"/>
      <c r="S2105" s="8"/>
      <c r="T2105" s="3"/>
    </row>
    <row r="2106" spans="14:20" x14ac:dyDescent="0.3">
      <c r="N2106" s="5"/>
      <c r="O2106" s="5"/>
      <c r="P2106" s="5"/>
      <c r="Q2106" s="5"/>
      <c r="R2106" s="8"/>
      <c r="S2106" s="8"/>
      <c r="T2106" s="3"/>
    </row>
    <row r="2107" spans="14:20" x14ac:dyDescent="0.3">
      <c r="N2107" s="5"/>
      <c r="O2107" s="5"/>
      <c r="P2107" s="5"/>
      <c r="Q2107" s="5"/>
      <c r="R2107" s="8"/>
      <c r="S2107" s="8"/>
      <c r="T2107" s="3"/>
    </row>
    <row r="2108" spans="14:20" x14ac:dyDescent="0.3">
      <c r="N2108" s="5"/>
      <c r="O2108" s="5"/>
      <c r="P2108" s="5"/>
      <c r="Q2108" s="5"/>
      <c r="R2108" s="8"/>
      <c r="S2108" s="8"/>
      <c r="T2108" s="3"/>
    </row>
    <row r="2109" spans="14:20" x14ac:dyDescent="0.3">
      <c r="N2109" s="5"/>
      <c r="O2109" s="5"/>
      <c r="P2109" s="5"/>
      <c r="Q2109" s="5"/>
      <c r="R2109" s="8"/>
      <c r="S2109" s="8"/>
      <c r="T2109" s="3"/>
    </row>
    <row r="2110" spans="14:20" x14ac:dyDescent="0.3">
      <c r="N2110" s="5"/>
      <c r="O2110" s="5"/>
      <c r="P2110" s="5"/>
      <c r="Q2110" s="5"/>
      <c r="R2110" s="8"/>
      <c r="S2110" s="8"/>
      <c r="T2110" s="3"/>
    </row>
    <row r="2111" spans="14:20" x14ac:dyDescent="0.3">
      <c r="N2111" s="5"/>
      <c r="O2111" s="5"/>
      <c r="P2111" s="5"/>
      <c r="Q2111" s="5"/>
      <c r="R2111" s="8"/>
      <c r="S2111" s="8"/>
      <c r="T2111" s="3"/>
    </row>
    <row r="2112" spans="14:20" x14ac:dyDescent="0.3">
      <c r="N2112" s="5"/>
      <c r="O2112" s="5"/>
      <c r="P2112" s="5"/>
      <c r="Q2112" s="5"/>
      <c r="R2112" s="8"/>
      <c r="S2112" s="8"/>
      <c r="T2112" s="3"/>
    </row>
    <row r="2113" spans="14:20" x14ac:dyDescent="0.3">
      <c r="N2113" s="5"/>
      <c r="O2113" s="5"/>
      <c r="P2113" s="5"/>
      <c r="Q2113" s="5"/>
      <c r="R2113" s="8"/>
      <c r="S2113" s="8"/>
      <c r="T2113" s="3"/>
    </row>
    <row r="2114" spans="14:20" x14ac:dyDescent="0.3">
      <c r="N2114" s="5"/>
      <c r="O2114" s="5"/>
      <c r="P2114" s="5"/>
      <c r="Q2114" s="5"/>
      <c r="R2114" s="8"/>
      <c r="S2114" s="8"/>
      <c r="T2114" s="3"/>
    </row>
    <row r="2115" spans="14:20" x14ac:dyDescent="0.3">
      <c r="N2115" s="5"/>
      <c r="O2115" s="5"/>
      <c r="P2115" s="5"/>
      <c r="Q2115" s="5"/>
      <c r="R2115" s="8"/>
      <c r="S2115" s="8"/>
      <c r="T2115" s="3"/>
    </row>
    <row r="2116" spans="14:20" x14ac:dyDescent="0.3">
      <c r="N2116" s="5"/>
      <c r="O2116" s="5"/>
      <c r="P2116" s="5"/>
      <c r="Q2116" s="5"/>
      <c r="R2116" s="8"/>
      <c r="S2116" s="8"/>
      <c r="T2116" s="3"/>
    </row>
    <row r="2117" spans="14:20" x14ac:dyDescent="0.3">
      <c r="N2117" s="5"/>
      <c r="O2117" s="5"/>
      <c r="P2117" s="5"/>
      <c r="Q2117" s="5"/>
      <c r="R2117" s="8"/>
      <c r="S2117" s="8"/>
      <c r="T2117" s="3"/>
    </row>
    <row r="2118" spans="14:20" x14ac:dyDescent="0.3">
      <c r="N2118" s="5"/>
      <c r="O2118" s="5"/>
      <c r="P2118" s="5"/>
      <c r="Q2118" s="5"/>
      <c r="R2118" s="8"/>
      <c r="S2118" s="8"/>
      <c r="T2118" s="3"/>
    </row>
    <row r="2119" spans="14:20" x14ac:dyDescent="0.3">
      <c r="N2119" s="5"/>
      <c r="O2119" s="5"/>
      <c r="P2119" s="5"/>
      <c r="Q2119" s="5"/>
      <c r="R2119" s="8"/>
      <c r="S2119" s="8"/>
      <c r="T2119" s="3"/>
    </row>
    <row r="2120" spans="14:20" x14ac:dyDescent="0.3">
      <c r="N2120" s="5"/>
      <c r="O2120" s="5"/>
      <c r="P2120" s="5"/>
      <c r="Q2120" s="5"/>
      <c r="R2120" s="8"/>
      <c r="S2120" s="8"/>
      <c r="T2120" s="3"/>
    </row>
    <row r="2121" spans="14:20" x14ac:dyDescent="0.3">
      <c r="N2121" s="5"/>
      <c r="O2121" s="5"/>
      <c r="P2121" s="5"/>
      <c r="Q2121" s="5"/>
      <c r="R2121" s="8"/>
      <c r="S2121" s="8"/>
      <c r="T2121" s="3"/>
    </row>
    <row r="2122" spans="14:20" x14ac:dyDescent="0.3">
      <c r="N2122" s="5"/>
      <c r="O2122" s="5"/>
      <c r="P2122" s="5"/>
      <c r="Q2122" s="5"/>
      <c r="R2122" s="8"/>
      <c r="S2122" s="8"/>
      <c r="T2122" s="3"/>
    </row>
    <row r="2123" spans="14:20" x14ac:dyDescent="0.3">
      <c r="N2123" s="5"/>
      <c r="O2123" s="5"/>
      <c r="P2123" s="5"/>
      <c r="Q2123" s="5"/>
      <c r="R2123" s="8"/>
      <c r="S2123" s="8"/>
      <c r="T2123" s="3"/>
    </row>
    <row r="2124" spans="14:20" x14ac:dyDescent="0.3">
      <c r="N2124" s="5"/>
      <c r="O2124" s="5"/>
      <c r="P2124" s="5"/>
      <c r="Q2124" s="5"/>
      <c r="R2124" s="8"/>
      <c r="S2124" s="8"/>
      <c r="T2124" s="3"/>
    </row>
    <row r="2125" spans="14:20" x14ac:dyDescent="0.3">
      <c r="N2125" s="5"/>
      <c r="O2125" s="5"/>
      <c r="P2125" s="5"/>
      <c r="Q2125" s="5"/>
      <c r="R2125" s="8"/>
      <c r="S2125" s="8"/>
      <c r="T2125" s="3"/>
    </row>
    <row r="2126" spans="14:20" x14ac:dyDescent="0.3">
      <c r="N2126" s="5"/>
      <c r="O2126" s="5"/>
      <c r="P2126" s="5"/>
      <c r="Q2126" s="5"/>
      <c r="R2126" s="8"/>
      <c r="S2126" s="8"/>
      <c r="T2126" s="3"/>
    </row>
    <row r="2127" spans="14:20" x14ac:dyDescent="0.3">
      <c r="N2127" s="5"/>
      <c r="O2127" s="5"/>
      <c r="P2127" s="5"/>
      <c r="Q2127" s="5"/>
      <c r="R2127" s="8"/>
      <c r="S2127" s="8"/>
      <c r="T2127" s="3"/>
    </row>
    <row r="2128" spans="14:20" x14ac:dyDescent="0.3">
      <c r="N2128" s="5"/>
      <c r="O2128" s="5"/>
      <c r="P2128" s="5"/>
      <c r="Q2128" s="5"/>
      <c r="R2128" s="8"/>
      <c r="S2128" s="8"/>
      <c r="T2128" s="3"/>
    </row>
    <row r="2129" spans="14:20" x14ac:dyDescent="0.3">
      <c r="N2129" s="5"/>
      <c r="O2129" s="5"/>
      <c r="P2129" s="5"/>
      <c r="Q2129" s="5"/>
      <c r="R2129" s="8"/>
      <c r="S2129" s="8"/>
      <c r="T2129" s="3"/>
    </row>
    <row r="2130" spans="14:20" x14ac:dyDescent="0.3">
      <c r="N2130" s="5"/>
      <c r="O2130" s="5"/>
      <c r="P2130" s="5"/>
      <c r="Q2130" s="5"/>
      <c r="R2130" s="8"/>
      <c r="S2130" s="8"/>
      <c r="T2130" s="3"/>
    </row>
    <row r="2131" spans="14:20" x14ac:dyDescent="0.3">
      <c r="N2131" s="5"/>
      <c r="O2131" s="5"/>
      <c r="P2131" s="5"/>
      <c r="Q2131" s="5"/>
      <c r="R2131" s="8"/>
      <c r="S2131" s="8"/>
      <c r="T2131" s="3"/>
    </row>
    <row r="2132" spans="14:20" x14ac:dyDescent="0.3">
      <c r="N2132" s="5"/>
      <c r="O2132" s="5"/>
      <c r="P2132" s="5"/>
      <c r="Q2132" s="5"/>
      <c r="R2132" s="8"/>
      <c r="S2132" s="8"/>
      <c r="T2132" s="3"/>
    </row>
    <row r="2133" spans="14:20" x14ac:dyDescent="0.3">
      <c r="N2133" s="5"/>
      <c r="O2133" s="5"/>
      <c r="P2133" s="5"/>
      <c r="Q2133" s="5"/>
      <c r="R2133" s="8"/>
      <c r="S2133" s="8"/>
      <c r="T2133" s="3"/>
    </row>
    <row r="2134" spans="14:20" x14ac:dyDescent="0.3">
      <c r="N2134" s="5"/>
      <c r="O2134" s="5"/>
      <c r="P2134" s="5"/>
      <c r="Q2134" s="5"/>
      <c r="R2134" s="8"/>
      <c r="S2134" s="8"/>
      <c r="T2134" s="3"/>
    </row>
    <row r="2135" spans="14:20" x14ac:dyDescent="0.3">
      <c r="N2135" s="5"/>
      <c r="O2135" s="5"/>
      <c r="P2135" s="5"/>
      <c r="Q2135" s="5"/>
      <c r="R2135" s="8"/>
      <c r="S2135" s="8"/>
      <c r="T2135" s="3"/>
    </row>
    <row r="2136" spans="14:20" x14ac:dyDescent="0.3">
      <c r="N2136" s="5"/>
      <c r="O2136" s="5"/>
      <c r="P2136" s="5"/>
      <c r="Q2136" s="5"/>
      <c r="R2136" s="8"/>
      <c r="S2136" s="8"/>
      <c r="T2136" s="3"/>
    </row>
    <row r="2137" spans="14:20" x14ac:dyDescent="0.3">
      <c r="N2137" s="5"/>
      <c r="O2137" s="5"/>
      <c r="P2137" s="5"/>
      <c r="Q2137" s="5"/>
      <c r="R2137" s="8"/>
      <c r="S2137" s="8"/>
      <c r="T2137" s="3"/>
    </row>
    <row r="2138" spans="14:20" x14ac:dyDescent="0.3">
      <c r="N2138" s="5"/>
      <c r="O2138" s="5"/>
      <c r="P2138" s="5"/>
      <c r="Q2138" s="5"/>
      <c r="R2138" s="8"/>
      <c r="S2138" s="8"/>
      <c r="T2138" s="3"/>
    </row>
    <row r="2139" spans="14:20" x14ac:dyDescent="0.3">
      <c r="N2139" s="5"/>
      <c r="O2139" s="5"/>
      <c r="P2139" s="5"/>
      <c r="Q2139" s="5"/>
      <c r="R2139" s="8"/>
      <c r="S2139" s="8"/>
      <c r="T2139" s="3"/>
    </row>
    <row r="2140" spans="14:20" x14ac:dyDescent="0.3">
      <c r="N2140" s="5"/>
      <c r="O2140" s="5"/>
      <c r="P2140" s="5"/>
      <c r="Q2140" s="5"/>
      <c r="R2140" s="8"/>
      <c r="S2140" s="8"/>
      <c r="T2140" s="3"/>
    </row>
    <row r="2141" spans="14:20" x14ac:dyDescent="0.3">
      <c r="N2141" s="5"/>
      <c r="O2141" s="5"/>
      <c r="P2141" s="5"/>
      <c r="Q2141" s="5"/>
      <c r="R2141" s="8"/>
      <c r="S2141" s="8"/>
      <c r="T2141" s="3"/>
    </row>
    <row r="2142" spans="14:20" x14ac:dyDescent="0.3">
      <c r="N2142" s="5"/>
      <c r="O2142" s="5"/>
      <c r="P2142" s="5"/>
      <c r="Q2142" s="5"/>
      <c r="R2142" s="8"/>
      <c r="S2142" s="8"/>
      <c r="T2142" s="3"/>
    </row>
    <row r="2143" spans="14:20" x14ac:dyDescent="0.3">
      <c r="N2143" s="5"/>
      <c r="O2143" s="5"/>
      <c r="P2143" s="5"/>
      <c r="Q2143" s="5"/>
      <c r="R2143" s="8"/>
      <c r="S2143" s="8"/>
      <c r="T2143" s="3"/>
    </row>
    <row r="2144" spans="14:20" x14ac:dyDescent="0.3">
      <c r="N2144" s="5"/>
      <c r="O2144" s="5"/>
      <c r="P2144" s="5"/>
      <c r="Q2144" s="5"/>
      <c r="R2144" s="8"/>
      <c r="S2144" s="8"/>
      <c r="T2144" s="3"/>
    </row>
    <row r="2145" spans="14:20" x14ac:dyDescent="0.3">
      <c r="N2145" s="5"/>
      <c r="O2145" s="5"/>
      <c r="P2145" s="5"/>
      <c r="Q2145" s="5"/>
      <c r="R2145" s="8"/>
      <c r="S2145" s="8"/>
      <c r="T2145" s="3"/>
    </row>
    <row r="2146" spans="14:20" x14ac:dyDescent="0.3">
      <c r="N2146" s="5"/>
      <c r="O2146" s="5"/>
      <c r="P2146" s="5"/>
      <c r="Q2146" s="5"/>
      <c r="R2146" s="8"/>
      <c r="S2146" s="8"/>
      <c r="T2146" s="3"/>
    </row>
    <row r="2147" spans="14:20" x14ac:dyDescent="0.3">
      <c r="N2147" s="5"/>
      <c r="O2147" s="5"/>
      <c r="P2147" s="5"/>
      <c r="Q2147" s="5"/>
      <c r="R2147" s="8"/>
      <c r="S2147" s="8"/>
      <c r="T2147" s="3"/>
    </row>
    <row r="2148" spans="14:20" x14ac:dyDescent="0.3">
      <c r="N2148" s="5"/>
      <c r="O2148" s="5"/>
      <c r="P2148" s="5"/>
      <c r="Q2148" s="5"/>
      <c r="R2148" s="8"/>
      <c r="S2148" s="8"/>
      <c r="T2148" s="3"/>
    </row>
    <row r="2149" spans="14:20" x14ac:dyDescent="0.3">
      <c r="N2149" s="5"/>
      <c r="O2149" s="5"/>
      <c r="P2149" s="5"/>
      <c r="Q2149" s="5"/>
      <c r="R2149" s="8"/>
      <c r="S2149" s="8"/>
      <c r="T2149" s="3"/>
    </row>
    <row r="2150" spans="14:20" x14ac:dyDescent="0.3">
      <c r="N2150" s="5"/>
      <c r="O2150" s="5"/>
      <c r="P2150" s="5"/>
      <c r="Q2150" s="5"/>
      <c r="R2150" s="8"/>
      <c r="S2150" s="8"/>
      <c r="T2150" s="3"/>
    </row>
    <row r="2151" spans="14:20" x14ac:dyDescent="0.3">
      <c r="N2151" s="5"/>
      <c r="O2151" s="5"/>
      <c r="P2151" s="5"/>
      <c r="Q2151" s="5"/>
      <c r="R2151" s="8"/>
      <c r="S2151" s="8"/>
      <c r="T2151" s="3"/>
    </row>
    <row r="2152" spans="14:20" x14ac:dyDescent="0.3">
      <c r="N2152" s="5"/>
      <c r="O2152" s="5"/>
      <c r="P2152" s="5"/>
      <c r="Q2152" s="5"/>
      <c r="R2152" s="8"/>
      <c r="S2152" s="8"/>
      <c r="T2152" s="3"/>
    </row>
    <row r="2153" spans="14:20" x14ac:dyDescent="0.3">
      <c r="N2153" s="5"/>
      <c r="O2153" s="5"/>
      <c r="P2153" s="5"/>
      <c r="Q2153" s="5"/>
      <c r="R2153" s="8"/>
      <c r="S2153" s="8"/>
      <c r="T2153" s="3"/>
    </row>
    <row r="2154" spans="14:20" x14ac:dyDescent="0.3">
      <c r="N2154" s="5"/>
      <c r="O2154" s="5"/>
      <c r="P2154" s="5"/>
      <c r="Q2154" s="5"/>
      <c r="R2154" s="8"/>
      <c r="S2154" s="8"/>
      <c r="T2154" s="3"/>
    </row>
    <row r="2155" spans="14:20" x14ac:dyDescent="0.3">
      <c r="N2155" s="5"/>
      <c r="O2155" s="5"/>
      <c r="P2155" s="5"/>
      <c r="Q2155" s="5"/>
      <c r="R2155" s="8"/>
      <c r="S2155" s="8"/>
      <c r="T2155" s="3"/>
    </row>
    <row r="2156" spans="14:20" x14ac:dyDescent="0.3">
      <c r="N2156" s="5"/>
      <c r="O2156" s="5"/>
      <c r="P2156" s="5"/>
      <c r="Q2156" s="5"/>
      <c r="R2156" s="8"/>
      <c r="S2156" s="8"/>
      <c r="T2156" s="3"/>
    </row>
    <row r="2157" spans="14:20" x14ac:dyDescent="0.3">
      <c r="N2157" s="5"/>
      <c r="O2157" s="5"/>
      <c r="P2157" s="5"/>
      <c r="Q2157" s="5"/>
      <c r="R2157" s="8"/>
      <c r="S2157" s="8"/>
      <c r="T2157" s="3"/>
    </row>
    <row r="2158" spans="14:20" x14ac:dyDescent="0.3">
      <c r="N2158" s="5"/>
      <c r="O2158" s="5"/>
      <c r="P2158" s="5"/>
      <c r="Q2158" s="5"/>
      <c r="R2158" s="8"/>
      <c r="S2158" s="8"/>
      <c r="T2158" s="3"/>
    </row>
    <row r="2159" spans="14:20" x14ac:dyDescent="0.3">
      <c r="N2159" s="5"/>
      <c r="O2159" s="5"/>
      <c r="P2159" s="5"/>
      <c r="Q2159" s="5"/>
      <c r="R2159" s="8"/>
      <c r="S2159" s="8"/>
      <c r="T2159" s="3"/>
    </row>
    <row r="2160" spans="14:20" x14ac:dyDescent="0.3">
      <c r="N2160" s="5"/>
      <c r="O2160" s="5"/>
      <c r="P2160" s="5"/>
      <c r="Q2160" s="5"/>
      <c r="R2160" s="8"/>
      <c r="S2160" s="8"/>
      <c r="T2160" s="3"/>
    </row>
    <row r="2161" spans="14:20" x14ac:dyDescent="0.3">
      <c r="N2161" s="5"/>
      <c r="O2161" s="5"/>
      <c r="P2161" s="5"/>
      <c r="Q2161" s="5"/>
      <c r="R2161" s="8"/>
      <c r="S2161" s="8"/>
      <c r="T2161" s="3"/>
    </row>
    <row r="2162" spans="14:20" x14ac:dyDescent="0.3">
      <c r="N2162" s="5"/>
      <c r="O2162" s="5"/>
      <c r="P2162" s="5"/>
      <c r="Q2162" s="5"/>
      <c r="R2162" s="8"/>
      <c r="S2162" s="8"/>
      <c r="T2162" s="3"/>
    </row>
    <row r="2163" spans="14:20" x14ac:dyDescent="0.3">
      <c r="N2163" s="5"/>
      <c r="O2163" s="5"/>
      <c r="P2163" s="5"/>
      <c r="Q2163" s="5"/>
      <c r="R2163" s="8"/>
      <c r="S2163" s="8"/>
      <c r="T2163" s="3"/>
    </row>
    <row r="2164" spans="14:20" x14ac:dyDescent="0.3">
      <c r="N2164" s="5"/>
      <c r="O2164" s="5"/>
      <c r="P2164" s="5"/>
      <c r="Q2164" s="5"/>
      <c r="R2164" s="8"/>
      <c r="S2164" s="8"/>
      <c r="T2164" s="3"/>
    </row>
    <row r="2165" spans="14:20" x14ac:dyDescent="0.3">
      <c r="N2165" s="5"/>
      <c r="O2165" s="5"/>
      <c r="P2165" s="5"/>
      <c r="Q2165" s="5"/>
      <c r="R2165" s="8"/>
      <c r="S2165" s="8"/>
      <c r="T2165" s="3"/>
    </row>
    <row r="2166" spans="14:20" x14ac:dyDescent="0.3">
      <c r="N2166" s="5"/>
      <c r="O2166" s="5"/>
      <c r="P2166" s="5"/>
      <c r="Q2166" s="5"/>
      <c r="R2166" s="8"/>
      <c r="S2166" s="8"/>
      <c r="T2166" s="3"/>
    </row>
    <row r="2167" spans="14:20" x14ac:dyDescent="0.3">
      <c r="N2167" s="5"/>
      <c r="O2167" s="5"/>
      <c r="P2167" s="5"/>
      <c r="Q2167" s="5"/>
      <c r="R2167" s="8"/>
      <c r="S2167" s="8"/>
      <c r="T2167" s="3"/>
    </row>
    <row r="2168" spans="14:20" x14ac:dyDescent="0.3">
      <c r="N2168" s="5"/>
      <c r="O2168" s="5"/>
      <c r="P2168" s="5"/>
      <c r="Q2168" s="5"/>
      <c r="R2168" s="8"/>
      <c r="S2168" s="8"/>
      <c r="T2168" s="3"/>
    </row>
    <row r="2169" spans="14:20" x14ac:dyDescent="0.3">
      <c r="N2169" s="5"/>
      <c r="O2169" s="5"/>
      <c r="P2169" s="5"/>
      <c r="Q2169" s="5"/>
      <c r="R2169" s="8"/>
      <c r="S2169" s="8"/>
      <c r="T2169" s="3"/>
    </row>
    <row r="2170" spans="14:20" x14ac:dyDescent="0.3">
      <c r="N2170" s="5"/>
      <c r="O2170" s="5"/>
      <c r="P2170" s="5"/>
      <c r="Q2170" s="5"/>
      <c r="R2170" s="8"/>
      <c r="S2170" s="8"/>
      <c r="T2170" s="3"/>
    </row>
    <row r="2171" spans="14:20" x14ac:dyDescent="0.3">
      <c r="N2171" s="5"/>
      <c r="O2171" s="5"/>
      <c r="P2171" s="5"/>
      <c r="Q2171" s="5"/>
      <c r="R2171" s="8"/>
      <c r="S2171" s="8"/>
      <c r="T2171" s="3"/>
    </row>
    <row r="2172" spans="14:20" x14ac:dyDescent="0.3">
      <c r="N2172" s="5"/>
      <c r="O2172" s="5"/>
      <c r="P2172" s="5"/>
      <c r="Q2172" s="5"/>
      <c r="R2172" s="8"/>
      <c r="S2172" s="8"/>
      <c r="T2172" s="3"/>
    </row>
    <row r="2173" spans="14:20" x14ac:dyDescent="0.3">
      <c r="N2173" s="5"/>
      <c r="O2173" s="5"/>
      <c r="P2173" s="5"/>
      <c r="Q2173" s="5"/>
      <c r="R2173" s="8"/>
      <c r="S2173" s="8"/>
      <c r="T2173" s="3"/>
    </row>
    <row r="2174" spans="14:20" x14ac:dyDescent="0.3">
      <c r="N2174" s="5"/>
      <c r="O2174" s="5"/>
      <c r="P2174" s="5"/>
      <c r="Q2174" s="5"/>
      <c r="R2174" s="8"/>
      <c r="S2174" s="8"/>
      <c r="T2174" s="3"/>
    </row>
    <row r="2175" spans="14:20" x14ac:dyDescent="0.3">
      <c r="N2175" s="5"/>
      <c r="O2175" s="5"/>
      <c r="P2175" s="5"/>
      <c r="Q2175" s="5"/>
      <c r="R2175" s="8"/>
      <c r="S2175" s="8"/>
      <c r="T2175" s="3"/>
    </row>
    <row r="2176" spans="14:20" x14ac:dyDescent="0.3">
      <c r="N2176" s="5"/>
      <c r="O2176" s="5"/>
      <c r="P2176" s="5"/>
      <c r="Q2176" s="5"/>
      <c r="R2176" s="8"/>
      <c r="S2176" s="8"/>
      <c r="T2176" s="3"/>
    </row>
    <row r="2177" spans="14:20" x14ac:dyDescent="0.3">
      <c r="N2177" s="5"/>
      <c r="O2177" s="5"/>
      <c r="P2177" s="5"/>
      <c r="Q2177" s="5"/>
      <c r="R2177" s="8"/>
      <c r="S2177" s="8"/>
      <c r="T2177" s="3"/>
    </row>
    <row r="2178" spans="14:20" x14ac:dyDescent="0.3">
      <c r="N2178" s="5"/>
      <c r="O2178" s="5"/>
      <c r="P2178" s="5"/>
      <c r="Q2178" s="5"/>
      <c r="R2178" s="8"/>
      <c r="S2178" s="8"/>
      <c r="T2178" s="3"/>
    </row>
    <row r="2179" spans="14:20" x14ac:dyDescent="0.3">
      <c r="N2179" s="5"/>
      <c r="O2179" s="5"/>
      <c r="P2179" s="5"/>
      <c r="Q2179" s="5"/>
      <c r="R2179" s="8"/>
      <c r="S2179" s="8"/>
      <c r="T2179" s="3"/>
    </row>
    <row r="2180" spans="14:20" x14ac:dyDescent="0.3">
      <c r="N2180" s="5"/>
      <c r="O2180" s="5"/>
      <c r="P2180" s="5"/>
      <c r="Q2180" s="5"/>
      <c r="R2180" s="8"/>
      <c r="S2180" s="8"/>
      <c r="T2180" s="3"/>
    </row>
    <row r="2181" spans="14:20" x14ac:dyDescent="0.3">
      <c r="N2181" s="5"/>
      <c r="O2181" s="5"/>
      <c r="P2181" s="5"/>
      <c r="Q2181" s="5"/>
      <c r="R2181" s="8"/>
      <c r="S2181" s="8"/>
      <c r="T2181" s="3"/>
    </row>
    <row r="2182" spans="14:20" x14ac:dyDescent="0.3">
      <c r="N2182" s="5"/>
      <c r="O2182" s="5"/>
      <c r="P2182" s="5"/>
      <c r="Q2182" s="5"/>
      <c r="R2182" s="8"/>
      <c r="S2182" s="8"/>
      <c r="T2182" s="3"/>
    </row>
    <row r="2183" spans="14:20" x14ac:dyDescent="0.3">
      <c r="N2183" s="5"/>
      <c r="O2183" s="5"/>
      <c r="P2183" s="5"/>
      <c r="Q2183" s="5"/>
      <c r="R2183" s="8"/>
      <c r="S2183" s="8"/>
      <c r="T2183" s="3"/>
    </row>
    <row r="2184" spans="14:20" x14ac:dyDescent="0.3">
      <c r="N2184" s="5"/>
      <c r="O2184" s="5"/>
      <c r="P2184" s="5"/>
      <c r="Q2184" s="5"/>
      <c r="R2184" s="8"/>
      <c r="S2184" s="8"/>
      <c r="T2184" s="3"/>
    </row>
    <row r="2185" spans="14:20" x14ac:dyDescent="0.3">
      <c r="N2185" s="5"/>
      <c r="O2185" s="5"/>
      <c r="P2185" s="5"/>
      <c r="Q2185" s="5"/>
      <c r="R2185" s="8"/>
      <c r="S2185" s="8"/>
      <c r="T2185" s="3"/>
    </row>
    <row r="2186" spans="14:20" x14ac:dyDescent="0.3">
      <c r="N2186" s="5"/>
      <c r="O2186" s="5"/>
      <c r="P2186" s="5"/>
      <c r="Q2186" s="5"/>
      <c r="R2186" s="8"/>
      <c r="S2186" s="8"/>
      <c r="T2186" s="3"/>
    </row>
    <row r="2187" spans="14:20" x14ac:dyDescent="0.3">
      <c r="N2187" s="5"/>
      <c r="O2187" s="5"/>
      <c r="P2187" s="5"/>
      <c r="Q2187" s="5"/>
      <c r="R2187" s="8"/>
      <c r="S2187" s="8"/>
      <c r="T2187" s="3"/>
    </row>
    <row r="2188" spans="14:20" x14ac:dyDescent="0.3">
      <c r="N2188" s="5"/>
      <c r="O2188" s="5"/>
      <c r="P2188" s="5"/>
      <c r="Q2188" s="5"/>
      <c r="R2188" s="8"/>
      <c r="S2188" s="8"/>
      <c r="T2188" s="3"/>
    </row>
    <row r="2189" spans="14:20" x14ac:dyDescent="0.3">
      <c r="N2189" s="5"/>
      <c r="O2189" s="5"/>
      <c r="P2189" s="5"/>
      <c r="Q2189" s="5"/>
      <c r="R2189" s="8"/>
      <c r="S2189" s="8"/>
      <c r="T2189" s="3"/>
    </row>
    <row r="2190" spans="14:20" x14ac:dyDescent="0.3">
      <c r="N2190" s="5"/>
      <c r="O2190" s="5"/>
      <c r="P2190" s="5"/>
      <c r="Q2190" s="5"/>
      <c r="R2190" s="8"/>
      <c r="S2190" s="8"/>
      <c r="T2190" s="3"/>
    </row>
    <row r="2191" spans="14:20" x14ac:dyDescent="0.3">
      <c r="N2191" s="5"/>
      <c r="O2191" s="5"/>
      <c r="P2191" s="5"/>
      <c r="Q2191" s="5"/>
      <c r="R2191" s="8"/>
      <c r="S2191" s="8"/>
      <c r="T2191" s="3"/>
    </row>
    <row r="2192" spans="14:20" x14ac:dyDescent="0.3">
      <c r="N2192" s="5"/>
      <c r="O2192" s="5"/>
      <c r="P2192" s="5"/>
      <c r="Q2192" s="5"/>
      <c r="R2192" s="8"/>
      <c r="S2192" s="8"/>
      <c r="T2192" s="3"/>
    </row>
    <row r="2193" spans="14:20" x14ac:dyDescent="0.3">
      <c r="N2193" s="5"/>
      <c r="O2193" s="5"/>
      <c r="P2193" s="5"/>
      <c r="Q2193" s="5"/>
      <c r="R2193" s="8"/>
      <c r="S2193" s="8"/>
      <c r="T2193" s="3"/>
    </row>
    <row r="2194" spans="14:20" x14ac:dyDescent="0.3">
      <c r="N2194" s="5"/>
      <c r="O2194" s="5"/>
      <c r="P2194" s="5"/>
      <c r="Q2194" s="5"/>
      <c r="R2194" s="8"/>
      <c r="S2194" s="8"/>
      <c r="T2194" s="3"/>
    </row>
    <row r="2195" spans="14:20" x14ac:dyDescent="0.3">
      <c r="N2195" s="5"/>
      <c r="O2195" s="5"/>
      <c r="P2195" s="5"/>
      <c r="Q2195" s="5"/>
      <c r="R2195" s="8"/>
      <c r="S2195" s="8"/>
      <c r="T2195" s="3"/>
    </row>
    <row r="2196" spans="14:20" x14ac:dyDescent="0.3">
      <c r="N2196" s="5"/>
      <c r="O2196" s="5"/>
      <c r="P2196" s="5"/>
      <c r="Q2196" s="5"/>
      <c r="R2196" s="8"/>
      <c r="S2196" s="8"/>
      <c r="T2196" s="3"/>
    </row>
    <row r="2197" spans="14:20" x14ac:dyDescent="0.3">
      <c r="N2197" s="5"/>
      <c r="O2197" s="5"/>
      <c r="P2197" s="5"/>
      <c r="Q2197" s="5"/>
      <c r="R2197" s="8"/>
      <c r="S2197" s="8"/>
      <c r="T2197" s="3"/>
    </row>
    <row r="2198" spans="14:20" x14ac:dyDescent="0.3">
      <c r="N2198" s="5"/>
      <c r="O2198" s="5"/>
      <c r="P2198" s="5"/>
      <c r="Q2198" s="5"/>
      <c r="R2198" s="8"/>
      <c r="S2198" s="8"/>
      <c r="T2198" s="3"/>
    </row>
    <row r="2199" spans="14:20" x14ac:dyDescent="0.3">
      <c r="N2199" s="5"/>
      <c r="O2199" s="5"/>
      <c r="P2199" s="5"/>
      <c r="Q2199" s="5"/>
      <c r="R2199" s="8"/>
      <c r="S2199" s="8"/>
      <c r="T2199" s="3"/>
    </row>
    <row r="2200" spans="14:20" x14ac:dyDescent="0.3">
      <c r="N2200" s="5"/>
      <c r="O2200" s="5"/>
      <c r="P2200" s="5"/>
      <c r="Q2200" s="5"/>
      <c r="R2200" s="8"/>
      <c r="S2200" s="8"/>
      <c r="T2200" s="3"/>
    </row>
    <row r="2201" spans="14:20" x14ac:dyDescent="0.3">
      <c r="N2201" s="5"/>
      <c r="O2201" s="5"/>
      <c r="P2201" s="5"/>
      <c r="Q2201" s="5"/>
      <c r="R2201" s="8"/>
      <c r="S2201" s="8"/>
      <c r="T2201" s="3"/>
    </row>
    <row r="2202" spans="14:20" x14ac:dyDescent="0.3">
      <c r="N2202" s="5"/>
      <c r="O2202" s="5"/>
      <c r="P2202" s="5"/>
      <c r="Q2202" s="5"/>
      <c r="R2202" s="8"/>
      <c r="S2202" s="8"/>
      <c r="T2202" s="3"/>
    </row>
    <row r="2203" spans="14:20" x14ac:dyDescent="0.3">
      <c r="N2203" s="5"/>
      <c r="O2203" s="5"/>
      <c r="P2203" s="5"/>
      <c r="Q2203" s="5"/>
      <c r="R2203" s="8"/>
      <c r="S2203" s="8"/>
      <c r="T2203" s="3"/>
    </row>
    <row r="2204" spans="14:20" x14ac:dyDescent="0.3">
      <c r="N2204" s="5"/>
      <c r="O2204" s="5"/>
      <c r="P2204" s="5"/>
      <c r="Q2204" s="5"/>
      <c r="R2204" s="8"/>
      <c r="S2204" s="8"/>
      <c r="T2204" s="3"/>
    </row>
    <row r="2205" spans="14:20" x14ac:dyDescent="0.3">
      <c r="N2205" s="5"/>
      <c r="O2205" s="5"/>
      <c r="P2205" s="5"/>
      <c r="Q2205" s="5"/>
      <c r="R2205" s="8"/>
      <c r="S2205" s="8"/>
      <c r="T2205" s="3"/>
    </row>
    <row r="2206" spans="14:20" x14ac:dyDescent="0.3">
      <c r="N2206" s="5"/>
      <c r="O2206" s="5"/>
      <c r="P2206" s="5"/>
      <c r="Q2206" s="5"/>
      <c r="R2206" s="8"/>
      <c r="S2206" s="8"/>
      <c r="T2206" s="3"/>
    </row>
    <row r="2207" spans="14:20" x14ac:dyDescent="0.3">
      <c r="N2207" s="5"/>
      <c r="O2207" s="5"/>
      <c r="P2207" s="5"/>
      <c r="Q2207" s="5"/>
      <c r="R2207" s="8"/>
      <c r="S2207" s="8"/>
      <c r="T2207" s="3"/>
    </row>
    <row r="2208" spans="14:20" x14ac:dyDescent="0.3">
      <c r="N2208" s="5"/>
      <c r="O2208" s="5"/>
      <c r="P2208" s="5"/>
      <c r="Q2208" s="5"/>
      <c r="R2208" s="8"/>
      <c r="S2208" s="8"/>
      <c r="T2208" s="3"/>
    </row>
    <row r="2209" spans="14:20" x14ac:dyDescent="0.3">
      <c r="N2209" s="5"/>
      <c r="O2209" s="5"/>
      <c r="P2209" s="5"/>
      <c r="Q2209" s="5"/>
      <c r="R2209" s="8"/>
      <c r="S2209" s="8"/>
      <c r="T2209" s="3"/>
    </row>
    <row r="2210" spans="14:20" x14ac:dyDescent="0.3">
      <c r="N2210" s="5"/>
      <c r="O2210" s="5"/>
      <c r="P2210" s="5"/>
      <c r="Q2210" s="5"/>
      <c r="R2210" s="8"/>
      <c r="S2210" s="8"/>
      <c r="T2210" s="3"/>
    </row>
    <row r="2211" spans="14:20" x14ac:dyDescent="0.3">
      <c r="N2211" s="5"/>
      <c r="O2211" s="5"/>
      <c r="P2211" s="5"/>
      <c r="Q2211" s="5"/>
      <c r="R2211" s="8"/>
      <c r="S2211" s="8"/>
      <c r="T2211" s="3"/>
    </row>
    <row r="2212" spans="14:20" x14ac:dyDescent="0.3">
      <c r="N2212" s="5"/>
      <c r="O2212" s="5"/>
      <c r="P2212" s="5"/>
      <c r="Q2212" s="5"/>
      <c r="R2212" s="8"/>
      <c r="S2212" s="8"/>
      <c r="T2212" s="3"/>
    </row>
    <row r="2213" spans="14:20" x14ac:dyDescent="0.3">
      <c r="N2213" s="5"/>
      <c r="O2213" s="5"/>
      <c r="P2213" s="5"/>
      <c r="Q2213" s="5"/>
      <c r="R2213" s="8"/>
      <c r="S2213" s="8"/>
      <c r="T2213" s="3"/>
    </row>
    <row r="2214" spans="14:20" x14ac:dyDescent="0.3">
      <c r="N2214" s="5"/>
      <c r="O2214" s="5"/>
      <c r="P2214" s="5"/>
      <c r="Q2214" s="5"/>
      <c r="R2214" s="8"/>
      <c r="S2214" s="8"/>
      <c r="T2214" s="3"/>
    </row>
    <row r="2215" spans="14:20" x14ac:dyDescent="0.3">
      <c r="N2215" s="5"/>
      <c r="O2215" s="5"/>
      <c r="P2215" s="5"/>
      <c r="Q2215" s="5"/>
      <c r="R2215" s="8"/>
      <c r="S2215" s="8"/>
      <c r="T2215" s="3"/>
    </row>
    <row r="2216" spans="14:20" x14ac:dyDescent="0.3">
      <c r="N2216" s="5"/>
      <c r="O2216" s="5"/>
      <c r="P2216" s="5"/>
      <c r="Q2216" s="5"/>
      <c r="R2216" s="8"/>
      <c r="S2216" s="8"/>
      <c r="T2216" s="3"/>
    </row>
    <row r="2217" spans="14:20" x14ac:dyDescent="0.3">
      <c r="N2217" s="5"/>
      <c r="O2217" s="5"/>
      <c r="P2217" s="5"/>
      <c r="Q2217" s="5"/>
      <c r="R2217" s="8"/>
      <c r="S2217" s="8"/>
      <c r="T2217" s="3"/>
    </row>
    <row r="2218" spans="14:20" x14ac:dyDescent="0.3">
      <c r="N2218" s="5"/>
      <c r="O2218" s="5"/>
      <c r="P2218" s="5"/>
      <c r="Q2218" s="5"/>
      <c r="R2218" s="8"/>
      <c r="S2218" s="8"/>
      <c r="T2218" s="3"/>
    </row>
    <row r="2219" spans="14:20" x14ac:dyDescent="0.3">
      <c r="N2219" s="5"/>
      <c r="O2219" s="5"/>
      <c r="P2219" s="5"/>
      <c r="Q2219" s="5"/>
      <c r="R2219" s="8"/>
      <c r="S2219" s="8"/>
      <c r="T2219" s="3"/>
    </row>
    <row r="2220" spans="14:20" x14ac:dyDescent="0.3">
      <c r="N2220" s="5"/>
      <c r="O2220" s="5"/>
      <c r="P2220" s="5"/>
      <c r="Q2220" s="5"/>
      <c r="R2220" s="8"/>
      <c r="S2220" s="8"/>
      <c r="T2220" s="3"/>
    </row>
    <row r="2221" spans="14:20" x14ac:dyDescent="0.3">
      <c r="N2221" s="5"/>
      <c r="O2221" s="5"/>
      <c r="P2221" s="5"/>
      <c r="Q2221" s="5"/>
      <c r="R2221" s="8"/>
      <c r="S2221" s="8"/>
      <c r="T2221" s="3"/>
    </row>
    <row r="2222" spans="14:20" x14ac:dyDescent="0.3">
      <c r="N2222" s="5"/>
      <c r="O2222" s="5"/>
      <c r="P2222" s="5"/>
      <c r="Q2222" s="5"/>
      <c r="R2222" s="8"/>
      <c r="S2222" s="8"/>
      <c r="T2222" s="3"/>
    </row>
    <row r="2223" spans="14:20" x14ac:dyDescent="0.3">
      <c r="N2223" s="5"/>
      <c r="O2223" s="5"/>
      <c r="P2223" s="5"/>
      <c r="Q2223" s="5"/>
      <c r="R2223" s="8"/>
      <c r="S2223" s="8"/>
      <c r="T2223" s="3"/>
    </row>
    <row r="2224" spans="14:20" x14ac:dyDescent="0.3">
      <c r="N2224" s="5"/>
      <c r="O2224" s="5"/>
      <c r="P2224" s="5"/>
      <c r="Q2224" s="5"/>
      <c r="R2224" s="8"/>
      <c r="S2224" s="8"/>
      <c r="T2224" s="3"/>
    </row>
    <row r="2225" spans="14:20" x14ac:dyDescent="0.3">
      <c r="N2225" s="5"/>
      <c r="O2225" s="5"/>
      <c r="P2225" s="5"/>
      <c r="Q2225" s="5"/>
      <c r="R2225" s="8"/>
      <c r="S2225" s="8"/>
      <c r="T2225" s="3"/>
    </row>
    <row r="2226" spans="14:20" x14ac:dyDescent="0.3">
      <c r="N2226" s="5"/>
      <c r="O2226" s="5"/>
      <c r="P2226" s="5"/>
      <c r="Q2226" s="5"/>
      <c r="R2226" s="8"/>
      <c r="S2226" s="8"/>
      <c r="T2226" s="3"/>
    </row>
    <row r="2227" spans="14:20" x14ac:dyDescent="0.3">
      <c r="N2227" s="5"/>
      <c r="O2227" s="5"/>
      <c r="P2227" s="5"/>
      <c r="Q2227" s="5"/>
      <c r="R2227" s="8"/>
      <c r="S2227" s="8"/>
      <c r="T2227" s="3"/>
    </row>
    <row r="2228" spans="14:20" x14ac:dyDescent="0.3">
      <c r="N2228" s="5"/>
      <c r="O2228" s="5"/>
      <c r="P2228" s="5"/>
      <c r="Q2228" s="5"/>
      <c r="R2228" s="8"/>
      <c r="S2228" s="8"/>
      <c r="T2228" s="3"/>
    </row>
    <row r="2229" spans="14:20" x14ac:dyDescent="0.3">
      <c r="N2229" s="5"/>
      <c r="O2229" s="5"/>
      <c r="P2229" s="5"/>
      <c r="Q2229" s="5"/>
      <c r="R2229" s="8"/>
      <c r="S2229" s="8"/>
      <c r="T2229" s="3"/>
    </row>
    <row r="2230" spans="14:20" x14ac:dyDescent="0.3">
      <c r="N2230" s="5"/>
      <c r="O2230" s="5"/>
      <c r="P2230" s="5"/>
      <c r="Q2230" s="5"/>
      <c r="R2230" s="8"/>
      <c r="S2230" s="8"/>
      <c r="T2230" s="3"/>
    </row>
    <row r="2231" spans="14:20" x14ac:dyDescent="0.3">
      <c r="N2231" s="5"/>
      <c r="O2231" s="5"/>
      <c r="P2231" s="5"/>
      <c r="Q2231" s="5"/>
      <c r="R2231" s="8"/>
      <c r="S2231" s="8"/>
      <c r="T2231" s="3"/>
    </row>
    <row r="2232" spans="14:20" x14ac:dyDescent="0.3">
      <c r="N2232" s="5"/>
      <c r="O2232" s="5"/>
      <c r="P2232" s="5"/>
      <c r="Q2232" s="5"/>
      <c r="R2232" s="8"/>
      <c r="S2232" s="8"/>
      <c r="T2232" s="3"/>
    </row>
    <row r="2233" spans="14:20" x14ac:dyDescent="0.3">
      <c r="N2233" s="5"/>
      <c r="O2233" s="5"/>
      <c r="P2233" s="5"/>
      <c r="Q2233" s="5"/>
      <c r="R2233" s="8"/>
      <c r="S2233" s="8"/>
      <c r="T2233" s="3"/>
    </row>
    <row r="2234" spans="14:20" x14ac:dyDescent="0.3">
      <c r="N2234" s="5"/>
      <c r="O2234" s="5"/>
      <c r="P2234" s="5"/>
      <c r="Q2234" s="5"/>
      <c r="R2234" s="8"/>
      <c r="S2234" s="8"/>
      <c r="T2234" s="3"/>
    </row>
    <row r="2235" spans="14:20" x14ac:dyDescent="0.3">
      <c r="N2235" s="5"/>
      <c r="O2235" s="5"/>
      <c r="P2235" s="5"/>
      <c r="Q2235" s="5"/>
      <c r="R2235" s="8"/>
      <c r="S2235" s="8"/>
      <c r="T2235" s="3"/>
    </row>
    <row r="2236" spans="14:20" x14ac:dyDescent="0.3">
      <c r="N2236" s="5"/>
      <c r="O2236" s="5"/>
      <c r="P2236" s="5"/>
      <c r="Q2236" s="5"/>
      <c r="R2236" s="8"/>
      <c r="S2236" s="8"/>
      <c r="T2236" s="3"/>
    </row>
    <row r="2237" spans="14:20" x14ac:dyDescent="0.3">
      <c r="N2237" s="5"/>
      <c r="O2237" s="5"/>
      <c r="P2237" s="5"/>
      <c r="Q2237" s="5"/>
      <c r="R2237" s="8"/>
      <c r="S2237" s="8"/>
      <c r="T2237" s="3"/>
    </row>
    <row r="2238" spans="14:20" x14ac:dyDescent="0.3">
      <c r="N2238" s="5"/>
      <c r="O2238" s="5"/>
      <c r="P2238" s="5"/>
      <c r="Q2238" s="5"/>
      <c r="R2238" s="8"/>
      <c r="S2238" s="8"/>
      <c r="T2238" s="3"/>
    </row>
    <row r="2239" spans="14:20" x14ac:dyDescent="0.3">
      <c r="N2239" s="5"/>
      <c r="O2239" s="5"/>
      <c r="P2239" s="5"/>
      <c r="Q2239" s="5"/>
      <c r="R2239" s="8"/>
      <c r="S2239" s="8"/>
      <c r="T2239" s="3"/>
    </row>
    <row r="2240" spans="14:20" x14ac:dyDescent="0.3">
      <c r="N2240" s="5"/>
      <c r="O2240" s="5"/>
      <c r="P2240" s="5"/>
      <c r="Q2240" s="5"/>
      <c r="R2240" s="8"/>
      <c r="S2240" s="8"/>
      <c r="T2240" s="3"/>
    </row>
    <row r="2241" spans="14:20" x14ac:dyDescent="0.3">
      <c r="N2241" s="5"/>
      <c r="O2241" s="5"/>
      <c r="P2241" s="5"/>
      <c r="Q2241" s="5"/>
      <c r="R2241" s="8"/>
      <c r="S2241" s="8"/>
      <c r="T2241" s="3"/>
    </row>
    <row r="2242" spans="14:20" x14ac:dyDescent="0.3">
      <c r="N2242" s="5"/>
      <c r="O2242" s="5"/>
      <c r="P2242" s="5"/>
      <c r="Q2242" s="5"/>
      <c r="R2242" s="8"/>
      <c r="S2242" s="8"/>
      <c r="T2242" s="3"/>
    </row>
    <row r="2243" spans="14:20" x14ac:dyDescent="0.3">
      <c r="N2243" s="5"/>
      <c r="O2243" s="5"/>
      <c r="P2243" s="5"/>
      <c r="Q2243" s="5"/>
      <c r="R2243" s="8"/>
      <c r="S2243" s="8"/>
      <c r="T2243" s="3"/>
    </row>
    <row r="2244" spans="14:20" x14ac:dyDescent="0.3">
      <c r="N2244" s="5"/>
      <c r="O2244" s="5"/>
      <c r="P2244" s="5"/>
      <c r="Q2244" s="5"/>
      <c r="R2244" s="8"/>
      <c r="S2244" s="8"/>
      <c r="T2244" s="3"/>
    </row>
    <row r="2245" spans="14:20" x14ac:dyDescent="0.3">
      <c r="N2245" s="5"/>
      <c r="O2245" s="5"/>
      <c r="P2245" s="5"/>
      <c r="Q2245" s="5"/>
      <c r="R2245" s="8"/>
      <c r="S2245" s="8"/>
      <c r="T2245" s="3"/>
    </row>
    <row r="2246" spans="14:20" x14ac:dyDescent="0.3">
      <c r="N2246" s="5"/>
      <c r="O2246" s="5"/>
      <c r="P2246" s="5"/>
      <c r="Q2246" s="5"/>
      <c r="R2246" s="8"/>
      <c r="S2246" s="8"/>
      <c r="T2246" s="3"/>
    </row>
    <row r="2247" spans="14:20" x14ac:dyDescent="0.3">
      <c r="N2247" s="5"/>
      <c r="O2247" s="5"/>
      <c r="P2247" s="5"/>
      <c r="Q2247" s="5"/>
      <c r="R2247" s="8"/>
      <c r="S2247" s="8"/>
      <c r="T2247" s="3"/>
    </row>
    <row r="2248" spans="14:20" x14ac:dyDescent="0.3">
      <c r="N2248" s="5"/>
      <c r="O2248" s="5"/>
      <c r="P2248" s="5"/>
      <c r="Q2248" s="5"/>
      <c r="R2248" s="8"/>
      <c r="S2248" s="8"/>
      <c r="T2248" s="3"/>
    </row>
    <row r="2249" spans="14:20" x14ac:dyDescent="0.3">
      <c r="N2249" s="5"/>
      <c r="O2249" s="5"/>
      <c r="P2249" s="5"/>
      <c r="Q2249" s="5"/>
      <c r="R2249" s="8"/>
      <c r="S2249" s="8"/>
      <c r="T2249" s="3"/>
    </row>
    <row r="2250" spans="14:20" x14ac:dyDescent="0.3">
      <c r="N2250" s="5"/>
      <c r="O2250" s="5"/>
      <c r="P2250" s="5"/>
      <c r="Q2250" s="5"/>
      <c r="R2250" s="8"/>
      <c r="S2250" s="8"/>
      <c r="T2250" s="3"/>
    </row>
    <row r="2251" spans="14:20" x14ac:dyDescent="0.3">
      <c r="N2251" s="5"/>
      <c r="O2251" s="5"/>
      <c r="P2251" s="5"/>
      <c r="Q2251" s="5"/>
      <c r="R2251" s="8"/>
      <c r="S2251" s="8"/>
      <c r="T2251" s="3"/>
    </row>
    <row r="2252" spans="14:20" x14ac:dyDescent="0.3">
      <c r="N2252" s="5"/>
      <c r="O2252" s="5"/>
      <c r="P2252" s="5"/>
      <c r="Q2252" s="5"/>
      <c r="R2252" s="8"/>
      <c r="S2252" s="8"/>
      <c r="T2252" s="3"/>
    </row>
    <row r="2253" spans="14:20" x14ac:dyDescent="0.3">
      <c r="N2253" s="5"/>
      <c r="O2253" s="5"/>
      <c r="P2253" s="5"/>
      <c r="Q2253" s="5"/>
      <c r="R2253" s="8"/>
      <c r="S2253" s="8"/>
      <c r="T2253" s="3"/>
    </row>
    <row r="2254" spans="14:20" x14ac:dyDescent="0.3">
      <c r="N2254" s="5"/>
      <c r="O2254" s="5"/>
      <c r="P2254" s="5"/>
      <c r="Q2254" s="5"/>
      <c r="R2254" s="8"/>
      <c r="S2254" s="8"/>
      <c r="T2254" s="3"/>
    </row>
    <row r="2255" spans="14:20" x14ac:dyDescent="0.3">
      <c r="N2255" s="5"/>
      <c r="O2255" s="5"/>
      <c r="P2255" s="5"/>
      <c r="Q2255" s="5"/>
      <c r="R2255" s="8"/>
      <c r="S2255" s="8"/>
      <c r="T2255" s="3"/>
    </row>
    <row r="2256" spans="14:20" x14ac:dyDescent="0.3">
      <c r="N2256" s="5"/>
      <c r="O2256" s="5"/>
      <c r="P2256" s="5"/>
      <c r="Q2256" s="5"/>
      <c r="R2256" s="8"/>
      <c r="S2256" s="8"/>
      <c r="T2256" s="3"/>
    </row>
    <row r="2257" spans="14:20" x14ac:dyDescent="0.3">
      <c r="N2257" s="5"/>
      <c r="O2257" s="5"/>
      <c r="P2257" s="5"/>
      <c r="Q2257" s="5"/>
      <c r="R2257" s="8"/>
      <c r="S2257" s="8"/>
      <c r="T2257" s="3"/>
    </row>
    <row r="2258" spans="14:20" x14ac:dyDescent="0.3">
      <c r="N2258" s="5"/>
      <c r="O2258" s="5"/>
      <c r="P2258" s="5"/>
      <c r="Q2258" s="5"/>
      <c r="R2258" s="8"/>
      <c r="S2258" s="8"/>
      <c r="T2258" s="3"/>
    </row>
    <row r="2259" spans="14:20" x14ac:dyDescent="0.3">
      <c r="N2259" s="5"/>
      <c r="O2259" s="5"/>
      <c r="P2259" s="5"/>
      <c r="Q2259" s="5"/>
      <c r="R2259" s="8"/>
      <c r="S2259" s="8"/>
      <c r="T2259" s="3"/>
    </row>
    <row r="2260" spans="14:20" x14ac:dyDescent="0.3">
      <c r="N2260" s="5"/>
      <c r="O2260" s="5"/>
      <c r="P2260" s="5"/>
      <c r="Q2260" s="5"/>
      <c r="R2260" s="8"/>
      <c r="S2260" s="8"/>
      <c r="T2260" s="3"/>
    </row>
    <row r="2261" spans="14:20" x14ac:dyDescent="0.3">
      <c r="N2261" s="5"/>
      <c r="O2261" s="5"/>
      <c r="P2261" s="5"/>
      <c r="Q2261" s="5"/>
      <c r="R2261" s="8"/>
      <c r="S2261" s="8"/>
      <c r="T2261" s="3"/>
    </row>
    <row r="2262" spans="14:20" x14ac:dyDescent="0.3">
      <c r="N2262" s="5"/>
      <c r="O2262" s="5"/>
      <c r="P2262" s="5"/>
      <c r="Q2262" s="5"/>
      <c r="R2262" s="8"/>
      <c r="S2262" s="8"/>
      <c r="T2262" s="3"/>
    </row>
    <row r="2263" spans="14:20" x14ac:dyDescent="0.3">
      <c r="N2263" s="5"/>
      <c r="O2263" s="5"/>
      <c r="P2263" s="5"/>
      <c r="Q2263" s="5"/>
      <c r="R2263" s="8"/>
      <c r="S2263" s="8"/>
      <c r="T2263" s="3"/>
    </row>
    <row r="2264" spans="14:20" x14ac:dyDescent="0.3">
      <c r="N2264" s="5"/>
      <c r="O2264" s="5"/>
      <c r="P2264" s="5"/>
      <c r="Q2264" s="5"/>
      <c r="R2264" s="8"/>
      <c r="S2264" s="8"/>
      <c r="T2264" s="3"/>
    </row>
    <row r="2265" spans="14:20" x14ac:dyDescent="0.3">
      <c r="N2265" s="5"/>
      <c r="O2265" s="5"/>
      <c r="P2265" s="5"/>
      <c r="Q2265" s="5"/>
      <c r="R2265" s="8"/>
      <c r="S2265" s="8"/>
      <c r="T2265" s="3"/>
    </row>
    <row r="2266" spans="14:20" x14ac:dyDescent="0.3">
      <c r="N2266" s="5"/>
      <c r="O2266" s="5"/>
      <c r="P2266" s="5"/>
      <c r="Q2266" s="5"/>
      <c r="R2266" s="8"/>
      <c r="S2266" s="8"/>
      <c r="T2266" s="3"/>
    </row>
    <row r="2267" spans="14:20" x14ac:dyDescent="0.3">
      <c r="N2267" s="5"/>
      <c r="O2267" s="5"/>
      <c r="P2267" s="5"/>
      <c r="Q2267" s="5"/>
      <c r="R2267" s="8"/>
      <c r="S2267" s="8"/>
      <c r="T2267" s="3"/>
    </row>
    <row r="2268" spans="14:20" x14ac:dyDescent="0.3">
      <c r="N2268" s="5"/>
      <c r="O2268" s="5"/>
      <c r="P2268" s="5"/>
      <c r="Q2268" s="5"/>
      <c r="R2268" s="8"/>
      <c r="S2268" s="8"/>
      <c r="T2268" s="3"/>
    </row>
    <row r="2269" spans="14:20" x14ac:dyDescent="0.3">
      <c r="N2269" s="5"/>
      <c r="O2269" s="5"/>
      <c r="P2269" s="5"/>
      <c r="Q2269" s="5"/>
      <c r="R2269" s="8"/>
      <c r="S2269" s="8"/>
      <c r="T2269" s="3"/>
    </row>
    <row r="2270" spans="14:20" x14ac:dyDescent="0.3">
      <c r="N2270" s="5"/>
      <c r="O2270" s="5"/>
      <c r="P2270" s="5"/>
      <c r="Q2270" s="5"/>
      <c r="R2270" s="8"/>
      <c r="S2270" s="8"/>
      <c r="T2270" s="3"/>
    </row>
    <row r="2271" spans="14:20" x14ac:dyDescent="0.3">
      <c r="N2271" s="5"/>
      <c r="O2271" s="5"/>
      <c r="P2271" s="5"/>
      <c r="Q2271" s="5"/>
      <c r="R2271" s="8"/>
      <c r="S2271" s="8"/>
      <c r="T2271" s="3"/>
    </row>
    <row r="2272" spans="14:20" x14ac:dyDescent="0.3">
      <c r="N2272" s="5"/>
      <c r="O2272" s="5"/>
      <c r="P2272" s="5"/>
      <c r="Q2272" s="5"/>
      <c r="R2272" s="8"/>
      <c r="S2272" s="8"/>
      <c r="T2272" s="3"/>
    </row>
    <row r="2273" spans="14:20" x14ac:dyDescent="0.3">
      <c r="N2273" s="5"/>
      <c r="O2273" s="5"/>
      <c r="P2273" s="5"/>
      <c r="Q2273" s="5"/>
      <c r="R2273" s="8"/>
      <c r="S2273" s="8"/>
      <c r="T2273" s="3"/>
    </row>
    <row r="2274" spans="14:20" x14ac:dyDescent="0.3">
      <c r="N2274" s="5"/>
      <c r="O2274" s="5"/>
      <c r="P2274" s="5"/>
      <c r="Q2274" s="5"/>
      <c r="R2274" s="8"/>
      <c r="S2274" s="8"/>
      <c r="T2274" s="3"/>
    </row>
    <row r="2275" spans="14:20" x14ac:dyDescent="0.3">
      <c r="N2275" s="5"/>
      <c r="O2275" s="5"/>
      <c r="P2275" s="5"/>
      <c r="Q2275" s="5"/>
      <c r="R2275" s="8"/>
      <c r="S2275" s="8"/>
      <c r="T2275" s="3"/>
    </row>
    <row r="2276" spans="14:20" x14ac:dyDescent="0.3">
      <c r="N2276" s="5"/>
      <c r="O2276" s="5"/>
      <c r="P2276" s="5"/>
      <c r="Q2276" s="5"/>
      <c r="R2276" s="8"/>
      <c r="S2276" s="8"/>
      <c r="T2276" s="3"/>
    </row>
    <row r="2277" spans="14:20" x14ac:dyDescent="0.3">
      <c r="N2277" s="5"/>
      <c r="O2277" s="5"/>
      <c r="P2277" s="5"/>
      <c r="Q2277" s="5"/>
      <c r="R2277" s="8"/>
      <c r="S2277" s="8"/>
      <c r="T2277" s="3"/>
    </row>
    <row r="2278" spans="14:20" x14ac:dyDescent="0.3">
      <c r="N2278" s="5"/>
      <c r="O2278" s="5"/>
      <c r="P2278" s="5"/>
      <c r="Q2278" s="5"/>
      <c r="R2278" s="8"/>
      <c r="S2278" s="8"/>
      <c r="T2278" s="3"/>
    </row>
    <row r="2279" spans="14:20" x14ac:dyDescent="0.3">
      <c r="N2279" s="5"/>
      <c r="O2279" s="5"/>
      <c r="P2279" s="5"/>
      <c r="Q2279" s="5"/>
      <c r="R2279" s="8"/>
      <c r="S2279" s="8"/>
      <c r="T2279" s="3"/>
    </row>
    <row r="2280" spans="14:20" x14ac:dyDescent="0.3">
      <c r="N2280" s="5"/>
      <c r="O2280" s="5"/>
      <c r="P2280" s="5"/>
      <c r="Q2280" s="5"/>
      <c r="R2280" s="8"/>
      <c r="S2280" s="8"/>
      <c r="T2280" s="3"/>
    </row>
    <row r="2281" spans="14:20" x14ac:dyDescent="0.3">
      <c r="N2281" s="5"/>
      <c r="O2281" s="5"/>
      <c r="P2281" s="5"/>
      <c r="Q2281" s="5"/>
      <c r="R2281" s="8"/>
      <c r="S2281" s="8"/>
      <c r="T2281" s="3"/>
    </row>
    <row r="2282" spans="14:20" x14ac:dyDescent="0.3">
      <c r="N2282" s="5"/>
      <c r="O2282" s="5"/>
      <c r="P2282" s="5"/>
      <c r="Q2282" s="5"/>
      <c r="R2282" s="8"/>
      <c r="S2282" s="8"/>
      <c r="T2282" s="3"/>
    </row>
    <row r="2283" spans="14:20" x14ac:dyDescent="0.3">
      <c r="N2283" s="5"/>
      <c r="O2283" s="5"/>
      <c r="P2283" s="5"/>
      <c r="Q2283" s="5"/>
      <c r="R2283" s="8"/>
      <c r="S2283" s="8"/>
      <c r="T2283" s="3"/>
    </row>
    <row r="2284" spans="14:20" x14ac:dyDescent="0.3">
      <c r="N2284" s="5"/>
      <c r="O2284" s="5"/>
      <c r="P2284" s="5"/>
      <c r="Q2284" s="5"/>
      <c r="R2284" s="8"/>
      <c r="S2284" s="8"/>
      <c r="T2284" s="3"/>
    </row>
    <row r="2285" spans="14:20" x14ac:dyDescent="0.3">
      <c r="N2285" s="5"/>
      <c r="O2285" s="5"/>
      <c r="P2285" s="5"/>
      <c r="Q2285" s="5"/>
      <c r="R2285" s="8"/>
      <c r="S2285" s="8"/>
      <c r="T2285" s="3"/>
    </row>
    <row r="2286" spans="14:20" x14ac:dyDescent="0.3">
      <c r="N2286" s="5"/>
      <c r="O2286" s="5"/>
      <c r="P2286" s="5"/>
      <c r="Q2286" s="5"/>
      <c r="R2286" s="8"/>
      <c r="S2286" s="8"/>
      <c r="T2286" s="3"/>
    </row>
    <row r="2287" spans="14:20" x14ac:dyDescent="0.3">
      <c r="N2287" s="5"/>
      <c r="O2287" s="5"/>
      <c r="P2287" s="5"/>
      <c r="Q2287" s="5"/>
      <c r="R2287" s="8"/>
      <c r="S2287" s="8"/>
      <c r="T2287" s="3"/>
    </row>
    <row r="2288" spans="14:20" x14ac:dyDescent="0.3">
      <c r="N2288" s="5"/>
      <c r="O2288" s="5"/>
      <c r="P2288" s="5"/>
      <c r="Q2288" s="5"/>
      <c r="R2288" s="8"/>
      <c r="S2288" s="8"/>
      <c r="T2288" s="3"/>
    </row>
    <row r="2289" spans="14:20" x14ac:dyDescent="0.3">
      <c r="N2289" s="5"/>
      <c r="O2289" s="5"/>
      <c r="P2289" s="5"/>
      <c r="Q2289" s="5"/>
      <c r="R2289" s="8"/>
      <c r="S2289" s="8"/>
      <c r="T2289" s="3"/>
    </row>
    <row r="2290" spans="14:20" x14ac:dyDescent="0.3">
      <c r="N2290" s="5"/>
      <c r="O2290" s="5"/>
      <c r="P2290" s="5"/>
      <c r="Q2290" s="5"/>
      <c r="R2290" s="8"/>
      <c r="S2290" s="8"/>
      <c r="T2290" s="3"/>
    </row>
    <row r="2291" spans="14:20" x14ac:dyDescent="0.3">
      <c r="N2291" s="5"/>
      <c r="O2291" s="5"/>
      <c r="P2291" s="5"/>
      <c r="Q2291" s="5"/>
      <c r="R2291" s="8"/>
      <c r="S2291" s="8"/>
      <c r="T2291" s="3"/>
    </row>
    <row r="2292" spans="14:20" x14ac:dyDescent="0.3">
      <c r="N2292" s="5"/>
      <c r="O2292" s="5"/>
      <c r="P2292" s="5"/>
      <c r="Q2292" s="5"/>
      <c r="R2292" s="8"/>
      <c r="S2292" s="8"/>
      <c r="T2292" s="3"/>
    </row>
    <row r="2293" spans="14:20" x14ac:dyDescent="0.3">
      <c r="N2293" s="5"/>
      <c r="O2293" s="5"/>
      <c r="P2293" s="5"/>
      <c r="Q2293" s="5"/>
      <c r="R2293" s="8"/>
      <c r="S2293" s="8"/>
      <c r="T2293" s="3"/>
    </row>
    <row r="2294" spans="14:20" x14ac:dyDescent="0.3">
      <c r="N2294" s="5"/>
      <c r="O2294" s="5"/>
      <c r="P2294" s="5"/>
      <c r="Q2294" s="5"/>
      <c r="R2294" s="8"/>
      <c r="S2294" s="8"/>
      <c r="T2294" s="3"/>
    </row>
    <row r="2295" spans="14:20" x14ac:dyDescent="0.3">
      <c r="N2295" s="5"/>
      <c r="O2295" s="5"/>
      <c r="P2295" s="5"/>
      <c r="Q2295" s="5"/>
      <c r="R2295" s="8"/>
      <c r="S2295" s="8"/>
      <c r="T2295" s="3"/>
    </row>
    <row r="2296" spans="14:20" x14ac:dyDescent="0.3">
      <c r="N2296" s="5"/>
      <c r="O2296" s="5"/>
      <c r="P2296" s="5"/>
      <c r="Q2296" s="5"/>
      <c r="R2296" s="8"/>
      <c r="S2296" s="8"/>
      <c r="T2296" s="3"/>
    </row>
    <row r="2297" spans="14:20" x14ac:dyDescent="0.3">
      <c r="N2297" s="5"/>
      <c r="O2297" s="5"/>
      <c r="P2297" s="5"/>
      <c r="Q2297" s="5"/>
      <c r="R2297" s="8"/>
      <c r="S2297" s="8"/>
      <c r="T2297" s="3"/>
    </row>
    <row r="2298" spans="14:20" x14ac:dyDescent="0.3">
      <c r="N2298" s="5"/>
      <c r="O2298" s="5"/>
      <c r="P2298" s="5"/>
      <c r="Q2298" s="5"/>
      <c r="R2298" s="8"/>
      <c r="S2298" s="8"/>
      <c r="T2298" s="3"/>
    </row>
    <row r="2299" spans="14:20" x14ac:dyDescent="0.3">
      <c r="N2299" s="5"/>
      <c r="O2299" s="5"/>
      <c r="P2299" s="5"/>
      <c r="Q2299" s="5"/>
      <c r="R2299" s="8"/>
      <c r="S2299" s="8"/>
      <c r="T2299" s="3"/>
    </row>
    <row r="2300" spans="14:20" x14ac:dyDescent="0.3">
      <c r="N2300" s="5"/>
      <c r="O2300" s="5"/>
      <c r="P2300" s="5"/>
      <c r="Q2300" s="5"/>
      <c r="R2300" s="8"/>
      <c r="S2300" s="8"/>
      <c r="T2300" s="3"/>
    </row>
    <row r="2301" spans="14:20" x14ac:dyDescent="0.3">
      <c r="N2301" s="5"/>
      <c r="O2301" s="5"/>
      <c r="P2301" s="5"/>
      <c r="Q2301" s="5"/>
      <c r="R2301" s="8"/>
      <c r="S2301" s="8"/>
      <c r="T2301" s="3"/>
    </row>
    <row r="2302" spans="14:20" x14ac:dyDescent="0.3">
      <c r="N2302" s="5"/>
      <c r="O2302" s="5"/>
      <c r="P2302" s="5"/>
      <c r="Q2302" s="5"/>
      <c r="R2302" s="8"/>
      <c r="S2302" s="8"/>
      <c r="T2302" s="3"/>
    </row>
    <row r="2303" spans="14:20" x14ac:dyDescent="0.3">
      <c r="N2303" s="5"/>
      <c r="O2303" s="5"/>
      <c r="P2303" s="5"/>
      <c r="Q2303" s="5"/>
      <c r="R2303" s="8"/>
      <c r="S2303" s="8"/>
      <c r="T2303" s="3"/>
    </row>
    <row r="2304" spans="14:20" x14ac:dyDescent="0.3">
      <c r="N2304" s="5"/>
      <c r="O2304" s="5"/>
      <c r="P2304" s="5"/>
      <c r="Q2304" s="5"/>
      <c r="R2304" s="8"/>
      <c r="S2304" s="8"/>
      <c r="T2304" s="3"/>
    </row>
    <row r="2305" spans="14:20" x14ac:dyDescent="0.3">
      <c r="N2305" s="5"/>
      <c r="O2305" s="5"/>
      <c r="P2305" s="5"/>
      <c r="Q2305" s="5"/>
      <c r="R2305" s="8"/>
      <c r="S2305" s="8"/>
      <c r="T2305" s="3"/>
    </row>
    <row r="2306" spans="14:20" x14ac:dyDescent="0.3">
      <c r="N2306" s="5"/>
      <c r="O2306" s="5"/>
      <c r="P2306" s="5"/>
      <c r="Q2306" s="5"/>
      <c r="R2306" s="8"/>
      <c r="S2306" s="8"/>
      <c r="T2306" s="3"/>
    </row>
    <row r="2307" spans="14:20" x14ac:dyDescent="0.3">
      <c r="N2307" s="5"/>
      <c r="O2307" s="5"/>
      <c r="P2307" s="5"/>
      <c r="Q2307" s="5"/>
      <c r="R2307" s="8"/>
      <c r="S2307" s="8"/>
      <c r="T2307" s="3"/>
    </row>
    <row r="2308" spans="14:20" x14ac:dyDescent="0.3">
      <c r="N2308" s="5"/>
      <c r="O2308" s="5"/>
      <c r="P2308" s="5"/>
      <c r="Q2308" s="5"/>
      <c r="R2308" s="8"/>
      <c r="S2308" s="8"/>
      <c r="T2308" s="3"/>
    </row>
    <row r="2309" spans="14:20" x14ac:dyDescent="0.3">
      <c r="N2309" s="5"/>
      <c r="O2309" s="5"/>
      <c r="P2309" s="5"/>
      <c r="Q2309" s="5"/>
      <c r="R2309" s="8"/>
      <c r="S2309" s="8"/>
      <c r="T2309" s="3"/>
    </row>
    <row r="2310" spans="14:20" x14ac:dyDescent="0.3">
      <c r="N2310" s="5"/>
      <c r="O2310" s="5"/>
      <c r="P2310" s="5"/>
      <c r="Q2310" s="5"/>
      <c r="R2310" s="8"/>
      <c r="S2310" s="8"/>
      <c r="T2310" s="3"/>
    </row>
    <row r="2311" spans="14:20" x14ac:dyDescent="0.3">
      <c r="N2311" s="5"/>
      <c r="O2311" s="5"/>
      <c r="P2311" s="5"/>
      <c r="Q2311" s="5"/>
      <c r="R2311" s="8"/>
      <c r="S2311" s="8"/>
      <c r="T2311" s="3"/>
    </row>
    <row r="2312" spans="14:20" x14ac:dyDescent="0.3">
      <c r="N2312" s="5"/>
      <c r="O2312" s="5"/>
      <c r="P2312" s="5"/>
      <c r="Q2312" s="5"/>
      <c r="R2312" s="8"/>
      <c r="S2312" s="8"/>
      <c r="T2312" s="3"/>
    </row>
    <row r="2313" spans="14:20" x14ac:dyDescent="0.3">
      <c r="N2313" s="5"/>
      <c r="O2313" s="5"/>
      <c r="P2313" s="5"/>
      <c r="Q2313" s="5"/>
      <c r="R2313" s="8"/>
      <c r="S2313" s="8"/>
      <c r="T2313" s="3"/>
    </row>
    <row r="2314" spans="14:20" x14ac:dyDescent="0.3">
      <c r="N2314" s="5"/>
      <c r="O2314" s="5"/>
      <c r="P2314" s="5"/>
      <c r="Q2314" s="5"/>
      <c r="R2314" s="8"/>
      <c r="S2314" s="8"/>
      <c r="T2314" s="3"/>
    </row>
    <row r="2315" spans="14:20" x14ac:dyDescent="0.3">
      <c r="N2315" s="5"/>
      <c r="O2315" s="5"/>
      <c r="P2315" s="5"/>
      <c r="Q2315" s="5"/>
      <c r="R2315" s="8"/>
      <c r="S2315" s="8"/>
      <c r="T2315" s="3"/>
    </row>
    <row r="2316" spans="14:20" x14ac:dyDescent="0.3">
      <c r="N2316" s="5"/>
      <c r="O2316" s="5"/>
      <c r="P2316" s="5"/>
      <c r="Q2316" s="5"/>
      <c r="R2316" s="8"/>
      <c r="S2316" s="8"/>
      <c r="T2316" s="3"/>
    </row>
    <row r="2317" spans="14:20" x14ac:dyDescent="0.3">
      <c r="N2317" s="5"/>
      <c r="O2317" s="5"/>
      <c r="P2317" s="5"/>
      <c r="Q2317" s="5"/>
      <c r="R2317" s="8"/>
      <c r="S2317" s="8"/>
      <c r="T2317" s="3"/>
    </row>
    <row r="2318" spans="14:20" x14ac:dyDescent="0.3">
      <c r="N2318" s="5"/>
      <c r="O2318" s="5"/>
      <c r="P2318" s="5"/>
      <c r="Q2318" s="5"/>
      <c r="R2318" s="8"/>
      <c r="S2318" s="8"/>
      <c r="T2318" s="3"/>
    </row>
    <row r="2319" spans="14:20" x14ac:dyDescent="0.3">
      <c r="N2319" s="5"/>
      <c r="O2319" s="5"/>
      <c r="P2319" s="5"/>
      <c r="Q2319" s="5"/>
      <c r="R2319" s="8"/>
      <c r="S2319" s="8"/>
      <c r="T2319" s="3"/>
    </row>
    <row r="2320" spans="14:20" x14ac:dyDescent="0.3">
      <c r="N2320" s="5"/>
      <c r="O2320" s="5"/>
      <c r="P2320" s="5"/>
      <c r="Q2320" s="5"/>
      <c r="R2320" s="8"/>
      <c r="S2320" s="8"/>
      <c r="T2320" s="3"/>
    </row>
    <row r="2321" spans="14:20" x14ac:dyDescent="0.3">
      <c r="N2321" s="5"/>
      <c r="O2321" s="5"/>
      <c r="P2321" s="5"/>
      <c r="Q2321" s="5"/>
      <c r="R2321" s="8"/>
      <c r="S2321" s="8"/>
      <c r="T2321" s="3"/>
    </row>
    <row r="2322" spans="14:20" x14ac:dyDescent="0.3">
      <c r="N2322" s="5"/>
      <c r="O2322" s="5"/>
      <c r="P2322" s="5"/>
      <c r="Q2322" s="5"/>
      <c r="R2322" s="8"/>
      <c r="S2322" s="8"/>
      <c r="T2322" s="3"/>
    </row>
    <row r="2323" spans="14:20" x14ac:dyDescent="0.3">
      <c r="N2323" s="5"/>
      <c r="O2323" s="5"/>
      <c r="P2323" s="5"/>
      <c r="Q2323" s="5"/>
      <c r="R2323" s="8"/>
      <c r="S2323" s="8"/>
      <c r="T2323" s="3"/>
    </row>
    <row r="2324" spans="14:20" x14ac:dyDescent="0.3">
      <c r="N2324" s="5"/>
      <c r="O2324" s="5"/>
      <c r="P2324" s="5"/>
      <c r="Q2324" s="5"/>
      <c r="R2324" s="8"/>
      <c r="S2324" s="8"/>
      <c r="T2324" s="3"/>
    </row>
    <row r="2325" spans="14:20" x14ac:dyDescent="0.3">
      <c r="N2325" s="5"/>
      <c r="O2325" s="5"/>
      <c r="P2325" s="5"/>
      <c r="Q2325" s="5"/>
      <c r="R2325" s="8"/>
      <c r="S2325" s="8"/>
      <c r="T2325" s="3"/>
    </row>
    <row r="2326" spans="14:20" x14ac:dyDescent="0.3">
      <c r="N2326" s="5"/>
      <c r="O2326" s="5"/>
      <c r="P2326" s="5"/>
      <c r="Q2326" s="5"/>
      <c r="R2326" s="8"/>
      <c r="S2326" s="8"/>
      <c r="T2326" s="3"/>
    </row>
    <row r="2327" spans="14:20" x14ac:dyDescent="0.3">
      <c r="N2327" s="5"/>
      <c r="O2327" s="5"/>
      <c r="P2327" s="5"/>
      <c r="Q2327" s="5"/>
      <c r="R2327" s="8"/>
      <c r="S2327" s="8"/>
      <c r="T2327" s="3"/>
    </row>
    <row r="2328" spans="14:20" x14ac:dyDescent="0.3">
      <c r="N2328" s="5"/>
      <c r="O2328" s="5"/>
      <c r="P2328" s="5"/>
      <c r="Q2328" s="5"/>
      <c r="R2328" s="8"/>
      <c r="S2328" s="8"/>
      <c r="T2328" s="3"/>
    </row>
    <row r="2329" spans="14:20" x14ac:dyDescent="0.3">
      <c r="N2329" s="5"/>
      <c r="O2329" s="5"/>
      <c r="P2329" s="5"/>
      <c r="Q2329" s="5"/>
      <c r="R2329" s="8"/>
      <c r="S2329" s="8"/>
      <c r="T2329" s="3"/>
    </row>
    <row r="2330" spans="14:20" x14ac:dyDescent="0.3">
      <c r="N2330" s="5"/>
      <c r="O2330" s="5"/>
      <c r="P2330" s="5"/>
      <c r="Q2330" s="5"/>
      <c r="R2330" s="8"/>
      <c r="S2330" s="8"/>
      <c r="T2330" s="3"/>
    </row>
    <row r="2331" spans="14:20" x14ac:dyDescent="0.3">
      <c r="N2331" s="5"/>
      <c r="O2331" s="5"/>
      <c r="P2331" s="5"/>
      <c r="Q2331" s="5"/>
      <c r="R2331" s="8"/>
      <c r="S2331" s="8"/>
      <c r="T2331" s="3"/>
    </row>
    <row r="2332" spans="14:20" x14ac:dyDescent="0.3">
      <c r="N2332" s="5"/>
      <c r="O2332" s="5"/>
      <c r="P2332" s="5"/>
      <c r="Q2332" s="5"/>
      <c r="R2332" s="8"/>
      <c r="S2332" s="8"/>
      <c r="T2332" s="3"/>
    </row>
    <row r="2333" spans="14:20" x14ac:dyDescent="0.3">
      <c r="N2333" s="5"/>
      <c r="O2333" s="5"/>
      <c r="P2333" s="5"/>
      <c r="Q2333" s="5"/>
      <c r="R2333" s="8"/>
      <c r="S2333" s="8"/>
      <c r="T2333" s="3"/>
    </row>
    <row r="2334" spans="14:20" x14ac:dyDescent="0.3">
      <c r="N2334" s="5"/>
      <c r="O2334" s="5"/>
      <c r="P2334" s="5"/>
      <c r="Q2334" s="5"/>
      <c r="R2334" s="8"/>
      <c r="S2334" s="8"/>
      <c r="T2334" s="3"/>
    </row>
    <row r="2335" spans="14:20" x14ac:dyDescent="0.3">
      <c r="N2335" s="5"/>
      <c r="O2335" s="5"/>
      <c r="P2335" s="5"/>
      <c r="Q2335" s="5"/>
      <c r="R2335" s="8"/>
      <c r="S2335" s="8"/>
      <c r="T2335" s="3"/>
    </row>
    <row r="2336" spans="14:20" x14ac:dyDescent="0.3">
      <c r="N2336" s="5"/>
      <c r="O2336" s="5"/>
      <c r="P2336" s="5"/>
      <c r="Q2336" s="5"/>
      <c r="R2336" s="8"/>
      <c r="S2336" s="8"/>
      <c r="T2336" s="3"/>
    </row>
    <row r="2337" spans="14:20" x14ac:dyDescent="0.3">
      <c r="N2337" s="5"/>
      <c r="O2337" s="5"/>
      <c r="P2337" s="5"/>
      <c r="Q2337" s="5"/>
      <c r="R2337" s="8"/>
      <c r="S2337" s="8"/>
      <c r="T2337" s="3"/>
    </row>
    <row r="2338" spans="14:20" x14ac:dyDescent="0.3">
      <c r="N2338" s="5"/>
      <c r="O2338" s="5"/>
      <c r="P2338" s="5"/>
      <c r="Q2338" s="5"/>
      <c r="R2338" s="8"/>
      <c r="S2338" s="8"/>
      <c r="T2338" s="3"/>
    </row>
    <row r="2339" spans="14:20" x14ac:dyDescent="0.3">
      <c r="N2339" s="5"/>
      <c r="O2339" s="5"/>
      <c r="P2339" s="5"/>
      <c r="Q2339" s="5"/>
      <c r="R2339" s="8"/>
      <c r="S2339" s="8"/>
      <c r="T2339" s="3"/>
    </row>
    <row r="2340" spans="14:20" x14ac:dyDescent="0.3">
      <c r="N2340" s="5"/>
      <c r="O2340" s="5"/>
      <c r="P2340" s="5"/>
      <c r="Q2340" s="5"/>
      <c r="R2340" s="8"/>
      <c r="S2340" s="8"/>
      <c r="T2340" s="3"/>
    </row>
    <row r="2341" spans="14:20" x14ac:dyDescent="0.3">
      <c r="N2341" s="5"/>
      <c r="O2341" s="5"/>
      <c r="P2341" s="5"/>
      <c r="Q2341" s="5"/>
      <c r="R2341" s="8"/>
      <c r="S2341" s="8"/>
      <c r="T2341" s="3"/>
    </row>
    <row r="2342" spans="14:20" x14ac:dyDescent="0.3">
      <c r="N2342" s="5"/>
      <c r="O2342" s="5"/>
      <c r="P2342" s="5"/>
      <c r="Q2342" s="5"/>
      <c r="R2342" s="8"/>
      <c r="S2342" s="8"/>
      <c r="T2342" s="3"/>
    </row>
    <row r="2343" spans="14:20" x14ac:dyDescent="0.3">
      <c r="N2343" s="5"/>
      <c r="O2343" s="5"/>
      <c r="P2343" s="5"/>
      <c r="Q2343" s="5"/>
      <c r="R2343" s="8"/>
      <c r="S2343" s="8"/>
      <c r="T2343" s="3"/>
    </row>
    <row r="2344" spans="14:20" x14ac:dyDescent="0.3">
      <c r="N2344" s="5"/>
      <c r="O2344" s="5"/>
      <c r="P2344" s="5"/>
      <c r="Q2344" s="5"/>
      <c r="R2344" s="8"/>
      <c r="S2344" s="8"/>
      <c r="T2344" s="3"/>
    </row>
    <row r="2345" spans="14:20" x14ac:dyDescent="0.3">
      <c r="N2345" s="5"/>
      <c r="O2345" s="5"/>
      <c r="P2345" s="5"/>
      <c r="Q2345" s="5"/>
      <c r="R2345" s="8"/>
      <c r="S2345" s="8"/>
      <c r="T2345" s="3"/>
    </row>
    <row r="2346" spans="14:20" x14ac:dyDescent="0.3">
      <c r="N2346" s="5"/>
      <c r="O2346" s="5"/>
      <c r="P2346" s="5"/>
      <c r="Q2346" s="5"/>
      <c r="R2346" s="8"/>
      <c r="S2346" s="8"/>
      <c r="T2346" s="3"/>
    </row>
    <row r="2347" spans="14:20" x14ac:dyDescent="0.3">
      <c r="N2347" s="5"/>
      <c r="O2347" s="5"/>
      <c r="P2347" s="5"/>
      <c r="Q2347" s="5"/>
      <c r="R2347" s="8"/>
      <c r="S2347" s="8"/>
      <c r="T2347" s="3"/>
    </row>
    <row r="2348" spans="14:20" x14ac:dyDescent="0.3">
      <c r="N2348" s="5"/>
      <c r="O2348" s="5"/>
      <c r="P2348" s="5"/>
      <c r="Q2348" s="5"/>
      <c r="R2348" s="8"/>
      <c r="S2348" s="8"/>
      <c r="T2348" s="3"/>
    </row>
    <row r="2349" spans="14:20" x14ac:dyDescent="0.3">
      <c r="N2349" s="5"/>
      <c r="O2349" s="5"/>
      <c r="P2349" s="5"/>
      <c r="Q2349" s="5"/>
      <c r="R2349" s="8"/>
      <c r="S2349" s="8"/>
      <c r="T2349" s="3"/>
    </row>
    <row r="2350" spans="14:20" x14ac:dyDescent="0.3">
      <c r="N2350" s="5"/>
      <c r="O2350" s="5"/>
      <c r="P2350" s="5"/>
      <c r="Q2350" s="5"/>
      <c r="R2350" s="8"/>
      <c r="S2350" s="8"/>
      <c r="T2350" s="3"/>
    </row>
    <row r="2351" spans="14:20" x14ac:dyDescent="0.3">
      <c r="N2351" s="5"/>
      <c r="O2351" s="5"/>
      <c r="P2351" s="5"/>
      <c r="Q2351" s="5"/>
      <c r="R2351" s="8"/>
      <c r="S2351" s="8"/>
      <c r="T2351" s="3"/>
    </row>
    <row r="2352" spans="14:20" x14ac:dyDescent="0.3">
      <c r="N2352" s="5"/>
      <c r="O2352" s="5"/>
      <c r="P2352" s="5"/>
      <c r="Q2352" s="5"/>
      <c r="R2352" s="8"/>
      <c r="S2352" s="8"/>
      <c r="T2352" s="3"/>
    </row>
    <row r="2353" spans="14:20" x14ac:dyDescent="0.3">
      <c r="N2353" s="5"/>
      <c r="O2353" s="5"/>
      <c r="P2353" s="5"/>
      <c r="Q2353" s="5"/>
      <c r="R2353" s="8"/>
      <c r="S2353" s="8"/>
      <c r="T2353" s="3"/>
    </row>
    <row r="2354" spans="14:20" x14ac:dyDescent="0.3">
      <c r="N2354" s="5"/>
      <c r="O2354" s="5"/>
      <c r="P2354" s="5"/>
      <c r="Q2354" s="5"/>
      <c r="R2354" s="8"/>
      <c r="S2354" s="8"/>
      <c r="T2354" s="3"/>
    </row>
    <row r="2355" spans="14:20" x14ac:dyDescent="0.3">
      <c r="N2355" s="5"/>
      <c r="O2355" s="5"/>
      <c r="P2355" s="5"/>
      <c r="Q2355" s="5"/>
      <c r="R2355" s="8"/>
      <c r="S2355" s="8"/>
      <c r="T2355" s="3"/>
    </row>
    <row r="2356" spans="14:20" x14ac:dyDescent="0.3">
      <c r="N2356" s="5"/>
      <c r="O2356" s="5"/>
      <c r="P2356" s="5"/>
      <c r="Q2356" s="5"/>
      <c r="R2356" s="8"/>
      <c r="S2356" s="8"/>
      <c r="T2356" s="3"/>
    </row>
    <row r="2357" spans="14:20" x14ac:dyDescent="0.3">
      <c r="N2357" s="5"/>
      <c r="O2357" s="5"/>
      <c r="P2357" s="5"/>
      <c r="Q2357" s="5"/>
      <c r="R2357" s="8"/>
      <c r="S2357" s="8"/>
      <c r="T2357" s="3"/>
    </row>
    <row r="2358" spans="14:20" x14ac:dyDescent="0.3">
      <c r="N2358" s="5"/>
      <c r="O2358" s="5"/>
      <c r="P2358" s="5"/>
      <c r="Q2358" s="5"/>
      <c r="R2358" s="8"/>
      <c r="S2358" s="8"/>
      <c r="T2358" s="3"/>
    </row>
    <row r="2359" spans="14:20" x14ac:dyDescent="0.3">
      <c r="N2359" s="5"/>
      <c r="O2359" s="5"/>
      <c r="P2359" s="5"/>
      <c r="Q2359" s="5"/>
      <c r="R2359" s="8"/>
      <c r="S2359" s="8"/>
      <c r="T2359" s="3"/>
    </row>
    <row r="2360" spans="14:20" x14ac:dyDescent="0.3">
      <c r="N2360" s="5"/>
      <c r="O2360" s="5"/>
      <c r="P2360" s="5"/>
      <c r="Q2360" s="5"/>
      <c r="R2360" s="8"/>
      <c r="S2360" s="8"/>
      <c r="T2360" s="3"/>
    </row>
    <row r="2361" spans="14:20" x14ac:dyDescent="0.3">
      <c r="N2361" s="5"/>
      <c r="O2361" s="5"/>
      <c r="P2361" s="5"/>
      <c r="Q2361" s="5"/>
      <c r="R2361" s="8"/>
      <c r="S2361" s="8"/>
      <c r="T2361" s="3"/>
    </row>
    <row r="2362" spans="14:20" x14ac:dyDescent="0.3">
      <c r="N2362" s="5"/>
      <c r="O2362" s="5"/>
      <c r="P2362" s="5"/>
      <c r="Q2362" s="5"/>
      <c r="R2362" s="8"/>
      <c r="S2362" s="8"/>
      <c r="T2362" s="3"/>
    </row>
    <row r="2363" spans="14:20" x14ac:dyDescent="0.3">
      <c r="N2363" s="5"/>
      <c r="O2363" s="5"/>
      <c r="P2363" s="5"/>
      <c r="Q2363" s="5"/>
      <c r="R2363" s="8"/>
      <c r="S2363" s="8"/>
      <c r="T2363" s="3"/>
    </row>
    <row r="2364" spans="14:20" x14ac:dyDescent="0.3">
      <c r="N2364" s="5"/>
      <c r="O2364" s="5"/>
      <c r="P2364" s="5"/>
      <c r="Q2364" s="5"/>
      <c r="R2364" s="8"/>
      <c r="S2364" s="8"/>
      <c r="T2364" s="3"/>
    </row>
    <row r="2365" spans="14:20" x14ac:dyDescent="0.3">
      <c r="N2365" s="5"/>
      <c r="O2365" s="5"/>
      <c r="P2365" s="5"/>
      <c r="Q2365" s="5"/>
      <c r="R2365" s="8"/>
      <c r="S2365" s="8"/>
      <c r="T2365" s="3"/>
    </row>
    <row r="2366" spans="14:20" x14ac:dyDescent="0.3">
      <c r="N2366" s="5"/>
      <c r="O2366" s="5"/>
      <c r="P2366" s="5"/>
      <c r="Q2366" s="5"/>
      <c r="R2366" s="8"/>
      <c r="S2366" s="8"/>
      <c r="T2366" s="3"/>
    </row>
    <row r="2367" spans="14:20" x14ac:dyDescent="0.3">
      <c r="N2367" s="5"/>
      <c r="O2367" s="5"/>
      <c r="P2367" s="5"/>
      <c r="Q2367" s="5"/>
      <c r="R2367" s="8"/>
      <c r="S2367" s="8"/>
      <c r="T2367" s="3"/>
    </row>
    <row r="2368" spans="14:20" x14ac:dyDescent="0.3">
      <c r="N2368" s="5"/>
      <c r="O2368" s="5"/>
      <c r="P2368" s="5"/>
      <c r="Q2368" s="5"/>
      <c r="R2368" s="8"/>
      <c r="S2368" s="8"/>
      <c r="T2368" s="3"/>
    </row>
    <row r="2369" spans="14:20" x14ac:dyDescent="0.3">
      <c r="N2369" s="5"/>
      <c r="O2369" s="5"/>
      <c r="P2369" s="5"/>
      <c r="Q2369" s="5"/>
      <c r="R2369" s="8"/>
      <c r="S2369" s="8"/>
      <c r="T2369" s="3"/>
    </row>
    <row r="2370" spans="14:20" x14ac:dyDescent="0.3">
      <c r="N2370" s="5"/>
      <c r="O2370" s="5"/>
      <c r="P2370" s="5"/>
      <c r="Q2370" s="5"/>
      <c r="R2370" s="8"/>
      <c r="S2370" s="8"/>
      <c r="T2370" s="3"/>
    </row>
    <row r="2371" spans="14:20" x14ac:dyDescent="0.3">
      <c r="N2371" s="5"/>
      <c r="O2371" s="5"/>
      <c r="P2371" s="5"/>
      <c r="Q2371" s="5"/>
      <c r="R2371" s="8"/>
      <c r="S2371" s="8"/>
      <c r="T2371" s="3"/>
    </row>
    <row r="2372" spans="14:20" x14ac:dyDescent="0.3">
      <c r="N2372" s="5"/>
      <c r="O2372" s="5"/>
      <c r="P2372" s="5"/>
      <c r="Q2372" s="5"/>
      <c r="R2372" s="8"/>
      <c r="S2372" s="8"/>
      <c r="T2372" s="3"/>
    </row>
    <row r="2373" spans="14:20" x14ac:dyDescent="0.3">
      <c r="N2373" s="5"/>
      <c r="O2373" s="5"/>
      <c r="P2373" s="5"/>
      <c r="Q2373" s="5"/>
      <c r="R2373" s="8"/>
      <c r="S2373" s="8"/>
      <c r="T2373" s="3"/>
    </row>
    <row r="2374" spans="14:20" x14ac:dyDescent="0.3">
      <c r="N2374" s="5"/>
      <c r="O2374" s="5"/>
      <c r="P2374" s="5"/>
      <c r="Q2374" s="5"/>
      <c r="R2374" s="8"/>
      <c r="S2374" s="8"/>
      <c r="T2374" s="3"/>
    </row>
    <row r="2375" spans="14:20" x14ac:dyDescent="0.3">
      <c r="N2375" s="5"/>
      <c r="O2375" s="5"/>
      <c r="P2375" s="5"/>
      <c r="Q2375" s="5"/>
      <c r="R2375" s="8"/>
      <c r="S2375" s="8"/>
      <c r="T2375" s="3"/>
    </row>
    <row r="2376" spans="14:20" x14ac:dyDescent="0.3">
      <c r="N2376" s="5"/>
      <c r="O2376" s="5"/>
      <c r="P2376" s="5"/>
      <c r="Q2376" s="5"/>
      <c r="R2376" s="8"/>
      <c r="S2376" s="8"/>
      <c r="T2376" s="3"/>
    </row>
    <row r="2377" spans="14:20" x14ac:dyDescent="0.3">
      <c r="N2377" s="5"/>
      <c r="O2377" s="5"/>
      <c r="P2377" s="5"/>
      <c r="Q2377" s="5"/>
      <c r="R2377" s="8"/>
      <c r="S2377" s="8"/>
      <c r="T2377" s="3"/>
    </row>
    <row r="2378" spans="14:20" x14ac:dyDescent="0.3">
      <c r="N2378" s="5"/>
      <c r="O2378" s="5"/>
      <c r="P2378" s="5"/>
      <c r="Q2378" s="5"/>
      <c r="R2378" s="8"/>
      <c r="S2378" s="8"/>
      <c r="T2378" s="3"/>
    </row>
    <row r="2379" spans="14:20" x14ac:dyDescent="0.3">
      <c r="N2379" s="5"/>
      <c r="O2379" s="5"/>
      <c r="P2379" s="5"/>
      <c r="Q2379" s="5"/>
      <c r="R2379" s="8"/>
      <c r="S2379" s="8"/>
      <c r="T2379" s="3"/>
    </row>
    <row r="2380" spans="14:20" x14ac:dyDescent="0.3">
      <c r="N2380" s="5"/>
      <c r="O2380" s="5"/>
      <c r="P2380" s="5"/>
      <c r="Q2380" s="5"/>
      <c r="R2380" s="8"/>
      <c r="S2380" s="8"/>
      <c r="T2380" s="3"/>
    </row>
    <row r="2381" spans="14:20" x14ac:dyDescent="0.3">
      <c r="N2381" s="5"/>
      <c r="O2381" s="5"/>
      <c r="P2381" s="5"/>
      <c r="Q2381" s="5"/>
      <c r="R2381" s="8"/>
      <c r="S2381" s="8"/>
      <c r="T2381" s="3"/>
    </row>
    <row r="2382" spans="14:20" x14ac:dyDescent="0.3">
      <c r="N2382" s="5"/>
      <c r="O2382" s="5"/>
      <c r="P2382" s="5"/>
      <c r="Q2382" s="5"/>
      <c r="R2382" s="8"/>
      <c r="S2382" s="8"/>
      <c r="T2382" s="3"/>
    </row>
    <row r="2383" spans="14:20" x14ac:dyDescent="0.3">
      <c r="N2383" s="5"/>
      <c r="O2383" s="5"/>
      <c r="P2383" s="5"/>
      <c r="Q2383" s="5"/>
      <c r="R2383" s="8"/>
      <c r="S2383" s="8"/>
      <c r="T2383" s="3"/>
    </row>
    <row r="2384" spans="14:20" x14ac:dyDescent="0.3">
      <c r="N2384" s="5"/>
      <c r="O2384" s="5"/>
      <c r="P2384" s="5"/>
      <c r="Q2384" s="5"/>
      <c r="R2384" s="8"/>
      <c r="S2384" s="8"/>
      <c r="T2384" s="3"/>
    </row>
    <row r="2385" spans="14:20" x14ac:dyDescent="0.3">
      <c r="N2385" s="5"/>
      <c r="O2385" s="5"/>
      <c r="P2385" s="5"/>
      <c r="Q2385" s="5"/>
      <c r="R2385" s="8"/>
      <c r="S2385" s="8"/>
      <c r="T2385" s="3"/>
    </row>
    <row r="2386" spans="14:20" x14ac:dyDescent="0.3">
      <c r="N2386" s="5"/>
      <c r="O2386" s="5"/>
      <c r="P2386" s="5"/>
      <c r="Q2386" s="5"/>
      <c r="R2386" s="8"/>
      <c r="S2386" s="8"/>
      <c r="T2386" s="3"/>
    </row>
    <row r="2387" spans="14:20" x14ac:dyDescent="0.3">
      <c r="N2387" s="5"/>
      <c r="O2387" s="5"/>
      <c r="P2387" s="5"/>
      <c r="Q2387" s="5"/>
      <c r="R2387" s="8"/>
      <c r="S2387" s="8"/>
      <c r="T2387" s="3"/>
    </row>
    <row r="2388" spans="14:20" x14ac:dyDescent="0.3">
      <c r="N2388" s="5"/>
      <c r="O2388" s="5"/>
      <c r="P2388" s="5"/>
      <c r="Q2388" s="5"/>
      <c r="R2388" s="8"/>
      <c r="S2388" s="8"/>
      <c r="T2388" s="3"/>
    </row>
    <row r="2389" spans="14:20" x14ac:dyDescent="0.3">
      <c r="N2389" s="5"/>
      <c r="O2389" s="5"/>
      <c r="P2389" s="5"/>
      <c r="Q2389" s="5"/>
      <c r="R2389" s="8"/>
      <c r="S2389" s="8"/>
      <c r="T2389" s="3"/>
    </row>
    <row r="2390" spans="14:20" x14ac:dyDescent="0.3">
      <c r="N2390" s="5"/>
      <c r="O2390" s="5"/>
      <c r="P2390" s="5"/>
      <c r="Q2390" s="5"/>
      <c r="R2390" s="8"/>
      <c r="S2390" s="8"/>
      <c r="T2390" s="3"/>
    </row>
    <row r="2391" spans="14:20" x14ac:dyDescent="0.3">
      <c r="N2391" s="5"/>
      <c r="O2391" s="5"/>
      <c r="P2391" s="5"/>
      <c r="Q2391" s="5"/>
      <c r="R2391" s="8"/>
      <c r="S2391" s="8"/>
      <c r="T2391" s="3"/>
    </row>
    <row r="2392" spans="14:20" x14ac:dyDescent="0.3">
      <c r="N2392" s="5"/>
      <c r="O2392" s="5"/>
      <c r="P2392" s="5"/>
      <c r="Q2392" s="5"/>
      <c r="R2392" s="8"/>
      <c r="S2392" s="8"/>
      <c r="T2392" s="3"/>
    </row>
    <row r="2393" spans="14:20" x14ac:dyDescent="0.3">
      <c r="N2393" s="5"/>
      <c r="O2393" s="5"/>
      <c r="P2393" s="5"/>
      <c r="Q2393" s="5"/>
      <c r="R2393" s="8"/>
      <c r="S2393" s="8"/>
      <c r="T2393" s="3"/>
    </row>
    <row r="2394" spans="14:20" x14ac:dyDescent="0.3">
      <c r="N2394" s="5"/>
      <c r="O2394" s="5"/>
      <c r="P2394" s="5"/>
      <c r="Q2394" s="5"/>
      <c r="R2394" s="8"/>
      <c r="S2394" s="8"/>
      <c r="T2394" s="3"/>
    </row>
    <row r="2395" spans="14:20" x14ac:dyDescent="0.3">
      <c r="N2395" s="5"/>
      <c r="O2395" s="5"/>
      <c r="P2395" s="5"/>
      <c r="Q2395" s="5"/>
      <c r="R2395" s="8"/>
      <c r="S2395" s="8"/>
      <c r="T2395" s="3"/>
    </row>
    <row r="2396" spans="14:20" x14ac:dyDescent="0.3">
      <c r="N2396" s="5"/>
      <c r="O2396" s="5"/>
      <c r="P2396" s="5"/>
      <c r="Q2396" s="5"/>
      <c r="R2396" s="8"/>
      <c r="S2396" s="8"/>
      <c r="T2396" s="3"/>
    </row>
    <row r="2397" spans="14:20" x14ac:dyDescent="0.3">
      <c r="N2397" s="5"/>
      <c r="O2397" s="5"/>
      <c r="P2397" s="5"/>
      <c r="Q2397" s="5"/>
      <c r="R2397" s="8"/>
      <c r="S2397" s="8"/>
      <c r="T2397" s="3"/>
    </row>
    <row r="2398" spans="14:20" x14ac:dyDescent="0.3">
      <c r="N2398" s="5"/>
      <c r="O2398" s="5"/>
      <c r="P2398" s="5"/>
      <c r="Q2398" s="5"/>
      <c r="R2398" s="8"/>
      <c r="S2398" s="8"/>
      <c r="T2398" s="3"/>
    </row>
    <row r="2399" spans="14:20" x14ac:dyDescent="0.3">
      <c r="N2399" s="5"/>
      <c r="O2399" s="5"/>
      <c r="P2399" s="5"/>
      <c r="Q2399" s="5"/>
      <c r="R2399" s="8"/>
      <c r="S2399" s="8"/>
      <c r="T2399" s="3"/>
    </row>
    <row r="2400" spans="14:20" x14ac:dyDescent="0.3">
      <c r="N2400" s="5"/>
      <c r="O2400" s="5"/>
      <c r="P2400" s="5"/>
      <c r="Q2400" s="5"/>
      <c r="R2400" s="8"/>
      <c r="S2400" s="8"/>
      <c r="T2400" s="3"/>
    </row>
    <row r="2401" spans="14:20" x14ac:dyDescent="0.3">
      <c r="N2401" s="5"/>
      <c r="O2401" s="5"/>
      <c r="P2401" s="5"/>
      <c r="Q2401" s="5"/>
      <c r="R2401" s="8"/>
      <c r="S2401" s="8"/>
      <c r="T2401" s="3"/>
    </row>
    <row r="2402" spans="14:20" x14ac:dyDescent="0.3">
      <c r="N2402" s="5"/>
      <c r="O2402" s="5"/>
      <c r="P2402" s="5"/>
      <c r="Q2402" s="5"/>
      <c r="R2402" s="8"/>
      <c r="S2402" s="8"/>
      <c r="T2402" s="3"/>
    </row>
    <row r="2403" spans="14:20" x14ac:dyDescent="0.3">
      <c r="N2403" s="5"/>
      <c r="O2403" s="5"/>
      <c r="P2403" s="5"/>
      <c r="Q2403" s="5"/>
      <c r="R2403" s="8"/>
      <c r="S2403" s="8"/>
      <c r="T2403" s="3"/>
    </row>
    <row r="2404" spans="14:20" x14ac:dyDescent="0.3">
      <c r="N2404" s="5"/>
      <c r="O2404" s="5"/>
      <c r="P2404" s="5"/>
      <c r="Q2404" s="5"/>
      <c r="R2404" s="8"/>
      <c r="S2404" s="8"/>
      <c r="T2404" s="3"/>
    </row>
    <row r="2405" spans="14:20" x14ac:dyDescent="0.3">
      <c r="N2405" s="5"/>
      <c r="O2405" s="5"/>
      <c r="P2405" s="5"/>
      <c r="Q2405" s="5"/>
      <c r="R2405" s="8"/>
      <c r="S2405" s="8"/>
      <c r="T2405" s="3"/>
    </row>
    <row r="2406" spans="14:20" x14ac:dyDescent="0.3">
      <c r="N2406" s="5"/>
      <c r="O2406" s="5"/>
      <c r="P2406" s="5"/>
      <c r="Q2406" s="5"/>
      <c r="R2406" s="8"/>
      <c r="S2406" s="8"/>
      <c r="T2406" s="3"/>
    </row>
    <row r="2407" spans="14:20" x14ac:dyDescent="0.3">
      <c r="N2407" s="5"/>
      <c r="O2407" s="5"/>
      <c r="P2407" s="5"/>
      <c r="Q2407" s="5"/>
      <c r="R2407" s="8"/>
      <c r="S2407" s="8"/>
      <c r="T2407" s="3"/>
    </row>
    <row r="2408" spans="14:20" x14ac:dyDescent="0.3">
      <c r="N2408" s="5"/>
      <c r="O2408" s="5"/>
      <c r="P2408" s="5"/>
      <c r="Q2408" s="5"/>
      <c r="R2408" s="8"/>
      <c r="S2408" s="8"/>
      <c r="T2408" s="3"/>
    </row>
    <row r="2409" spans="14:20" x14ac:dyDescent="0.3">
      <c r="N2409" s="5"/>
      <c r="O2409" s="5"/>
      <c r="P2409" s="5"/>
      <c r="Q2409" s="5"/>
      <c r="R2409" s="8"/>
      <c r="S2409" s="8"/>
      <c r="T2409" s="3"/>
    </row>
    <row r="2410" spans="14:20" x14ac:dyDescent="0.3">
      <c r="N2410" s="5"/>
      <c r="O2410" s="5"/>
      <c r="P2410" s="5"/>
      <c r="Q2410" s="5"/>
      <c r="R2410" s="8"/>
      <c r="S2410" s="8"/>
      <c r="T2410" s="3"/>
    </row>
    <row r="2411" spans="14:20" x14ac:dyDescent="0.3">
      <c r="N2411" s="5"/>
      <c r="O2411" s="5"/>
      <c r="P2411" s="5"/>
      <c r="Q2411" s="5"/>
      <c r="R2411" s="8"/>
      <c r="S2411" s="8"/>
      <c r="T2411" s="3"/>
    </row>
    <row r="2412" spans="14:20" x14ac:dyDescent="0.3">
      <c r="N2412" s="5"/>
      <c r="O2412" s="5"/>
      <c r="P2412" s="5"/>
      <c r="Q2412" s="5"/>
      <c r="R2412" s="8"/>
      <c r="S2412" s="8"/>
      <c r="T2412" s="3"/>
    </row>
    <row r="2413" spans="14:20" x14ac:dyDescent="0.3">
      <c r="N2413" s="5"/>
      <c r="O2413" s="5"/>
      <c r="P2413" s="5"/>
      <c r="Q2413" s="5"/>
      <c r="R2413" s="8"/>
      <c r="S2413" s="8"/>
      <c r="T2413" s="3"/>
    </row>
    <row r="2414" spans="14:20" x14ac:dyDescent="0.3">
      <c r="N2414" s="5"/>
      <c r="O2414" s="5"/>
      <c r="P2414" s="5"/>
      <c r="Q2414" s="5"/>
      <c r="R2414" s="8"/>
      <c r="S2414" s="8"/>
      <c r="T2414" s="3"/>
    </row>
    <row r="2415" spans="14:20" x14ac:dyDescent="0.3">
      <c r="N2415" s="5"/>
      <c r="O2415" s="5"/>
      <c r="P2415" s="5"/>
      <c r="Q2415" s="5"/>
      <c r="R2415" s="8"/>
      <c r="S2415" s="8"/>
      <c r="T2415" s="3"/>
    </row>
    <row r="2416" spans="14:20" x14ac:dyDescent="0.3">
      <c r="N2416" s="5"/>
      <c r="O2416" s="5"/>
      <c r="P2416" s="5"/>
      <c r="Q2416" s="5"/>
      <c r="R2416" s="8"/>
      <c r="S2416" s="8"/>
      <c r="T2416" s="3"/>
    </row>
    <row r="2417" spans="14:20" x14ac:dyDescent="0.3">
      <c r="N2417" s="5"/>
      <c r="O2417" s="5"/>
      <c r="P2417" s="5"/>
      <c r="Q2417" s="5"/>
      <c r="R2417" s="8"/>
      <c r="S2417" s="8"/>
      <c r="T2417" s="3"/>
    </row>
    <row r="2418" spans="14:20" x14ac:dyDescent="0.3">
      <c r="N2418" s="5"/>
      <c r="O2418" s="5"/>
      <c r="P2418" s="5"/>
      <c r="Q2418" s="5"/>
      <c r="R2418" s="8"/>
      <c r="S2418" s="8"/>
      <c r="T2418" s="3"/>
    </row>
    <row r="2419" spans="14:20" x14ac:dyDescent="0.3">
      <c r="N2419" s="5"/>
      <c r="O2419" s="5"/>
      <c r="P2419" s="5"/>
      <c r="Q2419" s="5"/>
      <c r="R2419" s="8"/>
      <c r="S2419" s="8"/>
      <c r="T2419" s="3"/>
    </row>
    <row r="2420" spans="14:20" x14ac:dyDescent="0.3">
      <c r="N2420" s="5"/>
      <c r="O2420" s="5"/>
      <c r="P2420" s="5"/>
      <c r="Q2420" s="5"/>
      <c r="R2420" s="8"/>
      <c r="S2420" s="8"/>
      <c r="T2420" s="3"/>
    </row>
    <row r="2421" spans="14:20" x14ac:dyDescent="0.3">
      <c r="N2421" s="5"/>
      <c r="O2421" s="5"/>
      <c r="P2421" s="5"/>
      <c r="Q2421" s="5"/>
      <c r="R2421" s="8"/>
      <c r="S2421" s="8"/>
      <c r="T2421" s="3"/>
    </row>
    <row r="2422" spans="14:20" x14ac:dyDescent="0.3">
      <c r="N2422" s="5"/>
      <c r="O2422" s="5"/>
      <c r="P2422" s="5"/>
      <c r="Q2422" s="5"/>
      <c r="R2422" s="8"/>
      <c r="S2422" s="8"/>
      <c r="T2422" s="3"/>
    </row>
    <row r="2423" spans="14:20" x14ac:dyDescent="0.3">
      <c r="N2423" s="5"/>
      <c r="O2423" s="5"/>
      <c r="P2423" s="5"/>
      <c r="Q2423" s="5"/>
      <c r="R2423" s="8"/>
      <c r="S2423" s="8"/>
      <c r="T2423" s="3"/>
    </row>
    <row r="2424" spans="14:20" x14ac:dyDescent="0.3">
      <c r="N2424" s="5"/>
      <c r="O2424" s="5"/>
      <c r="P2424" s="5"/>
      <c r="Q2424" s="5"/>
      <c r="R2424" s="8"/>
      <c r="S2424" s="8"/>
      <c r="T2424" s="3"/>
    </row>
    <row r="2425" spans="14:20" x14ac:dyDescent="0.3">
      <c r="N2425" s="5"/>
      <c r="O2425" s="5"/>
      <c r="P2425" s="5"/>
      <c r="Q2425" s="5"/>
      <c r="R2425" s="8"/>
      <c r="S2425" s="8"/>
      <c r="T2425" s="3"/>
    </row>
    <row r="2426" spans="14:20" x14ac:dyDescent="0.3">
      <c r="N2426" s="5"/>
      <c r="O2426" s="5"/>
      <c r="P2426" s="5"/>
      <c r="Q2426" s="5"/>
      <c r="R2426" s="8"/>
      <c r="S2426" s="8"/>
      <c r="T2426" s="3"/>
    </row>
    <row r="2427" spans="14:20" x14ac:dyDescent="0.3">
      <c r="N2427" s="5"/>
      <c r="O2427" s="5"/>
      <c r="P2427" s="5"/>
      <c r="Q2427" s="5"/>
      <c r="R2427" s="8"/>
      <c r="S2427" s="8"/>
      <c r="T2427" s="3"/>
    </row>
    <row r="2428" spans="14:20" x14ac:dyDescent="0.3">
      <c r="N2428" s="5"/>
      <c r="O2428" s="5"/>
      <c r="P2428" s="5"/>
      <c r="Q2428" s="5"/>
      <c r="R2428" s="8"/>
      <c r="S2428" s="8"/>
      <c r="T2428" s="3"/>
    </row>
    <row r="2429" spans="14:20" x14ac:dyDescent="0.3">
      <c r="N2429" s="5"/>
      <c r="O2429" s="5"/>
      <c r="P2429" s="5"/>
      <c r="Q2429" s="5"/>
      <c r="R2429" s="8"/>
      <c r="S2429" s="8"/>
      <c r="T2429" s="3"/>
    </row>
    <row r="2430" spans="14:20" x14ac:dyDescent="0.3">
      <c r="N2430" s="5"/>
      <c r="O2430" s="5"/>
      <c r="P2430" s="5"/>
      <c r="Q2430" s="5"/>
      <c r="R2430" s="8"/>
      <c r="S2430" s="8"/>
      <c r="T2430" s="3"/>
    </row>
    <row r="2431" spans="14:20" x14ac:dyDescent="0.3">
      <c r="N2431" s="5"/>
      <c r="O2431" s="5"/>
      <c r="P2431" s="5"/>
      <c r="Q2431" s="5"/>
      <c r="R2431" s="8"/>
      <c r="S2431" s="8"/>
      <c r="T2431" s="3"/>
    </row>
    <row r="2432" spans="14:20" x14ac:dyDescent="0.3">
      <c r="N2432" s="5"/>
      <c r="O2432" s="5"/>
      <c r="P2432" s="5"/>
      <c r="Q2432" s="5"/>
      <c r="R2432" s="8"/>
      <c r="S2432" s="8"/>
      <c r="T2432" s="3"/>
    </row>
    <row r="2433" spans="14:20" x14ac:dyDescent="0.3">
      <c r="N2433" s="5"/>
      <c r="O2433" s="5"/>
      <c r="P2433" s="5"/>
      <c r="Q2433" s="5"/>
      <c r="R2433" s="8"/>
      <c r="S2433" s="8"/>
      <c r="T2433" s="3"/>
    </row>
    <row r="2434" spans="14:20" x14ac:dyDescent="0.3">
      <c r="N2434" s="5"/>
      <c r="O2434" s="5"/>
      <c r="P2434" s="5"/>
      <c r="Q2434" s="5"/>
      <c r="R2434" s="8"/>
      <c r="S2434" s="8"/>
      <c r="T2434" s="3"/>
    </row>
    <row r="2435" spans="14:20" x14ac:dyDescent="0.3">
      <c r="N2435" s="5"/>
      <c r="O2435" s="5"/>
      <c r="P2435" s="5"/>
      <c r="Q2435" s="5"/>
      <c r="R2435" s="8"/>
      <c r="S2435" s="8"/>
      <c r="T2435" s="3"/>
    </row>
    <row r="2436" spans="14:20" x14ac:dyDescent="0.3">
      <c r="N2436" s="5"/>
      <c r="O2436" s="5"/>
      <c r="P2436" s="5"/>
      <c r="Q2436" s="5"/>
      <c r="R2436" s="8"/>
      <c r="S2436" s="8"/>
      <c r="T2436" s="3"/>
    </row>
    <row r="2437" spans="14:20" x14ac:dyDescent="0.3">
      <c r="N2437" s="5"/>
      <c r="O2437" s="5"/>
      <c r="P2437" s="5"/>
      <c r="Q2437" s="5"/>
      <c r="R2437" s="8"/>
      <c r="S2437" s="8"/>
      <c r="T2437" s="3"/>
    </row>
    <row r="2438" spans="14:20" x14ac:dyDescent="0.3">
      <c r="N2438" s="5"/>
      <c r="O2438" s="5"/>
      <c r="P2438" s="5"/>
      <c r="Q2438" s="5"/>
      <c r="R2438" s="8"/>
      <c r="S2438" s="8"/>
      <c r="T2438" s="3"/>
    </row>
    <row r="2439" spans="14:20" x14ac:dyDescent="0.3">
      <c r="N2439" s="5"/>
      <c r="O2439" s="5"/>
      <c r="P2439" s="5"/>
      <c r="Q2439" s="5"/>
      <c r="R2439" s="8"/>
      <c r="S2439" s="8"/>
      <c r="T2439" s="3"/>
    </row>
    <row r="2440" spans="14:20" x14ac:dyDescent="0.3">
      <c r="N2440" s="5"/>
      <c r="O2440" s="5"/>
      <c r="P2440" s="5"/>
      <c r="Q2440" s="5"/>
      <c r="R2440" s="8"/>
      <c r="S2440" s="8"/>
      <c r="T2440" s="3"/>
    </row>
    <row r="2441" spans="14:20" x14ac:dyDescent="0.3">
      <c r="N2441" s="5"/>
      <c r="O2441" s="5"/>
      <c r="P2441" s="5"/>
      <c r="Q2441" s="5"/>
      <c r="R2441" s="8"/>
      <c r="S2441" s="8"/>
      <c r="T2441" s="3"/>
    </row>
    <row r="2442" spans="14:20" x14ac:dyDescent="0.3">
      <c r="N2442" s="5"/>
      <c r="O2442" s="5"/>
      <c r="P2442" s="5"/>
      <c r="Q2442" s="5"/>
      <c r="R2442" s="8"/>
      <c r="S2442" s="8"/>
      <c r="T2442" s="3"/>
    </row>
    <row r="2443" spans="14:20" x14ac:dyDescent="0.3">
      <c r="N2443" s="5"/>
      <c r="O2443" s="5"/>
      <c r="P2443" s="5"/>
      <c r="Q2443" s="5"/>
      <c r="R2443" s="8"/>
      <c r="S2443" s="8"/>
      <c r="T2443" s="3"/>
    </row>
    <row r="2444" spans="14:20" x14ac:dyDescent="0.3">
      <c r="N2444" s="5"/>
      <c r="O2444" s="5"/>
      <c r="P2444" s="5"/>
      <c r="Q2444" s="5"/>
      <c r="R2444" s="8"/>
      <c r="S2444" s="8"/>
      <c r="T2444" s="3"/>
    </row>
    <row r="2445" spans="14:20" x14ac:dyDescent="0.3">
      <c r="N2445" s="5"/>
      <c r="O2445" s="5"/>
      <c r="P2445" s="5"/>
      <c r="Q2445" s="5"/>
      <c r="R2445" s="8"/>
      <c r="S2445" s="8"/>
      <c r="T2445" s="3"/>
    </row>
    <row r="2446" spans="14:20" x14ac:dyDescent="0.3">
      <c r="N2446" s="5"/>
      <c r="O2446" s="5"/>
      <c r="P2446" s="5"/>
      <c r="Q2446" s="5"/>
      <c r="R2446" s="8"/>
      <c r="S2446" s="8"/>
      <c r="T2446" s="3"/>
    </row>
    <row r="2447" spans="14:20" x14ac:dyDescent="0.3">
      <c r="N2447" s="5"/>
      <c r="O2447" s="5"/>
      <c r="P2447" s="5"/>
      <c r="Q2447" s="5"/>
      <c r="R2447" s="8"/>
      <c r="S2447" s="8"/>
      <c r="T2447" s="3"/>
    </row>
    <row r="2448" spans="14:20" x14ac:dyDescent="0.3">
      <c r="N2448" s="5"/>
      <c r="O2448" s="5"/>
      <c r="P2448" s="5"/>
      <c r="Q2448" s="5"/>
      <c r="R2448" s="8"/>
      <c r="S2448" s="8"/>
      <c r="T2448" s="3"/>
    </row>
    <row r="2449" spans="14:20" x14ac:dyDescent="0.3">
      <c r="N2449" s="5"/>
      <c r="O2449" s="5"/>
      <c r="P2449" s="5"/>
      <c r="Q2449" s="5"/>
      <c r="R2449" s="8"/>
      <c r="S2449" s="8"/>
      <c r="T2449" s="3"/>
    </row>
    <row r="2450" spans="14:20" x14ac:dyDescent="0.3">
      <c r="N2450" s="5"/>
      <c r="O2450" s="5"/>
      <c r="P2450" s="5"/>
      <c r="Q2450" s="5"/>
      <c r="R2450" s="8"/>
      <c r="S2450" s="8"/>
      <c r="T2450" s="3"/>
    </row>
    <row r="2451" spans="14:20" x14ac:dyDescent="0.3">
      <c r="N2451" s="5"/>
      <c r="O2451" s="5"/>
      <c r="P2451" s="5"/>
      <c r="Q2451" s="5"/>
      <c r="R2451" s="8"/>
      <c r="S2451" s="8"/>
      <c r="T2451" s="3"/>
    </row>
    <row r="2452" spans="14:20" x14ac:dyDescent="0.3">
      <c r="N2452" s="5"/>
      <c r="O2452" s="5"/>
      <c r="P2452" s="5"/>
      <c r="Q2452" s="5"/>
      <c r="R2452" s="8"/>
      <c r="S2452" s="8"/>
      <c r="T2452" s="3"/>
    </row>
    <row r="2453" spans="14:20" x14ac:dyDescent="0.3">
      <c r="N2453" s="5"/>
      <c r="O2453" s="5"/>
      <c r="P2453" s="5"/>
      <c r="Q2453" s="5"/>
      <c r="R2453" s="8"/>
      <c r="S2453" s="8"/>
      <c r="T2453" s="3"/>
    </row>
    <row r="2454" spans="14:20" x14ac:dyDescent="0.3">
      <c r="N2454" s="5"/>
      <c r="O2454" s="5"/>
      <c r="P2454" s="5"/>
      <c r="Q2454" s="5"/>
      <c r="R2454" s="8"/>
      <c r="S2454" s="8"/>
      <c r="T2454" s="3"/>
    </row>
    <row r="2455" spans="14:20" x14ac:dyDescent="0.3">
      <c r="N2455" s="5"/>
      <c r="O2455" s="5"/>
      <c r="P2455" s="5"/>
      <c r="Q2455" s="5"/>
      <c r="R2455" s="8"/>
      <c r="S2455" s="8"/>
      <c r="T2455" s="3"/>
    </row>
    <row r="2456" spans="14:20" x14ac:dyDescent="0.3">
      <c r="N2456" s="5"/>
      <c r="O2456" s="5"/>
      <c r="P2456" s="5"/>
      <c r="Q2456" s="5"/>
      <c r="R2456" s="8"/>
      <c r="S2456" s="8"/>
      <c r="T2456" s="3"/>
    </row>
    <row r="2457" spans="14:20" x14ac:dyDescent="0.3">
      <c r="N2457" s="5"/>
      <c r="O2457" s="5"/>
      <c r="P2457" s="5"/>
      <c r="Q2457" s="5"/>
      <c r="R2457" s="8"/>
      <c r="S2457" s="8"/>
      <c r="T2457" s="3"/>
    </row>
    <row r="2458" spans="14:20" x14ac:dyDescent="0.3">
      <c r="N2458" s="5"/>
      <c r="O2458" s="5"/>
      <c r="P2458" s="5"/>
      <c r="Q2458" s="5"/>
      <c r="R2458" s="8"/>
      <c r="S2458" s="8"/>
      <c r="T2458" s="3"/>
    </row>
    <row r="2459" spans="14:20" x14ac:dyDescent="0.3">
      <c r="N2459" s="5"/>
      <c r="O2459" s="5"/>
      <c r="P2459" s="5"/>
      <c r="Q2459" s="5"/>
      <c r="R2459" s="8"/>
      <c r="S2459" s="8"/>
      <c r="T2459" s="3"/>
    </row>
    <row r="2460" spans="14:20" x14ac:dyDescent="0.3">
      <c r="N2460" s="5"/>
      <c r="O2460" s="5"/>
      <c r="P2460" s="5"/>
      <c r="Q2460" s="5"/>
      <c r="R2460" s="8"/>
      <c r="S2460" s="8"/>
      <c r="T2460" s="3"/>
    </row>
    <row r="2461" spans="14:20" x14ac:dyDescent="0.3">
      <c r="N2461" s="5"/>
      <c r="O2461" s="5"/>
      <c r="P2461" s="5"/>
      <c r="Q2461" s="5"/>
      <c r="R2461" s="8"/>
      <c r="S2461" s="8"/>
      <c r="T2461" s="3"/>
    </row>
    <row r="2462" spans="14:20" x14ac:dyDescent="0.3">
      <c r="N2462" s="5"/>
      <c r="O2462" s="5"/>
      <c r="P2462" s="5"/>
      <c r="Q2462" s="5"/>
      <c r="R2462" s="8"/>
      <c r="S2462" s="8"/>
      <c r="T2462" s="3"/>
    </row>
    <row r="2463" spans="14:20" x14ac:dyDescent="0.3">
      <c r="N2463" s="5"/>
      <c r="O2463" s="5"/>
      <c r="P2463" s="5"/>
      <c r="Q2463" s="5"/>
      <c r="R2463" s="8"/>
      <c r="S2463" s="8"/>
      <c r="T2463" s="3"/>
    </row>
    <row r="2464" spans="14:20" x14ac:dyDescent="0.3">
      <c r="N2464" s="5"/>
      <c r="O2464" s="5"/>
      <c r="P2464" s="5"/>
      <c r="Q2464" s="5"/>
      <c r="R2464" s="8"/>
      <c r="S2464" s="8"/>
      <c r="T2464" s="3"/>
    </row>
    <row r="2465" spans="14:20" x14ac:dyDescent="0.3">
      <c r="N2465" s="5"/>
      <c r="O2465" s="5"/>
      <c r="P2465" s="5"/>
      <c r="Q2465" s="5"/>
      <c r="R2465" s="8"/>
      <c r="S2465" s="8"/>
      <c r="T2465" s="3"/>
    </row>
    <row r="2466" spans="14:20" x14ac:dyDescent="0.3">
      <c r="N2466" s="5"/>
      <c r="O2466" s="5"/>
      <c r="P2466" s="5"/>
      <c r="Q2466" s="5"/>
      <c r="R2466" s="8"/>
      <c r="S2466" s="8"/>
      <c r="T2466" s="3"/>
    </row>
    <row r="2467" spans="14:20" x14ac:dyDescent="0.3">
      <c r="N2467" s="5"/>
      <c r="O2467" s="5"/>
      <c r="P2467" s="5"/>
      <c r="Q2467" s="5"/>
      <c r="R2467" s="8"/>
      <c r="S2467" s="8"/>
      <c r="T2467" s="3"/>
    </row>
    <row r="2468" spans="14:20" x14ac:dyDescent="0.3">
      <c r="N2468" s="5"/>
      <c r="O2468" s="5"/>
      <c r="P2468" s="5"/>
      <c r="Q2468" s="5"/>
      <c r="R2468" s="8"/>
      <c r="S2468" s="8"/>
      <c r="T2468" s="3"/>
    </row>
    <row r="2469" spans="14:20" x14ac:dyDescent="0.3">
      <c r="N2469" s="5"/>
      <c r="O2469" s="5"/>
      <c r="P2469" s="5"/>
      <c r="Q2469" s="5"/>
      <c r="R2469" s="8"/>
      <c r="S2469" s="8"/>
      <c r="T2469" s="3"/>
    </row>
    <row r="2470" spans="14:20" x14ac:dyDescent="0.3">
      <c r="N2470" s="5"/>
      <c r="O2470" s="5"/>
      <c r="P2470" s="5"/>
      <c r="Q2470" s="5"/>
      <c r="R2470" s="8"/>
      <c r="S2470" s="8"/>
      <c r="T2470" s="3"/>
    </row>
    <row r="2471" spans="14:20" x14ac:dyDescent="0.3">
      <c r="N2471" s="5"/>
      <c r="O2471" s="5"/>
      <c r="P2471" s="5"/>
      <c r="Q2471" s="5"/>
      <c r="R2471" s="8"/>
      <c r="S2471" s="8"/>
      <c r="T2471" s="3"/>
    </row>
    <row r="2472" spans="14:20" x14ac:dyDescent="0.3">
      <c r="N2472" s="5"/>
      <c r="O2472" s="5"/>
      <c r="P2472" s="5"/>
      <c r="Q2472" s="5"/>
      <c r="R2472" s="8"/>
      <c r="S2472" s="8"/>
      <c r="T2472" s="3"/>
    </row>
    <row r="2473" spans="14:20" x14ac:dyDescent="0.3">
      <c r="N2473" s="5"/>
      <c r="O2473" s="5"/>
      <c r="P2473" s="5"/>
      <c r="Q2473" s="5"/>
      <c r="R2473" s="8"/>
      <c r="S2473" s="8"/>
      <c r="T2473" s="3"/>
    </row>
    <row r="2474" spans="14:20" x14ac:dyDescent="0.3">
      <c r="N2474" s="5"/>
      <c r="O2474" s="5"/>
      <c r="P2474" s="5"/>
      <c r="Q2474" s="5"/>
      <c r="R2474" s="8"/>
      <c r="S2474" s="8"/>
      <c r="T2474" s="3"/>
    </row>
    <row r="2475" spans="14:20" x14ac:dyDescent="0.3">
      <c r="N2475" s="5"/>
      <c r="O2475" s="5"/>
      <c r="P2475" s="5"/>
      <c r="Q2475" s="5"/>
      <c r="R2475" s="8"/>
      <c r="S2475" s="8"/>
      <c r="T2475" s="3"/>
    </row>
    <row r="2476" spans="14:20" x14ac:dyDescent="0.3">
      <c r="N2476" s="5"/>
      <c r="O2476" s="5"/>
      <c r="P2476" s="5"/>
      <c r="Q2476" s="5"/>
      <c r="R2476" s="8"/>
      <c r="S2476" s="8"/>
      <c r="T2476" s="3"/>
    </row>
    <row r="2477" spans="14:20" x14ac:dyDescent="0.3">
      <c r="N2477" s="5"/>
      <c r="O2477" s="5"/>
      <c r="P2477" s="5"/>
      <c r="Q2477" s="5"/>
      <c r="R2477" s="8"/>
      <c r="S2477" s="8"/>
      <c r="T2477" s="3"/>
    </row>
    <row r="2478" spans="14:20" x14ac:dyDescent="0.3">
      <c r="N2478" s="5"/>
      <c r="O2478" s="5"/>
      <c r="P2478" s="5"/>
      <c r="Q2478" s="5"/>
      <c r="R2478" s="8"/>
      <c r="S2478" s="8"/>
      <c r="T2478" s="3"/>
    </row>
    <row r="2479" spans="14:20" x14ac:dyDescent="0.3">
      <c r="N2479" s="5"/>
      <c r="O2479" s="5"/>
      <c r="P2479" s="5"/>
      <c r="Q2479" s="5"/>
      <c r="R2479" s="8"/>
      <c r="S2479" s="8"/>
      <c r="T2479" s="3"/>
    </row>
    <row r="2480" spans="14:20" x14ac:dyDescent="0.3">
      <c r="N2480" s="5"/>
      <c r="O2480" s="5"/>
      <c r="P2480" s="5"/>
      <c r="Q2480" s="5"/>
      <c r="R2480" s="8"/>
      <c r="S2480" s="8"/>
      <c r="T2480" s="3"/>
    </row>
    <row r="2481" spans="14:20" x14ac:dyDescent="0.3">
      <c r="N2481" s="5"/>
      <c r="O2481" s="5"/>
      <c r="P2481" s="5"/>
      <c r="Q2481" s="5"/>
      <c r="R2481" s="8"/>
      <c r="S2481" s="8"/>
      <c r="T2481" s="3"/>
    </row>
    <row r="2482" spans="14:20" x14ac:dyDescent="0.3">
      <c r="N2482" s="5"/>
      <c r="O2482" s="5"/>
      <c r="P2482" s="5"/>
      <c r="Q2482" s="5"/>
      <c r="R2482" s="8"/>
      <c r="S2482" s="8"/>
      <c r="T2482" s="3"/>
    </row>
    <row r="2483" spans="14:20" x14ac:dyDescent="0.3">
      <c r="N2483" s="5"/>
      <c r="O2483" s="5"/>
      <c r="P2483" s="5"/>
      <c r="Q2483" s="5"/>
      <c r="R2483" s="8"/>
      <c r="S2483" s="8"/>
      <c r="T2483" s="3"/>
    </row>
    <row r="2484" spans="14:20" x14ac:dyDescent="0.3">
      <c r="N2484" s="5"/>
      <c r="O2484" s="5"/>
      <c r="P2484" s="5"/>
      <c r="Q2484" s="5"/>
      <c r="R2484" s="8"/>
      <c r="S2484" s="8"/>
      <c r="T2484" s="3"/>
    </row>
    <row r="2485" spans="14:20" x14ac:dyDescent="0.3">
      <c r="N2485" s="5"/>
      <c r="O2485" s="5"/>
      <c r="P2485" s="5"/>
      <c r="Q2485" s="5"/>
      <c r="R2485" s="8"/>
      <c r="S2485" s="8"/>
      <c r="T2485" s="3"/>
    </row>
    <row r="2486" spans="14:20" x14ac:dyDescent="0.3">
      <c r="N2486" s="5"/>
      <c r="O2486" s="5"/>
      <c r="P2486" s="5"/>
      <c r="Q2486" s="5"/>
      <c r="R2486" s="8"/>
      <c r="S2486" s="8"/>
      <c r="T2486" s="3"/>
    </row>
    <row r="2487" spans="14:20" x14ac:dyDescent="0.3">
      <c r="N2487" s="5"/>
      <c r="O2487" s="5"/>
      <c r="P2487" s="5"/>
      <c r="Q2487" s="5"/>
      <c r="R2487" s="8"/>
      <c r="S2487" s="8"/>
      <c r="T2487" s="3"/>
    </row>
    <row r="2488" spans="14:20" x14ac:dyDescent="0.3">
      <c r="N2488" s="5"/>
      <c r="O2488" s="5"/>
      <c r="P2488" s="5"/>
      <c r="Q2488" s="5"/>
      <c r="R2488" s="8"/>
      <c r="S2488" s="8"/>
      <c r="T2488" s="3"/>
    </row>
    <row r="2489" spans="14:20" x14ac:dyDescent="0.3">
      <c r="N2489" s="5"/>
      <c r="O2489" s="5"/>
      <c r="P2489" s="5"/>
      <c r="Q2489" s="5"/>
      <c r="R2489" s="8"/>
      <c r="S2489" s="8"/>
      <c r="T2489" s="3"/>
    </row>
    <row r="2490" spans="14:20" x14ac:dyDescent="0.3">
      <c r="N2490" s="5"/>
      <c r="O2490" s="5"/>
      <c r="P2490" s="5"/>
      <c r="Q2490" s="5"/>
      <c r="R2490" s="8"/>
      <c r="S2490" s="8"/>
      <c r="T2490" s="3"/>
    </row>
    <row r="2491" spans="14:20" x14ac:dyDescent="0.3">
      <c r="N2491" s="5"/>
      <c r="O2491" s="5"/>
      <c r="P2491" s="5"/>
      <c r="Q2491" s="5"/>
      <c r="R2491" s="8"/>
      <c r="S2491" s="8"/>
      <c r="T2491" s="3"/>
    </row>
    <row r="2492" spans="14:20" x14ac:dyDescent="0.3">
      <c r="N2492" s="5"/>
      <c r="O2492" s="5"/>
      <c r="P2492" s="5"/>
      <c r="Q2492" s="5"/>
      <c r="R2492" s="8"/>
      <c r="S2492" s="8"/>
      <c r="T2492" s="3"/>
    </row>
    <row r="2493" spans="14:20" x14ac:dyDescent="0.3">
      <c r="N2493" s="5"/>
      <c r="O2493" s="5"/>
      <c r="P2493" s="5"/>
      <c r="Q2493" s="5"/>
      <c r="R2493" s="8"/>
      <c r="S2493" s="8"/>
      <c r="T2493" s="3"/>
    </row>
    <row r="2494" spans="14:20" x14ac:dyDescent="0.3">
      <c r="N2494" s="5"/>
      <c r="O2494" s="5"/>
      <c r="P2494" s="5"/>
      <c r="Q2494" s="5"/>
      <c r="R2494" s="8"/>
      <c r="S2494" s="8"/>
      <c r="T2494" s="3"/>
    </row>
    <row r="2495" spans="14:20" x14ac:dyDescent="0.3">
      <c r="N2495" s="5"/>
      <c r="O2495" s="5"/>
      <c r="P2495" s="5"/>
      <c r="Q2495" s="5"/>
      <c r="R2495" s="8"/>
      <c r="S2495" s="8"/>
      <c r="T2495" s="3"/>
    </row>
    <row r="2496" spans="14:20" x14ac:dyDescent="0.3">
      <c r="N2496" s="5"/>
      <c r="O2496" s="5"/>
      <c r="P2496" s="5"/>
      <c r="Q2496" s="5"/>
      <c r="R2496" s="8"/>
      <c r="S2496" s="8"/>
      <c r="T2496" s="3"/>
    </row>
    <row r="2497" spans="14:20" x14ac:dyDescent="0.3">
      <c r="N2497" s="5"/>
      <c r="O2497" s="5"/>
      <c r="P2497" s="5"/>
      <c r="Q2497" s="5"/>
      <c r="R2497" s="8"/>
      <c r="S2497" s="8"/>
      <c r="T2497" s="3"/>
    </row>
    <row r="2498" spans="14:20" x14ac:dyDescent="0.3">
      <c r="N2498" s="5"/>
      <c r="O2498" s="5"/>
      <c r="P2498" s="5"/>
      <c r="Q2498" s="5"/>
      <c r="R2498" s="8"/>
      <c r="S2498" s="8"/>
      <c r="T2498" s="3"/>
    </row>
    <row r="2499" spans="14:20" x14ac:dyDescent="0.3">
      <c r="N2499" s="5"/>
      <c r="O2499" s="5"/>
      <c r="P2499" s="5"/>
      <c r="Q2499" s="5"/>
      <c r="R2499" s="8"/>
      <c r="S2499" s="8"/>
      <c r="T2499" s="3"/>
    </row>
    <row r="2500" spans="14:20" x14ac:dyDescent="0.3">
      <c r="N2500" s="5"/>
      <c r="O2500" s="5"/>
      <c r="P2500" s="5"/>
      <c r="Q2500" s="5"/>
      <c r="R2500" s="8"/>
      <c r="S2500" s="8"/>
      <c r="T2500" s="3"/>
    </row>
    <row r="2501" spans="14:20" x14ac:dyDescent="0.3">
      <c r="N2501" s="5"/>
      <c r="O2501" s="5"/>
      <c r="P2501" s="5"/>
      <c r="Q2501" s="5"/>
      <c r="R2501" s="8"/>
      <c r="S2501" s="8"/>
      <c r="T2501" s="3"/>
    </row>
    <row r="2502" spans="14:20" x14ac:dyDescent="0.3">
      <c r="N2502" s="5"/>
      <c r="O2502" s="5"/>
      <c r="P2502" s="5"/>
      <c r="Q2502" s="5"/>
      <c r="R2502" s="8"/>
      <c r="S2502" s="8"/>
      <c r="T2502" s="3"/>
    </row>
    <row r="2503" spans="14:20" x14ac:dyDescent="0.3">
      <c r="N2503" s="5"/>
      <c r="O2503" s="5"/>
      <c r="P2503" s="5"/>
      <c r="Q2503" s="5"/>
      <c r="R2503" s="8"/>
      <c r="S2503" s="8"/>
      <c r="T2503" s="3"/>
    </row>
    <row r="2504" spans="14:20" x14ac:dyDescent="0.3">
      <c r="N2504" s="5"/>
      <c r="O2504" s="5"/>
      <c r="P2504" s="5"/>
      <c r="Q2504" s="5"/>
      <c r="R2504" s="8"/>
      <c r="S2504" s="8"/>
      <c r="T2504" s="3"/>
    </row>
    <row r="2505" spans="14:20" x14ac:dyDescent="0.3">
      <c r="N2505" s="5"/>
      <c r="O2505" s="5"/>
      <c r="P2505" s="5"/>
      <c r="Q2505" s="5"/>
      <c r="R2505" s="8"/>
      <c r="S2505" s="8"/>
      <c r="T2505" s="3"/>
    </row>
    <row r="2506" spans="14:20" x14ac:dyDescent="0.3">
      <c r="N2506" s="5"/>
      <c r="O2506" s="5"/>
      <c r="P2506" s="5"/>
      <c r="Q2506" s="5"/>
      <c r="R2506" s="8"/>
      <c r="S2506" s="8"/>
      <c r="T2506" s="3"/>
    </row>
    <row r="2507" spans="14:20" x14ac:dyDescent="0.3">
      <c r="N2507" s="5"/>
      <c r="O2507" s="5"/>
      <c r="P2507" s="5"/>
      <c r="Q2507" s="5"/>
      <c r="R2507" s="8"/>
      <c r="S2507" s="8"/>
      <c r="T2507" s="3"/>
    </row>
    <row r="2508" spans="14:20" x14ac:dyDescent="0.3">
      <c r="N2508" s="5"/>
      <c r="O2508" s="5"/>
      <c r="P2508" s="5"/>
      <c r="Q2508" s="5"/>
      <c r="R2508" s="8"/>
      <c r="S2508" s="8"/>
      <c r="T2508" s="3"/>
    </row>
    <row r="2509" spans="14:20" x14ac:dyDescent="0.3">
      <c r="N2509" s="5"/>
      <c r="O2509" s="5"/>
      <c r="P2509" s="5"/>
      <c r="Q2509" s="5"/>
      <c r="R2509" s="8"/>
      <c r="S2509" s="8"/>
      <c r="T2509" s="3"/>
    </row>
    <row r="2510" spans="14:20" x14ac:dyDescent="0.3">
      <c r="N2510" s="5"/>
      <c r="O2510" s="5"/>
      <c r="P2510" s="5"/>
      <c r="Q2510" s="5"/>
      <c r="R2510" s="8"/>
      <c r="S2510" s="8"/>
      <c r="T2510" s="3"/>
    </row>
    <row r="2511" spans="14:20" x14ac:dyDescent="0.3">
      <c r="N2511" s="5"/>
      <c r="O2511" s="5"/>
      <c r="P2511" s="5"/>
      <c r="Q2511" s="5"/>
      <c r="R2511" s="8"/>
      <c r="S2511" s="8"/>
      <c r="T2511" s="3"/>
    </row>
    <row r="2512" spans="14:20" x14ac:dyDescent="0.3">
      <c r="N2512" s="5"/>
      <c r="O2512" s="5"/>
      <c r="P2512" s="5"/>
      <c r="Q2512" s="5"/>
      <c r="R2512" s="8"/>
      <c r="S2512" s="8"/>
      <c r="T2512" s="3"/>
    </row>
    <row r="2513" spans="14:20" x14ac:dyDescent="0.3">
      <c r="N2513" s="5"/>
      <c r="O2513" s="5"/>
      <c r="P2513" s="5"/>
      <c r="Q2513" s="5"/>
      <c r="R2513" s="8"/>
      <c r="S2513" s="8"/>
      <c r="T2513" s="3"/>
    </row>
    <row r="2514" spans="14:20" x14ac:dyDescent="0.3">
      <c r="N2514" s="5"/>
      <c r="O2514" s="5"/>
      <c r="P2514" s="5"/>
      <c r="Q2514" s="5"/>
      <c r="R2514" s="8"/>
      <c r="S2514" s="8"/>
      <c r="T2514" s="3"/>
    </row>
    <row r="2515" spans="14:20" x14ac:dyDescent="0.3">
      <c r="N2515" s="5"/>
      <c r="O2515" s="5"/>
      <c r="P2515" s="5"/>
      <c r="Q2515" s="5"/>
      <c r="R2515" s="8"/>
      <c r="S2515" s="8"/>
      <c r="T2515" s="3"/>
    </row>
    <row r="2516" spans="14:20" x14ac:dyDescent="0.3">
      <c r="N2516" s="5"/>
      <c r="O2516" s="5"/>
      <c r="P2516" s="5"/>
      <c r="Q2516" s="5"/>
      <c r="R2516" s="8"/>
      <c r="S2516" s="8"/>
      <c r="T2516" s="3"/>
    </row>
    <row r="2517" spans="14:20" x14ac:dyDescent="0.3">
      <c r="N2517" s="5"/>
      <c r="O2517" s="5"/>
      <c r="P2517" s="5"/>
      <c r="Q2517" s="5"/>
      <c r="R2517" s="8"/>
      <c r="S2517" s="8"/>
      <c r="T2517" s="3"/>
    </row>
    <row r="2518" spans="14:20" x14ac:dyDescent="0.3">
      <c r="N2518" s="5"/>
      <c r="O2518" s="5"/>
      <c r="P2518" s="5"/>
      <c r="Q2518" s="5"/>
      <c r="R2518" s="8"/>
      <c r="S2518" s="8"/>
      <c r="T2518" s="3"/>
    </row>
    <row r="2519" spans="14:20" x14ac:dyDescent="0.3">
      <c r="N2519" s="5"/>
      <c r="O2519" s="5"/>
      <c r="P2519" s="5"/>
      <c r="Q2519" s="5"/>
      <c r="R2519" s="8"/>
      <c r="S2519" s="8"/>
      <c r="T2519" s="3"/>
    </row>
    <row r="2520" spans="14:20" x14ac:dyDescent="0.3">
      <c r="N2520" s="5"/>
      <c r="O2520" s="5"/>
      <c r="P2520" s="5"/>
      <c r="Q2520" s="5"/>
      <c r="R2520" s="8"/>
      <c r="S2520" s="8"/>
      <c r="T2520" s="3"/>
    </row>
    <row r="2521" spans="14:20" x14ac:dyDescent="0.3">
      <c r="N2521" s="5"/>
      <c r="O2521" s="5"/>
      <c r="P2521" s="5"/>
      <c r="Q2521" s="5"/>
      <c r="R2521" s="8"/>
      <c r="S2521" s="8"/>
      <c r="T2521" s="3"/>
    </row>
    <row r="2522" spans="14:20" x14ac:dyDescent="0.3">
      <c r="N2522" s="5"/>
      <c r="O2522" s="5"/>
      <c r="P2522" s="5"/>
      <c r="Q2522" s="5"/>
      <c r="R2522" s="8"/>
      <c r="S2522" s="8"/>
      <c r="T2522" s="3"/>
    </row>
    <row r="2523" spans="14:20" x14ac:dyDescent="0.3">
      <c r="N2523" s="5"/>
      <c r="O2523" s="5"/>
      <c r="P2523" s="5"/>
      <c r="Q2523" s="5"/>
      <c r="R2523" s="8"/>
      <c r="S2523" s="8"/>
      <c r="T2523" s="3"/>
    </row>
    <row r="2524" spans="14:20" x14ac:dyDescent="0.3">
      <c r="N2524" s="5"/>
      <c r="O2524" s="5"/>
      <c r="P2524" s="5"/>
      <c r="Q2524" s="5"/>
      <c r="R2524" s="8"/>
      <c r="S2524" s="8"/>
      <c r="T2524" s="3"/>
    </row>
    <row r="2525" spans="14:20" x14ac:dyDescent="0.3">
      <c r="N2525" s="5"/>
      <c r="O2525" s="5"/>
      <c r="P2525" s="5"/>
      <c r="Q2525" s="5"/>
      <c r="R2525" s="8"/>
      <c r="S2525" s="8"/>
      <c r="T2525" s="3"/>
    </row>
    <row r="2526" spans="14:20" x14ac:dyDescent="0.3">
      <c r="N2526" s="5"/>
      <c r="O2526" s="5"/>
      <c r="P2526" s="5"/>
      <c r="Q2526" s="5"/>
      <c r="R2526" s="8"/>
      <c r="S2526" s="8"/>
      <c r="T2526" s="3"/>
    </row>
    <row r="2527" spans="14:20" x14ac:dyDescent="0.3">
      <c r="N2527" s="5"/>
      <c r="O2527" s="5"/>
      <c r="P2527" s="5"/>
      <c r="Q2527" s="5"/>
      <c r="R2527" s="8"/>
      <c r="S2527" s="8"/>
      <c r="T2527" s="3"/>
    </row>
    <row r="2528" spans="14:20" x14ac:dyDescent="0.3">
      <c r="N2528" s="5"/>
      <c r="O2528" s="5"/>
      <c r="P2528" s="5"/>
      <c r="Q2528" s="5"/>
      <c r="R2528" s="8"/>
      <c r="S2528" s="8"/>
      <c r="T2528" s="3"/>
    </row>
    <row r="2529" spans="14:20" x14ac:dyDescent="0.3">
      <c r="N2529" s="5"/>
      <c r="O2529" s="5"/>
      <c r="P2529" s="5"/>
      <c r="Q2529" s="5"/>
      <c r="R2529" s="8"/>
      <c r="S2529" s="8"/>
      <c r="T2529" s="3"/>
    </row>
    <row r="2530" spans="14:20" x14ac:dyDescent="0.3">
      <c r="N2530" s="5"/>
      <c r="O2530" s="5"/>
      <c r="P2530" s="5"/>
      <c r="Q2530" s="5"/>
      <c r="R2530" s="8"/>
      <c r="S2530" s="8"/>
      <c r="T2530" s="3"/>
    </row>
    <row r="2531" spans="14:20" x14ac:dyDescent="0.3">
      <c r="N2531" s="5"/>
      <c r="O2531" s="5"/>
      <c r="P2531" s="5"/>
      <c r="Q2531" s="5"/>
      <c r="R2531" s="8"/>
      <c r="S2531" s="8"/>
      <c r="T2531" s="3"/>
    </row>
    <row r="2532" spans="14:20" x14ac:dyDescent="0.3">
      <c r="N2532" s="5"/>
      <c r="O2532" s="5"/>
      <c r="P2532" s="5"/>
      <c r="Q2532" s="5"/>
      <c r="R2532" s="8"/>
      <c r="S2532" s="8"/>
      <c r="T2532" s="3"/>
    </row>
    <row r="2533" spans="14:20" x14ac:dyDescent="0.3">
      <c r="N2533" s="5"/>
      <c r="O2533" s="5"/>
      <c r="P2533" s="5"/>
      <c r="Q2533" s="5"/>
      <c r="R2533" s="8"/>
      <c r="S2533" s="8"/>
      <c r="T2533" s="3"/>
    </row>
    <row r="2534" spans="14:20" x14ac:dyDescent="0.3">
      <c r="N2534" s="5"/>
      <c r="O2534" s="5"/>
      <c r="P2534" s="5"/>
      <c r="Q2534" s="5"/>
      <c r="R2534" s="8"/>
      <c r="S2534" s="8"/>
      <c r="T2534" s="3"/>
    </row>
    <row r="2535" spans="14:20" x14ac:dyDescent="0.3">
      <c r="N2535" s="5"/>
      <c r="O2535" s="5"/>
      <c r="P2535" s="5"/>
      <c r="Q2535" s="5"/>
      <c r="R2535" s="8"/>
      <c r="S2535" s="8"/>
      <c r="T2535" s="3"/>
    </row>
    <row r="2536" spans="14:20" x14ac:dyDescent="0.3">
      <c r="N2536" s="5"/>
      <c r="O2536" s="5"/>
      <c r="P2536" s="5"/>
      <c r="Q2536" s="5"/>
      <c r="R2536" s="8"/>
      <c r="S2536" s="8"/>
      <c r="T2536" s="3"/>
    </row>
    <row r="2537" spans="14:20" x14ac:dyDescent="0.3">
      <c r="N2537" s="5"/>
      <c r="O2537" s="5"/>
      <c r="P2537" s="5"/>
      <c r="Q2537" s="5"/>
      <c r="R2537" s="8"/>
      <c r="S2537" s="8"/>
      <c r="T2537" s="3"/>
    </row>
    <row r="2538" spans="14:20" x14ac:dyDescent="0.3">
      <c r="N2538" s="5"/>
      <c r="O2538" s="5"/>
      <c r="P2538" s="5"/>
      <c r="Q2538" s="5"/>
      <c r="R2538" s="8"/>
      <c r="S2538" s="8"/>
      <c r="T2538" s="3"/>
    </row>
    <row r="2539" spans="14:20" x14ac:dyDescent="0.3">
      <c r="N2539" s="5"/>
      <c r="O2539" s="5"/>
      <c r="P2539" s="5"/>
      <c r="Q2539" s="5"/>
      <c r="R2539" s="8"/>
      <c r="S2539" s="8"/>
      <c r="T2539" s="3"/>
    </row>
    <row r="2540" spans="14:20" x14ac:dyDescent="0.3">
      <c r="N2540" s="5"/>
      <c r="O2540" s="5"/>
      <c r="P2540" s="5"/>
      <c r="Q2540" s="5"/>
      <c r="R2540" s="8"/>
      <c r="S2540" s="8"/>
      <c r="T2540" s="3"/>
    </row>
    <row r="2541" spans="14:20" x14ac:dyDescent="0.3">
      <c r="N2541" s="5"/>
      <c r="O2541" s="5"/>
      <c r="P2541" s="5"/>
      <c r="Q2541" s="5"/>
      <c r="R2541" s="8"/>
      <c r="S2541" s="8"/>
      <c r="T2541" s="3"/>
    </row>
    <row r="2542" spans="14:20" x14ac:dyDescent="0.3">
      <c r="N2542" s="5"/>
      <c r="O2542" s="5"/>
      <c r="P2542" s="5"/>
      <c r="Q2542" s="5"/>
      <c r="R2542" s="8"/>
      <c r="S2542" s="8"/>
      <c r="T2542" s="3"/>
    </row>
    <row r="2543" spans="14:20" x14ac:dyDescent="0.3">
      <c r="N2543" s="5"/>
      <c r="O2543" s="5"/>
      <c r="P2543" s="5"/>
      <c r="Q2543" s="5"/>
      <c r="R2543" s="8"/>
      <c r="S2543" s="8"/>
      <c r="T2543" s="3"/>
    </row>
    <row r="2544" spans="14:20" x14ac:dyDescent="0.3">
      <c r="N2544" s="5"/>
      <c r="O2544" s="5"/>
      <c r="P2544" s="5"/>
      <c r="Q2544" s="5"/>
      <c r="R2544" s="8"/>
      <c r="S2544" s="8"/>
      <c r="T2544" s="3"/>
    </row>
    <row r="2545" spans="14:20" x14ac:dyDescent="0.3">
      <c r="N2545" s="5"/>
      <c r="O2545" s="5"/>
      <c r="P2545" s="5"/>
      <c r="Q2545" s="5"/>
      <c r="R2545" s="8"/>
      <c r="S2545" s="8"/>
      <c r="T2545" s="3"/>
    </row>
    <row r="2546" spans="14:20" x14ac:dyDescent="0.3">
      <c r="N2546" s="5"/>
      <c r="O2546" s="5"/>
      <c r="P2546" s="5"/>
      <c r="Q2546" s="5"/>
      <c r="R2546" s="8"/>
      <c r="S2546" s="8"/>
      <c r="T2546" s="3"/>
    </row>
    <row r="2547" spans="14:20" x14ac:dyDescent="0.3">
      <c r="N2547" s="5"/>
      <c r="O2547" s="5"/>
      <c r="P2547" s="5"/>
      <c r="Q2547" s="5"/>
      <c r="R2547" s="8"/>
      <c r="S2547" s="8"/>
      <c r="T2547" s="3"/>
    </row>
    <row r="2548" spans="14:20" x14ac:dyDescent="0.3">
      <c r="N2548" s="5"/>
      <c r="O2548" s="5"/>
      <c r="P2548" s="5"/>
      <c r="Q2548" s="5"/>
      <c r="R2548" s="8"/>
      <c r="S2548" s="8"/>
      <c r="T2548" s="3"/>
    </row>
    <row r="2549" spans="14:20" x14ac:dyDescent="0.3">
      <c r="N2549" s="5"/>
      <c r="O2549" s="5"/>
      <c r="P2549" s="5"/>
      <c r="Q2549" s="5"/>
      <c r="R2549" s="8"/>
      <c r="S2549" s="8"/>
      <c r="T2549" s="3"/>
    </row>
    <row r="2550" spans="14:20" x14ac:dyDescent="0.3">
      <c r="N2550" s="5"/>
      <c r="O2550" s="5"/>
      <c r="P2550" s="5"/>
      <c r="Q2550" s="5"/>
      <c r="R2550" s="8"/>
      <c r="S2550" s="8"/>
      <c r="T2550" s="3"/>
    </row>
    <row r="2551" spans="14:20" x14ac:dyDescent="0.3">
      <c r="N2551" s="5"/>
      <c r="O2551" s="5"/>
      <c r="P2551" s="5"/>
      <c r="Q2551" s="5"/>
      <c r="R2551" s="8"/>
      <c r="S2551" s="8"/>
      <c r="T2551" s="3"/>
    </row>
    <row r="2552" spans="14:20" x14ac:dyDescent="0.3">
      <c r="N2552" s="5"/>
      <c r="O2552" s="5"/>
      <c r="P2552" s="5"/>
      <c r="Q2552" s="5"/>
      <c r="R2552" s="8"/>
      <c r="S2552" s="8"/>
      <c r="T2552" s="3"/>
    </row>
    <row r="2553" spans="14:20" x14ac:dyDescent="0.3">
      <c r="N2553" s="5"/>
      <c r="O2553" s="5"/>
      <c r="P2553" s="5"/>
      <c r="Q2553" s="5"/>
      <c r="R2553" s="8"/>
      <c r="S2553" s="8"/>
      <c r="T2553" s="3"/>
    </row>
    <row r="2554" spans="14:20" x14ac:dyDescent="0.3">
      <c r="N2554" s="5"/>
      <c r="O2554" s="5"/>
      <c r="P2554" s="5"/>
      <c r="Q2554" s="5"/>
      <c r="R2554" s="8"/>
      <c r="S2554" s="8"/>
      <c r="T2554" s="3"/>
    </row>
    <row r="2555" spans="14:20" x14ac:dyDescent="0.3">
      <c r="N2555" s="5"/>
      <c r="O2555" s="5"/>
      <c r="P2555" s="5"/>
      <c r="Q2555" s="5"/>
      <c r="R2555" s="8"/>
      <c r="S2555" s="8"/>
      <c r="T2555" s="3"/>
    </row>
    <row r="2556" spans="14:20" x14ac:dyDescent="0.3">
      <c r="N2556" s="5"/>
      <c r="O2556" s="5"/>
      <c r="P2556" s="5"/>
      <c r="Q2556" s="5"/>
      <c r="R2556" s="8"/>
      <c r="S2556" s="8"/>
      <c r="T2556" s="3"/>
    </row>
    <row r="2557" spans="14:20" x14ac:dyDescent="0.3">
      <c r="N2557" s="5"/>
      <c r="O2557" s="5"/>
      <c r="P2557" s="5"/>
      <c r="Q2557" s="5"/>
      <c r="R2557" s="8"/>
      <c r="S2557" s="8"/>
      <c r="T2557" s="3"/>
    </row>
    <row r="2558" spans="14:20" x14ac:dyDescent="0.3">
      <c r="N2558" s="5"/>
      <c r="O2558" s="5"/>
      <c r="P2558" s="5"/>
      <c r="Q2558" s="5"/>
      <c r="R2558" s="8"/>
      <c r="S2558" s="8"/>
      <c r="T2558" s="3"/>
    </row>
    <row r="2559" spans="14:20" x14ac:dyDescent="0.3">
      <c r="N2559" s="5"/>
      <c r="O2559" s="5"/>
      <c r="P2559" s="5"/>
      <c r="Q2559" s="5"/>
      <c r="R2559" s="8"/>
      <c r="S2559" s="8"/>
      <c r="T2559" s="3"/>
    </row>
    <row r="2560" spans="14:20" x14ac:dyDescent="0.3">
      <c r="N2560" s="5"/>
      <c r="O2560" s="5"/>
      <c r="P2560" s="5"/>
      <c r="Q2560" s="5"/>
      <c r="R2560" s="8"/>
      <c r="S2560" s="8"/>
      <c r="T2560" s="3"/>
    </row>
    <row r="2561" spans="14:20" x14ac:dyDescent="0.3">
      <c r="N2561" s="5"/>
      <c r="O2561" s="5"/>
      <c r="P2561" s="5"/>
      <c r="Q2561" s="5"/>
      <c r="R2561" s="8"/>
      <c r="S2561" s="8"/>
      <c r="T2561" s="3"/>
    </row>
    <row r="2562" spans="14:20" x14ac:dyDescent="0.3">
      <c r="N2562" s="5"/>
      <c r="O2562" s="5"/>
      <c r="P2562" s="5"/>
      <c r="Q2562" s="5"/>
      <c r="R2562" s="8"/>
      <c r="S2562" s="8"/>
      <c r="T2562" s="3"/>
    </row>
    <row r="2563" spans="14:20" x14ac:dyDescent="0.3">
      <c r="N2563" s="5"/>
      <c r="O2563" s="5"/>
      <c r="P2563" s="5"/>
      <c r="Q2563" s="5"/>
      <c r="R2563" s="8"/>
      <c r="S2563" s="8"/>
      <c r="T2563" s="3"/>
    </row>
    <row r="2564" spans="14:20" x14ac:dyDescent="0.3">
      <c r="N2564" s="5"/>
      <c r="O2564" s="5"/>
      <c r="P2564" s="5"/>
      <c r="Q2564" s="5"/>
      <c r="R2564" s="8"/>
      <c r="S2564" s="8"/>
      <c r="T2564" s="3"/>
    </row>
    <row r="2565" spans="14:20" x14ac:dyDescent="0.3">
      <c r="N2565" s="5"/>
      <c r="O2565" s="5"/>
      <c r="P2565" s="5"/>
      <c r="Q2565" s="5"/>
      <c r="R2565" s="8"/>
      <c r="S2565" s="8"/>
      <c r="T2565" s="3"/>
    </row>
    <row r="2566" spans="14:20" x14ac:dyDescent="0.3">
      <c r="N2566" s="5"/>
      <c r="O2566" s="5"/>
      <c r="P2566" s="5"/>
      <c r="Q2566" s="5"/>
      <c r="R2566" s="8"/>
      <c r="S2566" s="8"/>
      <c r="T2566" s="3"/>
    </row>
    <row r="2567" spans="14:20" x14ac:dyDescent="0.3">
      <c r="N2567" s="5"/>
      <c r="O2567" s="5"/>
      <c r="P2567" s="5"/>
      <c r="Q2567" s="5"/>
      <c r="R2567" s="8"/>
      <c r="S2567" s="8"/>
      <c r="T2567" s="3"/>
    </row>
    <row r="2568" spans="14:20" x14ac:dyDescent="0.3">
      <c r="N2568" s="5"/>
      <c r="O2568" s="5"/>
      <c r="P2568" s="5"/>
      <c r="Q2568" s="5"/>
      <c r="R2568" s="8"/>
      <c r="S2568" s="8"/>
      <c r="T2568" s="3"/>
    </row>
    <row r="2569" spans="14:20" x14ac:dyDescent="0.3">
      <c r="N2569" s="5"/>
      <c r="O2569" s="5"/>
      <c r="P2569" s="5"/>
      <c r="Q2569" s="5"/>
      <c r="R2569" s="8"/>
      <c r="S2569" s="8"/>
      <c r="T2569" s="3"/>
    </row>
    <row r="2570" spans="14:20" x14ac:dyDescent="0.3">
      <c r="N2570" s="5"/>
      <c r="O2570" s="5"/>
      <c r="P2570" s="5"/>
      <c r="Q2570" s="5"/>
      <c r="R2570" s="8"/>
      <c r="S2570" s="8"/>
      <c r="T2570" s="3"/>
    </row>
    <row r="2571" spans="14:20" x14ac:dyDescent="0.3">
      <c r="N2571" s="5"/>
      <c r="O2571" s="5"/>
      <c r="P2571" s="5"/>
      <c r="Q2571" s="5"/>
      <c r="R2571" s="8"/>
      <c r="S2571" s="8"/>
      <c r="T2571" s="3"/>
    </row>
    <row r="2572" spans="14:20" x14ac:dyDescent="0.3">
      <c r="N2572" s="5"/>
      <c r="O2572" s="5"/>
      <c r="P2572" s="5"/>
      <c r="Q2572" s="5"/>
      <c r="R2572" s="8"/>
      <c r="S2572" s="8"/>
      <c r="T2572" s="3"/>
    </row>
    <row r="2573" spans="14:20" x14ac:dyDescent="0.3">
      <c r="N2573" s="5"/>
      <c r="O2573" s="5"/>
      <c r="P2573" s="5"/>
      <c r="Q2573" s="5"/>
      <c r="R2573" s="8"/>
      <c r="S2573" s="8"/>
      <c r="T2573" s="3"/>
    </row>
    <row r="2574" spans="14:20" x14ac:dyDescent="0.3">
      <c r="N2574" s="5"/>
      <c r="O2574" s="5"/>
      <c r="P2574" s="5"/>
      <c r="Q2574" s="5"/>
      <c r="R2574" s="8"/>
      <c r="S2574" s="8"/>
      <c r="T2574" s="3"/>
    </row>
    <row r="2575" spans="14:20" x14ac:dyDescent="0.3">
      <c r="N2575" s="5"/>
      <c r="O2575" s="5"/>
      <c r="P2575" s="5"/>
      <c r="Q2575" s="5"/>
      <c r="R2575" s="8"/>
      <c r="S2575" s="8"/>
      <c r="T2575" s="3"/>
    </row>
    <row r="2576" spans="14:20" x14ac:dyDescent="0.3">
      <c r="N2576" s="5"/>
      <c r="O2576" s="5"/>
      <c r="P2576" s="5"/>
      <c r="Q2576" s="5"/>
      <c r="R2576" s="8"/>
      <c r="S2576" s="8"/>
      <c r="T2576" s="3"/>
    </row>
    <row r="2577" spans="14:20" x14ac:dyDescent="0.3">
      <c r="N2577" s="5"/>
      <c r="O2577" s="5"/>
      <c r="P2577" s="5"/>
      <c r="Q2577" s="5"/>
      <c r="R2577" s="8"/>
      <c r="S2577" s="8"/>
      <c r="T2577" s="3"/>
    </row>
    <row r="2578" spans="14:20" x14ac:dyDescent="0.3">
      <c r="N2578" s="5"/>
      <c r="O2578" s="5"/>
      <c r="P2578" s="5"/>
      <c r="Q2578" s="5"/>
      <c r="R2578" s="8"/>
      <c r="S2578" s="8"/>
      <c r="T2578" s="3"/>
    </row>
    <row r="2579" spans="14:20" x14ac:dyDescent="0.3">
      <c r="N2579" s="5"/>
      <c r="O2579" s="5"/>
      <c r="P2579" s="5"/>
      <c r="Q2579" s="5"/>
      <c r="R2579" s="8"/>
      <c r="S2579" s="8"/>
      <c r="T2579" s="3"/>
    </row>
    <row r="2580" spans="14:20" x14ac:dyDescent="0.3">
      <c r="N2580" s="5"/>
      <c r="O2580" s="5"/>
      <c r="P2580" s="5"/>
      <c r="Q2580" s="5"/>
      <c r="R2580" s="8"/>
      <c r="S2580" s="8"/>
      <c r="T2580" s="3"/>
    </row>
    <row r="2581" spans="14:20" x14ac:dyDescent="0.3">
      <c r="N2581" s="5"/>
      <c r="O2581" s="5"/>
      <c r="P2581" s="5"/>
      <c r="Q2581" s="5"/>
      <c r="R2581" s="8"/>
      <c r="S2581" s="8"/>
      <c r="T2581" s="3"/>
    </row>
    <row r="2582" spans="14:20" x14ac:dyDescent="0.3">
      <c r="N2582" s="5"/>
      <c r="O2582" s="5"/>
      <c r="P2582" s="5"/>
      <c r="Q2582" s="5"/>
      <c r="R2582" s="8"/>
      <c r="S2582" s="8"/>
      <c r="T2582" s="3"/>
    </row>
    <row r="2583" spans="14:20" x14ac:dyDescent="0.3">
      <c r="N2583" s="5"/>
      <c r="O2583" s="5"/>
      <c r="P2583" s="5"/>
      <c r="Q2583" s="5"/>
      <c r="R2583" s="8"/>
      <c r="S2583" s="8"/>
      <c r="T2583" s="3"/>
    </row>
    <row r="2584" spans="14:20" x14ac:dyDescent="0.3">
      <c r="N2584" s="5"/>
      <c r="O2584" s="5"/>
      <c r="P2584" s="5"/>
      <c r="Q2584" s="5"/>
      <c r="R2584" s="8"/>
      <c r="S2584" s="8"/>
      <c r="T2584" s="3"/>
    </row>
    <row r="2585" spans="14:20" x14ac:dyDescent="0.3">
      <c r="N2585" s="5"/>
      <c r="O2585" s="5"/>
      <c r="P2585" s="5"/>
      <c r="Q2585" s="5"/>
      <c r="R2585" s="8"/>
      <c r="S2585" s="8"/>
      <c r="T2585" s="3"/>
    </row>
    <row r="2586" spans="14:20" x14ac:dyDescent="0.3">
      <c r="N2586" s="5"/>
      <c r="O2586" s="5"/>
      <c r="P2586" s="5"/>
      <c r="Q2586" s="5"/>
      <c r="R2586" s="8"/>
      <c r="S2586" s="8"/>
      <c r="T2586" s="3"/>
    </row>
    <row r="2587" spans="14:20" x14ac:dyDescent="0.3">
      <c r="N2587" s="5"/>
      <c r="O2587" s="5"/>
      <c r="P2587" s="5"/>
      <c r="Q2587" s="5"/>
      <c r="R2587" s="8"/>
      <c r="S2587" s="8"/>
      <c r="T2587" s="3"/>
    </row>
    <row r="2588" spans="14:20" x14ac:dyDescent="0.3">
      <c r="N2588" s="5"/>
      <c r="O2588" s="5"/>
      <c r="P2588" s="5"/>
      <c r="Q2588" s="5"/>
      <c r="R2588" s="8"/>
      <c r="S2588" s="8"/>
      <c r="T2588" s="3"/>
    </row>
    <row r="2589" spans="14:20" x14ac:dyDescent="0.3">
      <c r="N2589" s="5"/>
      <c r="O2589" s="5"/>
      <c r="P2589" s="5"/>
      <c r="Q2589" s="5"/>
      <c r="R2589" s="8"/>
      <c r="S2589" s="8"/>
      <c r="T2589" s="3"/>
    </row>
    <row r="2590" spans="14:20" x14ac:dyDescent="0.3">
      <c r="N2590" s="5"/>
      <c r="O2590" s="5"/>
      <c r="P2590" s="5"/>
      <c r="Q2590" s="5"/>
      <c r="R2590" s="8"/>
      <c r="S2590" s="8"/>
      <c r="T2590" s="3"/>
    </row>
    <row r="2591" spans="14:20" x14ac:dyDescent="0.3">
      <c r="N2591" s="5"/>
      <c r="O2591" s="5"/>
      <c r="P2591" s="5"/>
      <c r="Q2591" s="5"/>
      <c r="R2591" s="8"/>
      <c r="S2591" s="8"/>
      <c r="T2591" s="3"/>
    </row>
    <row r="2592" spans="14:20" x14ac:dyDescent="0.3">
      <c r="N2592" s="5"/>
      <c r="O2592" s="5"/>
      <c r="P2592" s="5"/>
      <c r="Q2592" s="5"/>
      <c r="R2592" s="8"/>
      <c r="S2592" s="8"/>
      <c r="T2592" s="3"/>
    </row>
    <row r="2593" spans="14:20" x14ac:dyDescent="0.3">
      <c r="N2593" s="5"/>
      <c r="O2593" s="5"/>
      <c r="P2593" s="5"/>
      <c r="Q2593" s="5"/>
      <c r="R2593" s="8"/>
      <c r="S2593" s="8"/>
      <c r="T2593" s="3"/>
    </row>
    <row r="2594" spans="14:20" x14ac:dyDescent="0.3">
      <c r="N2594" s="5"/>
      <c r="O2594" s="5"/>
      <c r="P2594" s="5"/>
      <c r="Q2594" s="5"/>
      <c r="R2594" s="8"/>
      <c r="S2594" s="8"/>
      <c r="T2594" s="3"/>
    </row>
    <row r="2595" spans="14:20" x14ac:dyDescent="0.3">
      <c r="N2595" s="5"/>
      <c r="O2595" s="5"/>
      <c r="P2595" s="5"/>
      <c r="Q2595" s="5"/>
      <c r="R2595" s="8"/>
      <c r="S2595" s="8"/>
      <c r="T2595" s="3"/>
    </row>
    <row r="2596" spans="14:20" x14ac:dyDescent="0.3">
      <c r="N2596" s="5"/>
      <c r="O2596" s="5"/>
      <c r="P2596" s="5"/>
      <c r="Q2596" s="5"/>
      <c r="R2596" s="8"/>
      <c r="S2596" s="8"/>
      <c r="T2596" s="3"/>
    </row>
    <row r="2597" spans="14:20" x14ac:dyDescent="0.3">
      <c r="N2597" s="5"/>
      <c r="O2597" s="5"/>
      <c r="P2597" s="5"/>
      <c r="Q2597" s="5"/>
      <c r="R2597" s="8"/>
      <c r="S2597" s="8"/>
      <c r="T2597" s="3"/>
    </row>
    <row r="2598" spans="14:20" x14ac:dyDescent="0.3">
      <c r="N2598" s="5"/>
      <c r="O2598" s="5"/>
      <c r="P2598" s="5"/>
      <c r="Q2598" s="5"/>
      <c r="R2598" s="8"/>
      <c r="S2598" s="8"/>
      <c r="T2598" s="3"/>
    </row>
    <row r="2599" spans="14:20" x14ac:dyDescent="0.3">
      <c r="N2599" s="5"/>
      <c r="O2599" s="5"/>
      <c r="P2599" s="5"/>
      <c r="Q2599" s="5"/>
      <c r="R2599" s="8"/>
      <c r="S2599" s="8"/>
      <c r="T2599" s="3"/>
    </row>
    <row r="2600" spans="14:20" x14ac:dyDescent="0.3">
      <c r="N2600" s="5"/>
      <c r="O2600" s="5"/>
      <c r="P2600" s="5"/>
      <c r="Q2600" s="5"/>
      <c r="R2600" s="8"/>
      <c r="S2600" s="8"/>
      <c r="T2600" s="3"/>
    </row>
    <row r="2601" spans="14:20" x14ac:dyDescent="0.3">
      <c r="N2601" s="5"/>
      <c r="O2601" s="5"/>
      <c r="P2601" s="5"/>
      <c r="Q2601" s="5"/>
      <c r="R2601" s="8"/>
      <c r="S2601" s="8"/>
      <c r="T2601" s="3"/>
    </row>
    <row r="2602" spans="14:20" x14ac:dyDescent="0.3">
      <c r="N2602" s="5"/>
      <c r="O2602" s="5"/>
      <c r="P2602" s="5"/>
      <c r="Q2602" s="5"/>
      <c r="R2602" s="8"/>
      <c r="S2602" s="8"/>
      <c r="T2602" s="3"/>
    </row>
    <row r="2603" spans="14:20" x14ac:dyDescent="0.3">
      <c r="N2603" s="5"/>
      <c r="O2603" s="5"/>
      <c r="P2603" s="5"/>
      <c r="Q2603" s="5"/>
      <c r="R2603" s="8"/>
      <c r="S2603" s="8"/>
      <c r="T2603" s="3"/>
    </row>
    <row r="2604" spans="14:20" x14ac:dyDescent="0.3">
      <c r="N2604" s="5"/>
      <c r="O2604" s="5"/>
      <c r="P2604" s="5"/>
      <c r="Q2604" s="5"/>
      <c r="R2604" s="8"/>
      <c r="S2604" s="8"/>
      <c r="T2604" s="3"/>
    </row>
    <row r="2605" spans="14:20" x14ac:dyDescent="0.3">
      <c r="N2605" s="5"/>
      <c r="O2605" s="5"/>
      <c r="P2605" s="5"/>
      <c r="Q2605" s="5"/>
      <c r="R2605" s="8"/>
      <c r="S2605" s="8"/>
      <c r="T2605" s="3"/>
    </row>
    <row r="2606" spans="14:20" x14ac:dyDescent="0.3">
      <c r="N2606" s="5"/>
      <c r="O2606" s="5"/>
      <c r="P2606" s="5"/>
      <c r="Q2606" s="5"/>
      <c r="R2606" s="8"/>
      <c r="S2606" s="8"/>
      <c r="T2606" s="3"/>
    </row>
    <row r="2607" spans="14:20" x14ac:dyDescent="0.3">
      <c r="N2607" s="5"/>
      <c r="O2607" s="5"/>
      <c r="P2607" s="5"/>
      <c r="Q2607" s="5"/>
      <c r="R2607" s="8"/>
      <c r="S2607" s="8"/>
      <c r="T2607" s="3"/>
    </row>
    <row r="2608" spans="14:20" x14ac:dyDescent="0.3">
      <c r="N2608" s="5"/>
      <c r="O2608" s="5"/>
      <c r="P2608" s="5"/>
      <c r="Q2608" s="5"/>
      <c r="R2608" s="8"/>
      <c r="S2608" s="8"/>
      <c r="T2608" s="3"/>
    </row>
    <row r="2609" spans="14:20" x14ac:dyDescent="0.3">
      <c r="N2609" s="5"/>
      <c r="O2609" s="5"/>
      <c r="P2609" s="5"/>
      <c r="Q2609" s="5"/>
      <c r="R2609" s="8"/>
      <c r="S2609" s="8"/>
      <c r="T2609" s="3"/>
    </row>
    <row r="2610" spans="14:20" x14ac:dyDescent="0.3">
      <c r="N2610" s="5"/>
      <c r="O2610" s="5"/>
      <c r="P2610" s="5"/>
      <c r="Q2610" s="5"/>
      <c r="R2610" s="8"/>
      <c r="S2610" s="8"/>
      <c r="T2610" s="3"/>
    </row>
    <row r="2611" spans="14:20" x14ac:dyDescent="0.3">
      <c r="N2611" s="5"/>
      <c r="O2611" s="5"/>
      <c r="P2611" s="5"/>
      <c r="Q2611" s="5"/>
      <c r="R2611" s="8"/>
      <c r="S2611" s="8"/>
      <c r="T2611" s="3"/>
    </row>
    <row r="2612" spans="14:20" x14ac:dyDescent="0.3">
      <c r="N2612" s="5"/>
      <c r="O2612" s="5"/>
      <c r="P2612" s="5"/>
      <c r="Q2612" s="5"/>
      <c r="R2612" s="8"/>
      <c r="S2612" s="8"/>
      <c r="T2612" s="3"/>
    </row>
    <row r="2613" spans="14:20" x14ac:dyDescent="0.3">
      <c r="N2613" s="5"/>
      <c r="O2613" s="5"/>
      <c r="P2613" s="5"/>
      <c r="Q2613" s="5"/>
      <c r="R2613" s="8"/>
      <c r="S2613" s="8"/>
      <c r="T2613" s="3"/>
    </row>
    <row r="2614" spans="14:20" x14ac:dyDescent="0.3">
      <c r="N2614" s="5"/>
      <c r="O2614" s="5"/>
      <c r="P2614" s="5"/>
      <c r="Q2614" s="5"/>
      <c r="R2614" s="8"/>
      <c r="S2614" s="8"/>
      <c r="T2614" s="3"/>
    </row>
    <row r="2615" spans="14:20" x14ac:dyDescent="0.3">
      <c r="N2615" s="5"/>
      <c r="O2615" s="5"/>
      <c r="P2615" s="5"/>
      <c r="Q2615" s="5"/>
      <c r="R2615" s="8"/>
      <c r="S2615" s="8"/>
      <c r="T2615" s="3"/>
    </row>
    <row r="2616" spans="14:20" x14ac:dyDescent="0.3">
      <c r="N2616" s="5"/>
      <c r="O2616" s="5"/>
      <c r="P2616" s="5"/>
      <c r="Q2616" s="5"/>
      <c r="R2616" s="8"/>
      <c r="S2616" s="8"/>
      <c r="T2616" s="3"/>
    </row>
    <row r="2617" spans="14:20" x14ac:dyDescent="0.3">
      <c r="N2617" s="5"/>
      <c r="O2617" s="5"/>
      <c r="P2617" s="5"/>
      <c r="Q2617" s="5"/>
      <c r="R2617" s="8"/>
      <c r="S2617" s="8"/>
      <c r="T2617" s="3"/>
    </row>
    <row r="2618" spans="14:20" x14ac:dyDescent="0.3">
      <c r="N2618" s="5"/>
      <c r="O2618" s="5"/>
      <c r="P2618" s="5"/>
      <c r="Q2618" s="5"/>
      <c r="R2618" s="8"/>
      <c r="S2618" s="8"/>
      <c r="T2618" s="3"/>
    </row>
    <row r="2619" spans="14:20" x14ac:dyDescent="0.3">
      <c r="N2619" s="5"/>
      <c r="O2619" s="5"/>
      <c r="P2619" s="5"/>
      <c r="Q2619" s="5"/>
      <c r="R2619" s="8"/>
      <c r="S2619" s="8"/>
      <c r="T2619" s="3"/>
    </row>
    <row r="2620" spans="14:20" x14ac:dyDescent="0.3">
      <c r="N2620" s="5"/>
      <c r="O2620" s="5"/>
      <c r="P2620" s="5"/>
      <c r="Q2620" s="5"/>
      <c r="R2620" s="8"/>
      <c r="S2620" s="8"/>
      <c r="T2620" s="3"/>
    </row>
    <row r="2621" spans="14:20" x14ac:dyDescent="0.3">
      <c r="N2621" s="5"/>
      <c r="O2621" s="5"/>
      <c r="P2621" s="5"/>
      <c r="Q2621" s="5"/>
      <c r="R2621" s="8"/>
      <c r="S2621" s="8"/>
      <c r="T2621" s="3"/>
    </row>
    <row r="2622" spans="14:20" x14ac:dyDescent="0.3">
      <c r="N2622" s="5"/>
      <c r="O2622" s="5"/>
      <c r="P2622" s="5"/>
      <c r="Q2622" s="5"/>
      <c r="R2622" s="8"/>
      <c r="S2622" s="8"/>
      <c r="T2622" s="3"/>
    </row>
    <row r="2623" spans="14:20" x14ac:dyDescent="0.3">
      <c r="N2623" s="5"/>
      <c r="O2623" s="5"/>
      <c r="P2623" s="5"/>
      <c r="Q2623" s="5"/>
      <c r="R2623" s="8"/>
      <c r="S2623" s="8"/>
      <c r="T2623" s="3"/>
    </row>
    <row r="2624" spans="14:20" x14ac:dyDescent="0.3">
      <c r="N2624" s="5"/>
      <c r="O2624" s="5"/>
      <c r="P2624" s="5"/>
      <c r="Q2624" s="5"/>
      <c r="R2624" s="8"/>
      <c r="S2624" s="8"/>
      <c r="T2624" s="3"/>
    </row>
    <row r="2625" spans="14:20" x14ac:dyDescent="0.3">
      <c r="N2625" s="5"/>
      <c r="O2625" s="5"/>
      <c r="P2625" s="5"/>
      <c r="Q2625" s="5"/>
      <c r="R2625" s="8"/>
      <c r="S2625" s="8"/>
      <c r="T2625" s="3"/>
    </row>
    <row r="2626" spans="14:20" x14ac:dyDescent="0.3">
      <c r="N2626" s="5"/>
      <c r="O2626" s="5"/>
      <c r="P2626" s="5"/>
      <c r="Q2626" s="5"/>
      <c r="R2626" s="8"/>
      <c r="S2626" s="8"/>
      <c r="T2626" s="3"/>
    </row>
    <row r="2627" spans="14:20" x14ac:dyDescent="0.3">
      <c r="N2627" s="5"/>
      <c r="O2627" s="5"/>
      <c r="P2627" s="5"/>
      <c r="Q2627" s="5"/>
      <c r="R2627" s="8"/>
      <c r="S2627" s="8"/>
      <c r="T2627" s="3"/>
    </row>
    <row r="2628" spans="14:20" x14ac:dyDescent="0.3">
      <c r="N2628" s="5"/>
      <c r="O2628" s="5"/>
      <c r="P2628" s="5"/>
      <c r="Q2628" s="5"/>
      <c r="R2628" s="8"/>
      <c r="S2628" s="8"/>
      <c r="T2628" s="3"/>
    </row>
    <row r="2629" spans="14:20" x14ac:dyDescent="0.3">
      <c r="N2629" s="5"/>
      <c r="O2629" s="5"/>
      <c r="P2629" s="5"/>
      <c r="Q2629" s="5"/>
      <c r="R2629" s="8"/>
      <c r="S2629" s="8"/>
      <c r="T2629" s="3"/>
    </row>
    <row r="2630" spans="14:20" x14ac:dyDescent="0.3">
      <c r="N2630" s="5"/>
      <c r="O2630" s="5"/>
      <c r="P2630" s="5"/>
      <c r="Q2630" s="5"/>
      <c r="R2630" s="8"/>
      <c r="S2630" s="8"/>
      <c r="T2630" s="3"/>
    </row>
    <row r="2631" spans="14:20" x14ac:dyDescent="0.3">
      <c r="N2631" s="5"/>
      <c r="O2631" s="5"/>
      <c r="P2631" s="5"/>
      <c r="Q2631" s="5"/>
      <c r="R2631" s="8"/>
      <c r="S2631" s="8"/>
      <c r="T2631" s="3"/>
    </row>
    <row r="2632" spans="14:20" x14ac:dyDescent="0.3">
      <c r="N2632" s="5"/>
      <c r="O2632" s="5"/>
      <c r="P2632" s="5"/>
      <c r="Q2632" s="5"/>
      <c r="R2632" s="8"/>
      <c r="S2632" s="8"/>
      <c r="T2632" s="3"/>
    </row>
    <row r="2633" spans="14:20" x14ac:dyDescent="0.3">
      <c r="N2633" s="5"/>
      <c r="O2633" s="5"/>
      <c r="P2633" s="5"/>
      <c r="Q2633" s="5"/>
      <c r="R2633" s="8"/>
      <c r="S2633" s="8"/>
      <c r="T2633" s="3"/>
    </row>
    <row r="2634" spans="14:20" x14ac:dyDescent="0.3">
      <c r="N2634" s="5"/>
      <c r="O2634" s="5"/>
      <c r="P2634" s="5"/>
      <c r="Q2634" s="5"/>
      <c r="R2634" s="8"/>
      <c r="S2634" s="8"/>
      <c r="T2634" s="3"/>
    </row>
    <row r="2635" spans="14:20" x14ac:dyDescent="0.3">
      <c r="N2635" s="5"/>
      <c r="O2635" s="5"/>
      <c r="P2635" s="5"/>
      <c r="Q2635" s="5"/>
      <c r="R2635" s="8"/>
      <c r="S2635" s="8"/>
      <c r="T2635" s="3"/>
    </row>
    <row r="2636" spans="14:20" x14ac:dyDescent="0.3">
      <c r="N2636" s="5"/>
      <c r="O2636" s="5"/>
      <c r="P2636" s="5"/>
      <c r="Q2636" s="5"/>
      <c r="R2636" s="8"/>
      <c r="S2636" s="8"/>
      <c r="T2636" s="3"/>
    </row>
    <row r="2637" spans="14:20" x14ac:dyDescent="0.3">
      <c r="N2637" s="5"/>
      <c r="O2637" s="5"/>
      <c r="P2637" s="5"/>
      <c r="Q2637" s="5"/>
      <c r="R2637" s="8"/>
      <c r="S2637" s="8"/>
      <c r="T2637" s="3"/>
    </row>
    <row r="2638" spans="14:20" x14ac:dyDescent="0.3">
      <c r="N2638" s="5"/>
      <c r="O2638" s="5"/>
      <c r="P2638" s="5"/>
      <c r="Q2638" s="5"/>
      <c r="R2638" s="8"/>
      <c r="S2638" s="8"/>
      <c r="T2638" s="3"/>
    </row>
    <row r="2639" spans="14:20" x14ac:dyDescent="0.3">
      <c r="N2639" s="5"/>
      <c r="O2639" s="5"/>
      <c r="P2639" s="5"/>
      <c r="Q2639" s="5"/>
      <c r="R2639" s="8"/>
      <c r="S2639" s="8"/>
      <c r="T2639" s="3"/>
    </row>
    <row r="2640" spans="14:20" x14ac:dyDescent="0.3">
      <c r="N2640" s="5"/>
      <c r="O2640" s="5"/>
      <c r="P2640" s="5"/>
      <c r="Q2640" s="5"/>
      <c r="R2640" s="8"/>
      <c r="S2640" s="8"/>
      <c r="T2640" s="3"/>
    </row>
    <row r="2641" spans="14:20" x14ac:dyDescent="0.3">
      <c r="N2641" s="5"/>
      <c r="O2641" s="5"/>
      <c r="P2641" s="5"/>
      <c r="Q2641" s="5"/>
      <c r="R2641" s="8"/>
      <c r="S2641" s="8"/>
      <c r="T2641" s="3"/>
    </row>
    <row r="2642" spans="14:20" x14ac:dyDescent="0.3">
      <c r="N2642" s="5"/>
      <c r="O2642" s="5"/>
      <c r="P2642" s="5"/>
      <c r="Q2642" s="5"/>
      <c r="R2642" s="8"/>
      <c r="S2642" s="8"/>
      <c r="T2642" s="3"/>
    </row>
    <row r="2643" spans="14:20" x14ac:dyDescent="0.3">
      <c r="N2643" s="5"/>
      <c r="O2643" s="5"/>
      <c r="P2643" s="5"/>
      <c r="Q2643" s="5"/>
      <c r="R2643" s="8"/>
      <c r="S2643" s="8"/>
      <c r="T2643" s="3"/>
    </row>
    <row r="2644" spans="14:20" x14ac:dyDescent="0.3">
      <c r="N2644" s="5"/>
      <c r="O2644" s="5"/>
      <c r="P2644" s="5"/>
      <c r="Q2644" s="5"/>
      <c r="R2644" s="8"/>
      <c r="S2644" s="8"/>
      <c r="T2644" s="3"/>
    </row>
    <row r="2645" spans="14:20" x14ac:dyDescent="0.3">
      <c r="N2645" s="5"/>
      <c r="O2645" s="5"/>
      <c r="P2645" s="5"/>
      <c r="Q2645" s="5"/>
      <c r="R2645" s="8"/>
      <c r="S2645" s="8"/>
      <c r="T2645" s="3"/>
    </row>
    <row r="2646" spans="14:20" x14ac:dyDescent="0.3">
      <c r="N2646" s="5"/>
      <c r="O2646" s="5"/>
      <c r="P2646" s="5"/>
      <c r="Q2646" s="5"/>
      <c r="R2646" s="8"/>
      <c r="S2646" s="8"/>
      <c r="T2646" s="3"/>
    </row>
    <row r="2647" spans="14:20" x14ac:dyDescent="0.3">
      <c r="N2647" s="5"/>
      <c r="O2647" s="5"/>
      <c r="P2647" s="5"/>
      <c r="Q2647" s="5"/>
      <c r="R2647" s="8"/>
      <c r="S2647" s="8"/>
      <c r="T2647" s="3"/>
    </row>
    <row r="2648" spans="14:20" x14ac:dyDescent="0.3">
      <c r="N2648" s="5"/>
      <c r="O2648" s="5"/>
      <c r="P2648" s="5"/>
      <c r="Q2648" s="5"/>
      <c r="R2648" s="8"/>
      <c r="S2648" s="8"/>
      <c r="T2648" s="3"/>
    </row>
    <row r="2649" spans="14:20" x14ac:dyDescent="0.3">
      <c r="N2649" s="5"/>
      <c r="O2649" s="5"/>
      <c r="P2649" s="5"/>
      <c r="Q2649" s="5"/>
      <c r="R2649" s="8"/>
      <c r="S2649" s="8"/>
      <c r="T2649" s="3"/>
    </row>
    <row r="2650" spans="14:20" x14ac:dyDescent="0.3">
      <c r="N2650" s="5"/>
      <c r="O2650" s="5"/>
      <c r="P2650" s="5"/>
      <c r="Q2650" s="5"/>
      <c r="R2650" s="8"/>
      <c r="S2650" s="8"/>
      <c r="T2650" s="3"/>
    </row>
    <row r="2651" spans="14:20" x14ac:dyDescent="0.3">
      <c r="N2651" s="5"/>
      <c r="O2651" s="5"/>
      <c r="P2651" s="5"/>
      <c r="Q2651" s="5"/>
      <c r="R2651" s="8"/>
      <c r="S2651" s="8"/>
      <c r="T2651" s="3"/>
    </row>
    <row r="2652" spans="14:20" x14ac:dyDescent="0.3">
      <c r="N2652" s="5"/>
      <c r="O2652" s="5"/>
      <c r="P2652" s="5"/>
      <c r="Q2652" s="5"/>
      <c r="R2652" s="8"/>
      <c r="S2652" s="8"/>
      <c r="T2652" s="3"/>
    </row>
    <row r="2653" spans="14:20" x14ac:dyDescent="0.3">
      <c r="N2653" s="5"/>
      <c r="O2653" s="5"/>
      <c r="P2653" s="5"/>
      <c r="Q2653" s="5"/>
      <c r="R2653" s="8"/>
      <c r="S2653" s="8"/>
      <c r="T2653" s="3"/>
    </row>
    <row r="2654" spans="14:20" x14ac:dyDescent="0.3">
      <c r="N2654" s="5"/>
      <c r="O2654" s="5"/>
      <c r="P2654" s="5"/>
      <c r="Q2654" s="5"/>
      <c r="R2654" s="8"/>
      <c r="S2654" s="8"/>
      <c r="T2654" s="3"/>
    </row>
    <row r="2655" spans="14:20" x14ac:dyDescent="0.3">
      <c r="N2655" s="5"/>
      <c r="O2655" s="5"/>
      <c r="P2655" s="5"/>
      <c r="Q2655" s="5"/>
      <c r="R2655" s="8"/>
      <c r="S2655" s="8"/>
      <c r="T2655" s="3"/>
    </row>
    <row r="2656" spans="14:20" x14ac:dyDescent="0.3">
      <c r="N2656" s="5"/>
      <c r="O2656" s="5"/>
      <c r="P2656" s="5"/>
      <c r="Q2656" s="5"/>
      <c r="R2656" s="8"/>
      <c r="S2656" s="8"/>
      <c r="T2656" s="3"/>
    </row>
    <row r="2657" spans="14:20" x14ac:dyDescent="0.3">
      <c r="N2657" s="5"/>
      <c r="O2657" s="5"/>
      <c r="P2657" s="5"/>
      <c r="Q2657" s="5"/>
      <c r="R2657" s="8"/>
      <c r="S2657" s="8"/>
      <c r="T2657" s="3"/>
    </row>
    <row r="2658" spans="14:20" x14ac:dyDescent="0.3">
      <c r="N2658" s="5"/>
      <c r="O2658" s="5"/>
      <c r="P2658" s="5"/>
      <c r="Q2658" s="5"/>
      <c r="R2658" s="8"/>
      <c r="S2658" s="8"/>
      <c r="T2658" s="3"/>
    </row>
    <row r="2659" spans="14:20" x14ac:dyDescent="0.3">
      <c r="N2659" s="5"/>
      <c r="O2659" s="5"/>
      <c r="P2659" s="5"/>
      <c r="Q2659" s="5"/>
      <c r="R2659" s="8"/>
      <c r="S2659" s="8"/>
      <c r="T2659" s="3"/>
    </row>
    <row r="2660" spans="14:20" x14ac:dyDescent="0.3">
      <c r="N2660" s="5"/>
      <c r="O2660" s="5"/>
      <c r="P2660" s="5"/>
      <c r="Q2660" s="5"/>
      <c r="R2660" s="8"/>
      <c r="S2660" s="8"/>
      <c r="T2660" s="3"/>
    </row>
    <row r="2661" spans="14:20" x14ac:dyDescent="0.3">
      <c r="N2661" s="5"/>
      <c r="O2661" s="5"/>
      <c r="P2661" s="5"/>
      <c r="Q2661" s="5"/>
      <c r="R2661" s="8"/>
      <c r="S2661" s="8"/>
      <c r="T2661" s="3"/>
    </row>
    <row r="2662" spans="14:20" x14ac:dyDescent="0.3">
      <c r="N2662" s="5"/>
      <c r="O2662" s="5"/>
      <c r="P2662" s="5"/>
      <c r="Q2662" s="5"/>
      <c r="R2662" s="8"/>
      <c r="S2662" s="8"/>
      <c r="T2662" s="3"/>
    </row>
    <row r="2663" spans="14:20" x14ac:dyDescent="0.3">
      <c r="N2663" s="5"/>
      <c r="O2663" s="5"/>
      <c r="P2663" s="5"/>
      <c r="Q2663" s="5"/>
      <c r="R2663" s="8"/>
      <c r="S2663" s="8"/>
      <c r="T2663" s="3"/>
    </row>
    <row r="2664" spans="14:20" x14ac:dyDescent="0.3">
      <c r="N2664" s="5"/>
      <c r="O2664" s="5"/>
      <c r="P2664" s="5"/>
      <c r="Q2664" s="5"/>
      <c r="R2664" s="8"/>
      <c r="S2664" s="8"/>
      <c r="T2664" s="3"/>
    </row>
    <row r="2665" spans="14:20" x14ac:dyDescent="0.3">
      <c r="N2665" s="5"/>
      <c r="O2665" s="5"/>
      <c r="P2665" s="5"/>
      <c r="Q2665" s="5"/>
      <c r="R2665" s="8"/>
      <c r="S2665" s="8"/>
      <c r="T2665" s="3"/>
    </row>
    <row r="2666" spans="14:20" x14ac:dyDescent="0.3">
      <c r="N2666" s="5"/>
      <c r="O2666" s="5"/>
      <c r="P2666" s="5"/>
      <c r="Q2666" s="5"/>
      <c r="R2666" s="8"/>
      <c r="S2666" s="8"/>
      <c r="T2666" s="3"/>
    </row>
    <row r="2667" spans="14:20" x14ac:dyDescent="0.3">
      <c r="N2667" s="5"/>
      <c r="O2667" s="5"/>
      <c r="P2667" s="5"/>
      <c r="Q2667" s="5"/>
      <c r="R2667" s="8"/>
      <c r="S2667" s="8"/>
      <c r="T2667" s="3"/>
    </row>
    <row r="2668" spans="14:20" x14ac:dyDescent="0.3">
      <c r="N2668" s="5"/>
      <c r="O2668" s="5"/>
      <c r="P2668" s="5"/>
      <c r="Q2668" s="5"/>
      <c r="R2668" s="8"/>
      <c r="S2668" s="8"/>
      <c r="T2668" s="3"/>
    </row>
    <row r="2669" spans="14:20" x14ac:dyDescent="0.3">
      <c r="N2669" s="5"/>
      <c r="O2669" s="5"/>
      <c r="P2669" s="5"/>
      <c r="Q2669" s="5"/>
      <c r="R2669" s="8"/>
      <c r="S2669" s="8"/>
      <c r="T2669" s="3"/>
    </row>
    <row r="2670" spans="14:20" x14ac:dyDescent="0.3">
      <c r="N2670" s="5"/>
      <c r="O2670" s="5"/>
      <c r="P2670" s="5"/>
      <c r="Q2670" s="5"/>
      <c r="R2670" s="8"/>
      <c r="S2670" s="8"/>
      <c r="T2670" s="3"/>
    </row>
    <row r="2671" spans="14:20" x14ac:dyDescent="0.3">
      <c r="N2671" s="5"/>
      <c r="O2671" s="5"/>
      <c r="P2671" s="5"/>
      <c r="Q2671" s="5"/>
      <c r="R2671" s="8"/>
      <c r="S2671" s="8"/>
      <c r="T2671" s="3"/>
    </row>
    <row r="2672" spans="14:20" x14ac:dyDescent="0.3">
      <c r="N2672" s="5"/>
      <c r="O2672" s="5"/>
      <c r="P2672" s="5"/>
      <c r="Q2672" s="5"/>
      <c r="R2672" s="8"/>
      <c r="S2672" s="8"/>
      <c r="T2672" s="3"/>
    </row>
    <row r="2673" spans="14:20" x14ac:dyDescent="0.3">
      <c r="N2673" s="5"/>
      <c r="O2673" s="5"/>
      <c r="P2673" s="5"/>
      <c r="Q2673" s="5"/>
      <c r="R2673" s="8"/>
      <c r="S2673" s="8"/>
      <c r="T2673" s="3"/>
    </row>
    <row r="2674" spans="14:20" x14ac:dyDescent="0.3">
      <c r="N2674" s="5"/>
      <c r="O2674" s="5"/>
      <c r="P2674" s="5"/>
      <c r="Q2674" s="5"/>
      <c r="R2674" s="8"/>
      <c r="S2674" s="8"/>
      <c r="T2674" s="3"/>
    </row>
    <row r="2675" spans="14:20" x14ac:dyDescent="0.3">
      <c r="N2675" s="5"/>
      <c r="O2675" s="5"/>
      <c r="P2675" s="5"/>
      <c r="Q2675" s="5"/>
      <c r="R2675" s="8"/>
      <c r="S2675" s="8"/>
      <c r="T2675" s="3"/>
    </row>
    <row r="2676" spans="14:20" x14ac:dyDescent="0.3">
      <c r="N2676" s="5"/>
      <c r="O2676" s="5"/>
      <c r="P2676" s="5"/>
      <c r="Q2676" s="5"/>
      <c r="R2676" s="8"/>
      <c r="S2676" s="8"/>
      <c r="T2676" s="3"/>
    </row>
    <row r="2677" spans="14:20" x14ac:dyDescent="0.3">
      <c r="N2677" s="5"/>
      <c r="O2677" s="5"/>
      <c r="P2677" s="5"/>
      <c r="Q2677" s="5"/>
      <c r="R2677" s="8"/>
      <c r="S2677" s="8"/>
      <c r="T2677" s="3"/>
    </row>
    <row r="2678" spans="14:20" x14ac:dyDescent="0.3">
      <c r="N2678" s="5"/>
      <c r="O2678" s="5"/>
      <c r="P2678" s="5"/>
      <c r="Q2678" s="5"/>
      <c r="R2678" s="8"/>
      <c r="S2678" s="8"/>
      <c r="T2678" s="3"/>
    </row>
    <row r="2679" spans="14:20" x14ac:dyDescent="0.3">
      <c r="N2679" s="5"/>
      <c r="O2679" s="5"/>
      <c r="P2679" s="5"/>
      <c r="Q2679" s="5"/>
      <c r="R2679" s="8"/>
      <c r="S2679" s="8"/>
      <c r="T2679" s="3"/>
    </row>
    <row r="2680" spans="14:20" x14ac:dyDescent="0.3">
      <c r="N2680" s="5"/>
      <c r="O2680" s="5"/>
      <c r="P2680" s="5"/>
      <c r="Q2680" s="5"/>
      <c r="R2680" s="8"/>
      <c r="S2680" s="8"/>
      <c r="T2680" s="3"/>
    </row>
    <row r="2681" spans="14:20" x14ac:dyDescent="0.3">
      <c r="N2681" s="5"/>
      <c r="O2681" s="5"/>
      <c r="P2681" s="5"/>
      <c r="Q2681" s="5"/>
      <c r="R2681" s="8"/>
      <c r="S2681" s="8"/>
      <c r="T2681" s="3"/>
    </row>
    <row r="2682" spans="14:20" x14ac:dyDescent="0.3">
      <c r="N2682" s="5"/>
      <c r="O2682" s="5"/>
      <c r="P2682" s="5"/>
      <c r="Q2682" s="5"/>
      <c r="R2682" s="8"/>
      <c r="S2682" s="8"/>
      <c r="T2682" s="3"/>
    </row>
    <row r="2683" spans="14:20" x14ac:dyDescent="0.3">
      <c r="N2683" s="5"/>
      <c r="O2683" s="5"/>
      <c r="P2683" s="5"/>
      <c r="Q2683" s="5"/>
      <c r="R2683" s="8"/>
      <c r="S2683" s="8"/>
      <c r="T2683" s="3"/>
    </row>
    <row r="2684" spans="14:20" x14ac:dyDescent="0.3">
      <c r="N2684" s="5"/>
      <c r="O2684" s="5"/>
      <c r="P2684" s="5"/>
      <c r="Q2684" s="5"/>
      <c r="R2684" s="8"/>
      <c r="S2684" s="8"/>
      <c r="T2684" s="3"/>
    </row>
    <row r="2685" spans="14:20" x14ac:dyDescent="0.3">
      <c r="N2685" s="5"/>
      <c r="O2685" s="5"/>
      <c r="P2685" s="5"/>
      <c r="Q2685" s="5"/>
      <c r="R2685" s="8"/>
      <c r="S2685" s="8"/>
      <c r="T2685" s="3"/>
    </row>
    <row r="2686" spans="14:20" x14ac:dyDescent="0.3">
      <c r="N2686" s="5"/>
      <c r="O2686" s="5"/>
      <c r="P2686" s="5"/>
      <c r="Q2686" s="5"/>
      <c r="R2686" s="8"/>
      <c r="S2686" s="8"/>
      <c r="T2686" s="3"/>
    </row>
    <row r="2687" spans="14:20" x14ac:dyDescent="0.3">
      <c r="N2687" s="5"/>
      <c r="O2687" s="5"/>
      <c r="P2687" s="5"/>
      <c r="Q2687" s="5"/>
      <c r="R2687" s="8"/>
      <c r="S2687" s="8"/>
      <c r="T2687" s="3"/>
    </row>
    <row r="2688" spans="14:20" x14ac:dyDescent="0.3">
      <c r="N2688" s="5"/>
      <c r="O2688" s="5"/>
      <c r="P2688" s="5"/>
      <c r="Q2688" s="5"/>
      <c r="R2688" s="8"/>
      <c r="S2688" s="8"/>
      <c r="T2688" s="3"/>
    </row>
    <row r="2689" spans="14:20" x14ac:dyDescent="0.3">
      <c r="N2689" s="5"/>
      <c r="O2689" s="5"/>
      <c r="P2689" s="5"/>
      <c r="Q2689" s="5"/>
      <c r="R2689" s="8"/>
      <c r="S2689" s="8"/>
      <c r="T2689" s="3"/>
    </row>
    <row r="2690" spans="14:20" x14ac:dyDescent="0.3">
      <c r="N2690" s="5"/>
      <c r="O2690" s="5"/>
      <c r="P2690" s="5"/>
      <c r="Q2690" s="5"/>
      <c r="R2690" s="8"/>
      <c r="S2690" s="8"/>
      <c r="T2690" s="3"/>
    </row>
    <row r="2691" spans="14:20" x14ac:dyDescent="0.3">
      <c r="N2691" s="5"/>
      <c r="O2691" s="5"/>
      <c r="P2691" s="5"/>
      <c r="Q2691" s="5"/>
      <c r="R2691" s="8"/>
      <c r="S2691" s="8"/>
      <c r="T2691" s="3"/>
    </row>
    <row r="2692" spans="14:20" x14ac:dyDescent="0.3">
      <c r="N2692" s="5"/>
      <c r="O2692" s="5"/>
      <c r="P2692" s="5"/>
      <c r="Q2692" s="5"/>
      <c r="R2692" s="8"/>
      <c r="S2692" s="8"/>
      <c r="T2692" s="3"/>
    </row>
    <row r="2693" spans="14:20" x14ac:dyDescent="0.3">
      <c r="N2693" s="5"/>
      <c r="O2693" s="5"/>
      <c r="P2693" s="5"/>
      <c r="Q2693" s="5"/>
      <c r="R2693" s="8"/>
      <c r="S2693" s="8"/>
      <c r="T2693" s="3"/>
    </row>
    <row r="2694" spans="14:20" x14ac:dyDescent="0.3">
      <c r="N2694" s="5"/>
      <c r="O2694" s="5"/>
      <c r="P2694" s="5"/>
      <c r="Q2694" s="5"/>
      <c r="R2694" s="8"/>
      <c r="S2694" s="8"/>
      <c r="T2694" s="3"/>
    </row>
    <row r="2695" spans="14:20" x14ac:dyDescent="0.3">
      <c r="N2695" s="5"/>
      <c r="O2695" s="5"/>
      <c r="P2695" s="5"/>
      <c r="Q2695" s="5"/>
      <c r="R2695" s="8"/>
      <c r="S2695" s="8"/>
      <c r="T2695" s="3"/>
    </row>
    <row r="2696" spans="14:20" x14ac:dyDescent="0.3">
      <c r="N2696" s="5"/>
      <c r="O2696" s="5"/>
      <c r="P2696" s="5"/>
      <c r="Q2696" s="5"/>
      <c r="R2696" s="8"/>
      <c r="S2696" s="8"/>
      <c r="T2696" s="3"/>
    </row>
    <row r="2697" spans="14:20" x14ac:dyDescent="0.3">
      <c r="N2697" s="5"/>
      <c r="O2697" s="5"/>
      <c r="P2697" s="5"/>
      <c r="Q2697" s="5"/>
      <c r="R2697" s="8"/>
      <c r="S2697" s="8"/>
      <c r="T2697" s="3"/>
    </row>
    <row r="2698" spans="14:20" x14ac:dyDescent="0.3">
      <c r="N2698" s="5"/>
      <c r="O2698" s="5"/>
      <c r="P2698" s="5"/>
      <c r="Q2698" s="5"/>
      <c r="R2698" s="8"/>
      <c r="S2698" s="8"/>
      <c r="T2698" s="3"/>
    </row>
    <row r="2699" spans="14:20" x14ac:dyDescent="0.3">
      <c r="N2699" s="5"/>
      <c r="O2699" s="5"/>
      <c r="P2699" s="5"/>
      <c r="Q2699" s="5"/>
      <c r="R2699" s="8"/>
      <c r="S2699" s="8"/>
      <c r="T2699" s="3"/>
    </row>
    <row r="2700" spans="14:20" x14ac:dyDescent="0.3">
      <c r="N2700" s="5"/>
      <c r="O2700" s="5"/>
      <c r="P2700" s="5"/>
      <c r="Q2700" s="5"/>
      <c r="R2700" s="8"/>
      <c r="S2700" s="8"/>
      <c r="T2700" s="3"/>
    </row>
    <row r="2701" spans="14:20" x14ac:dyDescent="0.3">
      <c r="N2701" s="5"/>
      <c r="O2701" s="5"/>
      <c r="P2701" s="5"/>
      <c r="Q2701" s="5"/>
      <c r="R2701" s="8"/>
      <c r="S2701" s="8"/>
      <c r="T2701" s="3"/>
    </row>
    <row r="2702" spans="14:20" x14ac:dyDescent="0.3">
      <c r="N2702" s="5"/>
      <c r="O2702" s="5"/>
      <c r="P2702" s="5"/>
      <c r="Q2702" s="5"/>
      <c r="R2702" s="8"/>
      <c r="S2702" s="8"/>
      <c r="T2702" s="3"/>
    </row>
    <row r="2703" spans="14:20" x14ac:dyDescent="0.3">
      <c r="N2703" s="5"/>
      <c r="O2703" s="5"/>
      <c r="P2703" s="5"/>
      <c r="Q2703" s="5"/>
      <c r="R2703" s="8"/>
      <c r="S2703" s="8"/>
      <c r="T2703" s="3"/>
    </row>
    <row r="2704" spans="14:20" x14ac:dyDescent="0.3">
      <c r="N2704" s="5"/>
      <c r="O2704" s="5"/>
      <c r="P2704" s="5"/>
      <c r="Q2704" s="5"/>
      <c r="R2704" s="8"/>
      <c r="S2704" s="8"/>
      <c r="T2704" s="3"/>
    </row>
    <row r="2705" spans="14:20" x14ac:dyDescent="0.3">
      <c r="N2705" s="5"/>
      <c r="O2705" s="5"/>
      <c r="P2705" s="5"/>
      <c r="Q2705" s="5"/>
      <c r="R2705" s="8"/>
      <c r="S2705" s="8"/>
      <c r="T2705" s="3"/>
    </row>
    <row r="2706" spans="14:20" x14ac:dyDescent="0.3">
      <c r="N2706" s="5"/>
      <c r="O2706" s="5"/>
      <c r="P2706" s="5"/>
      <c r="Q2706" s="5"/>
      <c r="R2706" s="8"/>
      <c r="S2706" s="8"/>
      <c r="T2706" s="3"/>
    </row>
    <row r="2707" spans="14:20" x14ac:dyDescent="0.3">
      <c r="N2707" s="5"/>
      <c r="O2707" s="5"/>
      <c r="P2707" s="5"/>
      <c r="Q2707" s="5"/>
      <c r="R2707" s="8"/>
      <c r="S2707" s="8"/>
      <c r="T2707" s="3"/>
    </row>
    <row r="2708" spans="14:20" x14ac:dyDescent="0.3">
      <c r="N2708" s="5"/>
      <c r="O2708" s="5"/>
      <c r="P2708" s="5"/>
      <c r="Q2708" s="5"/>
      <c r="R2708" s="8"/>
      <c r="S2708" s="8"/>
      <c r="T2708" s="3"/>
    </row>
    <row r="2709" spans="14:20" x14ac:dyDescent="0.3">
      <c r="N2709" s="5"/>
      <c r="O2709" s="5"/>
      <c r="P2709" s="5"/>
      <c r="Q2709" s="5"/>
      <c r="R2709" s="8"/>
      <c r="S2709" s="8"/>
      <c r="T2709" s="3"/>
    </row>
    <row r="2710" spans="14:20" x14ac:dyDescent="0.3">
      <c r="N2710" s="5"/>
      <c r="O2710" s="5"/>
      <c r="P2710" s="5"/>
      <c r="Q2710" s="5"/>
      <c r="R2710" s="8"/>
      <c r="S2710" s="8"/>
      <c r="T2710" s="3"/>
    </row>
    <row r="2711" spans="14:20" x14ac:dyDescent="0.3">
      <c r="N2711" s="5"/>
      <c r="O2711" s="5"/>
      <c r="P2711" s="5"/>
      <c r="Q2711" s="5"/>
      <c r="R2711" s="8"/>
      <c r="S2711" s="8"/>
      <c r="T2711" s="3"/>
    </row>
    <row r="2712" spans="14:20" x14ac:dyDescent="0.3">
      <c r="N2712" s="5"/>
      <c r="O2712" s="5"/>
      <c r="P2712" s="5"/>
      <c r="Q2712" s="5"/>
      <c r="R2712" s="8"/>
      <c r="S2712" s="8"/>
      <c r="T2712" s="3"/>
    </row>
    <row r="2713" spans="14:20" x14ac:dyDescent="0.3">
      <c r="N2713" s="5"/>
      <c r="O2713" s="5"/>
      <c r="P2713" s="5"/>
      <c r="Q2713" s="5"/>
      <c r="R2713" s="8"/>
      <c r="S2713" s="8"/>
      <c r="T2713" s="3"/>
    </row>
    <row r="2714" spans="14:20" x14ac:dyDescent="0.3">
      <c r="N2714" s="5"/>
      <c r="O2714" s="5"/>
      <c r="P2714" s="5"/>
      <c r="Q2714" s="5"/>
      <c r="R2714" s="8"/>
      <c r="S2714" s="8"/>
      <c r="T2714" s="3"/>
    </row>
    <row r="2715" spans="14:20" x14ac:dyDescent="0.3">
      <c r="N2715" s="5"/>
      <c r="O2715" s="5"/>
      <c r="P2715" s="5"/>
      <c r="Q2715" s="5"/>
      <c r="R2715" s="8"/>
      <c r="S2715" s="8"/>
      <c r="T2715" s="3"/>
    </row>
    <row r="2716" spans="14:20" x14ac:dyDescent="0.3">
      <c r="N2716" s="5"/>
      <c r="O2716" s="5"/>
      <c r="P2716" s="5"/>
      <c r="Q2716" s="5"/>
      <c r="R2716" s="8"/>
      <c r="S2716" s="8"/>
      <c r="T2716" s="3"/>
    </row>
    <row r="2717" spans="14:20" x14ac:dyDescent="0.3">
      <c r="N2717" s="5"/>
      <c r="O2717" s="5"/>
      <c r="P2717" s="5"/>
      <c r="Q2717" s="5"/>
      <c r="R2717" s="8"/>
      <c r="S2717" s="8"/>
      <c r="T2717" s="3"/>
    </row>
    <row r="2718" spans="14:20" x14ac:dyDescent="0.3">
      <c r="N2718" s="5"/>
      <c r="O2718" s="5"/>
      <c r="P2718" s="5"/>
      <c r="Q2718" s="5"/>
      <c r="R2718" s="8"/>
      <c r="S2718" s="8"/>
      <c r="T2718" s="3"/>
    </row>
    <row r="2719" spans="14:20" x14ac:dyDescent="0.3">
      <c r="N2719" s="5"/>
      <c r="O2719" s="5"/>
      <c r="P2719" s="5"/>
      <c r="Q2719" s="5"/>
      <c r="R2719" s="8"/>
      <c r="S2719" s="8"/>
      <c r="T2719" s="3"/>
    </row>
    <row r="2720" spans="14:20" x14ac:dyDescent="0.3">
      <c r="N2720" s="5"/>
      <c r="O2720" s="5"/>
      <c r="P2720" s="5"/>
      <c r="Q2720" s="5"/>
      <c r="R2720" s="8"/>
      <c r="S2720" s="8"/>
      <c r="T2720" s="3"/>
    </row>
    <row r="2721" spans="14:20" x14ac:dyDescent="0.3">
      <c r="N2721" s="5"/>
      <c r="O2721" s="5"/>
      <c r="P2721" s="5"/>
      <c r="Q2721" s="5"/>
      <c r="R2721" s="8"/>
      <c r="S2721" s="8"/>
      <c r="T2721" s="3"/>
    </row>
    <row r="2722" spans="14:20" x14ac:dyDescent="0.3">
      <c r="N2722" s="5"/>
      <c r="O2722" s="5"/>
      <c r="P2722" s="5"/>
      <c r="Q2722" s="5"/>
      <c r="R2722" s="8"/>
      <c r="S2722" s="8"/>
      <c r="T2722" s="3"/>
    </row>
    <row r="2723" spans="14:20" x14ac:dyDescent="0.3">
      <c r="N2723" s="5"/>
      <c r="O2723" s="5"/>
      <c r="P2723" s="5"/>
      <c r="Q2723" s="5"/>
      <c r="R2723" s="8"/>
      <c r="S2723" s="8"/>
      <c r="T2723" s="3"/>
    </row>
    <row r="2724" spans="14:20" x14ac:dyDescent="0.3">
      <c r="N2724" s="5"/>
      <c r="O2724" s="5"/>
      <c r="P2724" s="5"/>
      <c r="Q2724" s="5"/>
      <c r="R2724" s="8"/>
      <c r="S2724" s="8"/>
      <c r="T2724" s="3"/>
    </row>
    <row r="2725" spans="14:20" x14ac:dyDescent="0.3">
      <c r="N2725" s="5"/>
      <c r="O2725" s="5"/>
      <c r="P2725" s="5"/>
      <c r="Q2725" s="5"/>
      <c r="R2725" s="8"/>
      <c r="S2725" s="8"/>
      <c r="T2725" s="3"/>
    </row>
    <row r="2726" spans="14:20" x14ac:dyDescent="0.3">
      <c r="N2726" s="5"/>
      <c r="O2726" s="5"/>
      <c r="P2726" s="5"/>
      <c r="Q2726" s="5"/>
      <c r="R2726" s="8"/>
      <c r="S2726" s="8"/>
      <c r="T2726" s="3"/>
    </row>
    <row r="2727" spans="14:20" x14ac:dyDescent="0.3">
      <c r="N2727" s="5"/>
      <c r="O2727" s="5"/>
      <c r="P2727" s="5"/>
      <c r="Q2727" s="5"/>
      <c r="R2727" s="8"/>
      <c r="S2727" s="8"/>
      <c r="T2727" s="3"/>
    </row>
    <row r="2728" spans="14:20" x14ac:dyDescent="0.3">
      <c r="N2728" s="5"/>
      <c r="O2728" s="5"/>
      <c r="P2728" s="5"/>
      <c r="Q2728" s="5"/>
      <c r="R2728" s="8"/>
      <c r="S2728" s="8"/>
      <c r="T2728" s="3"/>
    </row>
    <row r="2729" spans="14:20" x14ac:dyDescent="0.3">
      <c r="N2729" s="5"/>
      <c r="O2729" s="5"/>
      <c r="P2729" s="5"/>
      <c r="Q2729" s="5"/>
      <c r="R2729" s="8"/>
      <c r="S2729" s="8"/>
      <c r="T2729" s="3"/>
    </row>
    <row r="2730" spans="14:20" x14ac:dyDescent="0.3">
      <c r="N2730" s="5"/>
      <c r="O2730" s="5"/>
      <c r="P2730" s="5"/>
      <c r="Q2730" s="5"/>
      <c r="R2730" s="8"/>
      <c r="S2730" s="8"/>
      <c r="T2730" s="3"/>
    </row>
    <row r="2731" spans="14:20" x14ac:dyDescent="0.3">
      <c r="N2731" s="5"/>
      <c r="O2731" s="5"/>
      <c r="P2731" s="5"/>
      <c r="Q2731" s="5"/>
      <c r="R2731" s="8"/>
      <c r="S2731" s="8"/>
      <c r="T2731" s="3"/>
    </row>
    <row r="2732" spans="14:20" x14ac:dyDescent="0.3">
      <c r="N2732" s="5"/>
      <c r="O2732" s="5"/>
      <c r="P2732" s="5"/>
      <c r="Q2732" s="5"/>
      <c r="R2732" s="8"/>
      <c r="S2732" s="8"/>
      <c r="T2732" s="3"/>
    </row>
    <row r="2733" spans="14:20" x14ac:dyDescent="0.3">
      <c r="N2733" s="5"/>
      <c r="O2733" s="5"/>
      <c r="P2733" s="5"/>
      <c r="Q2733" s="5"/>
      <c r="R2733" s="8"/>
      <c r="S2733" s="8"/>
      <c r="T2733" s="3"/>
    </row>
    <row r="2734" spans="14:20" x14ac:dyDescent="0.3">
      <c r="N2734" s="5"/>
      <c r="O2734" s="5"/>
      <c r="P2734" s="5"/>
      <c r="Q2734" s="5"/>
      <c r="R2734" s="8"/>
      <c r="S2734" s="8"/>
      <c r="T2734" s="3"/>
    </row>
    <row r="2735" spans="14:20" x14ac:dyDescent="0.3">
      <c r="N2735" s="5"/>
      <c r="O2735" s="5"/>
      <c r="P2735" s="5"/>
      <c r="Q2735" s="5"/>
      <c r="R2735" s="8"/>
      <c r="S2735" s="8"/>
      <c r="T2735" s="3"/>
    </row>
    <row r="2736" spans="14:20" x14ac:dyDescent="0.3">
      <c r="N2736" s="5"/>
      <c r="O2736" s="5"/>
      <c r="P2736" s="5"/>
      <c r="Q2736" s="5"/>
      <c r="R2736" s="8"/>
      <c r="S2736" s="8"/>
      <c r="T2736" s="3"/>
    </row>
    <row r="2737" spans="14:20" x14ac:dyDescent="0.3">
      <c r="N2737" s="5"/>
      <c r="O2737" s="5"/>
      <c r="P2737" s="5"/>
      <c r="Q2737" s="5"/>
      <c r="R2737" s="8"/>
      <c r="S2737" s="8"/>
      <c r="T2737" s="3"/>
    </row>
    <row r="2738" spans="14:20" x14ac:dyDescent="0.3">
      <c r="N2738" s="5"/>
      <c r="O2738" s="5"/>
      <c r="P2738" s="5"/>
      <c r="Q2738" s="5"/>
      <c r="R2738" s="8"/>
      <c r="S2738" s="8"/>
      <c r="T2738" s="3"/>
    </row>
    <row r="2739" spans="14:20" x14ac:dyDescent="0.3">
      <c r="N2739" s="5"/>
      <c r="O2739" s="5"/>
      <c r="P2739" s="5"/>
      <c r="Q2739" s="5"/>
      <c r="R2739" s="8"/>
      <c r="S2739" s="8"/>
      <c r="T2739" s="3"/>
    </row>
    <row r="2740" spans="14:20" x14ac:dyDescent="0.3">
      <c r="N2740" s="5"/>
      <c r="O2740" s="5"/>
      <c r="P2740" s="5"/>
      <c r="Q2740" s="5"/>
      <c r="R2740" s="8"/>
      <c r="S2740" s="8"/>
      <c r="T2740" s="3"/>
    </row>
    <row r="2741" spans="14:20" x14ac:dyDescent="0.3">
      <c r="N2741" s="5"/>
      <c r="O2741" s="5"/>
      <c r="P2741" s="5"/>
      <c r="Q2741" s="5"/>
      <c r="R2741" s="8"/>
      <c r="S2741" s="8"/>
      <c r="T2741" s="3"/>
    </row>
    <row r="2742" spans="14:20" x14ac:dyDescent="0.3">
      <c r="N2742" s="5"/>
      <c r="O2742" s="5"/>
      <c r="P2742" s="5"/>
      <c r="Q2742" s="5"/>
      <c r="R2742" s="8"/>
      <c r="S2742" s="8"/>
      <c r="T2742" s="3"/>
    </row>
    <row r="2743" spans="14:20" x14ac:dyDescent="0.3">
      <c r="N2743" s="5"/>
      <c r="O2743" s="5"/>
      <c r="P2743" s="5"/>
      <c r="Q2743" s="5"/>
      <c r="R2743" s="8"/>
      <c r="S2743" s="8"/>
      <c r="T2743" s="3"/>
    </row>
    <row r="2744" spans="14:20" x14ac:dyDescent="0.3">
      <c r="N2744" s="5"/>
      <c r="O2744" s="5"/>
      <c r="P2744" s="5"/>
      <c r="Q2744" s="5"/>
      <c r="R2744" s="8"/>
      <c r="S2744" s="8"/>
      <c r="T2744" s="3"/>
    </row>
    <row r="2745" spans="14:20" x14ac:dyDescent="0.3">
      <c r="N2745" s="5"/>
      <c r="O2745" s="5"/>
      <c r="P2745" s="5"/>
      <c r="Q2745" s="5"/>
      <c r="R2745" s="8"/>
      <c r="S2745" s="8"/>
      <c r="T2745" s="3"/>
    </row>
    <row r="2746" spans="14:20" x14ac:dyDescent="0.3">
      <c r="N2746" s="5"/>
      <c r="O2746" s="5"/>
      <c r="P2746" s="5"/>
      <c r="Q2746" s="5"/>
      <c r="R2746" s="8"/>
      <c r="S2746" s="8"/>
      <c r="T2746" s="3"/>
    </row>
    <row r="2747" spans="14:20" x14ac:dyDescent="0.3">
      <c r="N2747" s="5"/>
      <c r="O2747" s="5"/>
      <c r="P2747" s="5"/>
      <c r="Q2747" s="5"/>
      <c r="R2747" s="8"/>
      <c r="S2747" s="8"/>
      <c r="T2747" s="3"/>
    </row>
    <row r="2748" spans="14:20" x14ac:dyDescent="0.3">
      <c r="N2748" s="5"/>
      <c r="O2748" s="5"/>
      <c r="P2748" s="5"/>
      <c r="Q2748" s="5"/>
      <c r="R2748" s="8"/>
      <c r="S2748" s="8"/>
      <c r="T2748" s="3"/>
    </row>
    <row r="2749" spans="14:20" x14ac:dyDescent="0.3">
      <c r="N2749" s="5"/>
      <c r="O2749" s="5"/>
      <c r="P2749" s="5"/>
      <c r="Q2749" s="5"/>
      <c r="R2749" s="8"/>
      <c r="S2749" s="8"/>
      <c r="T2749" s="3"/>
    </row>
    <row r="2750" spans="14:20" x14ac:dyDescent="0.3">
      <c r="N2750" s="5"/>
      <c r="O2750" s="5"/>
      <c r="P2750" s="5"/>
      <c r="Q2750" s="5"/>
      <c r="R2750" s="8"/>
      <c r="S2750" s="8"/>
      <c r="T2750" s="3"/>
    </row>
    <row r="2751" spans="14:20" x14ac:dyDescent="0.3">
      <c r="N2751" s="5"/>
      <c r="O2751" s="5"/>
      <c r="P2751" s="5"/>
      <c r="Q2751" s="5"/>
      <c r="R2751" s="8"/>
      <c r="S2751" s="8"/>
      <c r="T2751" s="3"/>
    </row>
    <row r="2752" spans="14:20" x14ac:dyDescent="0.3">
      <c r="N2752" s="5"/>
      <c r="O2752" s="5"/>
      <c r="P2752" s="5"/>
      <c r="Q2752" s="5"/>
      <c r="R2752" s="8"/>
      <c r="S2752" s="8"/>
      <c r="T2752" s="3"/>
    </row>
    <row r="2753" spans="14:20" x14ac:dyDescent="0.3">
      <c r="N2753" s="5"/>
      <c r="O2753" s="5"/>
      <c r="P2753" s="5"/>
      <c r="Q2753" s="5"/>
      <c r="R2753" s="8"/>
      <c r="S2753" s="8"/>
      <c r="T2753" s="3"/>
    </row>
    <row r="2754" spans="14:20" x14ac:dyDescent="0.3">
      <c r="N2754" s="5"/>
      <c r="O2754" s="5"/>
      <c r="P2754" s="5"/>
      <c r="Q2754" s="5"/>
      <c r="R2754" s="8"/>
      <c r="S2754" s="8"/>
      <c r="T2754" s="3"/>
    </row>
    <row r="2755" spans="14:20" x14ac:dyDescent="0.3">
      <c r="N2755" s="5"/>
      <c r="O2755" s="5"/>
      <c r="P2755" s="5"/>
      <c r="Q2755" s="5"/>
      <c r="R2755" s="8"/>
      <c r="S2755" s="8"/>
      <c r="T2755" s="3"/>
    </row>
    <row r="2756" spans="14:20" x14ac:dyDescent="0.3">
      <c r="N2756" s="5"/>
      <c r="O2756" s="5"/>
      <c r="P2756" s="5"/>
      <c r="Q2756" s="5"/>
      <c r="R2756" s="8"/>
      <c r="S2756" s="8"/>
      <c r="T2756" s="3"/>
    </row>
    <row r="2757" spans="14:20" x14ac:dyDescent="0.3">
      <c r="N2757" s="5"/>
      <c r="O2757" s="5"/>
      <c r="P2757" s="5"/>
      <c r="Q2757" s="5"/>
      <c r="R2757" s="8"/>
      <c r="S2757" s="8"/>
      <c r="T2757" s="3"/>
    </row>
    <row r="2758" spans="14:20" x14ac:dyDescent="0.3">
      <c r="N2758" s="5"/>
      <c r="O2758" s="5"/>
      <c r="P2758" s="5"/>
      <c r="Q2758" s="5"/>
      <c r="R2758" s="8"/>
      <c r="S2758" s="8"/>
      <c r="T2758" s="3"/>
    </row>
    <row r="2759" spans="14:20" x14ac:dyDescent="0.3">
      <c r="N2759" s="5"/>
      <c r="O2759" s="5"/>
      <c r="P2759" s="5"/>
      <c r="Q2759" s="5"/>
      <c r="R2759" s="8"/>
      <c r="S2759" s="8"/>
      <c r="T2759" s="3"/>
    </row>
    <row r="2760" spans="14:20" x14ac:dyDescent="0.3">
      <c r="N2760" s="5"/>
      <c r="O2760" s="5"/>
      <c r="P2760" s="5"/>
      <c r="Q2760" s="5"/>
      <c r="R2760" s="8"/>
      <c r="S2760" s="8"/>
      <c r="T2760" s="3"/>
    </row>
    <row r="2761" spans="14:20" x14ac:dyDescent="0.3">
      <c r="N2761" s="5"/>
      <c r="O2761" s="5"/>
      <c r="P2761" s="5"/>
      <c r="Q2761" s="5"/>
      <c r="R2761" s="8"/>
      <c r="S2761" s="8"/>
      <c r="T2761" s="3"/>
    </row>
    <row r="2762" spans="14:20" x14ac:dyDescent="0.3">
      <c r="N2762" s="5"/>
      <c r="O2762" s="5"/>
      <c r="P2762" s="5"/>
      <c r="Q2762" s="5"/>
      <c r="R2762" s="8"/>
      <c r="S2762" s="8"/>
      <c r="T2762" s="3"/>
    </row>
    <row r="2763" spans="14:20" x14ac:dyDescent="0.3">
      <c r="N2763" s="5"/>
      <c r="O2763" s="5"/>
      <c r="P2763" s="5"/>
      <c r="Q2763" s="5"/>
      <c r="R2763" s="8"/>
      <c r="S2763" s="8"/>
      <c r="T2763" s="3"/>
    </row>
    <row r="2764" spans="14:20" x14ac:dyDescent="0.3">
      <c r="N2764" s="5"/>
      <c r="O2764" s="5"/>
      <c r="P2764" s="5"/>
      <c r="Q2764" s="5"/>
      <c r="R2764" s="8"/>
      <c r="S2764" s="8"/>
      <c r="T2764" s="3"/>
    </row>
    <row r="2765" spans="14:20" x14ac:dyDescent="0.3">
      <c r="N2765" s="5"/>
      <c r="O2765" s="5"/>
      <c r="P2765" s="5"/>
      <c r="Q2765" s="5"/>
      <c r="R2765" s="8"/>
      <c r="S2765" s="8"/>
      <c r="T2765" s="3"/>
    </row>
    <row r="2766" spans="14:20" x14ac:dyDescent="0.3">
      <c r="N2766" s="5"/>
      <c r="O2766" s="5"/>
      <c r="P2766" s="5"/>
      <c r="Q2766" s="5"/>
      <c r="R2766" s="8"/>
      <c r="S2766" s="8"/>
      <c r="T2766" s="3"/>
    </row>
    <row r="2767" spans="14:20" x14ac:dyDescent="0.3">
      <c r="N2767" s="5"/>
      <c r="O2767" s="5"/>
      <c r="P2767" s="5"/>
      <c r="Q2767" s="5"/>
      <c r="R2767" s="8"/>
      <c r="S2767" s="8"/>
      <c r="T2767" s="3"/>
    </row>
    <row r="2768" spans="14:20" x14ac:dyDescent="0.3">
      <c r="N2768" s="5"/>
      <c r="O2768" s="5"/>
      <c r="P2768" s="5"/>
      <c r="Q2768" s="5"/>
      <c r="R2768" s="8"/>
      <c r="S2768" s="8"/>
      <c r="T2768" s="3"/>
    </row>
    <row r="2769" spans="14:20" x14ac:dyDescent="0.3">
      <c r="N2769" s="5"/>
      <c r="O2769" s="5"/>
      <c r="P2769" s="5"/>
      <c r="Q2769" s="5"/>
      <c r="R2769" s="8"/>
      <c r="S2769" s="8"/>
      <c r="T2769" s="3"/>
    </row>
    <row r="2770" spans="14:20" x14ac:dyDescent="0.3">
      <c r="N2770" s="5"/>
      <c r="O2770" s="5"/>
      <c r="P2770" s="5"/>
      <c r="Q2770" s="5"/>
      <c r="R2770" s="8"/>
      <c r="S2770" s="8"/>
      <c r="T2770" s="3"/>
    </row>
    <row r="2771" spans="14:20" x14ac:dyDescent="0.3">
      <c r="N2771" s="5"/>
      <c r="O2771" s="5"/>
      <c r="P2771" s="5"/>
      <c r="Q2771" s="5"/>
      <c r="R2771" s="8"/>
      <c r="S2771" s="8"/>
      <c r="T2771" s="3"/>
    </row>
    <row r="2772" spans="14:20" x14ac:dyDescent="0.3">
      <c r="N2772" s="5"/>
      <c r="O2772" s="5"/>
      <c r="P2772" s="5"/>
      <c r="Q2772" s="5"/>
      <c r="R2772" s="8"/>
      <c r="S2772" s="8"/>
      <c r="T2772" s="3"/>
    </row>
    <row r="2773" spans="14:20" x14ac:dyDescent="0.3">
      <c r="N2773" s="5"/>
      <c r="O2773" s="5"/>
      <c r="P2773" s="5"/>
      <c r="Q2773" s="5"/>
      <c r="R2773" s="8"/>
      <c r="S2773" s="8"/>
      <c r="T2773" s="3"/>
    </row>
    <row r="2774" spans="14:20" x14ac:dyDescent="0.3">
      <c r="N2774" s="5"/>
      <c r="O2774" s="5"/>
      <c r="P2774" s="5"/>
      <c r="Q2774" s="5"/>
      <c r="R2774" s="8"/>
      <c r="S2774" s="8"/>
      <c r="T2774" s="3"/>
    </row>
    <row r="2775" spans="14:20" x14ac:dyDescent="0.3">
      <c r="N2775" s="5"/>
      <c r="O2775" s="5"/>
      <c r="P2775" s="5"/>
      <c r="Q2775" s="5"/>
      <c r="R2775" s="8"/>
      <c r="S2775" s="8"/>
      <c r="T2775" s="3"/>
    </row>
    <row r="2776" spans="14:20" x14ac:dyDescent="0.3">
      <c r="N2776" s="5"/>
      <c r="O2776" s="5"/>
      <c r="P2776" s="5"/>
      <c r="Q2776" s="5"/>
      <c r="R2776" s="8"/>
      <c r="S2776" s="8"/>
      <c r="T2776" s="3"/>
    </row>
    <row r="2777" spans="14:20" x14ac:dyDescent="0.3">
      <c r="N2777" s="5"/>
      <c r="O2777" s="5"/>
      <c r="P2777" s="5"/>
      <c r="Q2777" s="5"/>
      <c r="R2777" s="8"/>
      <c r="S2777" s="8"/>
      <c r="T2777" s="3"/>
    </row>
    <row r="2778" spans="14:20" x14ac:dyDescent="0.3">
      <c r="N2778" s="5"/>
      <c r="O2778" s="5"/>
      <c r="P2778" s="5"/>
      <c r="Q2778" s="5"/>
      <c r="R2778" s="8"/>
      <c r="S2778" s="8"/>
      <c r="T2778" s="3"/>
    </row>
    <row r="2779" spans="14:20" x14ac:dyDescent="0.3">
      <c r="N2779" s="5"/>
      <c r="O2779" s="5"/>
      <c r="P2779" s="5"/>
      <c r="Q2779" s="5"/>
      <c r="R2779" s="8"/>
      <c r="S2779" s="8"/>
      <c r="T2779" s="3"/>
    </row>
    <row r="2780" spans="14:20" x14ac:dyDescent="0.3">
      <c r="N2780" s="5"/>
      <c r="O2780" s="5"/>
      <c r="P2780" s="5"/>
      <c r="Q2780" s="5"/>
      <c r="R2780" s="8"/>
      <c r="S2780" s="8"/>
      <c r="T2780" s="3"/>
    </row>
    <row r="2781" spans="14:20" x14ac:dyDescent="0.3">
      <c r="N2781" s="5"/>
      <c r="O2781" s="5"/>
      <c r="P2781" s="5"/>
      <c r="Q2781" s="5"/>
      <c r="R2781" s="8"/>
      <c r="S2781" s="8"/>
      <c r="T2781" s="3"/>
    </row>
    <row r="2782" spans="14:20" x14ac:dyDescent="0.3">
      <c r="N2782" s="5"/>
      <c r="O2782" s="5"/>
      <c r="P2782" s="5"/>
      <c r="Q2782" s="5"/>
      <c r="R2782" s="8"/>
      <c r="S2782" s="8"/>
      <c r="T2782" s="3"/>
    </row>
    <row r="2783" spans="14:20" x14ac:dyDescent="0.3">
      <c r="N2783" s="5"/>
      <c r="O2783" s="5"/>
      <c r="P2783" s="5"/>
      <c r="Q2783" s="5"/>
      <c r="R2783" s="8"/>
      <c r="S2783" s="8"/>
      <c r="T2783" s="3"/>
    </row>
    <row r="2784" spans="14:20" x14ac:dyDescent="0.3">
      <c r="N2784" s="5"/>
      <c r="O2784" s="5"/>
      <c r="P2784" s="5"/>
      <c r="Q2784" s="5"/>
      <c r="R2784" s="8"/>
      <c r="S2784" s="8"/>
      <c r="T2784" s="3"/>
    </row>
    <row r="2785" spans="14:20" x14ac:dyDescent="0.3">
      <c r="N2785" s="5"/>
      <c r="O2785" s="5"/>
      <c r="P2785" s="5"/>
      <c r="Q2785" s="5"/>
      <c r="R2785" s="8"/>
      <c r="S2785" s="8"/>
      <c r="T2785" s="3"/>
    </row>
    <row r="2786" spans="14:20" x14ac:dyDescent="0.3">
      <c r="N2786" s="5"/>
      <c r="O2786" s="5"/>
      <c r="P2786" s="5"/>
      <c r="Q2786" s="5"/>
      <c r="R2786" s="8"/>
      <c r="S2786" s="8"/>
      <c r="T2786" s="3"/>
    </row>
    <row r="2787" spans="14:20" x14ac:dyDescent="0.3">
      <c r="N2787" s="5"/>
      <c r="O2787" s="5"/>
      <c r="P2787" s="5"/>
      <c r="Q2787" s="5"/>
      <c r="R2787" s="8"/>
      <c r="S2787" s="8"/>
      <c r="T2787" s="3"/>
    </row>
    <row r="2788" spans="14:20" x14ac:dyDescent="0.3">
      <c r="N2788" s="5"/>
      <c r="O2788" s="5"/>
      <c r="P2788" s="5"/>
      <c r="Q2788" s="5"/>
      <c r="R2788" s="8"/>
      <c r="S2788" s="8"/>
      <c r="T2788" s="3"/>
    </row>
    <row r="2789" spans="14:20" x14ac:dyDescent="0.3">
      <c r="N2789" s="5"/>
      <c r="O2789" s="5"/>
      <c r="P2789" s="5"/>
      <c r="Q2789" s="5"/>
      <c r="R2789" s="8"/>
      <c r="S2789" s="8"/>
      <c r="T2789" s="3"/>
    </row>
    <row r="2790" spans="14:20" x14ac:dyDescent="0.3">
      <c r="N2790" s="5"/>
      <c r="O2790" s="5"/>
      <c r="P2790" s="5"/>
      <c r="Q2790" s="5"/>
      <c r="R2790" s="8"/>
      <c r="S2790" s="8"/>
      <c r="T2790" s="3"/>
    </row>
    <row r="2791" spans="14:20" x14ac:dyDescent="0.3">
      <c r="N2791" s="5"/>
      <c r="O2791" s="5"/>
      <c r="P2791" s="5"/>
      <c r="Q2791" s="5"/>
      <c r="R2791" s="8"/>
      <c r="S2791" s="8"/>
      <c r="T2791" s="3"/>
    </row>
    <row r="2792" spans="14:20" x14ac:dyDescent="0.3">
      <c r="N2792" s="5"/>
      <c r="O2792" s="5"/>
      <c r="P2792" s="5"/>
      <c r="Q2792" s="5"/>
      <c r="R2792" s="8"/>
      <c r="S2792" s="8"/>
      <c r="T2792" s="3"/>
    </row>
    <row r="2793" spans="14:20" x14ac:dyDescent="0.3">
      <c r="N2793" s="5"/>
      <c r="O2793" s="5"/>
      <c r="P2793" s="5"/>
      <c r="Q2793" s="5"/>
      <c r="R2793" s="8"/>
      <c r="S2793" s="8"/>
      <c r="T2793" s="3"/>
    </row>
    <row r="2794" spans="14:20" x14ac:dyDescent="0.3">
      <c r="N2794" s="5"/>
      <c r="O2794" s="5"/>
      <c r="P2794" s="5"/>
      <c r="Q2794" s="5"/>
      <c r="R2794" s="8"/>
      <c r="S2794" s="8"/>
      <c r="T2794" s="3"/>
    </row>
    <row r="2795" spans="14:20" x14ac:dyDescent="0.3">
      <c r="N2795" s="5"/>
      <c r="O2795" s="5"/>
      <c r="P2795" s="5"/>
      <c r="Q2795" s="5"/>
      <c r="R2795" s="8"/>
      <c r="S2795" s="8"/>
      <c r="T2795" s="3"/>
    </row>
    <row r="2796" spans="14:20" x14ac:dyDescent="0.3">
      <c r="N2796" s="5"/>
      <c r="O2796" s="5"/>
      <c r="P2796" s="5"/>
      <c r="Q2796" s="5"/>
      <c r="R2796" s="8"/>
      <c r="S2796" s="8"/>
      <c r="T2796" s="3"/>
    </row>
    <row r="2797" spans="14:20" x14ac:dyDescent="0.3">
      <c r="N2797" s="5"/>
      <c r="O2797" s="5"/>
      <c r="P2797" s="5"/>
      <c r="Q2797" s="5"/>
      <c r="R2797" s="8"/>
      <c r="S2797" s="8"/>
      <c r="T2797" s="3"/>
    </row>
    <row r="2798" spans="14:20" x14ac:dyDescent="0.3">
      <c r="N2798" s="5"/>
      <c r="O2798" s="5"/>
      <c r="P2798" s="5"/>
      <c r="Q2798" s="5"/>
      <c r="R2798" s="8"/>
      <c r="S2798" s="8"/>
      <c r="T2798" s="3"/>
    </row>
    <row r="2799" spans="14:20" x14ac:dyDescent="0.3">
      <c r="N2799" s="5"/>
      <c r="O2799" s="5"/>
      <c r="P2799" s="5"/>
      <c r="Q2799" s="5"/>
      <c r="R2799" s="8"/>
      <c r="S2799" s="8"/>
      <c r="T2799" s="3"/>
    </row>
    <row r="2800" spans="14:20" x14ac:dyDescent="0.3">
      <c r="N2800" s="5"/>
      <c r="O2800" s="5"/>
      <c r="P2800" s="5"/>
      <c r="Q2800" s="5"/>
      <c r="R2800" s="8"/>
      <c r="S2800" s="8"/>
      <c r="T2800" s="3"/>
    </row>
    <row r="2801" spans="14:20" x14ac:dyDescent="0.3">
      <c r="N2801" s="5"/>
      <c r="O2801" s="5"/>
      <c r="P2801" s="5"/>
      <c r="Q2801" s="5"/>
      <c r="R2801" s="8"/>
      <c r="S2801" s="8"/>
      <c r="T2801" s="3"/>
    </row>
    <row r="2802" spans="14:20" x14ac:dyDescent="0.3">
      <c r="N2802" s="5"/>
      <c r="O2802" s="5"/>
      <c r="P2802" s="5"/>
      <c r="Q2802" s="5"/>
      <c r="R2802" s="8"/>
      <c r="S2802" s="8"/>
      <c r="T2802" s="3"/>
    </row>
    <row r="2803" spans="14:20" x14ac:dyDescent="0.3">
      <c r="N2803" s="5"/>
      <c r="O2803" s="5"/>
      <c r="P2803" s="5"/>
      <c r="Q2803" s="5"/>
      <c r="R2803" s="8"/>
      <c r="S2803" s="8"/>
      <c r="T2803" s="3"/>
    </row>
    <row r="2804" spans="14:20" x14ac:dyDescent="0.3">
      <c r="N2804" s="5"/>
      <c r="O2804" s="5"/>
      <c r="P2804" s="5"/>
      <c r="Q2804" s="5"/>
      <c r="R2804" s="8"/>
      <c r="S2804" s="8"/>
      <c r="T2804" s="3"/>
    </row>
    <row r="2805" spans="14:20" x14ac:dyDescent="0.3">
      <c r="N2805" s="5"/>
      <c r="O2805" s="5"/>
      <c r="P2805" s="5"/>
      <c r="Q2805" s="5"/>
      <c r="R2805" s="8"/>
      <c r="S2805" s="8"/>
      <c r="T2805" s="3"/>
    </row>
    <row r="2806" spans="14:20" x14ac:dyDescent="0.3">
      <c r="N2806" s="5"/>
      <c r="O2806" s="5"/>
      <c r="P2806" s="5"/>
      <c r="Q2806" s="5"/>
      <c r="R2806" s="8"/>
      <c r="S2806" s="8"/>
      <c r="T2806" s="3"/>
    </row>
    <row r="2807" spans="14:20" x14ac:dyDescent="0.3">
      <c r="N2807" s="5"/>
      <c r="O2807" s="5"/>
      <c r="P2807" s="5"/>
      <c r="Q2807" s="5"/>
      <c r="R2807" s="8"/>
      <c r="S2807" s="8"/>
      <c r="T2807" s="3"/>
    </row>
    <row r="2808" spans="14:20" x14ac:dyDescent="0.3">
      <c r="N2808" s="5"/>
      <c r="O2808" s="5"/>
      <c r="P2808" s="5"/>
      <c r="Q2808" s="5"/>
      <c r="R2808" s="8"/>
      <c r="S2808" s="8"/>
      <c r="T2808" s="3"/>
    </row>
    <row r="2809" spans="14:20" x14ac:dyDescent="0.3">
      <c r="N2809" s="5"/>
      <c r="O2809" s="5"/>
      <c r="P2809" s="5"/>
      <c r="Q2809" s="5"/>
      <c r="R2809" s="8"/>
      <c r="S2809" s="8"/>
      <c r="T2809" s="3"/>
    </row>
    <row r="2810" spans="14:20" x14ac:dyDescent="0.3">
      <c r="N2810" s="5"/>
      <c r="O2810" s="5"/>
      <c r="P2810" s="5"/>
      <c r="Q2810" s="5"/>
      <c r="R2810" s="8"/>
      <c r="S2810" s="8"/>
      <c r="T2810" s="3"/>
    </row>
    <row r="2811" spans="14:20" x14ac:dyDescent="0.3">
      <c r="N2811" s="5"/>
      <c r="O2811" s="5"/>
      <c r="P2811" s="5"/>
      <c r="Q2811" s="5"/>
      <c r="R2811" s="8"/>
      <c r="S2811" s="8"/>
      <c r="T2811" s="3"/>
    </row>
    <row r="2812" spans="14:20" x14ac:dyDescent="0.3">
      <c r="N2812" s="5"/>
      <c r="O2812" s="5"/>
      <c r="P2812" s="5"/>
      <c r="Q2812" s="5"/>
      <c r="R2812" s="8"/>
      <c r="S2812" s="8"/>
      <c r="T2812" s="3"/>
    </row>
    <row r="2813" spans="14:20" x14ac:dyDescent="0.3">
      <c r="N2813" s="5"/>
      <c r="O2813" s="5"/>
      <c r="P2813" s="5"/>
      <c r="Q2813" s="5"/>
      <c r="R2813" s="8"/>
      <c r="S2813" s="8"/>
      <c r="T2813" s="3"/>
    </row>
    <row r="2814" spans="14:20" x14ac:dyDescent="0.3">
      <c r="N2814" s="5"/>
      <c r="O2814" s="5"/>
      <c r="P2814" s="5"/>
      <c r="Q2814" s="5"/>
      <c r="R2814" s="8"/>
      <c r="S2814" s="8"/>
      <c r="T2814" s="3"/>
    </row>
    <row r="2815" spans="14:20" x14ac:dyDescent="0.3">
      <c r="N2815" s="5"/>
      <c r="O2815" s="5"/>
      <c r="P2815" s="5"/>
      <c r="Q2815" s="5"/>
      <c r="R2815" s="8"/>
      <c r="S2815" s="8"/>
      <c r="T2815" s="3"/>
    </row>
    <row r="2816" spans="14:20" x14ac:dyDescent="0.3">
      <c r="N2816" s="5"/>
      <c r="O2816" s="5"/>
      <c r="P2816" s="5"/>
      <c r="Q2816" s="5"/>
      <c r="R2816" s="8"/>
      <c r="S2816" s="8"/>
      <c r="T2816" s="3"/>
    </row>
    <row r="2817" spans="14:20" x14ac:dyDescent="0.3">
      <c r="N2817" s="5"/>
      <c r="O2817" s="5"/>
      <c r="P2817" s="5"/>
      <c r="Q2817" s="5"/>
      <c r="R2817" s="8"/>
      <c r="S2817" s="8"/>
      <c r="T2817" s="3"/>
    </row>
    <row r="2818" spans="14:20" x14ac:dyDescent="0.3">
      <c r="N2818" s="5"/>
      <c r="O2818" s="5"/>
      <c r="P2818" s="5"/>
      <c r="Q2818" s="5"/>
      <c r="R2818" s="8"/>
      <c r="S2818" s="8"/>
      <c r="T2818" s="3"/>
    </row>
    <row r="2819" spans="14:20" x14ac:dyDescent="0.3">
      <c r="N2819" s="5"/>
      <c r="O2819" s="5"/>
      <c r="P2819" s="5"/>
      <c r="Q2819" s="5"/>
      <c r="R2819" s="8"/>
      <c r="S2819" s="8"/>
      <c r="T2819" s="3"/>
    </row>
    <row r="2820" spans="14:20" x14ac:dyDescent="0.3">
      <c r="N2820" s="5"/>
      <c r="O2820" s="5"/>
      <c r="P2820" s="5"/>
      <c r="Q2820" s="5"/>
      <c r="R2820" s="8"/>
      <c r="S2820" s="8"/>
      <c r="T2820" s="3"/>
    </row>
    <row r="2821" spans="14:20" x14ac:dyDescent="0.3">
      <c r="N2821" s="5"/>
      <c r="O2821" s="5"/>
      <c r="P2821" s="5"/>
      <c r="Q2821" s="5"/>
      <c r="R2821" s="8"/>
      <c r="S2821" s="8"/>
      <c r="T2821" s="3"/>
    </row>
    <row r="2822" spans="14:20" x14ac:dyDescent="0.3">
      <c r="N2822" s="5"/>
      <c r="O2822" s="5"/>
      <c r="P2822" s="5"/>
      <c r="Q2822" s="5"/>
      <c r="R2822" s="8"/>
      <c r="S2822" s="8"/>
      <c r="T2822" s="3"/>
    </row>
    <row r="2823" spans="14:20" x14ac:dyDescent="0.3">
      <c r="N2823" s="5"/>
      <c r="O2823" s="5"/>
      <c r="P2823" s="5"/>
      <c r="Q2823" s="5"/>
      <c r="R2823" s="8"/>
      <c r="S2823" s="8"/>
      <c r="T2823" s="3"/>
    </row>
    <row r="2824" spans="14:20" x14ac:dyDescent="0.3">
      <c r="N2824" s="5"/>
      <c r="O2824" s="5"/>
      <c r="P2824" s="5"/>
      <c r="Q2824" s="5"/>
      <c r="R2824" s="8"/>
      <c r="S2824" s="8"/>
      <c r="T2824" s="3"/>
    </row>
    <row r="2825" spans="14:20" x14ac:dyDescent="0.3">
      <c r="N2825" s="5"/>
      <c r="O2825" s="5"/>
      <c r="P2825" s="5"/>
      <c r="Q2825" s="5"/>
      <c r="R2825" s="8"/>
      <c r="S2825" s="8"/>
      <c r="T2825" s="3"/>
    </row>
    <row r="2826" spans="14:20" x14ac:dyDescent="0.3">
      <c r="N2826" s="5"/>
      <c r="O2826" s="5"/>
      <c r="P2826" s="5"/>
      <c r="Q2826" s="5"/>
      <c r="R2826" s="8"/>
      <c r="S2826" s="8"/>
      <c r="T2826" s="3"/>
    </row>
    <row r="2827" spans="14:20" x14ac:dyDescent="0.3">
      <c r="N2827" s="5"/>
      <c r="O2827" s="5"/>
      <c r="P2827" s="5"/>
      <c r="Q2827" s="5"/>
      <c r="R2827" s="8"/>
      <c r="S2827" s="8"/>
      <c r="T2827" s="3"/>
    </row>
    <row r="2828" spans="14:20" x14ac:dyDescent="0.3">
      <c r="N2828" s="5"/>
      <c r="O2828" s="5"/>
      <c r="P2828" s="5"/>
      <c r="Q2828" s="5"/>
      <c r="R2828" s="8"/>
      <c r="S2828" s="8"/>
      <c r="T2828" s="3"/>
    </row>
    <row r="2829" spans="14:20" x14ac:dyDescent="0.3">
      <c r="N2829" s="5"/>
      <c r="O2829" s="5"/>
      <c r="P2829" s="5"/>
      <c r="Q2829" s="5"/>
      <c r="R2829" s="8"/>
      <c r="S2829" s="8"/>
      <c r="T2829" s="3"/>
    </row>
    <row r="2830" spans="14:20" x14ac:dyDescent="0.3">
      <c r="N2830" s="5"/>
      <c r="O2830" s="5"/>
      <c r="P2830" s="5"/>
      <c r="Q2830" s="5"/>
      <c r="R2830" s="8"/>
      <c r="S2830" s="8"/>
      <c r="T2830" s="3"/>
    </row>
    <row r="2831" spans="14:20" x14ac:dyDescent="0.3">
      <c r="N2831" s="5"/>
      <c r="O2831" s="5"/>
      <c r="P2831" s="5"/>
      <c r="Q2831" s="5"/>
      <c r="R2831" s="8"/>
      <c r="S2831" s="8"/>
      <c r="T2831" s="3"/>
    </row>
    <row r="2832" spans="14:20" x14ac:dyDescent="0.3">
      <c r="N2832" s="5"/>
      <c r="O2832" s="5"/>
      <c r="P2832" s="5"/>
      <c r="Q2832" s="5"/>
      <c r="R2832" s="8"/>
      <c r="S2832" s="8"/>
      <c r="T2832" s="3"/>
    </row>
    <row r="2833" spans="14:20" x14ac:dyDescent="0.3">
      <c r="N2833" s="5"/>
      <c r="O2833" s="5"/>
      <c r="P2833" s="5"/>
      <c r="Q2833" s="5"/>
      <c r="R2833" s="8"/>
      <c r="S2833" s="8"/>
      <c r="T2833" s="3"/>
    </row>
    <row r="2834" spans="14:20" x14ac:dyDescent="0.3">
      <c r="N2834" s="5"/>
      <c r="O2834" s="5"/>
      <c r="P2834" s="5"/>
      <c r="Q2834" s="5"/>
      <c r="R2834" s="8"/>
      <c r="S2834" s="8"/>
      <c r="T2834" s="3"/>
    </row>
    <row r="2835" spans="14:20" x14ac:dyDescent="0.3">
      <c r="N2835" s="5"/>
      <c r="O2835" s="5"/>
      <c r="P2835" s="5"/>
      <c r="Q2835" s="5"/>
      <c r="R2835" s="8"/>
      <c r="S2835" s="8"/>
      <c r="T2835" s="3"/>
    </row>
    <row r="2836" spans="14:20" x14ac:dyDescent="0.3">
      <c r="N2836" s="5"/>
      <c r="O2836" s="5"/>
      <c r="P2836" s="5"/>
      <c r="Q2836" s="5"/>
      <c r="R2836" s="8"/>
      <c r="S2836" s="8"/>
      <c r="T2836" s="3"/>
    </row>
    <row r="2837" spans="14:20" x14ac:dyDescent="0.3">
      <c r="N2837" s="5"/>
      <c r="O2837" s="5"/>
      <c r="P2837" s="5"/>
      <c r="Q2837" s="5"/>
      <c r="R2837" s="8"/>
      <c r="S2837" s="8"/>
      <c r="T2837" s="3"/>
    </row>
    <row r="2838" spans="14:20" x14ac:dyDescent="0.3">
      <c r="N2838" s="5"/>
      <c r="O2838" s="5"/>
      <c r="P2838" s="5"/>
      <c r="Q2838" s="5"/>
      <c r="R2838" s="8"/>
      <c r="S2838" s="8"/>
      <c r="T2838" s="3"/>
    </row>
    <row r="2839" spans="14:20" x14ac:dyDescent="0.3">
      <c r="N2839" s="5"/>
      <c r="O2839" s="5"/>
      <c r="P2839" s="5"/>
      <c r="Q2839" s="5"/>
      <c r="R2839" s="8"/>
      <c r="S2839" s="8"/>
      <c r="T2839" s="3"/>
    </row>
    <row r="2840" spans="14:20" x14ac:dyDescent="0.3">
      <c r="N2840" s="5"/>
      <c r="O2840" s="5"/>
      <c r="P2840" s="5"/>
      <c r="Q2840" s="5"/>
      <c r="R2840" s="8"/>
      <c r="S2840" s="8"/>
      <c r="T2840" s="3"/>
    </row>
    <row r="2841" spans="14:20" x14ac:dyDescent="0.3">
      <c r="N2841" s="5"/>
      <c r="O2841" s="5"/>
      <c r="P2841" s="5"/>
      <c r="Q2841" s="5"/>
      <c r="R2841" s="8"/>
      <c r="S2841" s="8"/>
      <c r="T2841" s="3"/>
    </row>
    <row r="2842" spans="14:20" x14ac:dyDescent="0.3">
      <c r="N2842" s="5"/>
      <c r="O2842" s="5"/>
      <c r="P2842" s="5"/>
      <c r="Q2842" s="5"/>
      <c r="R2842" s="8"/>
      <c r="S2842" s="8"/>
      <c r="T2842" s="3"/>
    </row>
    <row r="2843" spans="14:20" x14ac:dyDescent="0.3">
      <c r="N2843" s="5"/>
      <c r="O2843" s="5"/>
      <c r="P2843" s="5"/>
      <c r="Q2843" s="5"/>
      <c r="R2843" s="8"/>
      <c r="S2843" s="8"/>
      <c r="T2843" s="3"/>
    </row>
    <row r="2844" spans="14:20" x14ac:dyDescent="0.3">
      <c r="N2844" s="5"/>
      <c r="O2844" s="5"/>
      <c r="P2844" s="5"/>
      <c r="Q2844" s="5"/>
      <c r="R2844" s="8"/>
      <c r="S2844" s="8"/>
      <c r="T2844" s="3"/>
    </row>
    <row r="2845" spans="14:20" x14ac:dyDescent="0.3">
      <c r="N2845" s="5"/>
      <c r="O2845" s="5"/>
      <c r="P2845" s="5"/>
      <c r="Q2845" s="5"/>
      <c r="R2845" s="8"/>
      <c r="S2845" s="8"/>
      <c r="T2845" s="3"/>
    </row>
    <row r="2846" spans="14:20" x14ac:dyDescent="0.3">
      <c r="N2846" s="5"/>
      <c r="O2846" s="5"/>
      <c r="P2846" s="5"/>
      <c r="Q2846" s="5"/>
      <c r="R2846" s="8"/>
      <c r="S2846" s="8"/>
      <c r="T2846" s="3"/>
    </row>
    <row r="2847" spans="14:20" x14ac:dyDescent="0.3">
      <c r="N2847" s="5"/>
      <c r="O2847" s="5"/>
      <c r="P2847" s="5"/>
      <c r="Q2847" s="5"/>
      <c r="R2847" s="8"/>
      <c r="S2847" s="8"/>
      <c r="T2847" s="3"/>
    </row>
    <row r="2848" spans="14:20" x14ac:dyDescent="0.3">
      <c r="N2848" s="5"/>
      <c r="O2848" s="5"/>
      <c r="P2848" s="5"/>
      <c r="Q2848" s="5"/>
      <c r="R2848" s="8"/>
      <c r="S2848" s="8"/>
      <c r="T2848" s="3"/>
    </row>
    <row r="2849" spans="14:20" x14ac:dyDescent="0.3">
      <c r="N2849" s="5"/>
      <c r="O2849" s="5"/>
      <c r="P2849" s="5"/>
      <c r="Q2849" s="5"/>
      <c r="R2849" s="8"/>
      <c r="S2849" s="8"/>
      <c r="T2849" s="3"/>
    </row>
    <row r="2850" spans="14:20" x14ac:dyDescent="0.3">
      <c r="N2850" s="5"/>
      <c r="O2850" s="5"/>
      <c r="P2850" s="5"/>
      <c r="Q2850" s="5"/>
      <c r="R2850" s="8"/>
      <c r="S2850" s="8"/>
      <c r="T2850" s="3"/>
    </row>
    <row r="2851" spans="14:20" x14ac:dyDescent="0.3">
      <c r="N2851" s="5"/>
      <c r="O2851" s="5"/>
      <c r="P2851" s="5"/>
      <c r="Q2851" s="5"/>
      <c r="R2851" s="8"/>
      <c r="S2851" s="8"/>
      <c r="T2851" s="3"/>
    </row>
    <row r="2852" spans="14:20" x14ac:dyDescent="0.3">
      <c r="N2852" s="5"/>
      <c r="O2852" s="5"/>
      <c r="P2852" s="5"/>
      <c r="Q2852" s="5"/>
      <c r="R2852" s="8"/>
      <c r="S2852" s="8"/>
      <c r="T2852" s="3"/>
    </row>
    <row r="2853" spans="14:20" x14ac:dyDescent="0.3">
      <c r="N2853" s="5"/>
      <c r="O2853" s="5"/>
      <c r="P2853" s="5"/>
      <c r="Q2853" s="5"/>
      <c r="R2853" s="8"/>
      <c r="S2853" s="8"/>
      <c r="T2853" s="3"/>
    </row>
    <row r="2854" spans="14:20" x14ac:dyDescent="0.3">
      <c r="N2854" s="5"/>
      <c r="O2854" s="5"/>
      <c r="P2854" s="5"/>
      <c r="Q2854" s="5"/>
      <c r="R2854" s="8"/>
      <c r="S2854" s="8"/>
      <c r="T2854" s="3"/>
    </row>
    <row r="2855" spans="14:20" x14ac:dyDescent="0.3">
      <c r="N2855" s="5"/>
      <c r="O2855" s="5"/>
      <c r="P2855" s="5"/>
      <c r="Q2855" s="5"/>
      <c r="R2855" s="8"/>
      <c r="S2855" s="8"/>
      <c r="T2855" s="3"/>
    </row>
    <row r="2856" spans="14:20" x14ac:dyDescent="0.3">
      <c r="N2856" s="5"/>
      <c r="O2856" s="5"/>
      <c r="P2856" s="5"/>
      <c r="Q2856" s="5"/>
      <c r="R2856" s="8"/>
      <c r="S2856" s="8"/>
      <c r="T2856" s="3"/>
    </row>
    <row r="2857" spans="14:20" x14ac:dyDescent="0.3">
      <c r="N2857" s="5"/>
      <c r="O2857" s="5"/>
      <c r="P2857" s="5"/>
      <c r="Q2857" s="5"/>
      <c r="R2857" s="8"/>
      <c r="S2857" s="8"/>
      <c r="T2857" s="3"/>
    </row>
    <row r="2858" spans="14:20" x14ac:dyDescent="0.3">
      <c r="N2858" s="5"/>
      <c r="O2858" s="5"/>
      <c r="P2858" s="5"/>
      <c r="Q2858" s="5"/>
      <c r="R2858" s="8"/>
      <c r="S2858" s="8"/>
      <c r="T2858" s="3"/>
    </row>
    <row r="2859" spans="14:20" x14ac:dyDescent="0.3">
      <c r="N2859" s="5"/>
      <c r="O2859" s="5"/>
      <c r="P2859" s="5"/>
      <c r="Q2859" s="5"/>
      <c r="R2859" s="8"/>
      <c r="S2859" s="8"/>
      <c r="T2859" s="3"/>
    </row>
    <row r="2860" spans="14:20" x14ac:dyDescent="0.3">
      <c r="N2860" s="5"/>
      <c r="O2860" s="5"/>
      <c r="P2860" s="5"/>
      <c r="Q2860" s="5"/>
      <c r="R2860" s="8"/>
      <c r="S2860" s="8"/>
      <c r="T2860" s="3"/>
    </row>
    <row r="2861" spans="14:20" x14ac:dyDescent="0.3">
      <c r="N2861" s="5"/>
      <c r="O2861" s="5"/>
      <c r="P2861" s="5"/>
      <c r="Q2861" s="5"/>
      <c r="R2861" s="8"/>
      <c r="S2861" s="8"/>
      <c r="T2861" s="3"/>
    </row>
    <row r="2862" spans="14:20" x14ac:dyDescent="0.3">
      <c r="N2862" s="5"/>
      <c r="O2862" s="5"/>
      <c r="P2862" s="5"/>
      <c r="Q2862" s="5"/>
      <c r="R2862" s="8"/>
      <c r="S2862" s="8"/>
      <c r="T2862" s="3"/>
    </row>
    <row r="2863" spans="14:20" x14ac:dyDescent="0.3">
      <c r="N2863" s="5"/>
      <c r="O2863" s="5"/>
      <c r="P2863" s="5"/>
      <c r="Q2863" s="5"/>
      <c r="R2863" s="8"/>
      <c r="S2863" s="8"/>
      <c r="T2863" s="3"/>
    </row>
    <row r="2864" spans="14:20" x14ac:dyDescent="0.3">
      <c r="N2864" s="5"/>
      <c r="O2864" s="5"/>
      <c r="P2864" s="5"/>
      <c r="Q2864" s="5"/>
      <c r="R2864" s="8"/>
      <c r="S2864" s="8"/>
      <c r="T2864" s="3"/>
    </row>
    <row r="2865" spans="14:20" x14ac:dyDescent="0.3">
      <c r="N2865" s="5"/>
      <c r="O2865" s="5"/>
      <c r="P2865" s="5"/>
      <c r="Q2865" s="5"/>
      <c r="R2865" s="8"/>
      <c r="S2865" s="8"/>
      <c r="T2865" s="3"/>
    </row>
    <row r="2866" spans="14:20" x14ac:dyDescent="0.3">
      <c r="N2866" s="5"/>
      <c r="O2866" s="5"/>
      <c r="P2866" s="5"/>
      <c r="Q2866" s="5"/>
      <c r="R2866" s="8"/>
      <c r="S2866" s="8"/>
      <c r="T2866" s="3"/>
    </row>
    <row r="2867" spans="14:20" x14ac:dyDescent="0.3">
      <c r="N2867" s="5"/>
      <c r="O2867" s="5"/>
      <c r="P2867" s="5"/>
      <c r="Q2867" s="5"/>
      <c r="R2867" s="8"/>
      <c r="S2867" s="8"/>
      <c r="T2867" s="3"/>
    </row>
    <row r="2868" spans="14:20" x14ac:dyDescent="0.3">
      <c r="N2868" s="5"/>
      <c r="O2868" s="5"/>
      <c r="P2868" s="5"/>
      <c r="Q2868" s="5"/>
      <c r="R2868" s="8"/>
      <c r="S2868" s="8"/>
      <c r="T2868" s="3"/>
    </row>
    <row r="2869" spans="14:20" x14ac:dyDescent="0.3">
      <c r="N2869" s="5"/>
      <c r="O2869" s="5"/>
      <c r="P2869" s="5"/>
      <c r="Q2869" s="5"/>
      <c r="R2869" s="8"/>
      <c r="S2869" s="8"/>
      <c r="T2869" s="3"/>
    </row>
    <row r="2870" spans="14:20" x14ac:dyDescent="0.3">
      <c r="N2870" s="5"/>
      <c r="O2870" s="5"/>
      <c r="P2870" s="5"/>
      <c r="Q2870" s="5"/>
      <c r="R2870" s="8"/>
      <c r="S2870" s="8"/>
      <c r="T2870" s="3"/>
    </row>
    <row r="2871" spans="14:20" x14ac:dyDescent="0.3">
      <c r="N2871" s="5"/>
      <c r="O2871" s="5"/>
      <c r="P2871" s="5"/>
      <c r="Q2871" s="5"/>
      <c r="R2871" s="8"/>
      <c r="S2871" s="8"/>
      <c r="T2871" s="3"/>
    </row>
    <row r="2872" spans="14:20" x14ac:dyDescent="0.3">
      <c r="N2872" s="5"/>
      <c r="O2872" s="5"/>
      <c r="P2872" s="5"/>
      <c r="Q2872" s="5"/>
      <c r="R2872" s="8"/>
      <c r="S2872" s="8"/>
      <c r="T2872" s="3"/>
    </row>
    <row r="2873" spans="14:20" x14ac:dyDescent="0.3">
      <c r="N2873" s="5"/>
      <c r="O2873" s="5"/>
      <c r="P2873" s="5"/>
      <c r="Q2873" s="5"/>
      <c r="R2873" s="8"/>
      <c r="S2873" s="8"/>
      <c r="T2873" s="3"/>
    </row>
    <row r="2874" spans="14:20" x14ac:dyDescent="0.3">
      <c r="N2874" s="5"/>
      <c r="O2874" s="5"/>
      <c r="P2874" s="5"/>
      <c r="Q2874" s="5"/>
      <c r="R2874" s="8"/>
      <c r="S2874" s="8"/>
      <c r="T2874" s="3"/>
    </row>
    <row r="2875" spans="14:20" x14ac:dyDescent="0.3">
      <c r="N2875" s="5"/>
      <c r="O2875" s="5"/>
      <c r="P2875" s="5"/>
      <c r="Q2875" s="5"/>
      <c r="R2875" s="8"/>
      <c r="S2875" s="8"/>
      <c r="T2875" s="3"/>
    </row>
    <row r="2876" spans="14:20" x14ac:dyDescent="0.3">
      <c r="N2876" s="5"/>
      <c r="O2876" s="5"/>
      <c r="P2876" s="5"/>
      <c r="Q2876" s="5"/>
      <c r="R2876" s="8"/>
      <c r="S2876" s="8"/>
      <c r="T2876" s="3"/>
    </row>
    <row r="2877" spans="14:20" x14ac:dyDescent="0.3">
      <c r="N2877" s="5"/>
      <c r="O2877" s="5"/>
      <c r="P2877" s="5"/>
      <c r="Q2877" s="5"/>
      <c r="R2877" s="8"/>
      <c r="S2877" s="8"/>
      <c r="T2877" s="3"/>
    </row>
    <row r="2878" spans="14:20" x14ac:dyDescent="0.3">
      <c r="N2878" s="5"/>
      <c r="O2878" s="5"/>
      <c r="P2878" s="5"/>
      <c r="Q2878" s="5"/>
      <c r="R2878" s="8"/>
      <c r="S2878" s="8"/>
      <c r="T2878" s="3"/>
    </row>
    <row r="2879" spans="14:20" x14ac:dyDescent="0.3">
      <c r="N2879" s="5"/>
      <c r="O2879" s="5"/>
      <c r="P2879" s="5"/>
      <c r="Q2879" s="5"/>
      <c r="R2879" s="8"/>
      <c r="S2879" s="8"/>
      <c r="T2879" s="3"/>
    </row>
    <row r="2880" spans="14:20" x14ac:dyDescent="0.3">
      <c r="N2880" s="5"/>
      <c r="O2880" s="5"/>
      <c r="P2880" s="5"/>
      <c r="Q2880" s="5"/>
      <c r="R2880" s="8"/>
      <c r="S2880" s="8"/>
      <c r="T2880" s="3"/>
    </row>
    <row r="2881" spans="14:20" x14ac:dyDescent="0.3">
      <c r="N2881" s="5"/>
      <c r="O2881" s="5"/>
      <c r="P2881" s="5"/>
      <c r="Q2881" s="5"/>
      <c r="R2881" s="8"/>
      <c r="S2881" s="8"/>
      <c r="T2881" s="3"/>
    </row>
    <row r="2882" spans="14:20" x14ac:dyDescent="0.3">
      <c r="N2882" s="5"/>
      <c r="O2882" s="5"/>
      <c r="P2882" s="5"/>
      <c r="Q2882" s="5"/>
      <c r="R2882" s="8"/>
      <c r="S2882" s="8"/>
      <c r="T2882" s="3"/>
    </row>
    <row r="2883" spans="14:20" x14ac:dyDescent="0.3">
      <c r="N2883" s="5"/>
      <c r="O2883" s="5"/>
      <c r="P2883" s="5"/>
      <c r="Q2883" s="5"/>
      <c r="R2883" s="8"/>
      <c r="S2883" s="8"/>
      <c r="T2883" s="3"/>
    </row>
    <row r="2884" spans="14:20" x14ac:dyDescent="0.3">
      <c r="N2884" s="5"/>
      <c r="O2884" s="5"/>
      <c r="P2884" s="5"/>
      <c r="Q2884" s="5"/>
      <c r="R2884" s="8"/>
      <c r="S2884" s="8"/>
      <c r="T2884" s="3"/>
    </row>
    <row r="2885" spans="14:20" x14ac:dyDescent="0.3">
      <c r="N2885" s="5"/>
      <c r="O2885" s="5"/>
      <c r="P2885" s="5"/>
      <c r="Q2885" s="5"/>
      <c r="R2885" s="8"/>
      <c r="S2885" s="8"/>
      <c r="T2885" s="3"/>
    </row>
    <row r="2886" spans="14:20" x14ac:dyDescent="0.3">
      <c r="N2886" s="5"/>
      <c r="O2886" s="5"/>
      <c r="P2886" s="5"/>
      <c r="Q2886" s="5"/>
      <c r="R2886" s="8"/>
      <c r="S2886" s="8"/>
      <c r="T2886" s="3"/>
    </row>
    <row r="2887" spans="14:20" x14ac:dyDescent="0.3">
      <c r="N2887" s="5"/>
      <c r="O2887" s="5"/>
      <c r="P2887" s="5"/>
      <c r="Q2887" s="5"/>
      <c r="R2887" s="8"/>
      <c r="S2887" s="8"/>
      <c r="T2887" s="3"/>
    </row>
    <row r="2888" spans="14:20" x14ac:dyDescent="0.3">
      <c r="N2888" s="5"/>
      <c r="O2888" s="5"/>
      <c r="P2888" s="5"/>
      <c r="Q2888" s="5"/>
      <c r="R2888" s="8"/>
      <c r="S2888" s="8"/>
      <c r="T2888" s="3"/>
    </row>
    <row r="2889" spans="14:20" x14ac:dyDescent="0.3">
      <c r="N2889" s="5"/>
      <c r="O2889" s="5"/>
      <c r="P2889" s="5"/>
      <c r="Q2889" s="5"/>
      <c r="R2889" s="8"/>
      <c r="S2889" s="8"/>
      <c r="T2889" s="3"/>
    </row>
    <row r="2890" spans="14:20" x14ac:dyDescent="0.3">
      <c r="N2890" s="5"/>
      <c r="O2890" s="5"/>
      <c r="P2890" s="5"/>
      <c r="Q2890" s="5"/>
      <c r="R2890" s="8"/>
      <c r="S2890" s="8"/>
      <c r="T2890" s="3"/>
    </row>
    <row r="2891" spans="14:20" x14ac:dyDescent="0.3">
      <c r="N2891" s="5"/>
      <c r="O2891" s="5"/>
      <c r="P2891" s="5"/>
      <c r="Q2891" s="5"/>
      <c r="R2891" s="8"/>
      <c r="S2891" s="8"/>
      <c r="T2891" s="3"/>
    </row>
    <row r="2892" spans="14:20" x14ac:dyDescent="0.3">
      <c r="N2892" s="5"/>
      <c r="O2892" s="5"/>
      <c r="P2892" s="5"/>
      <c r="Q2892" s="5"/>
      <c r="R2892" s="8"/>
      <c r="S2892" s="8"/>
      <c r="T2892" s="3"/>
    </row>
    <row r="2893" spans="14:20" x14ac:dyDescent="0.3">
      <c r="N2893" s="5"/>
      <c r="O2893" s="5"/>
      <c r="P2893" s="5"/>
      <c r="Q2893" s="5"/>
      <c r="R2893" s="8"/>
      <c r="S2893" s="8"/>
      <c r="T2893" s="3"/>
    </row>
    <row r="2894" spans="14:20" x14ac:dyDescent="0.3">
      <c r="N2894" s="5"/>
      <c r="O2894" s="5"/>
      <c r="P2894" s="5"/>
      <c r="Q2894" s="5"/>
      <c r="R2894" s="8"/>
      <c r="S2894" s="8"/>
      <c r="T2894" s="3"/>
    </row>
    <row r="2895" spans="14:20" x14ac:dyDescent="0.3">
      <c r="N2895" s="5"/>
      <c r="O2895" s="5"/>
      <c r="P2895" s="5"/>
      <c r="Q2895" s="5"/>
      <c r="R2895" s="8"/>
      <c r="S2895" s="8"/>
      <c r="T2895" s="3"/>
    </row>
    <row r="2896" spans="14:20" x14ac:dyDescent="0.3">
      <c r="N2896" s="5"/>
      <c r="O2896" s="5"/>
      <c r="P2896" s="5"/>
      <c r="Q2896" s="5"/>
      <c r="R2896" s="8"/>
      <c r="S2896" s="8"/>
      <c r="T2896" s="3"/>
    </row>
    <row r="2897" spans="14:20" x14ac:dyDescent="0.3">
      <c r="N2897" s="5"/>
      <c r="O2897" s="5"/>
      <c r="P2897" s="5"/>
      <c r="Q2897" s="5"/>
      <c r="R2897" s="8"/>
      <c r="S2897" s="8"/>
      <c r="T2897" s="3"/>
    </row>
    <row r="2898" spans="14:20" x14ac:dyDescent="0.3">
      <c r="N2898" s="5"/>
      <c r="O2898" s="5"/>
      <c r="P2898" s="5"/>
      <c r="Q2898" s="5"/>
      <c r="R2898" s="8"/>
      <c r="S2898" s="8"/>
      <c r="T2898" s="3"/>
    </row>
    <row r="2899" spans="14:20" x14ac:dyDescent="0.3">
      <c r="N2899" s="5"/>
      <c r="O2899" s="5"/>
      <c r="P2899" s="5"/>
      <c r="Q2899" s="5"/>
      <c r="R2899" s="8"/>
      <c r="S2899" s="8"/>
      <c r="T2899" s="3"/>
    </row>
    <row r="2900" spans="14:20" x14ac:dyDescent="0.3">
      <c r="N2900" s="5"/>
      <c r="O2900" s="5"/>
      <c r="P2900" s="5"/>
      <c r="Q2900" s="5"/>
      <c r="R2900" s="8"/>
      <c r="S2900" s="8"/>
      <c r="T2900" s="3"/>
    </row>
    <row r="2901" spans="14:20" x14ac:dyDescent="0.3">
      <c r="N2901" s="5"/>
      <c r="O2901" s="5"/>
      <c r="P2901" s="5"/>
      <c r="Q2901" s="5"/>
      <c r="R2901" s="8"/>
      <c r="S2901" s="8"/>
      <c r="T2901" s="3"/>
    </row>
    <row r="2902" spans="14:20" x14ac:dyDescent="0.3">
      <c r="N2902" s="5"/>
      <c r="O2902" s="5"/>
      <c r="P2902" s="5"/>
      <c r="Q2902" s="5"/>
      <c r="R2902" s="8"/>
      <c r="S2902" s="8"/>
      <c r="T2902" s="3"/>
    </row>
    <row r="2903" spans="14:20" x14ac:dyDescent="0.3">
      <c r="N2903" s="5"/>
      <c r="O2903" s="5"/>
      <c r="P2903" s="5"/>
      <c r="Q2903" s="5"/>
      <c r="R2903" s="8"/>
      <c r="S2903" s="8"/>
      <c r="T2903" s="3"/>
    </row>
    <row r="2904" spans="14:20" x14ac:dyDescent="0.3">
      <c r="N2904" s="5"/>
      <c r="O2904" s="5"/>
      <c r="P2904" s="5"/>
      <c r="Q2904" s="5"/>
      <c r="R2904" s="8"/>
      <c r="S2904" s="8"/>
      <c r="T2904" s="3"/>
    </row>
    <row r="2905" spans="14:20" x14ac:dyDescent="0.3">
      <c r="N2905" s="5"/>
      <c r="O2905" s="5"/>
      <c r="P2905" s="5"/>
      <c r="Q2905" s="5"/>
      <c r="R2905" s="8"/>
      <c r="S2905" s="8"/>
      <c r="T2905" s="3"/>
    </row>
    <row r="2906" spans="14:20" x14ac:dyDescent="0.3">
      <c r="N2906" s="5"/>
      <c r="O2906" s="5"/>
      <c r="P2906" s="5"/>
      <c r="Q2906" s="5"/>
      <c r="R2906" s="8"/>
      <c r="S2906" s="8"/>
      <c r="T2906" s="3"/>
    </row>
    <row r="2907" spans="14:20" x14ac:dyDescent="0.3">
      <c r="N2907" s="5"/>
      <c r="O2907" s="5"/>
      <c r="P2907" s="5"/>
      <c r="Q2907" s="5"/>
      <c r="R2907" s="8"/>
      <c r="S2907" s="8"/>
      <c r="T2907" s="3"/>
    </row>
    <row r="2908" spans="14:20" x14ac:dyDescent="0.3">
      <c r="N2908" s="5"/>
      <c r="O2908" s="5"/>
      <c r="P2908" s="5"/>
      <c r="Q2908" s="5"/>
      <c r="R2908" s="8"/>
      <c r="S2908" s="8"/>
      <c r="T2908" s="3"/>
    </row>
    <row r="2909" spans="14:20" x14ac:dyDescent="0.3">
      <c r="N2909" s="5"/>
      <c r="O2909" s="5"/>
      <c r="P2909" s="5"/>
      <c r="Q2909" s="5"/>
      <c r="R2909" s="8"/>
      <c r="S2909" s="8"/>
      <c r="T2909" s="3"/>
    </row>
    <row r="2910" spans="14:20" x14ac:dyDescent="0.3">
      <c r="N2910" s="5"/>
      <c r="O2910" s="5"/>
      <c r="P2910" s="5"/>
      <c r="Q2910" s="5"/>
      <c r="R2910" s="8"/>
      <c r="S2910" s="8"/>
      <c r="T2910" s="3"/>
    </row>
    <row r="2911" spans="14:20" x14ac:dyDescent="0.3">
      <c r="N2911" s="5"/>
      <c r="O2911" s="5"/>
      <c r="P2911" s="5"/>
      <c r="Q2911" s="5"/>
      <c r="R2911" s="8"/>
      <c r="S2911" s="8"/>
      <c r="T2911" s="3"/>
    </row>
    <row r="2912" spans="14:20" x14ac:dyDescent="0.3">
      <c r="N2912" s="5"/>
      <c r="O2912" s="5"/>
      <c r="P2912" s="5"/>
      <c r="Q2912" s="5"/>
      <c r="R2912" s="8"/>
      <c r="S2912" s="8"/>
      <c r="T2912" s="3"/>
    </row>
    <row r="2913" spans="14:20" x14ac:dyDescent="0.3">
      <c r="N2913" s="5"/>
      <c r="O2913" s="5"/>
      <c r="P2913" s="5"/>
      <c r="Q2913" s="5"/>
      <c r="R2913" s="8"/>
      <c r="S2913" s="8"/>
      <c r="T2913" s="3"/>
    </row>
    <row r="2914" spans="14:20" x14ac:dyDescent="0.3">
      <c r="N2914" s="5"/>
      <c r="O2914" s="5"/>
      <c r="P2914" s="5"/>
      <c r="Q2914" s="5"/>
      <c r="R2914" s="8"/>
      <c r="S2914" s="8"/>
      <c r="T2914" s="3"/>
    </row>
    <row r="2915" spans="14:20" x14ac:dyDescent="0.3">
      <c r="N2915" s="5"/>
      <c r="O2915" s="5"/>
      <c r="P2915" s="5"/>
      <c r="Q2915" s="5"/>
      <c r="R2915" s="8"/>
      <c r="S2915" s="8"/>
      <c r="T2915" s="3"/>
    </row>
    <row r="2916" spans="14:20" x14ac:dyDescent="0.3">
      <c r="N2916" s="5"/>
      <c r="O2916" s="5"/>
      <c r="P2916" s="5"/>
      <c r="Q2916" s="5"/>
      <c r="R2916" s="8"/>
      <c r="S2916" s="8"/>
      <c r="T2916" s="3"/>
    </row>
    <row r="2917" spans="14:20" x14ac:dyDescent="0.3">
      <c r="N2917" s="5"/>
      <c r="O2917" s="5"/>
      <c r="P2917" s="5"/>
      <c r="Q2917" s="5"/>
      <c r="R2917" s="8"/>
      <c r="S2917" s="8"/>
      <c r="T2917" s="3"/>
    </row>
    <row r="2918" spans="14:20" x14ac:dyDescent="0.3">
      <c r="N2918" s="5"/>
      <c r="O2918" s="5"/>
      <c r="P2918" s="5"/>
      <c r="Q2918" s="5"/>
      <c r="R2918" s="8"/>
      <c r="S2918" s="8"/>
      <c r="T2918" s="3"/>
    </row>
    <row r="2919" spans="14:20" x14ac:dyDescent="0.3">
      <c r="N2919" s="5"/>
      <c r="O2919" s="5"/>
      <c r="P2919" s="5"/>
      <c r="Q2919" s="5"/>
      <c r="R2919" s="8"/>
      <c r="S2919" s="8"/>
      <c r="T2919" s="3"/>
    </row>
    <row r="2920" spans="14:20" x14ac:dyDescent="0.3">
      <c r="N2920" s="5"/>
      <c r="O2920" s="5"/>
      <c r="P2920" s="5"/>
      <c r="Q2920" s="5"/>
      <c r="R2920" s="8"/>
      <c r="S2920" s="8"/>
      <c r="T2920" s="3"/>
    </row>
    <row r="2921" spans="14:20" x14ac:dyDescent="0.3">
      <c r="N2921" s="5"/>
      <c r="O2921" s="5"/>
      <c r="P2921" s="5"/>
      <c r="Q2921" s="5"/>
      <c r="R2921" s="8"/>
      <c r="S2921" s="8"/>
      <c r="T2921" s="3"/>
    </row>
    <row r="2922" spans="14:20" x14ac:dyDescent="0.3">
      <c r="N2922" s="5"/>
      <c r="O2922" s="5"/>
      <c r="P2922" s="5"/>
      <c r="Q2922" s="5"/>
      <c r="R2922" s="8"/>
      <c r="S2922" s="8"/>
      <c r="T2922" s="3"/>
    </row>
    <row r="2923" spans="14:20" x14ac:dyDescent="0.3">
      <c r="N2923" s="5"/>
      <c r="O2923" s="5"/>
      <c r="P2923" s="5"/>
      <c r="Q2923" s="5"/>
      <c r="R2923" s="8"/>
      <c r="S2923" s="8"/>
      <c r="T2923" s="3"/>
    </row>
    <row r="2924" spans="14:20" x14ac:dyDescent="0.3">
      <c r="N2924" s="5"/>
      <c r="O2924" s="5"/>
      <c r="P2924" s="5"/>
      <c r="Q2924" s="5"/>
      <c r="R2924" s="8"/>
      <c r="S2924" s="8"/>
      <c r="T2924" s="3"/>
    </row>
    <row r="2925" spans="14:20" x14ac:dyDescent="0.3">
      <c r="N2925" s="5"/>
      <c r="O2925" s="5"/>
      <c r="P2925" s="5"/>
      <c r="Q2925" s="5"/>
      <c r="R2925" s="8"/>
      <c r="S2925" s="8"/>
      <c r="T2925" s="3"/>
    </row>
    <row r="2926" spans="14:20" x14ac:dyDescent="0.3">
      <c r="N2926" s="5"/>
      <c r="O2926" s="5"/>
      <c r="P2926" s="5"/>
      <c r="Q2926" s="5"/>
      <c r="R2926" s="8"/>
      <c r="S2926" s="8"/>
      <c r="T2926" s="3"/>
    </row>
    <row r="2927" spans="14:20" x14ac:dyDescent="0.3">
      <c r="N2927" s="5"/>
      <c r="O2927" s="5"/>
      <c r="P2927" s="5"/>
      <c r="Q2927" s="5"/>
      <c r="R2927" s="8"/>
      <c r="S2927" s="8"/>
      <c r="T2927" s="3"/>
    </row>
    <row r="2928" spans="14:20" x14ac:dyDescent="0.3">
      <c r="N2928" s="5"/>
      <c r="O2928" s="5"/>
      <c r="P2928" s="5"/>
      <c r="Q2928" s="5"/>
      <c r="R2928" s="8"/>
      <c r="S2928" s="8"/>
      <c r="T2928" s="3"/>
    </row>
    <row r="2929" spans="14:20" x14ac:dyDescent="0.3">
      <c r="N2929" s="5"/>
      <c r="O2929" s="5"/>
      <c r="P2929" s="5"/>
      <c r="Q2929" s="5"/>
      <c r="R2929" s="8"/>
      <c r="S2929" s="8"/>
      <c r="T2929" s="3"/>
    </row>
    <row r="2930" spans="14:20" x14ac:dyDescent="0.3">
      <c r="N2930" s="5"/>
      <c r="O2930" s="5"/>
      <c r="P2930" s="5"/>
      <c r="Q2930" s="5"/>
      <c r="R2930" s="8"/>
      <c r="S2930" s="8"/>
      <c r="T2930" s="3"/>
    </row>
    <row r="2931" spans="14:20" x14ac:dyDescent="0.3">
      <c r="N2931" s="5"/>
      <c r="O2931" s="5"/>
      <c r="P2931" s="5"/>
      <c r="Q2931" s="5"/>
      <c r="R2931" s="8"/>
      <c r="S2931" s="8"/>
      <c r="T2931" s="3"/>
    </row>
    <row r="2932" spans="14:20" x14ac:dyDescent="0.3">
      <c r="N2932" s="5"/>
      <c r="O2932" s="5"/>
      <c r="P2932" s="5"/>
      <c r="Q2932" s="5"/>
      <c r="R2932" s="8"/>
      <c r="S2932" s="8"/>
      <c r="T2932" s="3"/>
    </row>
    <row r="2933" spans="14:20" x14ac:dyDescent="0.3">
      <c r="N2933" s="5"/>
      <c r="O2933" s="5"/>
      <c r="P2933" s="5"/>
      <c r="Q2933" s="5"/>
      <c r="R2933" s="8"/>
      <c r="S2933" s="8"/>
      <c r="T2933" s="3"/>
    </row>
    <row r="2934" spans="14:20" x14ac:dyDescent="0.3">
      <c r="N2934" s="5"/>
      <c r="O2934" s="5"/>
      <c r="P2934" s="5"/>
      <c r="Q2934" s="5"/>
      <c r="R2934" s="8"/>
      <c r="S2934" s="8"/>
      <c r="T2934" s="3"/>
    </row>
    <row r="2935" spans="14:20" x14ac:dyDescent="0.3">
      <c r="N2935" s="5"/>
      <c r="O2935" s="5"/>
      <c r="P2935" s="5"/>
      <c r="Q2935" s="5"/>
      <c r="R2935" s="8"/>
      <c r="S2935" s="8"/>
      <c r="T2935" s="3"/>
    </row>
    <row r="2936" spans="14:20" x14ac:dyDescent="0.3">
      <c r="N2936" s="5"/>
      <c r="O2936" s="5"/>
      <c r="P2936" s="5"/>
      <c r="Q2936" s="5"/>
      <c r="R2936" s="8"/>
      <c r="S2936" s="8"/>
      <c r="T2936" s="3"/>
    </row>
    <row r="2937" spans="14:20" x14ac:dyDescent="0.3">
      <c r="N2937" s="5"/>
      <c r="O2937" s="5"/>
      <c r="P2937" s="5"/>
      <c r="Q2937" s="5"/>
      <c r="R2937" s="8"/>
      <c r="S2937" s="8"/>
      <c r="T2937" s="3"/>
    </row>
    <row r="2938" spans="14:20" x14ac:dyDescent="0.3">
      <c r="N2938" s="5"/>
      <c r="O2938" s="5"/>
      <c r="P2938" s="5"/>
      <c r="Q2938" s="5"/>
      <c r="R2938" s="8"/>
      <c r="S2938" s="8"/>
      <c r="T2938" s="3"/>
    </row>
    <row r="2939" spans="14:20" x14ac:dyDescent="0.3">
      <c r="N2939" s="5"/>
      <c r="O2939" s="5"/>
      <c r="P2939" s="5"/>
      <c r="Q2939" s="5"/>
      <c r="R2939" s="8"/>
      <c r="S2939" s="8"/>
      <c r="T2939" s="3"/>
    </row>
    <row r="2940" spans="14:20" x14ac:dyDescent="0.3">
      <c r="N2940" s="5"/>
      <c r="O2940" s="5"/>
      <c r="P2940" s="5"/>
      <c r="Q2940" s="5"/>
      <c r="R2940" s="8"/>
      <c r="S2940" s="8"/>
      <c r="T2940" s="3"/>
    </row>
    <row r="2941" spans="14:20" x14ac:dyDescent="0.3">
      <c r="N2941" s="5"/>
      <c r="O2941" s="5"/>
      <c r="P2941" s="5"/>
      <c r="Q2941" s="5"/>
      <c r="R2941" s="8"/>
      <c r="S2941" s="8"/>
      <c r="T2941" s="3"/>
    </row>
    <row r="2942" spans="14:20" x14ac:dyDescent="0.3">
      <c r="N2942" s="5"/>
      <c r="O2942" s="5"/>
      <c r="P2942" s="5"/>
      <c r="Q2942" s="5"/>
      <c r="R2942" s="8"/>
      <c r="S2942" s="8"/>
      <c r="T2942" s="3"/>
    </row>
    <row r="2943" spans="14:20" x14ac:dyDescent="0.3">
      <c r="N2943" s="5"/>
      <c r="O2943" s="5"/>
      <c r="P2943" s="5"/>
      <c r="Q2943" s="5"/>
      <c r="R2943" s="8"/>
      <c r="S2943" s="8"/>
      <c r="T2943" s="3"/>
    </row>
    <row r="2944" spans="14:20" x14ac:dyDescent="0.3">
      <c r="N2944" s="5"/>
      <c r="O2944" s="5"/>
      <c r="P2944" s="5"/>
      <c r="Q2944" s="5"/>
      <c r="R2944" s="8"/>
      <c r="S2944" s="8"/>
      <c r="T2944" s="3"/>
    </row>
    <row r="2945" spans="14:20" x14ac:dyDescent="0.3">
      <c r="N2945" s="5"/>
      <c r="O2945" s="5"/>
      <c r="P2945" s="5"/>
      <c r="Q2945" s="5"/>
      <c r="R2945" s="8"/>
      <c r="S2945" s="8"/>
      <c r="T2945" s="3"/>
    </row>
    <row r="2946" spans="14:20" x14ac:dyDescent="0.3">
      <c r="N2946" s="5"/>
      <c r="O2946" s="5"/>
      <c r="P2946" s="5"/>
      <c r="Q2946" s="5"/>
      <c r="R2946" s="8"/>
      <c r="S2946" s="8"/>
      <c r="T2946" s="3"/>
    </row>
    <row r="2947" spans="14:20" x14ac:dyDescent="0.3">
      <c r="N2947" s="5"/>
      <c r="O2947" s="5"/>
      <c r="P2947" s="5"/>
      <c r="Q2947" s="5"/>
      <c r="R2947" s="8"/>
      <c r="S2947" s="8"/>
      <c r="T2947" s="3"/>
    </row>
    <row r="2948" spans="14:20" x14ac:dyDescent="0.3">
      <c r="N2948" s="5"/>
      <c r="O2948" s="5"/>
      <c r="P2948" s="5"/>
      <c r="Q2948" s="5"/>
      <c r="R2948" s="8"/>
      <c r="S2948" s="8"/>
      <c r="T2948" s="3"/>
    </row>
    <row r="2949" spans="14:20" x14ac:dyDescent="0.3">
      <c r="N2949" s="5"/>
      <c r="O2949" s="5"/>
      <c r="P2949" s="5"/>
      <c r="Q2949" s="5"/>
      <c r="R2949" s="8"/>
      <c r="S2949" s="8"/>
      <c r="T2949" s="3"/>
    </row>
    <row r="2950" spans="14:20" x14ac:dyDescent="0.3">
      <c r="N2950" s="5"/>
      <c r="O2950" s="5"/>
      <c r="P2950" s="5"/>
      <c r="Q2950" s="5"/>
      <c r="R2950" s="8"/>
      <c r="S2950" s="8"/>
      <c r="T2950" s="3"/>
    </row>
    <row r="2951" spans="14:20" x14ac:dyDescent="0.3">
      <c r="N2951" s="5"/>
      <c r="O2951" s="5"/>
      <c r="P2951" s="5"/>
      <c r="Q2951" s="5"/>
      <c r="R2951" s="8"/>
      <c r="S2951" s="8"/>
      <c r="T2951" s="3"/>
    </row>
    <row r="2952" spans="14:20" x14ac:dyDescent="0.3">
      <c r="N2952" s="5"/>
      <c r="O2952" s="5"/>
      <c r="P2952" s="5"/>
      <c r="Q2952" s="5"/>
      <c r="R2952" s="8"/>
      <c r="S2952" s="8"/>
      <c r="T2952" s="3"/>
    </row>
    <row r="2953" spans="14:20" x14ac:dyDescent="0.3">
      <c r="N2953" s="5"/>
      <c r="O2953" s="5"/>
      <c r="P2953" s="5"/>
      <c r="Q2953" s="5"/>
      <c r="R2953" s="8"/>
      <c r="S2953" s="8"/>
      <c r="T2953" s="3"/>
    </row>
    <row r="2954" spans="14:20" x14ac:dyDescent="0.3">
      <c r="N2954" s="5"/>
      <c r="O2954" s="5"/>
      <c r="P2954" s="5"/>
      <c r="Q2954" s="5"/>
      <c r="R2954" s="8"/>
      <c r="S2954" s="8"/>
      <c r="T2954" s="3"/>
    </row>
    <row r="2955" spans="14:20" x14ac:dyDescent="0.3">
      <c r="N2955" s="5"/>
      <c r="O2955" s="5"/>
      <c r="P2955" s="5"/>
      <c r="Q2955" s="5"/>
      <c r="R2955" s="8"/>
      <c r="S2955" s="8"/>
      <c r="T2955" s="3"/>
    </row>
    <row r="2956" spans="14:20" x14ac:dyDescent="0.3">
      <c r="N2956" s="5"/>
      <c r="O2956" s="5"/>
      <c r="P2956" s="5"/>
      <c r="Q2956" s="5"/>
      <c r="R2956" s="8"/>
      <c r="S2956" s="8"/>
      <c r="T2956" s="3"/>
    </row>
    <row r="2957" spans="14:20" x14ac:dyDescent="0.3">
      <c r="N2957" s="5"/>
      <c r="O2957" s="5"/>
      <c r="P2957" s="5"/>
      <c r="Q2957" s="5"/>
      <c r="R2957" s="8"/>
      <c r="S2957" s="8"/>
      <c r="T2957" s="3"/>
    </row>
    <row r="2958" spans="14:20" x14ac:dyDescent="0.3">
      <c r="N2958" s="5"/>
      <c r="O2958" s="5"/>
      <c r="P2958" s="5"/>
      <c r="Q2958" s="5"/>
      <c r="R2958" s="8"/>
      <c r="S2958" s="8"/>
      <c r="T2958" s="3"/>
    </row>
    <row r="2959" spans="14:20" x14ac:dyDescent="0.3">
      <c r="N2959" s="5"/>
      <c r="O2959" s="5"/>
      <c r="P2959" s="5"/>
      <c r="Q2959" s="5"/>
      <c r="R2959" s="8"/>
      <c r="S2959" s="8"/>
      <c r="T2959" s="3"/>
    </row>
    <row r="2960" spans="14:20" x14ac:dyDescent="0.3">
      <c r="N2960" s="5"/>
      <c r="O2960" s="5"/>
      <c r="P2960" s="5"/>
      <c r="Q2960" s="5"/>
      <c r="R2960" s="8"/>
      <c r="S2960" s="8"/>
      <c r="T2960" s="3"/>
    </row>
    <row r="2961" spans="14:20" x14ac:dyDescent="0.3">
      <c r="N2961" s="5"/>
      <c r="O2961" s="5"/>
      <c r="P2961" s="5"/>
      <c r="Q2961" s="5"/>
      <c r="R2961" s="8"/>
      <c r="S2961" s="8"/>
      <c r="T2961" s="3"/>
    </row>
    <row r="2962" spans="14:20" x14ac:dyDescent="0.3">
      <c r="N2962" s="5"/>
      <c r="O2962" s="5"/>
      <c r="P2962" s="5"/>
      <c r="Q2962" s="5"/>
      <c r="R2962" s="8"/>
      <c r="S2962" s="8"/>
      <c r="T2962" s="3"/>
    </row>
    <row r="2963" spans="14:20" x14ac:dyDescent="0.3">
      <c r="N2963" s="5"/>
      <c r="O2963" s="5"/>
      <c r="P2963" s="5"/>
      <c r="Q2963" s="5"/>
      <c r="R2963" s="8"/>
      <c r="S2963" s="8"/>
      <c r="T2963" s="3"/>
    </row>
    <row r="2964" spans="14:20" x14ac:dyDescent="0.3">
      <c r="N2964" s="5"/>
      <c r="O2964" s="5"/>
      <c r="P2964" s="5"/>
      <c r="Q2964" s="5"/>
      <c r="R2964" s="8"/>
      <c r="S2964" s="8"/>
      <c r="T2964" s="3"/>
    </row>
    <row r="2965" spans="14:20" x14ac:dyDescent="0.3">
      <c r="N2965" s="5"/>
      <c r="O2965" s="5"/>
      <c r="P2965" s="5"/>
      <c r="Q2965" s="5"/>
      <c r="R2965" s="8"/>
      <c r="S2965" s="8"/>
      <c r="T2965" s="3"/>
    </row>
    <row r="2966" spans="14:20" x14ac:dyDescent="0.3">
      <c r="N2966" s="5"/>
      <c r="O2966" s="5"/>
      <c r="P2966" s="5"/>
      <c r="Q2966" s="5"/>
      <c r="R2966" s="8"/>
      <c r="S2966" s="8"/>
      <c r="T2966" s="3"/>
    </row>
    <row r="2967" spans="14:20" x14ac:dyDescent="0.3">
      <c r="N2967" s="5"/>
      <c r="O2967" s="5"/>
      <c r="P2967" s="5"/>
      <c r="Q2967" s="5"/>
      <c r="R2967" s="8"/>
      <c r="S2967" s="8"/>
      <c r="T2967" s="3"/>
    </row>
    <row r="2968" spans="14:20" x14ac:dyDescent="0.3">
      <c r="N2968" s="5"/>
      <c r="O2968" s="5"/>
      <c r="P2968" s="5"/>
      <c r="Q2968" s="5"/>
      <c r="R2968" s="8"/>
      <c r="S2968" s="8"/>
      <c r="T2968" s="3"/>
    </row>
    <row r="2969" spans="14:20" x14ac:dyDescent="0.3">
      <c r="N2969" s="5"/>
      <c r="O2969" s="5"/>
      <c r="P2969" s="5"/>
      <c r="Q2969" s="5"/>
      <c r="R2969" s="8"/>
      <c r="S2969" s="8"/>
      <c r="T2969" s="3"/>
    </row>
    <row r="2970" spans="14:20" x14ac:dyDescent="0.3">
      <c r="N2970" s="5"/>
      <c r="O2970" s="5"/>
      <c r="P2970" s="5"/>
      <c r="Q2970" s="5"/>
      <c r="R2970" s="8"/>
      <c r="S2970" s="8"/>
      <c r="T2970" s="3"/>
    </row>
    <row r="2971" spans="14:20" x14ac:dyDescent="0.3">
      <c r="N2971" s="5"/>
      <c r="O2971" s="5"/>
      <c r="P2971" s="5"/>
      <c r="Q2971" s="5"/>
      <c r="R2971" s="8"/>
      <c r="S2971" s="8"/>
      <c r="T2971" s="3"/>
    </row>
    <row r="2972" spans="14:20" x14ac:dyDescent="0.3">
      <c r="N2972" s="5"/>
      <c r="O2972" s="5"/>
      <c r="P2972" s="5"/>
      <c r="Q2972" s="5"/>
      <c r="R2972" s="8"/>
      <c r="S2972" s="8"/>
      <c r="T2972" s="3"/>
    </row>
    <row r="2973" spans="14:20" x14ac:dyDescent="0.3">
      <c r="N2973" s="5"/>
      <c r="O2973" s="5"/>
      <c r="P2973" s="5"/>
      <c r="Q2973" s="5"/>
      <c r="R2973" s="8"/>
      <c r="S2973" s="8"/>
      <c r="T2973" s="3"/>
    </row>
    <row r="2974" spans="14:20" x14ac:dyDescent="0.3">
      <c r="N2974" s="5"/>
      <c r="O2974" s="5"/>
      <c r="P2974" s="5"/>
      <c r="Q2974" s="5"/>
      <c r="R2974" s="8"/>
      <c r="S2974" s="8"/>
      <c r="T2974" s="3"/>
    </row>
    <row r="2975" spans="14:20" x14ac:dyDescent="0.3">
      <c r="N2975" s="5"/>
      <c r="O2975" s="5"/>
      <c r="P2975" s="5"/>
      <c r="Q2975" s="5"/>
      <c r="R2975" s="8"/>
      <c r="S2975" s="8"/>
      <c r="T2975" s="3"/>
    </row>
    <row r="2976" spans="14:20" x14ac:dyDescent="0.3">
      <c r="N2976" s="5"/>
      <c r="O2976" s="5"/>
      <c r="P2976" s="5"/>
      <c r="Q2976" s="5"/>
      <c r="R2976" s="8"/>
      <c r="S2976" s="8"/>
      <c r="T2976" s="3"/>
    </row>
    <row r="2977" spans="14:20" x14ac:dyDescent="0.3">
      <c r="N2977" s="5"/>
      <c r="O2977" s="5"/>
      <c r="P2977" s="5"/>
      <c r="Q2977" s="5"/>
      <c r="R2977" s="8"/>
      <c r="S2977" s="8"/>
      <c r="T2977" s="3"/>
    </row>
    <row r="2978" spans="14:20" x14ac:dyDescent="0.3">
      <c r="N2978" s="5"/>
      <c r="O2978" s="5"/>
      <c r="P2978" s="5"/>
      <c r="Q2978" s="5"/>
      <c r="R2978" s="8"/>
      <c r="S2978" s="8"/>
      <c r="T2978" s="3"/>
    </row>
    <row r="2979" spans="14:20" x14ac:dyDescent="0.3">
      <c r="N2979" s="5"/>
      <c r="O2979" s="5"/>
      <c r="P2979" s="5"/>
      <c r="Q2979" s="5"/>
      <c r="R2979" s="8"/>
      <c r="S2979" s="8"/>
      <c r="T2979" s="3"/>
    </row>
    <row r="2980" spans="14:20" x14ac:dyDescent="0.3">
      <c r="N2980" s="5"/>
      <c r="O2980" s="5"/>
      <c r="P2980" s="5"/>
      <c r="Q2980" s="5"/>
      <c r="R2980" s="8"/>
      <c r="S2980" s="8"/>
      <c r="T2980" s="3"/>
    </row>
    <row r="2981" spans="14:20" x14ac:dyDescent="0.3">
      <c r="N2981" s="5"/>
      <c r="O2981" s="5"/>
      <c r="P2981" s="5"/>
      <c r="Q2981" s="5"/>
      <c r="R2981" s="8"/>
      <c r="S2981" s="8"/>
      <c r="T2981" s="3"/>
    </row>
    <row r="2982" spans="14:20" x14ac:dyDescent="0.3">
      <c r="N2982" s="5"/>
      <c r="O2982" s="5"/>
      <c r="P2982" s="5"/>
      <c r="Q2982" s="5"/>
      <c r="R2982" s="8"/>
      <c r="S2982" s="8"/>
      <c r="T2982" s="3"/>
    </row>
    <row r="2983" spans="14:20" x14ac:dyDescent="0.3">
      <c r="N2983" s="5"/>
      <c r="O2983" s="5"/>
      <c r="P2983" s="5"/>
      <c r="Q2983" s="5"/>
      <c r="R2983" s="8"/>
      <c r="S2983" s="8"/>
      <c r="T2983" s="3"/>
    </row>
    <row r="2984" spans="14:20" x14ac:dyDescent="0.3">
      <c r="N2984" s="5"/>
      <c r="O2984" s="5"/>
      <c r="P2984" s="5"/>
      <c r="Q2984" s="5"/>
      <c r="R2984" s="8"/>
      <c r="S2984" s="8"/>
      <c r="T2984" s="3"/>
    </row>
    <row r="2985" spans="14:20" x14ac:dyDescent="0.3">
      <c r="N2985" s="5"/>
      <c r="O2985" s="5"/>
      <c r="P2985" s="5"/>
      <c r="Q2985" s="5"/>
      <c r="R2985" s="8"/>
      <c r="S2985" s="8"/>
      <c r="T2985" s="3"/>
    </row>
    <row r="2986" spans="14:20" x14ac:dyDescent="0.3">
      <c r="N2986" s="5"/>
      <c r="O2986" s="5"/>
      <c r="P2986" s="5"/>
      <c r="Q2986" s="5"/>
      <c r="R2986" s="8"/>
      <c r="S2986" s="8"/>
      <c r="T2986" s="3"/>
    </row>
    <row r="2987" spans="14:20" x14ac:dyDescent="0.3">
      <c r="N2987" s="5"/>
      <c r="O2987" s="5"/>
      <c r="P2987" s="5"/>
      <c r="Q2987" s="5"/>
      <c r="R2987" s="8"/>
      <c r="S2987" s="8"/>
      <c r="T2987" s="3"/>
    </row>
    <row r="2988" spans="14:20" x14ac:dyDescent="0.3">
      <c r="N2988" s="5"/>
      <c r="O2988" s="5"/>
      <c r="P2988" s="5"/>
      <c r="Q2988" s="5"/>
      <c r="R2988" s="8"/>
      <c r="S2988" s="8"/>
      <c r="T2988" s="3"/>
    </row>
    <row r="2989" spans="14:20" x14ac:dyDescent="0.3">
      <c r="N2989" s="5"/>
      <c r="O2989" s="5"/>
      <c r="P2989" s="5"/>
      <c r="Q2989" s="5"/>
      <c r="R2989" s="8"/>
      <c r="S2989" s="8"/>
      <c r="T2989" s="3"/>
    </row>
    <row r="2990" spans="14:20" x14ac:dyDescent="0.3">
      <c r="N2990" s="5"/>
      <c r="O2990" s="5"/>
      <c r="P2990" s="5"/>
      <c r="Q2990" s="5"/>
      <c r="R2990" s="8"/>
      <c r="S2990" s="8"/>
      <c r="T2990" s="3"/>
    </row>
    <row r="2991" spans="14:20" x14ac:dyDescent="0.3">
      <c r="N2991" s="5"/>
      <c r="O2991" s="5"/>
      <c r="P2991" s="5"/>
      <c r="Q2991" s="5"/>
      <c r="R2991" s="8"/>
      <c r="S2991" s="8"/>
      <c r="T2991" s="3"/>
    </row>
    <row r="2992" spans="14:20" x14ac:dyDescent="0.3">
      <c r="N2992" s="5"/>
      <c r="O2992" s="5"/>
      <c r="P2992" s="5"/>
      <c r="Q2992" s="5"/>
      <c r="R2992" s="8"/>
      <c r="S2992" s="8"/>
      <c r="T2992" s="3"/>
    </row>
    <row r="2993" spans="14:20" x14ac:dyDescent="0.3">
      <c r="N2993" s="5"/>
      <c r="O2993" s="5"/>
      <c r="P2993" s="5"/>
      <c r="Q2993" s="5"/>
      <c r="R2993" s="8"/>
      <c r="S2993" s="8"/>
      <c r="T2993" s="3"/>
    </row>
    <row r="2994" spans="14:20" x14ac:dyDescent="0.3">
      <c r="N2994" s="5"/>
      <c r="O2994" s="5"/>
      <c r="P2994" s="5"/>
      <c r="Q2994" s="5"/>
      <c r="R2994" s="8"/>
      <c r="S2994" s="8"/>
      <c r="T2994" s="3"/>
    </row>
    <row r="2995" spans="14:20" x14ac:dyDescent="0.3">
      <c r="N2995" s="5"/>
      <c r="O2995" s="5"/>
      <c r="P2995" s="5"/>
      <c r="Q2995" s="5"/>
      <c r="R2995" s="8"/>
      <c r="S2995" s="8"/>
      <c r="T2995" s="3"/>
    </row>
    <row r="2996" spans="14:20" x14ac:dyDescent="0.3">
      <c r="N2996" s="5"/>
      <c r="O2996" s="5"/>
      <c r="P2996" s="5"/>
      <c r="Q2996" s="5"/>
      <c r="R2996" s="8"/>
      <c r="S2996" s="8"/>
      <c r="T2996" s="3"/>
    </row>
    <row r="2997" spans="14:20" x14ac:dyDescent="0.3">
      <c r="N2997" s="5"/>
      <c r="O2997" s="5"/>
      <c r="P2997" s="5"/>
      <c r="Q2997" s="5"/>
      <c r="R2997" s="8"/>
      <c r="S2997" s="8"/>
      <c r="T2997" s="3"/>
    </row>
    <row r="2998" spans="14:20" x14ac:dyDescent="0.3">
      <c r="N2998" s="5"/>
      <c r="O2998" s="5"/>
      <c r="P2998" s="5"/>
      <c r="Q2998" s="5"/>
      <c r="R2998" s="8"/>
      <c r="S2998" s="8"/>
      <c r="T2998" s="3"/>
    </row>
    <row r="2999" spans="14:20" x14ac:dyDescent="0.3">
      <c r="N2999" s="5"/>
      <c r="O2999" s="5"/>
      <c r="P2999" s="5"/>
      <c r="Q2999" s="5"/>
      <c r="R2999" s="8"/>
      <c r="S2999" s="8"/>
      <c r="T2999" s="3"/>
    </row>
    <row r="3000" spans="14:20" x14ac:dyDescent="0.3">
      <c r="N3000" s="5"/>
      <c r="O3000" s="5"/>
      <c r="P3000" s="5"/>
      <c r="Q3000" s="5"/>
      <c r="R3000" s="8"/>
      <c r="S3000" s="8"/>
      <c r="T3000" s="3"/>
    </row>
    <row r="3001" spans="14:20" x14ac:dyDescent="0.3">
      <c r="N3001" s="5"/>
      <c r="O3001" s="5"/>
      <c r="P3001" s="5"/>
      <c r="Q3001" s="5"/>
      <c r="R3001" s="8"/>
      <c r="S3001" s="8"/>
      <c r="T3001" s="3"/>
    </row>
    <row r="3002" spans="14:20" x14ac:dyDescent="0.3">
      <c r="N3002" s="5"/>
      <c r="O3002" s="5"/>
      <c r="P3002" s="5"/>
      <c r="Q3002" s="5"/>
      <c r="R3002" s="8"/>
      <c r="S3002" s="8"/>
      <c r="T3002" s="3"/>
    </row>
    <row r="3003" spans="14:20" x14ac:dyDescent="0.3">
      <c r="N3003" s="5"/>
      <c r="O3003" s="5"/>
      <c r="P3003" s="5"/>
      <c r="Q3003" s="5"/>
      <c r="R3003" s="8"/>
      <c r="S3003" s="8"/>
      <c r="T3003" s="3"/>
    </row>
    <row r="3004" spans="14:20" x14ac:dyDescent="0.3">
      <c r="N3004" s="5"/>
      <c r="O3004" s="5"/>
      <c r="P3004" s="5"/>
      <c r="Q3004" s="5"/>
      <c r="R3004" s="8"/>
      <c r="S3004" s="8"/>
      <c r="T3004" s="3"/>
    </row>
    <row r="3005" spans="14:20" x14ac:dyDescent="0.3">
      <c r="N3005" s="5"/>
      <c r="O3005" s="5"/>
      <c r="P3005" s="5"/>
      <c r="Q3005" s="5"/>
      <c r="R3005" s="8"/>
      <c r="S3005" s="8"/>
      <c r="T3005" s="3"/>
    </row>
    <row r="3006" spans="14:20" x14ac:dyDescent="0.3">
      <c r="N3006" s="5"/>
      <c r="O3006" s="5"/>
      <c r="P3006" s="5"/>
      <c r="Q3006" s="5"/>
      <c r="R3006" s="8"/>
      <c r="S3006" s="8"/>
      <c r="T3006" s="3"/>
    </row>
    <row r="3007" spans="14:20" x14ac:dyDescent="0.3">
      <c r="N3007" s="5"/>
      <c r="O3007" s="5"/>
      <c r="P3007" s="5"/>
      <c r="Q3007" s="5"/>
      <c r="R3007" s="8"/>
      <c r="S3007" s="8"/>
      <c r="T3007" s="3"/>
    </row>
    <row r="3008" spans="14:20" x14ac:dyDescent="0.3">
      <c r="N3008" s="5"/>
      <c r="O3008" s="5"/>
      <c r="P3008" s="5"/>
      <c r="Q3008" s="5"/>
      <c r="R3008" s="8"/>
      <c r="S3008" s="8"/>
      <c r="T3008" s="3"/>
    </row>
    <row r="3009" spans="14:20" x14ac:dyDescent="0.3">
      <c r="N3009" s="5"/>
      <c r="O3009" s="5"/>
      <c r="P3009" s="5"/>
      <c r="Q3009" s="5"/>
      <c r="R3009" s="8"/>
      <c r="S3009" s="8"/>
      <c r="T3009" s="3"/>
    </row>
    <row r="3010" spans="14:20" x14ac:dyDescent="0.3">
      <c r="N3010" s="5"/>
      <c r="O3010" s="5"/>
      <c r="P3010" s="5"/>
      <c r="Q3010" s="5"/>
      <c r="R3010" s="8"/>
      <c r="S3010" s="8"/>
      <c r="T3010" s="3"/>
    </row>
    <row r="3011" spans="14:20" x14ac:dyDescent="0.3">
      <c r="N3011" s="5"/>
      <c r="O3011" s="5"/>
      <c r="P3011" s="5"/>
      <c r="Q3011" s="5"/>
      <c r="R3011" s="8"/>
      <c r="S3011" s="8"/>
      <c r="T3011" s="3"/>
    </row>
    <row r="3012" spans="14:20" x14ac:dyDescent="0.3">
      <c r="N3012" s="5"/>
      <c r="O3012" s="5"/>
      <c r="P3012" s="5"/>
      <c r="Q3012" s="5"/>
      <c r="R3012" s="8"/>
      <c r="S3012" s="8"/>
      <c r="T3012" s="3"/>
    </row>
    <row r="3013" spans="14:20" x14ac:dyDescent="0.3">
      <c r="N3013" s="5"/>
      <c r="O3013" s="5"/>
      <c r="P3013" s="5"/>
      <c r="Q3013" s="5"/>
      <c r="R3013" s="8"/>
      <c r="S3013" s="8"/>
      <c r="T3013" s="3"/>
    </row>
    <row r="3014" spans="14:20" x14ac:dyDescent="0.3">
      <c r="N3014" s="5"/>
      <c r="O3014" s="5"/>
      <c r="P3014" s="5"/>
      <c r="Q3014" s="5"/>
      <c r="R3014" s="8"/>
      <c r="S3014" s="8"/>
      <c r="T3014" s="3"/>
    </row>
    <row r="3015" spans="14:20" x14ac:dyDescent="0.3">
      <c r="N3015" s="5"/>
      <c r="O3015" s="5"/>
      <c r="P3015" s="5"/>
      <c r="Q3015" s="5"/>
      <c r="R3015" s="8"/>
      <c r="S3015" s="8"/>
      <c r="T3015" s="3"/>
    </row>
    <row r="3016" spans="14:20" x14ac:dyDescent="0.3">
      <c r="N3016" s="5"/>
      <c r="O3016" s="5"/>
      <c r="P3016" s="5"/>
      <c r="Q3016" s="5"/>
      <c r="R3016" s="8"/>
      <c r="S3016" s="8"/>
      <c r="T3016" s="3"/>
    </row>
    <row r="3017" spans="14:20" x14ac:dyDescent="0.3">
      <c r="N3017" s="5"/>
      <c r="O3017" s="5"/>
      <c r="P3017" s="5"/>
      <c r="Q3017" s="5"/>
      <c r="R3017" s="8"/>
      <c r="S3017" s="8"/>
      <c r="T3017" s="3"/>
    </row>
    <row r="3018" spans="14:20" x14ac:dyDescent="0.3">
      <c r="N3018" s="5"/>
      <c r="O3018" s="5"/>
      <c r="P3018" s="5"/>
      <c r="Q3018" s="5"/>
      <c r="R3018" s="8"/>
      <c r="S3018" s="8"/>
      <c r="T3018" s="3"/>
    </row>
    <row r="3019" spans="14:20" x14ac:dyDescent="0.3">
      <c r="N3019" s="5"/>
      <c r="O3019" s="5"/>
      <c r="P3019" s="5"/>
      <c r="Q3019" s="5"/>
      <c r="R3019" s="8"/>
      <c r="S3019" s="8"/>
      <c r="T3019" s="3"/>
    </row>
    <row r="3020" spans="14:20" x14ac:dyDescent="0.3">
      <c r="N3020" s="5"/>
      <c r="O3020" s="5"/>
      <c r="P3020" s="5"/>
      <c r="Q3020" s="5"/>
      <c r="R3020" s="8"/>
      <c r="S3020" s="8"/>
      <c r="T3020" s="3"/>
    </row>
    <row r="3021" spans="14:20" x14ac:dyDescent="0.3">
      <c r="N3021" s="5"/>
      <c r="O3021" s="5"/>
      <c r="P3021" s="5"/>
      <c r="Q3021" s="5"/>
      <c r="R3021" s="8"/>
      <c r="S3021" s="8"/>
      <c r="T3021" s="3"/>
    </row>
    <row r="3022" spans="14:20" x14ac:dyDescent="0.3">
      <c r="N3022" s="5"/>
      <c r="O3022" s="5"/>
      <c r="P3022" s="5"/>
      <c r="Q3022" s="5"/>
      <c r="R3022" s="8"/>
      <c r="S3022" s="8"/>
      <c r="T3022" s="3"/>
    </row>
    <row r="3023" spans="14:20" x14ac:dyDescent="0.3">
      <c r="N3023" s="5"/>
      <c r="O3023" s="5"/>
      <c r="P3023" s="5"/>
      <c r="Q3023" s="5"/>
      <c r="R3023" s="8"/>
      <c r="S3023" s="8"/>
      <c r="T3023" s="3"/>
    </row>
    <row r="3024" spans="14:20" x14ac:dyDescent="0.3">
      <c r="N3024" s="5"/>
      <c r="O3024" s="5"/>
      <c r="P3024" s="5"/>
      <c r="Q3024" s="5"/>
      <c r="R3024" s="8"/>
      <c r="S3024" s="8"/>
      <c r="T3024" s="3"/>
    </row>
    <row r="3025" spans="14:20" x14ac:dyDescent="0.3">
      <c r="N3025" s="5"/>
      <c r="O3025" s="5"/>
      <c r="P3025" s="5"/>
      <c r="Q3025" s="5"/>
      <c r="R3025" s="8"/>
      <c r="S3025" s="8"/>
      <c r="T3025" s="3"/>
    </row>
    <row r="3026" spans="14:20" x14ac:dyDescent="0.3">
      <c r="N3026" s="5"/>
      <c r="O3026" s="5"/>
      <c r="P3026" s="5"/>
      <c r="Q3026" s="5"/>
      <c r="R3026" s="8"/>
      <c r="S3026" s="8"/>
      <c r="T3026" s="3"/>
    </row>
    <row r="3027" spans="14:20" x14ac:dyDescent="0.3">
      <c r="N3027" s="5"/>
      <c r="O3027" s="5"/>
      <c r="P3027" s="5"/>
      <c r="Q3027" s="5"/>
      <c r="R3027" s="8"/>
      <c r="S3027" s="8"/>
      <c r="T3027" s="3"/>
    </row>
    <row r="3028" spans="14:20" x14ac:dyDescent="0.3">
      <c r="N3028" s="5"/>
      <c r="O3028" s="5"/>
      <c r="P3028" s="5"/>
      <c r="Q3028" s="5"/>
      <c r="R3028" s="8"/>
      <c r="S3028" s="8"/>
      <c r="T3028" s="3"/>
    </row>
    <row r="3029" spans="14:20" x14ac:dyDescent="0.3">
      <c r="N3029" s="5"/>
      <c r="O3029" s="5"/>
      <c r="P3029" s="5"/>
      <c r="Q3029" s="5"/>
      <c r="R3029" s="8"/>
      <c r="S3029" s="8"/>
      <c r="T3029" s="3"/>
    </row>
    <row r="3030" spans="14:20" x14ac:dyDescent="0.3">
      <c r="N3030" s="5"/>
      <c r="O3030" s="5"/>
      <c r="P3030" s="5"/>
      <c r="Q3030" s="5"/>
      <c r="R3030" s="8"/>
      <c r="S3030" s="8"/>
      <c r="T3030" s="3"/>
    </row>
    <row r="3031" spans="14:20" x14ac:dyDescent="0.3">
      <c r="N3031" s="5"/>
      <c r="O3031" s="5"/>
      <c r="P3031" s="5"/>
      <c r="Q3031" s="5"/>
      <c r="R3031" s="8"/>
      <c r="S3031" s="8"/>
      <c r="T3031" s="3"/>
    </row>
    <row r="3032" spans="14:20" x14ac:dyDescent="0.3">
      <c r="N3032" s="5"/>
      <c r="O3032" s="5"/>
      <c r="P3032" s="5"/>
      <c r="Q3032" s="5"/>
      <c r="R3032" s="8"/>
      <c r="S3032" s="8"/>
      <c r="T3032" s="3"/>
    </row>
    <row r="3033" spans="14:20" x14ac:dyDescent="0.3">
      <c r="N3033" s="5"/>
      <c r="O3033" s="5"/>
      <c r="P3033" s="5"/>
      <c r="Q3033" s="5"/>
      <c r="R3033" s="8"/>
      <c r="S3033" s="8"/>
      <c r="T3033" s="3"/>
    </row>
    <row r="3034" spans="14:20" x14ac:dyDescent="0.3">
      <c r="N3034" s="5"/>
      <c r="O3034" s="5"/>
      <c r="P3034" s="5"/>
      <c r="Q3034" s="5"/>
      <c r="R3034" s="8"/>
      <c r="S3034" s="8"/>
      <c r="T3034" s="3"/>
    </row>
    <row r="3035" spans="14:20" x14ac:dyDescent="0.3">
      <c r="N3035" s="5"/>
      <c r="O3035" s="5"/>
      <c r="P3035" s="5"/>
      <c r="Q3035" s="5"/>
      <c r="R3035" s="8"/>
      <c r="S3035" s="8"/>
      <c r="T3035" s="3"/>
    </row>
    <row r="3036" spans="14:20" x14ac:dyDescent="0.3">
      <c r="N3036" s="5"/>
      <c r="O3036" s="5"/>
      <c r="P3036" s="5"/>
      <c r="Q3036" s="5"/>
      <c r="R3036" s="8"/>
      <c r="S3036" s="8"/>
      <c r="T3036" s="3"/>
    </row>
    <row r="3037" spans="14:20" x14ac:dyDescent="0.3">
      <c r="N3037" s="5"/>
      <c r="O3037" s="5"/>
      <c r="P3037" s="5"/>
      <c r="Q3037" s="5"/>
      <c r="R3037" s="8"/>
      <c r="S3037" s="8"/>
      <c r="T3037" s="3"/>
    </row>
    <row r="3038" spans="14:20" x14ac:dyDescent="0.3">
      <c r="N3038" s="5"/>
      <c r="O3038" s="5"/>
      <c r="P3038" s="5"/>
      <c r="Q3038" s="5"/>
      <c r="R3038" s="8"/>
      <c r="S3038" s="8"/>
      <c r="T3038" s="3"/>
    </row>
    <row r="3039" spans="14:20" x14ac:dyDescent="0.3">
      <c r="N3039" s="5"/>
      <c r="O3039" s="5"/>
      <c r="P3039" s="5"/>
      <c r="Q3039" s="5"/>
      <c r="R3039" s="8"/>
      <c r="S3039" s="8"/>
      <c r="T3039" s="3"/>
    </row>
    <row r="3040" spans="14:20" x14ac:dyDescent="0.3">
      <c r="N3040" s="5"/>
      <c r="O3040" s="5"/>
      <c r="P3040" s="5"/>
      <c r="Q3040" s="5"/>
      <c r="R3040" s="8"/>
      <c r="S3040" s="8"/>
      <c r="T3040" s="3"/>
    </row>
    <row r="3041" spans="14:20" x14ac:dyDescent="0.3">
      <c r="N3041" s="5"/>
      <c r="O3041" s="5"/>
      <c r="P3041" s="5"/>
      <c r="Q3041" s="5"/>
      <c r="R3041" s="8"/>
      <c r="S3041" s="8"/>
      <c r="T3041" s="3"/>
    </row>
    <row r="3042" spans="14:20" x14ac:dyDescent="0.3">
      <c r="N3042" s="5"/>
      <c r="O3042" s="5"/>
      <c r="P3042" s="5"/>
      <c r="Q3042" s="5"/>
      <c r="R3042" s="8"/>
      <c r="S3042" s="8"/>
      <c r="T3042" s="3"/>
    </row>
    <row r="3043" spans="14:20" x14ac:dyDescent="0.3">
      <c r="N3043" s="5"/>
      <c r="O3043" s="5"/>
      <c r="P3043" s="5"/>
      <c r="Q3043" s="5"/>
      <c r="R3043" s="8"/>
      <c r="S3043" s="8"/>
      <c r="T3043" s="3"/>
    </row>
    <row r="3044" spans="14:20" x14ac:dyDescent="0.3">
      <c r="N3044" s="5"/>
      <c r="O3044" s="5"/>
      <c r="P3044" s="5"/>
      <c r="Q3044" s="5"/>
      <c r="R3044" s="8"/>
      <c r="S3044" s="8"/>
      <c r="T3044" s="3"/>
    </row>
    <row r="3045" spans="14:20" x14ac:dyDescent="0.3">
      <c r="N3045" s="5"/>
      <c r="O3045" s="5"/>
      <c r="P3045" s="5"/>
      <c r="Q3045" s="5"/>
      <c r="R3045" s="8"/>
      <c r="S3045" s="8"/>
      <c r="T3045" s="3"/>
    </row>
    <row r="3046" spans="14:20" x14ac:dyDescent="0.3">
      <c r="N3046" s="5"/>
      <c r="O3046" s="5"/>
      <c r="P3046" s="5"/>
      <c r="Q3046" s="5"/>
      <c r="R3046" s="8"/>
      <c r="S3046" s="8"/>
      <c r="T3046" s="3"/>
    </row>
    <row r="3047" spans="14:20" x14ac:dyDescent="0.3">
      <c r="N3047" s="5"/>
      <c r="O3047" s="5"/>
      <c r="P3047" s="5"/>
      <c r="Q3047" s="5"/>
      <c r="R3047" s="8"/>
      <c r="S3047" s="8"/>
      <c r="T3047" s="3"/>
    </row>
    <row r="3048" spans="14:20" x14ac:dyDescent="0.3">
      <c r="N3048" s="5"/>
      <c r="O3048" s="5"/>
      <c r="P3048" s="5"/>
      <c r="Q3048" s="5"/>
      <c r="R3048" s="8"/>
      <c r="S3048" s="8"/>
      <c r="T3048" s="3"/>
    </row>
    <row r="3049" spans="14:20" x14ac:dyDescent="0.3">
      <c r="N3049" s="5"/>
      <c r="O3049" s="5"/>
      <c r="P3049" s="5"/>
      <c r="Q3049" s="5"/>
      <c r="R3049" s="8"/>
      <c r="S3049" s="8"/>
      <c r="T3049" s="3"/>
    </row>
    <row r="3050" spans="14:20" x14ac:dyDescent="0.3">
      <c r="N3050" s="5"/>
      <c r="O3050" s="5"/>
      <c r="P3050" s="5"/>
      <c r="Q3050" s="5"/>
      <c r="R3050" s="8"/>
      <c r="S3050" s="8"/>
      <c r="T3050" s="3"/>
    </row>
    <row r="3051" spans="14:20" x14ac:dyDescent="0.3">
      <c r="N3051" s="5"/>
      <c r="O3051" s="5"/>
      <c r="P3051" s="5"/>
      <c r="Q3051" s="5"/>
      <c r="R3051" s="8"/>
      <c r="S3051" s="8"/>
      <c r="T3051" s="3"/>
    </row>
    <row r="3052" spans="14:20" x14ac:dyDescent="0.3">
      <c r="N3052" s="5"/>
      <c r="O3052" s="5"/>
      <c r="P3052" s="5"/>
      <c r="Q3052" s="5"/>
      <c r="R3052" s="8"/>
      <c r="S3052" s="8"/>
      <c r="T3052" s="3"/>
    </row>
    <row r="3053" spans="14:20" x14ac:dyDescent="0.3">
      <c r="N3053" s="5"/>
      <c r="O3053" s="5"/>
      <c r="P3053" s="5"/>
      <c r="Q3053" s="5"/>
      <c r="R3053" s="8"/>
      <c r="S3053" s="8"/>
      <c r="T3053" s="3"/>
    </row>
    <row r="3054" spans="14:20" x14ac:dyDescent="0.3">
      <c r="N3054" s="5"/>
      <c r="O3054" s="5"/>
      <c r="P3054" s="5"/>
      <c r="Q3054" s="5"/>
      <c r="R3054" s="8"/>
      <c r="S3054" s="8"/>
      <c r="T3054" s="3"/>
    </row>
    <row r="3055" spans="14:20" x14ac:dyDescent="0.3">
      <c r="N3055" s="5"/>
      <c r="O3055" s="5"/>
      <c r="P3055" s="5"/>
      <c r="Q3055" s="5"/>
      <c r="R3055" s="8"/>
      <c r="S3055" s="8"/>
      <c r="T3055" s="3"/>
    </row>
    <row r="3056" spans="14:20" x14ac:dyDescent="0.3">
      <c r="N3056" s="5"/>
      <c r="O3056" s="5"/>
      <c r="P3056" s="5"/>
      <c r="Q3056" s="5"/>
      <c r="R3056" s="8"/>
      <c r="S3056" s="8"/>
      <c r="T3056" s="3"/>
    </row>
    <row r="3057" spans="14:20" x14ac:dyDescent="0.3">
      <c r="N3057" s="5"/>
      <c r="O3057" s="5"/>
      <c r="P3057" s="5"/>
      <c r="Q3057" s="5"/>
      <c r="R3057" s="8"/>
      <c r="S3057" s="8"/>
      <c r="T3057" s="3"/>
    </row>
    <row r="3058" spans="14:20" x14ac:dyDescent="0.3">
      <c r="N3058" s="5"/>
      <c r="O3058" s="5"/>
      <c r="P3058" s="5"/>
      <c r="Q3058" s="5"/>
      <c r="R3058" s="8"/>
      <c r="S3058" s="8"/>
      <c r="T3058" s="3"/>
    </row>
    <row r="3059" spans="14:20" x14ac:dyDescent="0.3">
      <c r="N3059" s="5"/>
      <c r="O3059" s="5"/>
      <c r="P3059" s="5"/>
      <c r="Q3059" s="5"/>
      <c r="R3059" s="8"/>
      <c r="S3059" s="8"/>
      <c r="T3059" s="3"/>
    </row>
    <row r="3060" spans="14:20" x14ac:dyDescent="0.3">
      <c r="N3060" s="5"/>
      <c r="O3060" s="5"/>
      <c r="P3060" s="5"/>
      <c r="Q3060" s="5"/>
      <c r="R3060" s="8"/>
      <c r="S3060" s="8"/>
      <c r="T3060" s="3"/>
    </row>
    <row r="3061" spans="14:20" x14ac:dyDescent="0.3">
      <c r="N3061" s="5"/>
      <c r="O3061" s="5"/>
      <c r="P3061" s="5"/>
      <c r="Q3061" s="5"/>
      <c r="R3061" s="8"/>
      <c r="S3061" s="8"/>
      <c r="T3061" s="3"/>
    </row>
    <row r="3062" spans="14:20" x14ac:dyDescent="0.3">
      <c r="N3062" s="5"/>
      <c r="O3062" s="5"/>
      <c r="P3062" s="5"/>
      <c r="Q3062" s="5"/>
      <c r="R3062" s="8"/>
      <c r="S3062" s="8"/>
      <c r="T3062" s="3"/>
    </row>
    <row r="3063" spans="14:20" x14ac:dyDescent="0.3">
      <c r="N3063" s="5"/>
      <c r="O3063" s="5"/>
      <c r="P3063" s="5"/>
      <c r="Q3063" s="5"/>
      <c r="R3063" s="8"/>
      <c r="S3063" s="8"/>
      <c r="T3063" s="3"/>
    </row>
    <row r="3064" spans="14:20" x14ac:dyDescent="0.3">
      <c r="N3064" s="5"/>
      <c r="O3064" s="5"/>
      <c r="P3064" s="5"/>
      <c r="Q3064" s="5"/>
      <c r="R3064" s="8"/>
      <c r="S3064" s="8"/>
      <c r="T3064" s="3"/>
    </row>
    <row r="3065" spans="14:20" x14ac:dyDescent="0.3">
      <c r="N3065" s="5"/>
      <c r="O3065" s="5"/>
      <c r="P3065" s="5"/>
      <c r="Q3065" s="5"/>
      <c r="R3065" s="8"/>
      <c r="S3065" s="8"/>
      <c r="T3065" s="3"/>
    </row>
    <row r="3066" spans="14:20" x14ac:dyDescent="0.3">
      <c r="N3066" s="5"/>
      <c r="O3066" s="5"/>
      <c r="P3066" s="5"/>
      <c r="Q3066" s="5"/>
      <c r="R3066" s="8"/>
      <c r="S3066" s="8"/>
      <c r="T3066" s="3"/>
    </row>
    <row r="3067" spans="14:20" x14ac:dyDescent="0.3">
      <c r="N3067" s="5"/>
      <c r="O3067" s="5"/>
      <c r="P3067" s="5"/>
      <c r="Q3067" s="5"/>
      <c r="R3067" s="8"/>
      <c r="S3067" s="8"/>
      <c r="T3067" s="3"/>
    </row>
    <row r="3068" spans="14:20" x14ac:dyDescent="0.3">
      <c r="N3068" s="5"/>
      <c r="O3068" s="5"/>
      <c r="P3068" s="5"/>
      <c r="Q3068" s="5"/>
      <c r="R3068" s="8"/>
      <c r="S3068" s="8"/>
      <c r="T3068" s="3"/>
    </row>
    <row r="3069" spans="14:20" x14ac:dyDescent="0.3">
      <c r="N3069" s="5"/>
      <c r="O3069" s="5"/>
      <c r="P3069" s="5"/>
      <c r="Q3069" s="5"/>
      <c r="R3069" s="8"/>
      <c r="S3069" s="8"/>
      <c r="T3069" s="3"/>
    </row>
    <row r="3070" spans="14:20" x14ac:dyDescent="0.3">
      <c r="N3070" s="5"/>
      <c r="O3070" s="5"/>
      <c r="P3070" s="5"/>
      <c r="Q3070" s="5"/>
      <c r="R3070" s="8"/>
      <c r="S3070" s="8"/>
      <c r="T3070" s="3"/>
    </row>
    <row r="3071" spans="14:20" x14ac:dyDescent="0.3">
      <c r="N3071" s="5"/>
      <c r="O3071" s="5"/>
      <c r="P3071" s="5"/>
      <c r="Q3071" s="5"/>
      <c r="R3071" s="8"/>
      <c r="S3071" s="8"/>
      <c r="T3071" s="3"/>
    </row>
    <row r="3072" spans="14:20" x14ac:dyDescent="0.3">
      <c r="N3072" s="5"/>
      <c r="O3072" s="5"/>
      <c r="P3072" s="5"/>
      <c r="Q3072" s="5"/>
      <c r="R3072" s="8"/>
      <c r="S3072" s="8"/>
      <c r="T3072" s="3"/>
    </row>
    <row r="3073" spans="14:20" x14ac:dyDescent="0.3">
      <c r="N3073" s="5"/>
      <c r="O3073" s="5"/>
      <c r="P3073" s="5"/>
      <c r="Q3073" s="5"/>
      <c r="R3073" s="8"/>
      <c r="S3073" s="8"/>
      <c r="T3073" s="3"/>
    </row>
    <row r="3074" spans="14:20" x14ac:dyDescent="0.3">
      <c r="N3074" s="5"/>
      <c r="O3074" s="5"/>
      <c r="P3074" s="5"/>
      <c r="Q3074" s="5"/>
      <c r="R3074" s="8"/>
      <c r="S3074" s="8"/>
      <c r="T3074" s="3"/>
    </row>
    <row r="3075" spans="14:20" x14ac:dyDescent="0.3">
      <c r="N3075" s="5"/>
      <c r="O3075" s="5"/>
      <c r="P3075" s="5"/>
      <c r="Q3075" s="5"/>
      <c r="R3075" s="8"/>
      <c r="S3075" s="8"/>
      <c r="T3075" s="3"/>
    </row>
    <row r="3076" spans="14:20" x14ac:dyDescent="0.3">
      <c r="N3076" s="5"/>
      <c r="O3076" s="5"/>
      <c r="P3076" s="5"/>
      <c r="Q3076" s="5"/>
      <c r="R3076" s="8"/>
      <c r="S3076" s="8"/>
      <c r="T3076" s="3"/>
    </row>
    <row r="3077" spans="14:20" x14ac:dyDescent="0.3">
      <c r="N3077" s="5"/>
      <c r="O3077" s="5"/>
      <c r="P3077" s="5"/>
      <c r="Q3077" s="5"/>
      <c r="R3077" s="8"/>
      <c r="S3077" s="8"/>
      <c r="T3077" s="3"/>
    </row>
    <row r="3078" spans="14:20" x14ac:dyDescent="0.3">
      <c r="N3078" s="5"/>
      <c r="O3078" s="5"/>
      <c r="P3078" s="5"/>
      <c r="Q3078" s="5"/>
      <c r="R3078" s="8"/>
      <c r="S3078" s="8"/>
      <c r="T3078" s="3"/>
    </row>
    <row r="3079" spans="14:20" x14ac:dyDescent="0.3">
      <c r="N3079" s="5"/>
      <c r="O3079" s="5"/>
      <c r="P3079" s="5"/>
      <c r="Q3079" s="5"/>
      <c r="R3079" s="8"/>
      <c r="S3079" s="8"/>
      <c r="T3079" s="3"/>
    </row>
    <row r="3080" spans="14:20" x14ac:dyDescent="0.3">
      <c r="N3080" s="5"/>
      <c r="O3080" s="5"/>
      <c r="P3080" s="5"/>
      <c r="Q3080" s="5"/>
      <c r="R3080" s="8"/>
      <c r="S3080" s="8"/>
      <c r="T3080" s="3"/>
    </row>
    <row r="3081" spans="14:20" x14ac:dyDescent="0.3">
      <c r="N3081" s="5"/>
      <c r="O3081" s="5"/>
      <c r="P3081" s="5"/>
      <c r="Q3081" s="5"/>
      <c r="R3081" s="8"/>
      <c r="S3081" s="8"/>
      <c r="T3081" s="3"/>
    </row>
    <row r="3082" spans="14:20" x14ac:dyDescent="0.3">
      <c r="N3082" s="5"/>
      <c r="O3082" s="5"/>
      <c r="P3082" s="5"/>
      <c r="Q3082" s="5"/>
      <c r="R3082" s="8"/>
      <c r="S3082" s="8"/>
      <c r="T3082" s="3"/>
    </row>
    <row r="3083" spans="14:20" x14ac:dyDescent="0.3">
      <c r="N3083" s="5"/>
      <c r="O3083" s="5"/>
      <c r="P3083" s="5"/>
      <c r="Q3083" s="5"/>
      <c r="R3083" s="8"/>
      <c r="S3083" s="8"/>
      <c r="T3083" s="3"/>
    </row>
    <row r="3084" spans="14:20" x14ac:dyDescent="0.3">
      <c r="N3084" s="5"/>
      <c r="O3084" s="5"/>
      <c r="P3084" s="5"/>
      <c r="Q3084" s="5"/>
      <c r="R3084" s="8"/>
      <c r="S3084" s="8"/>
      <c r="T3084" s="3"/>
    </row>
    <row r="3085" spans="14:20" x14ac:dyDescent="0.3">
      <c r="N3085" s="5"/>
      <c r="O3085" s="5"/>
      <c r="P3085" s="5"/>
      <c r="Q3085" s="5"/>
      <c r="R3085" s="8"/>
      <c r="S3085" s="8"/>
      <c r="T3085" s="3"/>
    </row>
    <row r="3086" spans="14:20" x14ac:dyDescent="0.3">
      <c r="N3086" s="5"/>
      <c r="O3086" s="5"/>
      <c r="P3086" s="5"/>
      <c r="Q3086" s="5"/>
      <c r="R3086" s="8"/>
      <c r="S3086" s="8"/>
      <c r="T3086" s="3"/>
    </row>
    <row r="3087" spans="14:20" x14ac:dyDescent="0.3">
      <c r="N3087" s="5"/>
      <c r="O3087" s="5"/>
      <c r="P3087" s="5"/>
      <c r="Q3087" s="5"/>
      <c r="R3087" s="8"/>
      <c r="S3087" s="8"/>
      <c r="T3087" s="3"/>
    </row>
    <row r="3088" spans="14:20" x14ac:dyDescent="0.3">
      <c r="N3088" s="5"/>
      <c r="O3088" s="5"/>
      <c r="P3088" s="5"/>
      <c r="Q3088" s="5"/>
      <c r="R3088" s="8"/>
      <c r="S3088" s="8"/>
      <c r="T3088" s="3"/>
    </row>
    <row r="3089" spans="14:20" x14ac:dyDescent="0.3">
      <c r="N3089" s="5"/>
      <c r="O3089" s="5"/>
      <c r="P3089" s="5"/>
      <c r="Q3089" s="5"/>
      <c r="R3089" s="8"/>
      <c r="S3089" s="8"/>
      <c r="T3089" s="3"/>
    </row>
    <row r="3090" spans="14:20" x14ac:dyDescent="0.3">
      <c r="N3090" s="5"/>
      <c r="O3090" s="5"/>
      <c r="P3090" s="5"/>
      <c r="Q3090" s="5"/>
      <c r="R3090" s="8"/>
      <c r="S3090" s="8"/>
      <c r="T3090" s="3"/>
    </row>
    <row r="3091" spans="14:20" x14ac:dyDescent="0.3">
      <c r="N3091" s="5"/>
      <c r="O3091" s="5"/>
      <c r="P3091" s="5"/>
      <c r="Q3091" s="5"/>
      <c r="R3091" s="8"/>
      <c r="S3091" s="8"/>
      <c r="T3091" s="3"/>
    </row>
    <row r="3092" spans="14:20" x14ac:dyDescent="0.3">
      <c r="N3092" s="5"/>
      <c r="O3092" s="5"/>
      <c r="P3092" s="5"/>
      <c r="Q3092" s="5"/>
      <c r="R3092" s="8"/>
      <c r="S3092" s="8"/>
      <c r="T3092" s="3"/>
    </row>
    <row r="3093" spans="14:20" x14ac:dyDescent="0.3">
      <c r="N3093" s="5"/>
      <c r="O3093" s="5"/>
      <c r="P3093" s="5"/>
      <c r="Q3093" s="5"/>
      <c r="R3093" s="8"/>
      <c r="S3093" s="8"/>
      <c r="T3093" s="3"/>
    </row>
    <row r="3094" spans="14:20" x14ac:dyDescent="0.3">
      <c r="N3094" s="5"/>
      <c r="O3094" s="5"/>
      <c r="P3094" s="5"/>
      <c r="Q3094" s="5"/>
      <c r="R3094" s="8"/>
      <c r="S3094" s="8"/>
      <c r="T3094" s="3"/>
    </row>
    <row r="3095" spans="14:20" x14ac:dyDescent="0.3">
      <c r="N3095" s="5"/>
      <c r="O3095" s="5"/>
      <c r="P3095" s="5"/>
      <c r="Q3095" s="5"/>
      <c r="R3095" s="8"/>
      <c r="S3095" s="8"/>
      <c r="T3095" s="3"/>
    </row>
    <row r="3096" spans="14:20" x14ac:dyDescent="0.3">
      <c r="N3096" s="5"/>
      <c r="O3096" s="5"/>
      <c r="P3096" s="5"/>
      <c r="Q3096" s="5"/>
      <c r="R3096" s="8"/>
      <c r="S3096" s="8"/>
      <c r="T3096" s="3"/>
    </row>
    <row r="3097" spans="14:20" x14ac:dyDescent="0.3">
      <c r="N3097" s="5"/>
      <c r="O3097" s="5"/>
      <c r="P3097" s="5"/>
      <c r="Q3097" s="5"/>
      <c r="R3097" s="8"/>
      <c r="S3097" s="8"/>
      <c r="T3097" s="3"/>
    </row>
    <row r="3098" spans="14:20" x14ac:dyDescent="0.3">
      <c r="N3098" s="5"/>
      <c r="O3098" s="5"/>
      <c r="P3098" s="5"/>
      <c r="Q3098" s="5"/>
      <c r="R3098" s="8"/>
      <c r="S3098" s="8"/>
      <c r="T3098" s="3"/>
    </row>
    <row r="3099" spans="14:20" x14ac:dyDescent="0.3">
      <c r="N3099" s="5"/>
      <c r="O3099" s="5"/>
      <c r="P3099" s="5"/>
      <c r="Q3099" s="5"/>
      <c r="R3099" s="8"/>
      <c r="S3099" s="8"/>
      <c r="T3099" s="3"/>
    </row>
    <row r="3100" spans="14:20" x14ac:dyDescent="0.3">
      <c r="N3100" s="5"/>
      <c r="O3100" s="5"/>
      <c r="P3100" s="5"/>
      <c r="Q3100" s="5"/>
      <c r="R3100" s="8"/>
      <c r="S3100" s="8"/>
      <c r="T3100" s="3"/>
    </row>
    <row r="3101" spans="14:20" x14ac:dyDescent="0.3">
      <c r="N3101" s="5"/>
      <c r="O3101" s="5"/>
      <c r="P3101" s="5"/>
      <c r="Q3101" s="5"/>
      <c r="R3101" s="8"/>
      <c r="S3101" s="8"/>
      <c r="T3101" s="3"/>
    </row>
    <row r="3102" spans="14:20" x14ac:dyDescent="0.3">
      <c r="N3102" s="5"/>
      <c r="O3102" s="5"/>
      <c r="P3102" s="5"/>
      <c r="Q3102" s="5"/>
      <c r="R3102" s="8"/>
      <c r="S3102" s="8"/>
      <c r="T3102" s="3"/>
    </row>
    <row r="3103" spans="14:20" x14ac:dyDescent="0.3">
      <c r="N3103" s="5"/>
      <c r="O3103" s="5"/>
      <c r="P3103" s="5"/>
      <c r="Q3103" s="5"/>
      <c r="R3103" s="8"/>
      <c r="S3103" s="8"/>
      <c r="T3103" s="3"/>
    </row>
    <row r="3104" spans="14:20" x14ac:dyDescent="0.3">
      <c r="N3104" s="5"/>
      <c r="O3104" s="5"/>
      <c r="P3104" s="5"/>
      <c r="Q3104" s="5"/>
      <c r="R3104" s="8"/>
      <c r="S3104" s="8"/>
      <c r="T3104" s="3"/>
    </row>
    <row r="3105" spans="14:20" x14ac:dyDescent="0.3">
      <c r="N3105" s="5"/>
      <c r="O3105" s="5"/>
      <c r="P3105" s="5"/>
      <c r="Q3105" s="5"/>
      <c r="R3105" s="8"/>
      <c r="S3105" s="8"/>
      <c r="T3105" s="3"/>
    </row>
    <row r="3106" spans="14:20" x14ac:dyDescent="0.3">
      <c r="N3106" s="5"/>
      <c r="O3106" s="5"/>
      <c r="P3106" s="5"/>
      <c r="Q3106" s="5"/>
      <c r="R3106" s="8"/>
      <c r="S3106" s="8"/>
      <c r="T3106" s="3"/>
    </row>
    <row r="3107" spans="14:20" x14ac:dyDescent="0.3">
      <c r="N3107" s="5"/>
      <c r="O3107" s="5"/>
      <c r="P3107" s="5"/>
      <c r="Q3107" s="5"/>
      <c r="R3107" s="8"/>
      <c r="S3107" s="8"/>
      <c r="T3107" s="3"/>
    </row>
    <row r="3108" spans="14:20" x14ac:dyDescent="0.3">
      <c r="N3108" s="5"/>
      <c r="O3108" s="5"/>
      <c r="P3108" s="5"/>
      <c r="Q3108" s="5"/>
      <c r="R3108" s="8"/>
      <c r="S3108" s="8"/>
      <c r="T3108" s="3"/>
    </row>
    <row r="3109" spans="14:20" x14ac:dyDescent="0.3">
      <c r="N3109" s="5"/>
      <c r="O3109" s="5"/>
      <c r="P3109" s="5"/>
      <c r="Q3109" s="5"/>
      <c r="R3109" s="8"/>
      <c r="S3109" s="8"/>
      <c r="T3109" s="3"/>
    </row>
    <row r="3110" spans="14:20" x14ac:dyDescent="0.3">
      <c r="N3110" s="5"/>
      <c r="O3110" s="5"/>
      <c r="P3110" s="5"/>
      <c r="Q3110" s="5"/>
      <c r="R3110" s="8"/>
      <c r="S3110" s="8"/>
      <c r="T3110" s="3"/>
    </row>
    <row r="3111" spans="14:20" x14ac:dyDescent="0.3">
      <c r="N3111" s="5"/>
      <c r="O3111" s="5"/>
      <c r="P3111" s="5"/>
      <c r="Q3111" s="5"/>
      <c r="R3111" s="8"/>
      <c r="S3111" s="8"/>
      <c r="T3111" s="3"/>
    </row>
    <row r="3112" spans="14:20" x14ac:dyDescent="0.3">
      <c r="N3112" s="5"/>
      <c r="O3112" s="5"/>
      <c r="P3112" s="5"/>
      <c r="Q3112" s="5"/>
      <c r="R3112" s="8"/>
      <c r="S3112" s="8"/>
      <c r="T3112" s="3"/>
    </row>
    <row r="3113" spans="14:20" x14ac:dyDescent="0.3">
      <c r="N3113" s="5"/>
      <c r="O3113" s="5"/>
      <c r="P3113" s="5"/>
      <c r="Q3113" s="5"/>
      <c r="R3113" s="8"/>
      <c r="S3113" s="8"/>
      <c r="T3113" s="3"/>
    </row>
    <row r="3114" spans="14:20" x14ac:dyDescent="0.3">
      <c r="N3114" s="5"/>
      <c r="O3114" s="5"/>
      <c r="P3114" s="5"/>
      <c r="Q3114" s="5"/>
      <c r="R3114" s="8"/>
      <c r="S3114" s="8"/>
      <c r="T3114" s="3"/>
    </row>
    <row r="3115" spans="14:20" x14ac:dyDescent="0.3">
      <c r="N3115" s="5"/>
      <c r="O3115" s="5"/>
      <c r="P3115" s="5"/>
      <c r="Q3115" s="5"/>
      <c r="R3115" s="8"/>
      <c r="S3115" s="8"/>
      <c r="T3115" s="3"/>
    </row>
    <row r="3116" spans="14:20" x14ac:dyDescent="0.3">
      <c r="N3116" s="5"/>
      <c r="O3116" s="5"/>
      <c r="P3116" s="5"/>
      <c r="Q3116" s="5"/>
      <c r="R3116" s="8"/>
      <c r="S3116" s="8"/>
      <c r="T3116" s="3"/>
    </row>
    <row r="3117" spans="14:20" x14ac:dyDescent="0.3">
      <c r="N3117" s="5"/>
      <c r="O3117" s="5"/>
      <c r="P3117" s="5"/>
      <c r="Q3117" s="5"/>
      <c r="R3117" s="8"/>
      <c r="S3117" s="8"/>
      <c r="T3117" s="3"/>
    </row>
    <row r="3118" spans="14:20" x14ac:dyDescent="0.3">
      <c r="N3118" s="5"/>
      <c r="O3118" s="5"/>
      <c r="P3118" s="5"/>
      <c r="Q3118" s="5"/>
      <c r="R3118" s="8"/>
      <c r="S3118" s="8"/>
      <c r="T3118" s="3"/>
    </row>
    <row r="3119" spans="14:20" x14ac:dyDescent="0.3">
      <c r="N3119" s="5"/>
      <c r="O3119" s="5"/>
      <c r="P3119" s="5"/>
      <c r="Q3119" s="5"/>
      <c r="R3119" s="8"/>
      <c r="S3119" s="8"/>
      <c r="T3119" s="3"/>
    </row>
    <row r="3120" spans="14:20" x14ac:dyDescent="0.3">
      <c r="N3120" s="5"/>
      <c r="O3120" s="5"/>
      <c r="P3120" s="5"/>
      <c r="Q3120" s="5"/>
      <c r="R3120" s="8"/>
      <c r="S3120" s="8"/>
      <c r="T3120" s="3"/>
    </row>
    <row r="3121" spans="14:20" x14ac:dyDescent="0.3">
      <c r="N3121" s="5"/>
      <c r="O3121" s="5"/>
      <c r="P3121" s="5"/>
      <c r="Q3121" s="5"/>
      <c r="R3121" s="8"/>
      <c r="S3121" s="8"/>
      <c r="T3121" s="3"/>
    </row>
    <row r="3122" spans="14:20" x14ac:dyDescent="0.3">
      <c r="N3122" s="5"/>
      <c r="O3122" s="5"/>
      <c r="P3122" s="5"/>
      <c r="Q3122" s="5"/>
      <c r="R3122" s="8"/>
      <c r="S3122" s="8"/>
      <c r="T3122" s="3"/>
    </row>
    <row r="3123" spans="14:20" x14ac:dyDescent="0.3">
      <c r="N3123" s="5"/>
      <c r="O3123" s="5"/>
      <c r="P3123" s="5"/>
      <c r="Q3123" s="5"/>
      <c r="R3123" s="8"/>
      <c r="S3123" s="8"/>
      <c r="T3123" s="3"/>
    </row>
    <row r="3124" spans="14:20" x14ac:dyDescent="0.3">
      <c r="N3124" s="5"/>
      <c r="O3124" s="5"/>
      <c r="P3124" s="5"/>
      <c r="Q3124" s="5"/>
      <c r="R3124" s="8"/>
      <c r="S3124" s="8"/>
      <c r="T3124" s="3"/>
    </row>
    <row r="3125" spans="14:20" x14ac:dyDescent="0.3">
      <c r="N3125" s="5"/>
      <c r="O3125" s="5"/>
      <c r="P3125" s="5"/>
      <c r="Q3125" s="5"/>
      <c r="R3125" s="8"/>
      <c r="S3125" s="8"/>
      <c r="T3125" s="3"/>
    </row>
    <row r="3126" spans="14:20" x14ac:dyDescent="0.3">
      <c r="N3126" s="5"/>
      <c r="O3126" s="5"/>
      <c r="P3126" s="5"/>
      <c r="Q3126" s="5"/>
      <c r="R3126" s="8"/>
      <c r="S3126" s="8"/>
      <c r="T3126" s="3"/>
    </row>
    <row r="3127" spans="14:20" x14ac:dyDescent="0.3">
      <c r="N3127" s="5"/>
      <c r="O3127" s="5"/>
      <c r="P3127" s="5"/>
      <c r="Q3127" s="5"/>
      <c r="R3127" s="8"/>
      <c r="S3127" s="8"/>
      <c r="T3127" s="3"/>
    </row>
    <row r="3128" spans="14:20" x14ac:dyDescent="0.3">
      <c r="N3128" s="5"/>
      <c r="O3128" s="5"/>
      <c r="P3128" s="5"/>
      <c r="Q3128" s="5"/>
      <c r="R3128" s="8"/>
      <c r="S3128" s="8"/>
      <c r="T3128" s="3"/>
    </row>
    <row r="3129" spans="14:20" x14ac:dyDescent="0.3">
      <c r="N3129" s="5"/>
      <c r="O3129" s="5"/>
      <c r="P3129" s="5"/>
      <c r="Q3129" s="5"/>
      <c r="R3129" s="8"/>
      <c r="S3129" s="8"/>
      <c r="T3129" s="3"/>
    </row>
    <row r="3130" spans="14:20" x14ac:dyDescent="0.3">
      <c r="N3130" s="5"/>
      <c r="O3130" s="5"/>
      <c r="P3130" s="5"/>
      <c r="Q3130" s="5"/>
      <c r="R3130" s="8"/>
      <c r="S3130" s="8"/>
      <c r="T3130" s="3"/>
    </row>
    <row r="3131" spans="14:20" x14ac:dyDescent="0.3">
      <c r="N3131" s="5"/>
      <c r="O3131" s="5"/>
      <c r="P3131" s="5"/>
      <c r="Q3131" s="5"/>
      <c r="R3131" s="8"/>
      <c r="S3131" s="8"/>
      <c r="T3131" s="3"/>
    </row>
    <row r="3132" spans="14:20" x14ac:dyDescent="0.3">
      <c r="N3132" s="5"/>
      <c r="O3132" s="5"/>
      <c r="P3132" s="5"/>
      <c r="Q3132" s="5"/>
      <c r="R3132" s="8"/>
      <c r="S3132" s="8"/>
      <c r="T3132" s="3"/>
    </row>
    <row r="3133" spans="14:20" x14ac:dyDescent="0.3">
      <c r="N3133" s="5"/>
      <c r="O3133" s="5"/>
      <c r="P3133" s="5"/>
      <c r="Q3133" s="5"/>
      <c r="R3133" s="8"/>
      <c r="S3133" s="8"/>
      <c r="T3133" s="3"/>
    </row>
    <row r="3134" spans="14:20" x14ac:dyDescent="0.3">
      <c r="N3134" s="5"/>
      <c r="O3134" s="5"/>
      <c r="P3134" s="5"/>
      <c r="Q3134" s="5"/>
      <c r="R3134" s="8"/>
      <c r="S3134" s="8"/>
      <c r="T3134" s="3"/>
    </row>
    <row r="3135" spans="14:20" x14ac:dyDescent="0.3">
      <c r="N3135" s="5"/>
      <c r="O3135" s="5"/>
      <c r="P3135" s="5"/>
      <c r="Q3135" s="5"/>
      <c r="R3135" s="8"/>
      <c r="S3135" s="8"/>
      <c r="T3135" s="3"/>
    </row>
    <row r="3136" spans="14:20" x14ac:dyDescent="0.3">
      <c r="N3136" s="5"/>
      <c r="O3136" s="5"/>
      <c r="P3136" s="5"/>
      <c r="Q3136" s="5"/>
      <c r="R3136" s="8"/>
      <c r="S3136" s="8"/>
      <c r="T3136" s="3"/>
    </row>
    <row r="3137" spans="14:20" x14ac:dyDescent="0.3">
      <c r="N3137" s="5"/>
      <c r="O3137" s="5"/>
      <c r="P3137" s="5"/>
      <c r="Q3137" s="5"/>
      <c r="R3137" s="8"/>
      <c r="S3137" s="8"/>
      <c r="T3137" s="3"/>
    </row>
    <row r="3138" spans="14:20" x14ac:dyDescent="0.3">
      <c r="N3138" s="5"/>
      <c r="O3138" s="5"/>
      <c r="P3138" s="5"/>
      <c r="Q3138" s="5"/>
      <c r="R3138" s="8"/>
      <c r="S3138" s="8"/>
      <c r="T3138" s="3"/>
    </row>
    <row r="3139" spans="14:20" x14ac:dyDescent="0.3">
      <c r="N3139" s="5"/>
      <c r="O3139" s="5"/>
      <c r="P3139" s="5"/>
      <c r="Q3139" s="5"/>
      <c r="R3139" s="8"/>
      <c r="S3139" s="8"/>
      <c r="T3139" s="3"/>
    </row>
    <row r="3140" spans="14:20" x14ac:dyDescent="0.3">
      <c r="N3140" s="5"/>
      <c r="O3140" s="5"/>
      <c r="P3140" s="5"/>
      <c r="Q3140" s="5"/>
      <c r="R3140" s="8"/>
      <c r="S3140" s="8"/>
      <c r="T3140" s="3"/>
    </row>
    <row r="3141" spans="14:20" x14ac:dyDescent="0.3">
      <c r="N3141" s="5"/>
      <c r="O3141" s="5"/>
      <c r="P3141" s="5"/>
      <c r="Q3141" s="5"/>
      <c r="R3141" s="8"/>
      <c r="S3141" s="8"/>
      <c r="T3141" s="3"/>
    </row>
    <row r="3142" spans="14:20" x14ac:dyDescent="0.3">
      <c r="N3142" s="5"/>
      <c r="O3142" s="5"/>
      <c r="P3142" s="5"/>
      <c r="Q3142" s="5"/>
      <c r="R3142" s="8"/>
      <c r="S3142" s="8"/>
      <c r="T3142" s="3"/>
    </row>
    <row r="3143" spans="14:20" x14ac:dyDescent="0.3">
      <c r="N3143" s="5"/>
      <c r="O3143" s="5"/>
      <c r="P3143" s="5"/>
      <c r="Q3143" s="5"/>
      <c r="R3143" s="8"/>
      <c r="S3143" s="8"/>
      <c r="T3143" s="3"/>
    </row>
    <row r="3144" spans="14:20" x14ac:dyDescent="0.3">
      <c r="N3144" s="5"/>
      <c r="O3144" s="5"/>
      <c r="P3144" s="5"/>
      <c r="Q3144" s="5"/>
      <c r="R3144" s="8"/>
      <c r="S3144" s="8"/>
      <c r="T3144" s="3"/>
    </row>
    <row r="3145" spans="14:20" x14ac:dyDescent="0.3">
      <c r="N3145" s="5"/>
      <c r="O3145" s="5"/>
      <c r="P3145" s="5"/>
      <c r="Q3145" s="5"/>
      <c r="R3145" s="8"/>
      <c r="S3145" s="8"/>
      <c r="T3145" s="3"/>
    </row>
    <row r="3146" spans="14:20" x14ac:dyDescent="0.3">
      <c r="N3146" s="5"/>
      <c r="O3146" s="5"/>
      <c r="P3146" s="5"/>
      <c r="Q3146" s="5"/>
      <c r="R3146" s="8"/>
      <c r="S3146" s="8"/>
      <c r="T3146" s="3"/>
    </row>
    <row r="3147" spans="14:20" x14ac:dyDescent="0.3">
      <c r="N3147" s="5"/>
      <c r="O3147" s="5"/>
      <c r="P3147" s="5"/>
      <c r="Q3147" s="5"/>
      <c r="R3147" s="8"/>
      <c r="S3147" s="8"/>
      <c r="T3147" s="3"/>
    </row>
    <row r="3148" spans="14:20" x14ac:dyDescent="0.3">
      <c r="N3148" s="5"/>
      <c r="O3148" s="5"/>
      <c r="P3148" s="5"/>
      <c r="Q3148" s="5"/>
      <c r="R3148" s="8"/>
      <c r="S3148" s="8"/>
      <c r="T3148" s="3"/>
    </row>
    <row r="3149" spans="14:20" x14ac:dyDescent="0.3">
      <c r="N3149" s="5"/>
      <c r="O3149" s="5"/>
      <c r="P3149" s="5"/>
      <c r="Q3149" s="5"/>
      <c r="R3149" s="8"/>
      <c r="S3149" s="8"/>
      <c r="T3149" s="3"/>
    </row>
    <row r="3150" spans="14:20" x14ac:dyDescent="0.3">
      <c r="N3150" s="5"/>
      <c r="O3150" s="5"/>
      <c r="P3150" s="5"/>
      <c r="Q3150" s="5"/>
      <c r="R3150" s="8"/>
      <c r="S3150" s="8"/>
      <c r="T3150" s="3"/>
    </row>
    <row r="3151" spans="14:20" x14ac:dyDescent="0.3">
      <c r="N3151" s="5"/>
      <c r="O3151" s="5"/>
      <c r="P3151" s="5"/>
      <c r="Q3151" s="5"/>
      <c r="R3151" s="8"/>
      <c r="S3151" s="8"/>
      <c r="T3151" s="3"/>
    </row>
    <row r="3152" spans="14:20" x14ac:dyDescent="0.3">
      <c r="N3152" s="5"/>
      <c r="O3152" s="5"/>
      <c r="P3152" s="5"/>
      <c r="Q3152" s="5"/>
      <c r="R3152" s="8"/>
      <c r="S3152" s="8"/>
      <c r="T3152" s="3"/>
    </row>
    <row r="3153" spans="14:20" x14ac:dyDescent="0.3">
      <c r="N3153" s="5"/>
      <c r="O3153" s="5"/>
      <c r="P3153" s="5"/>
      <c r="Q3153" s="5"/>
      <c r="R3153" s="8"/>
      <c r="S3153" s="8"/>
      <c r="T3153" s="3"/>
    </row>
    <row r="3154" spans="14:20" x14ac:dyDescent="0.3">
      <c r="N3154" s="5"/>
      <c r="O3154" s="5"/>
      <c r="P3154" s="5"/>
      <c r="Q3154" s="5"/>
      <c r="R3154" s="8"/>
      <c r="S3154" s="8"/>
      <c r="T3154" s="3"/>
    </row>
    <row r="3155" spans="14:20" x14ac:dyDescent="0.3">
      <c r="N3155" s="5"/>
      <c r="O3155" s="5"/>
      <c r="P3155" s="5"/>
      <c r="Q3155" s="5"/>
      <c r="R3155" s="8"/>
      <c r="S3155" s="8"/>
      <c r="T3155" s="3"/>
    </row>
    <row r="3156" spans="14:20" x14ac:dyDescent="0.3">
      <c r="N3156" s="5"/>
      <c r="O3156" s="5"/>
      <c r="P3156" s="5"/>
      <c r="Q3156" s="5"/>
      <c r="R3156" s="8"/>
      <c r="S3156" s="8"/>
      <c r="T3156" s="3"/>
    </row>
    <row r="3157" spans="14:20" x14ac:dyDescent="0.3">
      <c r="N3157" s="5"/>
      <c r="O3157" s="5"/>
      <c r="P3157" s="5"/>
      <c r="Q3157" s="5"/>
      <c r="R3157" s="8"/>
      <c r="S3157" s="8"/>
      <c r="T3157" s="3"/>
    </row>
    <row r="3158" spans="14:20" x14ac:dyDescent="0.3">
      <c r="N3158" s="5"/>
      <c r="O3158" s="5"/>
      <c r="P3158" s="5"/>
      <c r="Q3158" s="5"/>
      <c r="R3158" s="8"/>
      <c r="S3158" s="8"/>
      <c r="T3158" s="3"/>
    </row>
    <row r="3159" spans="14:20" x14ac:dyDescent="0.3">
      <c r="N3159" s="5"/>
      <c r="O3159" s="5"/>
      <c r="P3159" s="5"/>
      <c r="Q3159" s="5"/>
      <c r="R3159" s="8"/>
      <c r="S3159" s="8"/>
      <c r="T3159" s="3"/>
    </row>
    <row r="3160" spans="14:20" x14ac:dyDescent="0.3">
      <c r="N3160" s="5"/>
      <c r="O3160" s="5"/>
      <c r="P3160" s="5"/>
      <c r="Q3160" s="5"/>
      <c r="R3160" s="8"/>
      <c r="S3160" s="8"/>
      <c r="T3160" s="3"/>
    </row>
    <row r="3161" spans="14:20" x14ac:dyDescent="0.3">
      <c r="N3161" s="5"/>
      <c r="O3161" s="5"/>
      <c r="P3161" s="5"/>
      <c r="Q3161" s="5"/>
      <c r="R3161" s="8"/>
      <c r="S3161" s="8"/>
      <c r="T3161" s="3"/>
    </row>
    <row r="3162" spans="14:20" x14ac:dyDescent="0.3">
      <c r="N3162" s="5"/>
      <c r="O3162" s="5"/>
      <c r="P3162" s="5"/>
      <c r="Q3162" s="5"/>
      <c r="R3162" s="8"/>
      <c r="S3162" s="8"/>
      <c r="T3162" s="3"/>
    </row>
    <row r="3163" spans="14:20" x14ac:dyDescent="0.3">
      <c r="N3163" s="5"/>
      <c r="O3163" s="5"/>
      <c r="P3163" s="5"/>
      <c r="Q3163" s="5"/>
      <c r="R3163" s="8"/>
      <c r="S3163" s="8"/>
      <c r="T3163" s="3"/>
    </row>
    <row r="3164" spans="14:20" x14ac:dyDescent="0.3">
      <c r="N3164" s="5"/>
      <c r="O3164" s="5"/>
      <c r="P3164" s="5"/>
      <c r="Q3164" s="5"/>
      <c r="R3164" s="8"/>
      <c r="S3164" s="8"/>
      <c r="T3164" s="3"/>
    </row>
    <row r="3165" spans="14:20" x14ac:dyDescent="0.3">
      <c r="N3165" s="5"/>
      <c r="O3165" s="5"/>
      <c r="P3165" s="5"/>
      <c r="Q3165" s="5"/>
      <c r="R3165" s="8"/>
      <c r="S3165" s="8"/>
      <c r="T3165" s="3"/>
    </row>
    <row r="3166" spans="14:20" x14ac:dyDescent="0.3">
      <c r="N3166" s="5"/>
      <c r="O3166" s="5"/>
      <c r="P3166" s="5"/>
      <c r="Q3166" s="5"/>
      <c r="R3166" s="8"/>
      <c r="S3166" s="8"/>
      <c r="T3166" s="3"/>
    </row>
    <row r="3167" spans="14:20" x14ac:dyDescent="0.3">
      <c r="N3167" s="5"/>
      <c r="O3167" s="5"/>
      <c r="P3167" s="5"/>
      <c r="Q3167" s="5"/>
      <c r="R3167" s="8"/>
      <c r="S3167" s="8"/>
      <c r="T3167" s="3"/>
    </row>
    <row r="3168" spans="14:20" x14ac:dyDescent="0.3">
      <c r="N3168" s="5"/>
      <c r="O3168" s="5"/>
      <c r="P3168" s="5"/>
      <c r="Q3168" s="5"/>
      <c r="R3168" s="8"/>
      <c r="S3168" s="8"/>
      <c r="T3168" s="3"/>
    </row>
    <row r="3169" spans="14:20" x14ac:dyDescent="0.3">
      <c r="N3169" s="5"/>
      <c r="O3169" s="5"/>
      <c r="P3169" s="5"/>
      <c r="Q3169" s="5"/>
      <c r="R3169" s="8"/>
      <c r="S3169" s="8"/>
      <c r="T3169" s="3"/>
    </row>
    <row r="3170" spans="14:20" x14ac:dyDescent="0.3">
      <c r="N3170" s="5"/>
      <c r="O3170" s="5"/>
      <c r="P3170" s="5"/>
      <c r="Q3170" s="5"/>
      <c r="R3170" s="8"/>
      <c r="S3170" s="8"/>
      <c r="T3170" s="3"/>
    </row>
    <row r="3171" spans="14:20" x14ac:dyDescent="0.3">
      <c r="N3171" s="5"/>
      <c r="O3171" s="5"/>
      <c r="P3171" s="5"/>
      <c r="Q3171" s="5"/>
      <c r="R3171" s="8"/>
      <c r="S3171" s="8"/>
      <c r="T3171" s="3"/>
    </row>
    <row r="3172" spans="14:20" x14ac:dyDescent="0.3">
      <c r="N3172" s="5"/>
      <c r="O3172" s="5"/>
      <c r="P3172" s="5"/>
      <c r="Q3172" s="5"/>
      <c r="R3172" s="8"/>
      <c r="S3172" s="8"/>
      <c r="T3172" s="3"/>
    </row>
    <row r="3173" spans="14:20" x14ac:dyDescent="0.3">
      <c r="N3173" s="5"/>
      <c r="O3173" s="5"/>
      <c r="P3173" s="5"/>
      <c r="Q3173" s="5"/>
      <c r="R3173" s="8"/>
      <c r="S3173" s="8"/>
      <c r="T3173" s="3"/>
    </row>
    <row r="3174" spans="14:20" x14ac:dyDescent="0.3">
      <c r="N3174" s="5"/>
      <c r="O3174" s="5"/>
      <c r="P3174" s="5"/>
      <c r="Q3174" s="5"/>
      <c r="R3174" s="8"/>
      <c r="S3174" s="8"/>
      <c r="T3174" s="3"/>
    </row>
    <row r="3175" spans="14:20" x14ac:dyDescent="0.3">
      <c r="N3175" s="5"/>
      <c r="O3175" s="5"/>
      <c r="P3175" s="5"/>
      <c r="Q3175" s="5"/>
      <c r="R3175" s="8"/>
      <c r="S3175" s="8"/>
      <c r="T3175" s="3"/>
    </row>
    <row r="3176" spans="14:20" x14ac:dyDescent="0.3">
      <c r="N3176" s="5"/>
      <c r="O3176" s="5"/>
      <c r="P3176" s="5"/>
      <c r="Q3176" s="5"/>
      <c r="R3176" s="8"/>
      <c r="S3176" s="8"/>
      <c r="T3176" s="3"/>
    </row>
    <row r="3177" spans="14:20" x14ac:dyDescent="0.3">
      <c r="N3177" s="5"/>
      <c r="O3177" s="5"/>
      <c r="P3177" s="5"/>
      <c r="Q3177" s="5"/>
      <c r="R3177" s="8"/>
      <c r="S3177" s="8"/>
      <c r="T3177" s="3"/>
    </row>
    <row r="3178" spans="14:20" x14ac:dyDescent="0.3">
      <c r="N3178" s="5"/>
      <c r="O3178" s="5"/>
      <c r="P3178" s="5"/>
      <c r="Q3178" s="5"/>
      <c r="R3178" s="8"/>
      <c r="S3178" s="8"/>
      <c r="T3178" s="3"/>
    </row>
    <row r="3179" spans="14:20" x14ac:dyDescent="0.3">
      <c r="N3179" s="5"/>
      <c r="O3179" s="5"/>
      <c r="P3179" s="5"/>
      <c r="Q3179" s="5"/>
      <c r="R3179" s="8"/>
      <c r="S3179" s="8"/>
      <c r="T3179" s="3"/>
    </row>
    <row r="3180" spans="14:20" x14ac:dyDescent="0.3">
      <c r="N3180" s="5"/>
      <c r="O3180" s="5"/>
      <c r="P3180" s="5"/>
      <c r="Q3180" s="5"/>
      <c r="R3180" s="8"/>
      <c r="S3180" s="8"/>
      <c r="T3180" s="3"/>
    </row>
    <row r="3181" spans="14:20" x14ac:dyDescent="0.3">
      <c r="N3181" s="5"/>
      <c r="O3181" s="5"/>
      <c r="P3181" s="5"/>
      <c r="Q3181" s="5"/>
      <c r="R3181" s="8"/>
      <c r="S3181" s="8"/>
      <c r="T3181" s="3"/>
    </row>
    <row r="3182" spans="14:20" x14ac:dyDescent="0.3">
      <c r="N3182" s="5"/>
      <c r="O3182" s="5"/>
      <c r="P3182" s="5"/>
      <c r="Q3182" s="5"/>
      <c r="R3182" s="8"/>
      <c r="S3182" s="8"/>
      <c r="T3182" s="3"/>
    </row>
    <row r="3183" spans="14:20" x14ac:dyDescent="0.3">
      <c r="N3183" s="5"/>
      <c r="O3183" s="5"/>
      <c r="P3183" s="5"/>
      <c r="Q3183" s="5"/>
      <c r="R3183" s="8"/>
      <c r="S3183" s="8"/>
      <c r="T3183" s="3"/>
    </row>
    <row r="3184" spans="14:20" x14ac:dyDescent="0.3">
      <c r="N3184" s="5"/>
      <c r="O3184" s="5"/>
      <c r="P3184" s="5"/>
      <c r="Q3184" s="5"/>
      <c r="R3184" s="8"/>
      <c r="S3184" s="8"/>
      <c r="T3184" s="3"/>
    </row>
    <row r="3185" spans="14:20" x14ac:dyDescent="0.3">
      <c r="N3185" s="5"/>
      <c r="O3185" s="5"/>
      <c r="P3185" s="5"/>
      <c r="Q3185" s="5"/>
      <c r="R3185" s="8"/>
      <c r="S3185" s="8"/>
      <c r="T3185" s="3"/>
    </row>
    <row r="3186" spans="14:20" x14ac:dyDescent="0.3">
      <c r="N3186" s="5"/>
      <c r="O3186" s="5"/>
      <c r="P3186" s="5"/>
      <c r="Q3186" s="5"/>
      <c r="R3186" s="8"/>
      <c r="S3186" s="8"/>
      <c r="T3186" s="3"/>
    </row>
    <row r="3187" spans="14:20" x14ac:dyDescent="0.3">
      <c r="N3187" s="5"/>
      <c r="O3187" s="5"/>
      <c r="P3187" s="5"/>
      <c r="Q3187" s="5"/>
      <c r="R3187" s="8"/>
      <c r="S3187" s="8"/>
      <c r="T3187" s="3"/>
    </row>
    <row r="3188" spans="14:20" x14ac:dyDescent="0.3">
      <c r="N3188" s="5"/>
      <c r="O3188" s="5"/>
      <c r="P3188" s="5"/>
      <c r="Q3188" s="5"/>
      <c r="R3188" s="8"/>
      <c r="S3188" s="8"/>
      <c r="T3188" s="3"/>
    </row>
    <row r="3189" spans="14:20" x14ac:dyDescent="0.3">
      <c r="N3189" s="5"/>
      <c r="O3189" s="5"/>
      <c r="P3189" s="5"/>
      <c r="Q3189" s="5"/>
      <c r="R3189" s="8"/>
      <c r="S3189" s="8"/>
      <c r="T3189" s="3"/>
    </row>
    <row r="3190" spans="14:20" x14ac:dyDescent="0.3">
      <c r="N3190" s="5"/>
      <c r="O3190" s="5"/>
      <c r="P3190" s="5"/>
      <c r="Q3190" s="5"/>
      <c r="R3190" s="8"/>
      <c r="S3190" s="8"/>
      <c r="T3190" s="3"/>
    </row>
    <row r="3191" spans="14:20" x14ac:dyDescent="0.3">
      <c r="N3191" s="5"/>
      <c r="O3191" s="5"/>
      <c r="P3191" s="5"/>
      <c r="Q3191" s="5"/>
      <c r="R3191" s="8"/>
      <c r="S3191" s="8"/>
      <c r="T3191" s="3"/>
    </row>
    <row r="3192" spans="14:20" x14ac:dyDescent="0.3">
      <c r="N3192" s="5"/>
      <c r="O3192" s="5"/>
      <c r="P3192" s="5"/>
      <c r="Q3192" s="5"/>
      <c r="R3192" s="8"/>
      <c r="S3192" s="8"/>
      <c r="T3192" s="3"/>
    </row>
    <row r="3193" spans="14:20" x14ac:dyDescent="0.3">
      <c r="N3193" s="5"/>
      <c r="O3193" s="5"/>
      <c r="P3193" s="5"/>
      <c r="Q3193" s="5"/>
      <c r="R3193" s="8"/>
      <c r="S3193" s="8"/>
      <c r="T3193" s="3"/>
    </row>
    <row r="3194" spans="14:20" x14ac:dyDescent="0.3">
      <c r="N3194" s="5"/>
      <c r="O3194" s="5"/>
      <c r="P3194" s="5"/>
      <c r="Q3194" s="5"/>
      <c r="R3194" s="8"/>
      <c r="S3194" s="8"/>
      <c r="T3194" s="3"/>
    </row>
    <row r="3195" spans="14:20" x14ac:dyDescent="0.3">
      <c r="N3195" s="5"/>
      <c r="O3195" s="5"/>
      <c r="P3195" s="5"/>
      <c r="Q3195" s="5"/>
      <c r="R3195" s="8"/>
      <c r="S3195" s="8"/>
      <c r="T3195" s="3"/>
    </row>
    <row r="3196" spans="14:20" x14ac:dyDescent="0.3">
      <c r="N3196" s="5"/>
      <c r="O3196" s="5"/>
      <c r="P3196" s="5"/>
      <c r="Q3196" s="5"/>
      <c r="R3196" s="8"/>
      <c r="S3196" s="8"/>
      <c r="T3196" s="3"/>
    </row>
    <row r="3197" spans="14:20" x14ac:dyDescent="0.3">
      <c r="N3197" s="5"/>
      <c r="O3197" s="5"/>
      <c r="P3197" s="5"/>
      <c r="Q3197" s="5"/>
      <c r="R3197" s="8"/>
      <c r="S3197" s="8"/>
      <c r="T3197" s="3"/>
    </row>
    <row r="3198" spans="14:20" x14ac:dyDescent="0.3">
      <c r="N3198" s="5"/>
      <c r="O3198" s="5"/>
      <c r="P3198" s="5"/>
      <c r="Q3198" s="5"/>
      <c r="R3198" s="8"/>
      <c r="S3198" s="8"/>
      <c r="T3198" s="3"/>
    </row>
    <row r="3199" spans="14:20" x14ac:dyDescent="0.3">
      <c r="N3199" s="5"/>
      <c r="O3199" s="5"/>
      <c r="P3199" s="5"/>
      <c r="Q3199" s="5"/>
      <c r="R3199" s="8"/>
      <c r="S3199" s="8"/>
      <c r="T3199" s="3"/>
    </row>
    <row r="3200" spans="14:20" x14ac:dyDescent="0.3">
      <c r="N3200" s="5"/>
      <c r="O3200" s="5"/>
      <c r="P3200" s="5"/>
      <c r="Q3200" s="5"/>
      <c r="R3200" s="8"/>
      <c r="S3200" s="8"/>
      <c r="T3200" s="3"/>
    </row>
    <row r="3201" spans="14:20" x14ac:dyDescent="0.3">
      <c r="N3201" s="5"/>
      <c r="O3201" s="5"/>
      <c r="P3201" s="5"/>
      <c r="Q3201" s="5"/>
      <c r="R3201" s="8"/>
      <c r="S3201" s="8"/>
      <c r="T3201" s="3"/>
    </row>
    <row r="3202" spans="14:20" x14ac:dyDescent="0.3">
      <c r="N3202" s="5"/>
      <c r="O3202" s="5"/>
      <c r="P3202" s="5"/>
      <c r="Q3202" s="5"/>
      <c r="R3202" s="8"/>
      <c r="S3202" s="8"/>
      <c r="T3202" s="3"/>
    </row>
    <row r="3203" spans="14:20" x14ac:dyDescent="0.3">
      <c r="N3203" s="5"/>
      <c r="O3203" s="5"/>
      <c r="P3203" s="5"/>
      <c r="Q3203" s="5"/>
      <c r="R3203" s="8"/>
      <c r="S3203" s="8"/>
      <c r="T3203" s="3"/>
    </row>
    <row r="3204" spans="14:20" x14ac:dyDescent="0.3">
      <c r="N3204" s="5"/>
      <c r="O3204" s="5"/>
      <c r="P3204" s="5"/>
      <c r="Q3204" s="5"/>
      <c r="R3204" s="8"/>
      <c r="S3204" s="8"/>
      <c r="T3204" s="3"/>
    </row>
    <row r="3205" spans="14:20" x14ac:dyDescent="0.3">
      <c r="N3205" s="5"/>
      <c r="O3205" s="5"/>
      <c r="P3205" s="5"/>
      <c r="Q3205" s="5"/>
      <c r="R3205" s="8"/>
      <c r="S3205" s="8"/>
      <c r="T3205" s="3"/>
    </row>
    <row r="3206" spans="14:20" x14ac:dyDescent="0.3">
      <c r="N3206" s="5"/>
      <c r="O3206" s="5"/>
      <c r="P3206" s="5"/>
      <c r="Q3206" s="5"/>
      <c r="R3206" s="8"/>
      <c r="S3206" s="8"/>
      <c r="T3206" s="3"/>
    </row>
    <row r="3207" spans="14:20" x14ac:dyDescent="0.3">
      <c r="N3207" s="5"/>
      <c r="O3207" s="5"/>
      <c r="P3207" s="5"/>
      <c r="Q3207" s="5"/>
      <c r="R3207" s="8"/>
      <c r="S3207" s="8"/>
      <c r="T3207" s="3"/>
    </row>
    <row r="3208" spans="14:20" x14ac:dyDescent="0.3">
      <c r="N3208" s="5"/>
      <c r="O3208" s="5"/>
      <c r="P3208" s="5"/>
      <c r="Q3208" s="5"/>
      <c r="R3208" s="8"/>
      <c r="S3208" s="8"/>
      <c r="T3208" s="3"/>
    </row>
    <row r="3209" spans="14:20" x14ac:dyDescent="0.3">
      <c r="N3209" s="5"/>
      <c r="O3209" s="5"/>
      <c r="P3209" s="5"/>
      <c r="Q3209" s="5"/>
      <c r="R3209" s="8"/>
      <c r="S3209" s="8"/>
      <c r="T3209" s="3"/>
    </row>
    <row r="3210" spans="14:20" x14ac:dyDescent="0.3">
      <c r="N3210" s="5"/>
      <c r="O3210" s="5"/>
      <c r="P3210" s="5"/>
      <c r="Q3210" s="5"/>
      <c r="R3210" s="8"/>
      <c r="S3210" s="8"/>
      <c r="T3210" s="3"/>
    </row>
    <row r="3211" spans="14:20" x14ac:dyDescent="0.3">
      <c r="N3211" s="5"/>
      <c r="O3211" s="5"/>
      <c r="P3211" s="5"/>
      <c r="Q3211" s="5"/>
      <c r="R3211" s="8"/>
      <c r="S3211" s="8"/>
      <c r="T3211" s="3"/>
    </row>
    <row r="3212" spans="14:20" x14ac:dyDescent="0.3">
      <c r="N3212" s="5"/>
      <c r="O3212" s="5"/>
      <c r="P3212" s="5"/>
      <c r="Q3212" s="5"/>
      <c r="R3212" s="8"/>
      <c r="S3212" s="8"/>
      <c r="T3212" s="3"/>
    </row>
    <row r="3213" spans="14:20" x14ac:dyDescent="0.3">
      <c r="N3213" s="5"/>
      <c r="O3213" s="5"/>
      <c r="P3213" s="5"/>
      <c r="Q3213" s="5"/>
      <c r="R3213" s="8"/>
      <c r="S3213" s="8"/>
      <c r="T3213" s="3"/>
    </row>
    <row r="3214" spans="14:20" x14ac:dyDescent="0.3">
      <c r="N3214" s="5"/>
      <c r="O3214" s="5"/>
      <c r="P3214" s="5"/>
      <c r="Q3214" s="5"/>
      <c r="R3214" s="8"/>
      <c r="S3214" s="8"/>
      <c r="T3214" s="3"/>
    </row>
    <row r="3215" spans="14:20" x14ac:dyDescent="0.3">
      <c r="N3215" s="5"/>
      <c r="O3215" s="5"/>
      <c r="P3215" s="5"/>
      <c r="Q3215" s="5"/>
      <c r="R3215" s="8"/>
      <c r="S3215" s="8"/>
      <c r="T3215" s="3"/>
    </row>
    <row r="3216" spans="14:20" x14ac:dyDescent="0.3">
      <c r="N3216" s="5"/>
      <c r="O3216" s="5"/>
      <c r="P3216" s="5"/>
      <c r="Q3216" s="5"/>
      <c r="R3216" s="8"/>
      <c r="S3216" s="8"/>
      <c r="T3216" s="3"/>
    </row>
    <row r="3217" spans="14:20" x14ac:dyDescent="0.3">
      <c r="N3217" s="5"/>
      <c r="O3217" s="5"/>
      <c r="P3217" s="5"/>
      <c r="Q3217" s="5"/>
      <c r="R3217" s="8"/>
      <c r="S3217" s="8"/>
      <c r="T3217" s="3"/>
    </row>
    <row r="3218" spans="14:20" x14ac:dyDescent="0.3">
      <c r="N3218" s="5"/>
      <c r="O3218" s="5"/>
      <c r="P3218" s="5"/>
      <c r="Q3218" s="5"/>
      <c r="R3218" s="8"/>
      <c r="S3218" s="8"/>
      <c r="T3218" s="3"/>
    </row>
    <row r="3219" spans="14:20" x14ac:dyDescent="0.3">
      <c r="N3219" s="5"/>
      <c r="O3219" s="5"/>
      <c r="P3219" s="5"/>
      <c r="Q3219" s="5"/>
      <c r="R3219" s="8"/>
      <c r="S3219" s="8"/>
      <c r="T3219" s="3"/>
    </row>
    <row r="3220" spans="14:20" x14ac:dyDescent="0.3">
      <c r="N3220" s="5"/>
      <c r="O3220" s="5"/>
      <c r="P3220" s="5"/>
      <c r="Q3220" s="5"/>
      <c r="R3220" s="8"/>
      <c r="S3220" s="8"/>
      <c r="T3220" s="3"/>
    </row>
    <row r="3221" spans="14:20" x14ac:dyDescent="0.3">
      <c r="N3221" s="5"/>
      <c r="O3221" s="5"/>
      <c r="P3221" s="5"/>
      <c r="Q3221" s="5"/>
      <c r="R3221" s="8"/>
      <c r="S3221" s="8"/>
      <c r="T3221" s="3"/>
    </row>
    <row r="3222" spans="14:20" x14ac:dyDescent="0.3">
      <c r="N3222" s="5"/>
      <c r="O3222" s="5"/>
      <c r="P3222" s="5"/>
      <c r="Q3222" s="5"/>
      <c r="R3222" s="8"/>
      <c r="S3222" s="8"/>
      <c r="T3222" s="3"/>
    </row>
    <row r="3223" spans="14:20" x14ac:dyDescent="0.3">
      <c r="N3223" s="5"/>
      <c r="O3223" s="5"/>
      <c r="P3223" s="5"/>
      <c r="Q3223" s="5"/>
      <c r="R3223" s="8"/>
      <c r="S3223" s="8"/>
      <c r="T3223" s="3"/>
    </row>
    <row r="3224" spans="14:20" x14ac:dyDescent="0.3">
      <c r="N3224" s="5"/>
      <c r="O3224" s="5"/>
      <c r="P3224" s="5"/>
      <c r="Q3224" s="5"/>
      <c r="R3224" s="8"/>
      <c r="S3224" s="8"/>
      <c r="T3224" s="3"/>
    </row>
    <row r="3225" spans="14:20" x14ac:dyDescent="0.3">
      <c r="N3225" s="5"/>
      <c r="O3225" s="5"/>
      <c r="P3225" s="5"/>
      <c r="Q3225" s="5"/>
      <c r="R3225" s="8"/>
      <c r="S3225" s="8"/>
      <c r="T3225" s="3"/>
    </row>
    <row r="3226" spans="14:20" x14ac:dyDescent="0.3">
      <c r="N3226" s="5"/>
      <c r="O3226" s="5"/>
      <c r="P3226" s="5"/>
      <c r="Q3226" s="5"/>
      <c r="R3226" s="8"/>
      <c r="S3226" s="8"/>
      <c r="T3226" s="3"/>
    </row>
    <row r="3227" spans="14:20" x14ac:dyDescent="0.3">
      <c r="N3227" s="5"/>
      <c r="O3227" s="5"/>
      <c r="P3227" s="5"/>
      <c r="Q3227" s="5"/>
      <c r="R3227" s="8"/>
      <c r="S3227" s="8"/>
      <c r="T3227" s="3"/>
    </row>
    <row r="3228" spans="14:20" x14ac:dyDescent="0.3">
      <c r="N3228" s="5"/>
      <c r="O3228" s="5"/>
      <c r="P3228" s="5"/>
      <c r="Q3228" s="5"/>
      <c r="R3228" s="8"/>
      <c r="S3228" s="8"/>
      <c r="T3228" s="3"/>
    </row>
    <row r="3229" spans="14:20" x14ac:dyDescent="0.3">
      <c r="N3229" s="5"/>
      <c r="O3229" s="5"/>
      <c r="P3229" s="5"/>
      <c r="Q3229" s="5"/>
      <c r="R3229" s="8"/>
      <c r="S3229" s="8"/>
      <c r="T3229" s="3"/>
    </row>
    <row r="3230" spans="14:20" x14ac:dyDescent="0.3">
      <c r="N3230" s="5"/>
      <c r="O3230" s="5"/>
      <c r="P3230" s="5"/>
      <c r="Q3230" s="5"/>
      <c r="R3230" s="8"/>
      <c r="S3230" s="8"/>
      <c r="T3230" s="3"/>
    </row>
    <row r="3231" spans="14:20" x14ac:dyDescent="0.3">
      <c r="N3231" s="5"/>
      <c r="O3231" s="5"/>
      <c r="P3231" s="5"/>
      <c r="Q3231" s="5"/>
      <c r="R3231" s="8"/>
      <c r="S3231" s="8"/>
      <c r="T3231" s="3"/>
    </row>
    <row r="3232" spans="14:20" x14ac:dyDescent="0.3">
      <c r="N3232" s="5"/>
      <c r="O3232" s="5"/>
      <c r="P3232" s="5"/>
      <c r="Q3232" s="5"/>
      <c r="R3232" s="8"/>
      <c r="S3232" s="8"/>
      <c r="T3232" s="3"/>
    </row>
    <row r="3233" spans="14:20" x14ac:dyDescent="0.3">
      <c r="N3233" s="5"/>
      <c r="O3233" s="5"/>
      <c r="P3233" s="5"/>
      <c r="Q3233" s="5"/>
      <c r="R3233" s="8"/>
      <c r="S3233" s="8"/>
      <c r="T3233" s="3"/>
    </row>
    <row r="3234" spans="14:20" x14ac:dyDescent="0.3">
      <c r="N3234" s="5"/>
      <c r="O3234" s="5"/>
      <c r="P3234" s="5"/>
      <c r="Q3234" s="5"/>
      <c r="R3234" s="8"/>
      <c r="S3234" s="8"/>
      <c r="T3234" s="3"/>
    </row>
    <row r="3235" spans="14:20" x14ac:dyDescent="0.3">
      <c r="N3235" s="5"/>
      <c r="O3235" s="5"/>
      <c r="P3235" s="5"/>
      <c r="Q3235" s="5"/>
      <c r="R3235" s="8"/>
      <c r="S3235" s="8"/>
      <c r="T3235" s="3"/>
    </row>
    <row r="3236" spans="14:20" x14ac:dyDescent="0.3">
      <c r="N3236" s="5"/>
      <c r="O3236" s="5"/>
      <c r="P3236" s="5"/>
      <c r="Q3236" s="5"/>
      <c r="R3236" s="8"/>
      <c r="S3236" s="8"/>
      <c r="T3236" s="3"/>
    </row>
    <row r="3237" spans="14:20" x14ac:dyDescent="0.3">
      <c r="N3237" s="5"/>
      <c r="O3237" s="5"/>
      <c r="P3237" s="5"/>
      <c r="Q3237" s="5"/>
      <c r="R3237" s="8"/>
      <c r="S3237" s="8"/>
      <c r="T3237" s="3"/>
    </row>
    <row r="3238" spans="14:20" x14ac:dyDescent="0.3">
      <c r="N3238" s="5"/>
      <c r="O3238" s="5"/>
      <c r="P3238" s="5"/>
      <c r="Q3238" s="5"/>
      <c r="R3238" s="8"/>
      <c r="S3238" s="8"/>
      <c r="T3238" s="3"/>
    </row>
    <row r="3239" spans="14:20" x14ac:dyDescent="0.3">
      <c r="N3239" s="5"/>
      <c r="O3239" s="5"/>
      <c r="P3239" s="5"/>
      <c r="Q3239" s="5"/>
      <c r="R3239" s="8"/>
      <c r="S3239" s="8"/>
      <c r="T3239" s="3"/>
    </row>
    <row r="3240" spans="14:20" x14ac:dyDescent="0.3">
      <c r="N3240" s="5"/>
      <c r="O3240" s="5"/>
      <c r="P3240" s="5"/>
      <c r="Q3240" s="5"/>
      <c r="R3240" s="8"/>
      <c r="S3240" s="8"/>
      <c r="T3240" s="3"/>
    </row>
    <row r="3241" spans="14:20" x14ac:dyDescent="0.3">
      <c r="N3241" s="5"/>
      <c r="O3241" s="5"/>
      <c r="P3241" s="5"/>
      <c r="Q3241" s="5"/>
      <c r="R3241" s="8"/>
      <c r="S3241" s="8"/>
      <c r="T3241" s="3"/>
    </row>
    <row r="3242" spans="14:20" x14ac:dyDescent="0.3">
      <c r="N3242" s="5"/>
      <c r="O3242" s="5"/>
      <c r="P3242" s="5"/>
      <c r="Q3242" s="5"/>
      <c r="R3242" s="8"/>
      <c r="S3242" s="8"/>
      <c r="T3242" s="3"/>
    </row>
    <row r="3243" spans="14:20" x14ac:dyDescent="0.3">
      <c r="N3243" s="5"/>
      <c r="O3243" s="5"/>
      <c r="P3243" s="5"/>
      <c r="Q3243" s="5"/>
      <c r="R3243" s="8"/>
      <c r="S3243" s="8"/>
      <c r="T3243" s="3"/>
    </row>
    <row r="3244" spans="14:20" x14ac:dyDescent="0.3">
      <c r="N3244" s="5"/>
      <c r="O3244" s="5"/>
      <c r="P3244" s="5"/>
      <c r="Q3244" s="5"/>
      <c r="R3244" s="8"/>
      <c r="S3244" s="8"/>
      <c r="T3244" s="3"/>
    </row>
    <row r="3245" spans="14:20" x14ac:dyDescent="0.3">
      <c r="N3245" s="5"/>
      <c r="O3245" s="5"/>
      <c r="P3245" s="5"/>
      <c r="Q3245" s="5"/>
      <c r="R3245" s="8"/>
      <c r="S3245" s="8"/>
      <c r="T3245" s="3"/>
    </row>
    <row r="3246" spans="14:20" x14ac:dyDescent="0.3">
      <c r="N3246" s="5"/>
      <c r="O3246" s="5"/>
      <c r="P3246" s="5"/>
      <c r="Q3246" s="5"/>
      <c r="R3246" s="8"/>
      <c r="S3246" s="8"/>
      <c r="T3246" s="3"/>
    </row>
    <row r="3247" spans="14:20" x14ac:dyDescent="0.3">
      <c r="N3247" s="5"/>
      <c r="O3247" s="5"/>
      <c r="P3247" s="5"/>
      <c r="Q3247" s="5"/>
      <c r="R3247" s="8"/>
      <c r="S3247" s="8"/>
      <c r="T3247" s="3"/>
    </row>
    <row r="3248" spans="14:20" x14ac:dyDescent="0.3">
      <c r="N3248" s="5"/>
      <c r="O3248" s="5"/>
      <c r="P3248" s="5"/>
      <c r="Q3248" s="5"/>
      <c r="R3248" s="8"/>
      <c r="S3248" s="8"/>
      <c r="T3248" s="3"/>
    </row>
    <row r="3249" spans="14:20" x14ac:dyDescent="0.3">
      <c r="N3249" s="5"/>
      <c r="O3249" s="5"/>
      <c r="P3249" s="5"/>
      <c r="Q3249" s="5"/>
      <c r="R3249" s="8"/>
      <c r="S3249" s="8"/>
      <c r="T3249" s="3"/>
    </row>
    <row r="3250" spans="14:20" x14ac:dyDescent="0.3">
      <c r="N3250" s="5"/>
      <c r="O3250" s="5"/>
      <c r="P3250" s="5"/>
      <c r="Q3250" s="5"/>
      <c r="R3250" s="8"/>
      <c r="S3250" s="8"/>
      <c r="T3250" s="3"/>
    </row>
    <row r="3251" spans="14:20" x14ac:dyDescent="0.3">
      <c r="N3251" s="5"/>
      <c r="O3251" s="5"/>
      <c r="P3251" s="5"/>
      <c r="Q3251" s="5"/>
      <c r="R3251" s="8"/>
      <c r="S3251" s="8"/>
      <c r="T3251" s="3"/>
    </row>
    <row r="3252" spans="14:20" x14ac:dyDescent="0.3">
      <c r="N3252" s="5"/>
      <c r="O3252" s="5"/>
      <c r="P3252" s="5"/>
      <c r="Q3252" s="5"/>
      <c r="R3252" s="8"/>
      <c r="S3252" s="8"/>
      <c r="T3252" s="3"/>
    </row>
    <row r="3253" spans="14:20" x14ac:dyDescent="0.3">
      <c r="N3253" s="5"/>
      <c r="O3253" s="5"/>
      <c r="P3253" s="5"/>
      <c r="Q3253" s="5"/>
      <c r="R3253" s="8"/>
      <c r="S3253" s="8"/>
      <c r="T3253" s="3"/>
    </row>
    <row r="3254" spans="14:20" x14ac:dyDescent="0.3">
      <c r="N3254" s="5"/>
      <c r="O3254" s="5"/>
      <c r="P3254" s="5"/>
      <c r="Q3254" s="5"/>
      <c r="R3254" s="8"/>
      <c r="S3254" s="8"/>
      <c r="T3254" s="3"/>
    </row>
    <row r="3255" spans="14:20" x14ac:dyDescent="0.3">
      <c r="N3255" s="5"/>
      <c r="O3255" s="5"/>
      <c r="P3255" s="5"/>
      <c r="Q3255" s="5"/>
      <c r="R3255" s="8"/>
      <c r="S3255" s="8"/>
      <c r="T3255" s="3"/>
    </row>
    <row r="3256" spans="14:20" x14ac:dyDescent="0.3">
      <c r="N3256" s="5"/>
      <c r="O3256" s="5"/>
      <c r="P3256" s="5"/>
      <c r="Q3256" s="5"/>
      <c r="R3256" s="8"/>
      <c r="S3256" s="8"/>
      <c r="T3256" s="3"/>
    </row>
    <row r="3257" spans="14:20" x14ac:dyDescent="0.3">
      <c r="N3257" s="5"/>
      <c r="O3257" s="5"/>
      <c r="P3257" s="5"/>
      <c r="Q3257" s="5"/>
      <c r="R3257" s="8"/>
      <c r="S3257" s="8"/>
      <c r="T3257" s="3"/>
    </row>
    <row r="3258" spans="14:20" x14ac:dyDescent="0.3">
      <c r="N3258" s="5"/>
      <c r="O3258" s="5"/>
      <c r="P3258" s="5"/>
      <c r="Q3258" s="5"/>
      <c r="R3258" s="8"/>
      <c r="S3258" s="8"/>
      <c r="T3258" s="3"/>
    </row>
    <row r="3259" spans="14:20" x14ac:dyDescent="0.3">
      <c r="N3259" s="5"/>
      <c r="O3259" s="5"/>
      <c r="P3259" s="5"/>
      <c r="Q3259" s="5"/>
      <c r="R3259" s="8"/>
      <c r="S3259" s="8"/>
      <c r="T3259" s="3"/>
    </row>
    <row r="3260" spans="14:20" x14ac:dyDescent="0.3">
      <c r="N3260" s="5"/>
      <c r="O3260" s="5"/>
      <c r="P3260" s="5"/>
      <c r="Q3260" s="5"/>
      <c r="R3260" s="8"/>
      <c r="S3260" s="8"/>
      <c r="T3260" s="3"/>
    </row>
    <row r="3261" spans="14:20" x14ac:dyDescent="0.3">
      <c r="N3261" s="5"/>
      <c r="O3261" s="5"/>
      <c r="P3261" s="5"/>
      <c r="Q3261" s="5"/>
      <c r="R3261" s="8"/>
      <c r="S3261" s="8"/>
      <c r="T3261" s="3"/>
    </row>
    <row r="3262" spans="14:20" x14ac:dyDescent="0.3">
      <c r="N3262" s="5"/>
      <c r="O3262" s="5"/>
      <c r="P3262" s="5"/>
      <c r="Q3262" s="5"/>
      <c r="R3262" s="8"/>
      <c r="S3262" s="8"/>
      <c r="T3262" s="3"/>
    </row>
    <row r="3263" spans="14:20" x14ac:dyDescent="0.3">
      <c r="N3263" s="5"/>
      <c r="O3263" s="5"/>
      <c r="P3263" s="5"/>
      <c r="Q3263" s="5"/>
      <c r="R3263" s="8"/>
      <c r="S3263" s="8"/>
      <c r="T3263" s="3"/>
    </row>
    <row r="3264" spans="14:20" x14ac:dyDescent="0.3">
      <c r="N3264" s="5"/>
      <c r="O3264" s="5"/>
      <c r="P3264" s="5"/>
      <c r="Q3264" s="5"/>
      <c r="R3264" s="8"/>
      <c r="S3264" s="8"/>
      <c r="T3264" s="3"/>
    </row>
    <row r="3265" spans="14:20" x14ac:dyDescent="0.3">
      <c r="N3265" s="5"/>
      <c r="O3265" s="5"/>
      <c r="P3265" s="5"/>
      <c r="Q3265" s="5"/>
      <c r="R3265" s="8"/>
      <c r="S3265" s="8"/>
      <c r="T3265" s="3"/>
    </row>
    <row r="3266" spans="14:20" x14ac:dyDescent="0.3">
      <c r="N3266" s="5"/>
      <c r="O3266" s="5"/>
      <c r="P3266" s="5"/>
      <c r="Q3266" s="5"/>
      <c r="R3266" s="8"/>
      <c r="S3266" s="8"/>
      <c r="T3266" s="3"/>
    </row>
    <row r="3267" spans="14:20" x14ac:dyDescent="0.3">
      <c r="N3267" s="5"/>
      <c r="O3267" s="5"/>
      <c r="P3267" s="5"/>
      <c r="Q3267" s="5"/>
      <c r="R3267" s="8"/>
      <c r="S3267" s="8"/>
      <c r="T3267" s="3"/>
    </row>
    <row r="3268" spans="14:20" x14ac:dyDescent="0.3">
      <c r="N3268" s="5"/>
      <c r="O3268" s="5"/>
      <c r="P3268" s="5"/>
      <c r="Q3268" s="5"/>
      <c r="R3268" s="8"/>
      <c r="S3268" s="8"/>
      <c r="T3268" s="3"/>
    </row>
    <row r="3269" spans="14:20" x14ac:dyDescent="0.3">
      <c r="N3269" s="5"/>
      <c r="O3269" s="5"/>
      <c r="P3269" s="5"/>
      <c r="Q3269" s="5"/>
      <c r="R3269" s="8"/>
      <c r="S3269" s="8"/>
      <c r="T3269" s="3"/>
    </row>
    <row r="3270" spans="14:20" x14ac:dyDescent="0.3">
      <c r="N3270" s="5"/>
      <c r="O3270" s="5"/>
      <c r="P3270" s="5"/>
      <c r="Q3270" s="5"/>
      <c r="R3270" s="8"/>
      <c r="S3270" s="8"/>
      <c r="T3270" s="3"/>
    </row>
    <row r="3271" spans="14:20" x14ac:dyDescent="0.3">
      <c r="N3271" s="5"/>
      <c r="O3271" s="5"/>
      <c r="P3271" s="5"/>
      <c r="Q3271" s="5"/>
      <c r="R3271" s="8"/>
      <c r="S3271" s="8"/>
      <c r="T3271" s="3"/>
    </row>
    <row r="3272" spans="14:20" x14ac:dyDescent="0.3">
      <c r="N3272" s="5"/>
      <c r="O3272" s="5"/>
      <c r="P3272" s="5"/>
      <c r="Q3272" s="5"/>
      <c r="R3272" s="8"/>
      <c r="S3272" s="8"/>
      <c r="T3272" s="3"/>
    </row>
    <row r="3273" spans="14:20" x14ac:dyDescent="0.3">
      <c r="N3273" s="5"/>
      <c r="O3273" s="5"/>
      <c r="P3273" s="5"/>
      <c r="Q3273" s="5"/>
      <c r="R3273" s="8"/>
      <c r="S3273" s="8"/>
      <c r="T3273" s="3"/>
    </row>
    <row r="3274" spans="14:20" x14ac:dyDescent="0.3">
      <c r="N3274" s="5"/>
      <c r="O3274" s="5"/>
      <c r="P3274" s="5"/>
      <c r="Q3274" s="5"/>
      <c r="R3274" s="8"/>
      <c r="S3274" s="8"/>
      <c r="T3274" s="3"/>
    </row>
    <row r="3275" spans="14:20" x14ac:dyDescent="0.3">
      <c r="N3275" s="5"/>
      <c r="O3275" s="5"/>
      <c r="P3275" s="5"/>
      <c r="Q3275" s="5"/>
      <c r="R3275" s="8"/>
      <c r="S3275" s="8"/>
      <c r="T3275" s="3"/>
    </row>
    <row r="3276" spans="14:20" x14ac:dyDescent="0.3">
      <c r="N3276" s="5"/>
      <c r="O3276" s="5"/>
      <c r="P3276" s="5"/>
      <c r="Q3276" s="5"/>
      <c r="R3276" s="8"/>
      <c r="S3276" s="8"/>
      <c r="T3276" s="3"/>
    </row>
    <row r="3277" spans="14:20" x14ac:dyDescent="0.3">
      <c r="N3277" s="5"/>
      <c r="O3277" s="5"/>
      <c r="P3277" s="5"/>
      <c r="Q3277" s="5"/>
      <c r="R3277" s="8"/>
      <c r="S3277" s="8"/>
      <c r="T3277" s="3"/>
    </row>
    <row r="3278" spans="14:20" x14ac:dyDescent="0.3">
      <c r="N3278" s="5"/>
      <c r="O3278" s="5"/>
      <c r="P3278" s="5"/>
      <c r="Q3278" s="5"/>
      <c r="R3278" s="8"/>
      <c r="S3278" s="8"/>
      <c r="T3278" s="3"/>
    </row>
    <row r="3279" spans="14:20" x14ac:dyDescent="0.3">
      <c r="N3279" s="5"/>
      <c r="O3279" s="5"/>
      <c r="P3279" s="5"/>
      <c r="Q3279" s="5"/>
      <c r="R3279" s="8"/>
      <c r="S3279" s="8"/>
      <c r="T3279" s="3"/>
    </row>
    <row r="3280" spans="14:20" x14ac:dyDescent="0.3">
      <c r="N3280" s="5"/>
      <c r="O3280" s="5"/>
      <c r="P3280" s="5"/>
      <c r="Q3280" s="5"/>
      <c r="R3280" s="8"/>
      <c r="S3280" s="8"/>
      <c r="T3280" s="3"/>
    </row>
    <row r="3281" spans="14:20" x14ac:dyDescent="0.3">
      <c r="N3281" s="5"/>
      <c r="O3281" s="5"/>
      <c r="P3281" s="5"/>
      <c r="Q3281" s="5"/>
      <c r="R3281" s="8"/>
      <c r="S3281" s="8"/>
      <c r="T3281" s="3"/>
    </row>
    <row r="3282" spans="14:20" x14ac:dyDescent="0.3">
      <c r="N3282" s="5"/>
      <c r="O3282" s="5"/>
      <c r="P3282" s="5"/>
      <c r="Q3282" s="5"/>
      <c r="R3282" s="8"/>
      <c r="S3282" s="8"/>
      <c r="T3282" s="3"/>
    </row>
    <row r="3283" spans="14:20" x14ac:dyDescent="0.3">
      <c r="N3283" s="5"/>
      <c r="O3283" s="5"/>
      <c r="P3283" s="5"/>
      <c r="Q3283" s="5"/>
      <c r="R3283" s="8"/>
      <c r="S3283" s="8"/>
      <c r="T3283" s="3"/>
    </row>
    <row r="3284" spans="14:20" x14ac:dyDescent="0.3">
      <c r="N3284" s="5"/>
      <c r="O3284" s="5"/>
      <c r="P3284" s="5"/>
      <c r="Q3284" s="5"/>
      <c r="R3284" s="8"/>
      <c r="S3284" s="8"/>
      <c r="T3284" s="3"/>
    </row>
    <row r="3285" spans="14:20" x14ac:dyDescent="0.3">
      <c r="N3285" s="5"/>
      <c r="O3285" s="5"/>
      <c r="P3285" s="5"/>
      <c r="Q3285" s="5"/>
      <c r="R3285" s="8"/>
      <c r="S3285" s="8"/>
      <c r="T3285" s="3"/>
    </row>
    <row r="3286" spans="14:20" x14ac:dyDescent="0.3">
      <c r="N3286" s="5"/>
      <c r="O3286" s="5"/>
      <c r="P3286" s="5"/>
      <c r="Q3286" s="5"/>
      <c r="R3286" s="8"/>
      <c r="S3286" s="8"/>
      <c r="T3286" s="3"/>
    </row>
    <row r="3287" spans="14:20" x14ac:dyDescent="0.3">
      <c r="N3287" s="5"/>
      <c r="O3287" s="5"/>
      <c r="P3287" s="5"/>
      <c r="Q3287" s="5"/>
      <c r="R3287" s="8"/>
      <c r="S3287" s="8"/>
      <c r="T3287" s="3"/>
    </row>
    <row r="3288" spans="14:20" x14ac:dyDescent="0.3">
      <c r="N3288" s="5"/>
      <c r="O3288" s="5"/>
      <c r="P3288" s="5"/>
      <c r="Q3288" s="5"/>
      <c r="R3288" s="8"/>
      <c r="S3288" s="8"/>
      <c r="T3288" s="3"/>
    </row>
    <row r="3289" spans="14:20" x14ac:dyDescent="0.3">
      <c r="N3289" s="5"/>
      <c r="O3289" s="5"/>
      <c r="P3289" s="5"/>
      <c r="Q3289" s="5"/>
      <c r="R3289" s="8"/>
      <c r="S3289" s="8"/>
      <c r="T3289" s="3"/>
    </row>
    <row r="3290" spans="14:20" x14ac:dyDescent="0.3">
      <c r="N3290" s="5"/>
      <c r="O3290" s="5"/>
      <c r="P3290" s="5"/>
      <c r="Q3290" s="5"/>
      <c r="R3290" s="8"/>
      <c r="S3290" s="8"/>
      <c r="T3290" s="3"/>
    </row>
    <row r="3291" spans="14:20" x14ac:dyDescent="0.3">
      <c r="N3291" s="5"/>
      <c r="O3291" s="5"/>
      <c r="P3291" s="5"/>
      <c r="Q3291" s="5"/>
      <c r="R3291" s="8"/>
      <c r="S3291" s="8"/>
      <c r="T3291" s="3"/>
    </row>
    <row r="3292" spans="14:20" x14ac:dyDescent="0.3">
      <c r="N3292" s="5"/>
      <c r="O3292" s="5"/>
      <c r="P3292" s="5"/>
      <c r="Q3292" s="5"/>
      <c r="R3292" s="8"/>
      <c r="S3292" s="8"/>
      <c r="T3292" s="3"/>
    </row>
    <row r="3293" spans="14:20" x14ac:dyDescent="0.3">
      <c r="N3293" s="5"/>
      <c r="O3293" s="5"/>
      <c r="P3293" s="5"/>
      <c r="Q3293" s="5"/>
      <c r="R3293" s="8"/>
      <c r="S3293" s="8"/>
      <c r="T3293" s="3"/>
    </row>
    <row r="3294" spans="14:20" x14ac:dyDescent="0.3">
      <c r="N3294" s="5"/>
      <c r="O3294" s="5"/>
      <c r="P3294" s="5"/>
      <c r="Q3294" s="5"/>
      <c r="R3294" s="8"/>
      <c r="S3294" s="8"/>
      <c r="T3294" s="3"/>
    </row>
    <row r="3295" spans="14:20" x14ac:dyDescent="0.3">
      <c r="N3295" s="5"/>
      <c r="O3295" s="5"/>
      <c r="P3295" s="5"/>
      <c r="Q3295" s="5"/>
      <c r="R3295" s="8"/>
      <c r="S3295" s="8"/>
      <c r="T3295" s="3"/>
    </row>
    <row r="3296" spans="14:20" x14ac:dyDescent="0.3">
      <c r="N3296" s="5"/>
      <c r="O3296" s="5"/>
      <c r="P3296" s="5"/>
      <c r="Q3296" s="5"/>
      <c r="R3296" s="8"/>
      <c r="S3296" s="8"/>
      <c r="T3296" s="3"/>
    </row>
    <row r="3297" spans="14:20" x14ac:dyDescent="0.3">
      <c r="N3297" s="5"/>
      <c r="O3297" s="5"/>
      <c r="P3297" s="5"/>
      <c r="Q3297" s="5"/>
      <c r="R3297" s="8"/>
      <c r="S3297" s="8"/>
      <c r="T3297" s="3"/>
    </row>
    <row r="3298" spans="14:20" x14ac:dyDescent="0.3">
      <c r="N3298" s="5"/>
      <c r="O3298" s="5"/>
      <c r="P3298" s="5"/>
      <c r="Q3298" s="5"/>
      <c r="R3298" s="8"/>
      <c r="S3298" s="8"/>
      <c r="T3298" s="3"/>
    </row>
    <row r="3299" spans="14:20" x14ac:dyDescent="0.3">
      <c r="N3299" s="5"/>
      <c r="O3299" s="5"/>
      <c r="P3299" s="5"/>
      <c r="Q3299" s="5"/>
      <c r="R3299" s="8"/>
      <c r="S3299" s="8"/>
      <c r="T3299" s="3"/>
    </row>
    <row r="3300" spans="14:20" x14ac:dyDescent="0.3">
      <c r="N3300" s="5"/>
      <c r="O3300" s="5"/>
      <c r="P3300" s="5"/>
      <c r="Q3300" s="5"/>
      <c r="R3300" s="8"/>
      <c r="S3300" s="8"/>
      <c r="T3300" s="3"/>
    </row>
    <row r="3301" spans="14:20" x14ac:dyDescent="0.3">
      <c r="N3301" s="5"/>
      <c r="O3301" s="5"/>
      <c r="P3301" s="5"/>
      <c r="Q3301" s="5"/>
      <c r="R3301" s="8"/>
      <c r="S3301" s="8"/>
      <c r="T3301" s="3"/>
    </row>
    <row r="3302" spans="14:20" x14ac:dyDescent="0.3">
      <c r="N3302" s="5"/>
      <c r="O3302" s="5"/>
      <c r="P3302" s="5"/>
      <c r="Q3302" s="5"/>
      <c r="R3302" s="8"/>
      <c r="S3302" s="8"/>
      <c r="T3302" s="3"/>
    </row>
    <row r="3303" spans="14:20" x14ac:dyDescent="0.3">
      <c r="N3303" s="5"/>
      <c r="O3303" s="5"/>
      <c r="P3303" s="5"/>
      <c r="Q3303" s="5"/>
      <c r="R3303" s="8"/>
      <c r="S3303" s="8"/>
      <c r="T3303" s="3"/>
    </row>
    <row r="3304" spans="14:20" x14ac:dyDescent="0.3">
      <c r="N3304" s="5"/>
      <c r="O3304" s="5"/>
      <c r="P3304" s="5"/>
      <c r="Q3304" s="5"/>
      <c r="R3304" s="8"/>
      <c r="S3304" s="8"/>
      <c r="T3304" s="3"/>
    </row>
    <row r="3305" spans="14:20" x14ac:dyDescent="0.3">
      <c r="N3305" s="5"/>
      <c r="O3305" s="5"/>
      <c r="P3305" s="5"/>
      <c r="Q3305" s="5"/>
      <c r="R3305" s="8"/>
      <c r="S3305" s="8"/>
      <c r="T3305" s="3"/>
    </row>
    <row r="3306" spans="14:20" x14ac:dyDescent="0.3">
      <c r="N3306" s="5"/>
      <c r="O3306" s="5"/>
      <c r="P3306" s="5"/>
      <c r="Q3306" s="5"/>
      <c r="R3306" s="8"/>
      <c r="S3306" s="8"/>
      <c r="T3306" s="3"/>
    </row>
    <row r="3307" spans="14:20" x14ac:dyDescent="0.3">
      <c r="N3307" s="5"/>
      <c r="O3307" s="5"/>
      <c r="P3307" s="5"/>
      <c r="Q3307" s="5"/>
      <c r="R3307" s="8"/>
      <c r="S3307" s="8"/>
      <c r="T3307" s="3"/>
    </row>
    <row r="3308" spans="14:20" x14ac:dyDescent="0.3">
      <c r="N3308" s="5"/>
      <c r="O3308" s="5"/>
      <c r="P3308" s="5"/>
      <c r="Q3308" s="5"/>
      <c r="R3308" s="8"/>
      <c r="S3308" s="8"/>
      <c r="T3308" s="3"/>
    </row>
    <row r="3309" spans="14:20" x14ac:dyDescent="0.3">
      <c r="N3309" s="5"/>
      <c r="O3309" s="5"/>
      <c r="P3309" s="5"/>
      <c r="Q3309" s="5"/>
      <c r="R3309" s="8"/>
      <c r="S3309" s="8"/>
      <c r="T3309" s="3"/>
    </row>
    <row r="3310" spans="14:20" x14ac:dyDescent="0.3">
      <c r="N3310" s="5"/>
      <c r="O3310" s="5"/>
      <c r="P3310" s="5"/>
      <c r="Q3310" s="5"/>
      <c r="R3310" s="8"/>
      <c r="S3310" s="8"/>
      <c r="T3310" s="3"/>
    </row>
    <row r="3311" spans="14:20" x14ac:dyDescent="0.3">
      <c r="N3311" s="5"/>
      <c r="O3311" s="5"/>
      <c r="P3311" s="5"/>
      <c r="Q3311" s="5"/>
      <c r="R3311" s="8"/>
      <c r="S3311" s="8"/>
      <c r="T3311" s="3"/>
    </row>
    <row r="3312" spans="14:20" x14ac:dyDescent="0.3">
      <c r="N3312" s="5"/>
      <c r="O3312" s="5"/>
      <c r="P3312" s="5"/>
      <c r="Q3312" s="5"/>
      <c r="R3312" s="8"/>
      <c r="S3312" s="8"/>
      <c r="T3312" s="3"/>
    </row>
    <row r="3313" spans="14:20" x14ac:dyDescent="0.3">
      <c r="N3313" s="5"/>
      <c r="O3313" s="5"/>
      <c r="P3313" s="5"/>
      <c r="Q3313" s="5"/>
      <c r="R3313" s="8"/>
      <c r="S3313" s="8"/>
      <c r="T3313" s="3"/>
    </row>
    <row r="3314" spans="14:20" x14ac:dyDescent="0.3">
      <c r="N3314" s="5"/>
      <c r="O3314" s="5"/>
      <c r="P3314" s="5"/>
      <c r="Q3314" s="5"/>
      <c r="R3314" s="8"/>
      <c r="S3314" s="8"/>
      <c r="T3314" s="3"/>
    </row>
    <row r="3315" spans="14:20" x14ac:dyDescent="0.3">
      <c r="N3315" s="5"/>
      <c r="O3315" s="5"/>
      <c r="P3315" s="5"/>
      <c r="Q3315" s="5"/>
      <c r="R3315" s="8"/>
      <c r="S3315" s="8"/>
      <c r="T3315" s="3"/>
    </row>
    <row r="3316" spans="14:20" x14ac:dyDescent="0.3">
      <c r="N3316" s="5"/>
      <c r="O3316" s="5"/>
      <c r="P3316" s="5"/>
      <c r="Q3316" s="5"/>
      <c r="R3316" s="8"/>
      <c r="S3316" s="8"/>
      <c r="T3316" s="3"/>
    </row>
    <row r="3317" spans="14:20" x14ac:dyDescent="0.3">
      <c r="N3317" s="5"/>
      <c r="O3317" s="5"/>
      <c r="P3317" s="5"/>
      <c r="Q3317" s="5"/>
      <c r="R3317" s="8"/>
      <c r="S3317" s="8"/>
      <c r="T3317" s="3"/>
    </row>
    <row r="3318" spans="14:20" x14ac:dyDescent="0.3">
      <c r="N3318" s="5"/>
      <c r="O3318" s="5"/>
      <c r="P3318" s="5"/>
      <c r="Q3318" s="5"/>
      <c r="R3318" s="8"/>
      <c r="S3318" s="8"/>
      <c r="T3318" s="3"/>
    </row>
    <row r="3319" spans="14:20" x14ac:dyDescent="0.3">
      <c r="N3319" s="5"/>
      <c r="O3319" s="5"/>
      <c r="P3319" s="5"/>
      <c r="Q3319" s="5"/>
      <c r="R3319" s="8"/>
      <c r="S3319" s="8"/>
      <c r="T3319" s="3"/>
    </row>
    <row r="3320" spans="14:20" x14ac:dyDescent="0.3">
      <c r="N3320" s="5"/>
      <c r="O3320" s="5"/>
      <c r="P3320" s="5"/>
      <c r="Q3320" s="5"/>
      <c r="R3320" s="8"/>
      <c r="S3320" s="8"/>
      <c r="T3320" s="3"/>
    </row>
    <row r="3321" spans="14:20" x14ac:dyDescent="0.3">
      <c r="N3321" s="5"/>
      <c r="O3321" s="5"/>
      <c r="P3321" s="5"/>
      <c r="Q3321" s="5"/>
      <c r="R3321" s="8"/>
      <c r="S3321" s="8"/>
      <c r="T3321" s="3"/>
    </row>
    <row r="3322" spans="14:20" x14ac:dyDescent="0.3">
      <c r="N3322" s="5"/>
      <c r="O3322" s="5"/>
      <c r="P3322" s="5"/>
      <c r="Q3322" s="5"/>
      <c r="R3322" s="8"/>
      <c r="S3322" s="8"/>
      <c r="T3322" s="3"/>
    </row>
    <row r="3323" spans="14:20" x14ac:dyDescent="0.3">
      <c r="N3323" s="5"/>
      <c r="O3323" s="5"/>
      <c r="P3323" s="5"/>
      <c r="Q3323" s="5"/>
      <c r="R3323" s="8"/>
      <c r="S3323" s="8"/>
      <c r="T3323" s="3"/>
    </row>
    <row r="3324" spans="14:20" x14ac:dyDescent="0.3">
      <c r="N3324" s="5"/>
      <c r="O3324" s="5"/>
      <c r="P3324" s="5"/>
      <c r="Q3324" s="5"/>
      <c r="R3324" s="8"/>
      <c r="S3324" s="8"/>
      <c r="T3324" s="3"/>
    </row>
    <row r="3325" spans="14:20" x14ac:dyDescent="0.3">
      <c r="N3325" s="5"/>
      <c r="O3325" s="5"/>
      <c r="P3325" s="5"/>
      <c r="Q3325" s="5"/>
      <c r="R3325" s="8"/>
      <c r="S3325" s="8"/>
      <c r="T3325" s="3"/>
    </row>
    <row r="3326" spans="14:20" x14ac:dyDescent="0.3">
      <c r="N3326" s="5"/>
      <c r="O3326" s="5"/>
      <c r="P3326" s="5"/>
      <c r="Q3326" s="5"/>
      <c r="R3326" s="8"/>
      <c r="S3326" s="8"/>
      <c r="T3326" s="3"/>
    </row>
    <row r="3327" spans="14:20" x14ac:dyDescent="0.3">
      <c r="N3327" s="5"/>
      <c r="O3327" s="5"/>
      <c r="P3327" s="5"/>
      <c r="Q3327" s="5"/>
      <c r="R3327" s="8"/>
      <c r="S3327" s="8"/>
      <c r="T3327" s="3"/>
    </row>
    <row r="3328" spans="14:20" x14ac:dyDescent="0.3">
      <c r="N3328" s="5"/>
      <c r="O3328" s="5"/>
      <c r="P3328" s="5"/>
      <c r="Q3328" s="5"/>
      <c r="R3328" s="8"/>
      <c r="S3328" s="8"/>
      <c r="T3328" s="3"/>
    </row>
    <row r="3329" spans="14:20" x14ac:dyDescent="0.3">
      <c r="N3329" s="5"/>
      <c r="O3329" s="5"/>
      <c r="P3329" s="5"/>
      <c r="Q3329" s="5"/>
      <c r="R3329" s="8"/>
      <c r="S3329" s="8"/>
      <c r="T3329" s="3"/>
    </row>
    <row r="3330" spans="14:20" x14ac:dyDescent="0.3">
      <c r="N3330" s="5"/>
      <c r="O3330" s="5"/>
      <c r="P3330" s="5"/>
      <c r="Q3330" s="5"/>
      <c r="R3330" s="8"/>
      <c r="S3330" s="8"/>
      <c r="T3330" s="3"/>
    </row>
    <row r="3331" spans="14:20" x14ac:dyDescent="0.3">
      <c r="N3331" s="5"/>
      <c r="O3331" s="5"/>
      <c r="P3331" s="5"/>
      <c r="Q3331" s="5"/>
      <c r="R3331" s="8"/>
      <c r="S3331" s="8"/>
      <c r="T3331" s="3"/>
    </row>
    <row r="3332" spans="14:20" x14ac:dyDescent="0.3">
      <c r="N3332" s="5"/>
      <c r="O3332" s="5"/>
      <c r="P3332" s="5"/>
      <c r="Q3332" s="5"/>
      <c r="R3332" s="8"/>
      <c r="S3332" s="8"/>
      <c r="T3332" s="3"/>
    </row>
    <row r="3333" spans="14:20" x14ac:dyDescent="0.3">
      <c r="N3333" s="5"/>
      <c r="O3333" s="5"/>
      <c r="P3333" s="5"/>
      <c r="Q3333" s="5"/>
      <c r="R3333" s="8"/>
      <c r="S3333" s="8"/>
      <c r="T3333" s="3"/>
    </row>
    <row r="3334" spans="14:20" x14ac:dyDescent="0.3">
      <c r="N3334" s="5"/>
      <c r="O3334" s="5"/>
      <c r="P3334" s="5"/>
      <c r="Q3334" s="5"/>
      <c r="R3334" s="8"/>
      <c r="S3334" s="8"/>
      <c r="T3334" s="3"/>
    </row>
    <row r="3335" spans="14:20" x14ac:dyDescent="0.3">
      <c r="N3335" s="5"/>
      <c r="O3335" s="5"/>
      <c r="P3335" s="5"/>
      <c r="Q3335" s="5"/>
      <c r="R3335" s="8"/>
      <c r="S3335" s="8"/>
      <c r="T3335" s="3"/>
    </row>
    <row r="3336" spans="14:20" x14ac:dyDescent="0.3">
      <c r="N3336" s="5"/>
      <c r="O3336" s="5"/>
      <c r="P3336" s="5"/>
      <c r="Q3336" s="5"/>
      <c r="R3336" s="8"/>
      <c r="S3336" s="8"/>
      <c r="T3336" s="3"/>
    </row>
    <row r="3337" spans="14:20" x14ac:dyDescent="0.3">
      <c r="N3337" s="5"/>
      <c r="O3337" s="5"/>
      <c r="P3337" s="5"/>
      <c r="Q3337" s="5"/>
      <c r="R3337" s="8"/>
      <c r="S3337" s="8"/>
      <c r="T3337" s="3"/>
    </row>
    <row r="3338" spans="14:20" x14ac:dyDescent="0.3">
      <c r="N3338" s="5"/>
      <c r="O3338" s="5"/>
      <c r="P3338" s="5"/>
      <c r="Q3338" s="5"/>
      <c r="R3338" s="8"/>
      <c r="S3338" s="8"/>
      <c r="T3338" s="3"/>
    </row>
    <row r="3339" spans="14:20" x14ac:dyDescent="0.3">
      <c r="N3339" s="5"/>
      <c r="O3339" s="5"/>
      <c r="P3339" s="5"/>
      <c r="Q3339" s="5"/>
      <c r="R3339" s="8"/>
      <c r="S3339" s="8"/>
      <c r="T3339" s="3"/>
    </row>
    <row r="3340" spans="14:20" x14ac:dyDescent="0.3">
      <c r="N3340" s="5"/>
      <c r="O3340" s="5"/>
      <c r="P3340" s="5"/>
      <c r="Q3340" s="5"/>
      <c r="R3340" s="8"/>
      <c r="S3340" s="8"/>
      <c r="T3340" s="3"/>
    </row>
    <row r="3341" spans="14:20" x14ac:dyDescent="0.3">
      <c r="N3341" s="5"/>
      <c r="O3341" s="5"/>
      <c r="P3341" s="5"/>
      <c r="Q3341" s="5"/>
      <c r="R3341" s="8"/>
      <c r="S3341" s="8"/>
      <c r="T3341" s="3"/>
    </row>
    <row r="3342" spans="14:20" x14ac:dyDescent="0.3">
      <c r="N3342" s="5"/>
      <c r="O3342" s="5"/>
      <c r="P3342" s="5"/>
      <c r="Q3342" s="5"/>
      <c r="R3342" s="8"/>
      <c r="S3342" s="8"/>
      <c r="T3342" s="3"/>
    </row>
    <row r="3343" spans="14:20" x14ac:dyDescent="0.3">
      <c r="N3343" s="5"/>
      <c r="O3343" s="5"/>
      <c r="P3343" s="5"/>
      <c r="Q3343" s="5"/>
      <c r="R3343" s="8"/>
      <c r="S3343" s="8"/>
      <c r="T3343" s="3"/>
    </row>
    <row r="3344" spans="14:20" x14ac:dyDescent="0.3">
      <c r="N3344" s="5"/>
      <c r="O3344" s="5"/>
      <c r="P3344" s="5"/>
      <c r="Q3344" s="5"/>
      <c r="R3344" s="8"/>
      <c r="S3344" s="8"/>
      <c r="T3344" s="3"/>
    </row>
    <row r="3345" spans="14:20" x14ac:dyDescent="0.3">
      <c r="N3345" s="5"/>
      <c r="O3345" s="5"/>
      <c r="P3345" s="5"/>
      <c r="Q3345" s="5"/>
      <c r="R3345" s="8"/>
      <c r="S3345" s="8"/>
      <c r="T3345" s="3"/>
    </row>
    <row r="3346" spans="14:20" x14ac:dyDescent="0.3">
      <c r="N3346" s="5"/>
      <c r="O3346" s="5"/>
      <c r="P3346" s="5"/>
      <c r="Q3346" s="5"/>
      <c r="R3346" s="8"/>
      <c r="S3346" s="8"/>
      <c r="T3346" s="3"/>
    </row>
    <row r="3347" spans="14:20" x14ac:dyDescent="0.3">
      <c r="N3347" s="5"/>
      <c r="O3347" s="5"/>
      <c r="P3347" s="5"/>
      <c r="Q3347" s="5"/>
      <c r="R3347" s="8"/>
      <c r="S3347" s="8"/>
      <c r="T3347" s="3"/>
    </row>
    <row r="3348" spans="14:20" x14ac:dyDescent="0.3">
      <c r="N3348" s="5"/>
      <c r="O3348" s="5"/>
      <c r="P3348" s="5"/>
      <c r="Q3348" s="5"/>
      <c r="R3348" s="8"/>
      <c r="S3348" s="8"/>
      <c r="T3348" s="3"/>
    </row>
    <row r="3349" spans="14:20" x14ac:dyDescent="0.3">
      <c r="N3349" s="5"/>
      <c r="O3349" s="5"/>
      <c r="P3349" s="5"/>
      <c r="Q3349" s="5"/>
      <c r="R3349" s="8"/>
      <c r="S3349" s="8"/>
      <c r="T3349" s="3"/>
    </row>
    <row r="3350" spans="14:20" x14ac:dyDescent="0.3">
      <c r="N3350" s="5"/>
      <c r="O3350" s="5"/>
      <c r="P3350" s="5"/>
      <c r="Q3350" s="5"/>
      <c r="R3350" s="8"/>
      <c r="S3350" s="8"/>
      <c r="T3350" s="3"/>
    </row>
    <row r="3351" spans="14:20" x14ac:dyDescent="0.3">
      <c r="N3351" s="5"/>
      <c r="O3351" s="5"/>
      <c r="P3351" s="5"/>
      <c r="Q3351" s="5"/>
      <c r="R3351" s="8"/>
      <c r="S3351" s="8"/>
      <c r="T3351" s="3"/>
    </row>
    <row r="3352" spans="14:20" x14ac:dyDescent="0.3">
      <c r="N3352" s="5"/>
      <c r="O3352" s="5"/>
      <c r="P3352" s="5"/>
      <c r="Q3352" s="5"/>
      <c r="R3352" s="8"/>
      <c r="S3352" s="8"/>
      <c r="T3352" s="3"/>
    </row>
    <row r="3353" spans="14:20" x14ac:dyDescent="0.3">
      <c r="N3353" s="5"/>
      <c r="O3353" s="5"/>
      <c r="P3353" s="5"/>
      <c r="Q3353" s="5"/>
      <c r="R3353" s="8"/>
      <c r="S3353" s="8"/>
      <c r="T3353" s="3"/>
    </row>
    <row r="3354" spans="14:20" x14ac:dyDescent="0.3">
      <c r="N3354" s="5"/>
      <c r="O3354" s="5"/>
      <c r="P3354" s="5"/>
      <c r="Q3354" s="5"/>
      <c r="R3354" s="8"/>
      <c r="S3354" s="8"/>
      <c r="T3354" s="3"/>
    </row>
    <row r="3355" spans="14:20" x14ac:dyDescent="0.3">
      <c r="N3355" s="5"/>
      <c r="O3355" s="5"/>
      <c r="P3355" s="5"/>
      <c r="Q3355" s="5"/>
      <c r="R3355" s="8"/>
      <c r="S3355" s="8"/>
      <c r="T3355" s="3"/>
    </row>
    <row r="3356" spans="14:20" x14ac:dyDescent="0.3">
      <c r="N3356" s="5"/>
      <c r="O3356" s="5"/>
      <c r="P3356" s="5"/>
      <c r="Q3356" s="5"/>
      <c r="R3356" s="8"/>
      <c r="S3356" s="8"/>
      <c r="T3356" s="3"/>
    </row>
    <row r="3357" spans="14:20" x14ac:dyDescent="0.3">
      <c r="N3357" s="5"/>
      <c r="O3357" s="5"/>
      <c r="P3357" s="5"/>
      <c r="Q3357" s="5"/>
      <c r="R3357" s="8"/>
      <c r="S3357" s="8"/>
      <c r="T3357" s="3"/>
    </row>
    <row r="3358" spans="14:20" x14ac:dyDescent="0.3">
      <c r="N3358" s="5"/>
      <c r="O3358" s="5"/>
      <c r="P3358" s="5"/>
      <c r="Q3358" s="5"/>
      <c r="R3358" s="8"/>
      <c r="S3358" s="8"/>
      <c r="T3358" s="3"/>
    </row>
    <row r="3359" spans="14:20" x14ac:dyDescent="0.3">
      <c r="N3359" s="5"/>
      <c r="O3359" s="5"/>
      <c r="P3359" s="5"/>
      <c r="Q3359" s="5"/>
      <c r="R3359" s="8"/>
      <c r="S3359" s="8"/>
      <c r="T3359" s="3"/>
    </row>
    <row r="3360" spans="14:20" x14ac:dyDescent="0.3">
      <c r="N3360" s="5"/>
      <c r="O3360" s="5"/>
      <c r="P3360" s="5"/>
      <c r="Q3360" s="5"/>
      <c r="R3360" s="8"/>
      <c r="S3360" s="8"/>
      <c r="T3360" s="3"/>
    </row>
    <row r="3361" spans="14:20" x14ac:dyDescent="0.3">
      <c r="N3361" s="5"/>
      <c r="O3361" s="5"/>
      <c r="P3361" s="5"/>
      <c r="Q3361" s="5"/>
      <c r="R3361" s="8"/>
      <c r="S3361" s="8"/>
      <c r="T3361" s="3"/>
    </row>
    <row r="3362" spans="14:20" x14ac:dyDescent="0.3">
      <c r="N3362" s="5"/>
      <c r="O3362" s="5"/>
      <c r="P3362" s="5"/>
      <c r="Q3362" s="5"/>
      <c r="R3362" s="8"/>
      <c r="S3362" s="8"/>
      <c r="T3362" s="3"/>
    </row>
    <row r="3363" spans="14:20" x14ac:dyDescent="0.3">
      <c r="N3363" s="5"/>
      <c r="O3363" s="5"/>
      <c r="P3363" s="5"/>
      <c r="Q3363" s="5"/>
      <c r="R3363" s="8"/>
      <c r="S3363" s="8"/>
      <c r="T3363" s="3"/>
    </row>
    <row r="3364" spans="14:20" x14ac:dyDescent="0.3">
      <c r="N3364" s="5"/>
      <c r="O3364" s="5"/>
      <c r="P3364" s="5"/>
      <c r="Q3364" s="5"/>
      <c r="R3364" s="8"/>
      <c r="S3364" s="8"/>
      <c r="T3364" s="3"/>
    </row>
    <row r="3365" spans="14:20" x14ac:dyDescent="0.3">
      <c r="N3365" s="5"/>
      <c r="O3365" s="5"/>
      <c r="P3365" s="5"/>
      <c r="Q3365" s="5"/>
      <c r="R3365" s="8"/>
      <c r="S3365" s="8"/>
      <c r="T3365" s="3"/>
    </row>
    <row r="3366" spans="14:20" x14ac:dyDescent="0.3">
      <c r="N3366" s="5"/>
      <c r="O3366" s="5"/>
      <c r="P3366" s="5"/>
      <c r="Q3366" s="5"/>
      <c r="R3366" s="8"/>
      <c r="S3366" s="8"/>
      <c r="T3366" s="3"/>
    </row>
    <row r="3367" spans="14:20" x14ac:dyDescent="0.3">
      <c r="N3367" s="5"/>
      <c r="O3367" s="5"/>
      <c r="P3367" s="5"/>
      <c r="Q3367" s="5"/>
      <c r="R3367" s="8"/>
      <c r="S3367" s="8"/>
      <c r="T3367" s="3"/>
    </row>
    <row r="3368" spans="14:20" x14ac:dyDescent="0.3">
      <c r="N3368" s="5"/>
      <c r="O3368" s="5"/>
      <c r="P3368" s="5"/>
      <c r="Q3368" s="5"/>
      <c r="R3368" s="8"/>
      <c r="S3368" s="8"/>
      <c r="T3368" s="3"/>
    </row>
    <row r="3369" spans="14:20" x14ac:dyDescent="0.3">
      <c r="N3369" s="5"/>
      <c r="O3369" s="5"/>
      <c r="P3369" s="5"/>
      <c r="Q3369" s="5"/>
      <c r="R3369" s="8"/>
      <c r="S3369" s="8"/>
      <c r="T3369" s="3"/>
    </row>
    <row r="3370" spans="14:20" x14ac:dyDescent="0.3">
      <c r="N3370" s="5"/>
      <c r="O3370" s="5"/>
      <c r="P3370" s="5"/>
      <c r="Q3370" s="5"/>
      <c r="R3370" s="8"/>
      <c r="S3370" s="8"/>
      <c r="T3370" s="3"/>
    </row>
    <row r="3371" spans="14:20" x14ac:dyDescent="0.3">
      <c r="N3371" s="5"/>
      <c r="O3371" s="5"/>
      <c r="P3371" s="5"/>
      <c r="Q3371" s="5"/>
      <c r="R3371" s="8"/>
      <c r="S3371" s="8"/>
      <c r="T3371" s="3"/>
    </row>
    <row r="3372" spans="14:20" x14ac:dyDescent="0.3">
      <c r="N3372" s="5"/>
      <c r="O3372" s="5"/>
      <c r="P3372" s="5"/>
      <c r="Q3372" s="5"/>
      <c r="R3372" s="8"/>
      <c r="S3372" s="8"/>
      <c r="T3372" s="3"/>
    </row>
    <row r="3373" spans="14:20" x14ac:dyDescent="0.3">
      <c r="N3373" s="5"/>
      <c r="O3373" s="5"/>
      <c r="P3373" s="5"/>
      <c r="Q3373" s="5"/>
      <c r="R3373" s="8"/>
      <c r="S3373" s="8"/>
      <c r="T3373" s="3"/>
    </row>
    <row r="3374" spans="14:20" x14ac:dyDescent="0.3">
      <c r="N3374" s="5"/>
      <c r="O3374" s="5"/>
      <c r="P3374" s="5"/>
      <c r="Q3374" s="5"/>
      <c r="R3374" s="8"/>
      <c r="S3374" s="8"/>
      <c r="T3374" s="3"/>
    </row>
    <row r="3375" spans="14:20" x14ac:dyDescent="0.3">
      <c r="N3375" s="5"/>
      <c r="O3375" s="5"/>
      <c r="P3375" s="5"/>
      <c r="Q3375" s="5"/>
      <c r="R3375" s="8"/>
      <c r="S3375" s="8"/>
      <c r="T3375" s="3"/>
    </row>
    <row r="3376" spans="14:20" x14ac:dyDescent="0.3">
      <c r="N3376" s="5"/>
      <c r="O3376" s="5"/>
      <c r="P3376" s="5"/>
      <c r="Q3376" s="5"/>
      <c r="R3376" s="8"/>
      <c r="S3376" s="8"/>
      <c r="T3376" s="3"/>
    </row>
    <row r="3377" spans="14:20" x14ac:dyDescent="0.3">
      <c r="N3377" s="5"/>
      <c r="O3377" s="5"/>
      <c r="P3377" s="5"/>
      <c r="Q3377" s="5"/>
      <c r="R3377" s="8"/>
      <c r="S3377" s="8"/>
      <c r="T3377" s="3"/>
    </row>
    <row r="3378" spans="14:20" x14ac:dyDescent="0.3">
      <c r="N3378" s="5"/>
      <c r="O3378" s="5"/>
      <c r="P3378" s="5"/>
      <c r="Q3378" s="5"/>
      <c r="R3378" s="8"/>
      <c r="S3378" s="8"/>
      <c r="T3378" s="3"/>
    </row>
    <row r="3379" spans="14:20" x14ac:dyDescent="0.3">
      <c r="N3379" s="5"/>
      <c r="O3379" s="5"/>
      <c r="P3379" s="5"/>
      <c r="Q3379" s="5"/>
      <c r="R3379" s="8"/>
      <c r="S3379" s="8"/>
      <c r="T3379" s="3"/>
    </row>
    <row r="3380" spans="14:20" x14ac:dyDescent="0.3">
      <c r="N3380" s="5"/>
      <c r="O3380" s="5"/>
      <c r="P3380" s="5"/>
      <c r="Q3380" s="5"/>
      <c r="R3380" s="8"/>
      <c r="S3380" s="8"/>
      <c r="T3380" s="3"/>
    </row>
    <row r="3381" spans="14:20" x14ac:dyDescent="0.3">
      <c r="N3381" s="5"/>
      <c r="O3381" s="5"/>
      <c r="P3381" s="5"/>
      <c r="Q3381" s="5"/>
      <c r="R3381" s="8"/>
      <c r="S3381" s="8"/>
      <c r="T3381" s="3"/>
    </row>
    <row r="3382" spans="14:20" x14ac:dyDescent="0.3">
      <c r="N3382" s="5"/>
      <c r="O3382" s="5"/>
      <c r="P3382" s="5"/>
      <c r="Q3382" s="5"/>
      <c r="R3382" s="8"/>
      <c r="S3382" s="8"/>
      <c r="T3382" s="3"/>
    </row>
    <row r="3383" spans="14:20" x14ac:dyDescent="0.3">
      <c r="N3383" s="5"/>
      <c r="O3383" s="5"/>
      <c r="P3383" s="5"/>
      <c r="Q3383" s="5"/>
      <c r="R3383" s="8"/>
      <c r="S3383" s="8"/>
      <c r="T3383" s="3"/>
    </row>
    <row r="3384" spans="14:20" x14ac:dyDescent="0.3">
      <c r="N3384" s="5"/>
      <c r="O3384" s="5"/>
      <c r="P3384" s="5"/>
      <c r="Q3384" s="5"/>
      <c r="R3384" s="8"/>
      <c r="S3384" s="8"/>
      <c r="T3384" s="3"/>
    </row>
    <row r="3385" spans="14:20" x14ac:dyDescent="0.3">
      <c r="N3385" s="5"/>
      <c r="O3385" s="5"/>
      <c r="P3385" s="5"/>
      <c r="Q3385" s="5"/>
      <c r="R3385" s="8"/>
      <c r="S3385" s="8"/>
      <c r="T3385" s="3"/>
    </row>
    <row r="3386" spans="14:20" x14ac:dyDescent="0.3">
      <c r="N3386" s="5"/>
      <c r="O3386" s="5"/>
      <c r="P3386" s="5"/>
      <c r="Q3386" s="5"/>
      <c r="R3386" s="8"/>
      <c r="S3386" s="8"/>
      <c r="T3386" s="3"/>
    </row>
    <row r="3387" spans="14:20" x14ac:dyDescent="0.3">
      <c r="N3387" s="5"/>
      <c r="O3387" s="5"/>
      <c r="P3387" s="5"/>
      <c r="Q3387" s="5"/>
      <c r="R3387" s="8"/>
      <c r="S3387" s="8"/>
      <c r="T3387" s="3"/>
    </row>
    <row r="3388" spans="14:20" x14ac:dyDescent="0.3">
      <c r="N3388" s="5"/>
      <c r="O3388" s="5"/>
      <c r="P3388" s="5"/>
      <c r="Q3388" s="5"/>
      <c r="R3388" s="8"/>
      <c r="S3388" s="8"/>
      <c r="T3388" s="3"/>
    </row>
    <row r="3389" spans="14:20" x14ac:dyDescent="0.3">
      <c r="N3389" s="5"/>
      <c r="O3389" s="5"/>
      <c r="P3389" s="5"/>
      <c r="Q3389" s="5"/>
      <c r="R3389" s="8"/>
      <c r="S3389" s="8"/>
      <c r="T3389" s="3"/>
    </row>
    <row r="3390" spans="14:20" x14ac:dyDescent="0.3">
      <c r="N3390" s="5"/>
      <c r="O3390" s="5"/>
      <c r="P3390" s="5"/>
      <c r="Q3390" s="5"/>
      <c r="R3390" s="8"/>
      <c r="S3390" s="8"/>
      <c r="T3390" s="3"/>
    </row>
    <row r="3391" spans="14:20" x14ac:dyDescent="0.3">
      <c r="N3391" s="5"/>
      <c r="O3391" s="5"/>
      <c r="P3391" s="5"/>
      <c r="Q3391" s="5"/>
      <c r="R3391" s="8"/>
      <c r="S3391" s="8"/>
      <c r="T3391" s="3"/>
    </row>
    <row r="3392" spans="14:20" x14ac:dyDescent="0.3">
      <c r="N3392" s="5"/>
      <c r="O3392" s="5"/>
      <c r="P3392" s="5"/>
      <c r="Q3392" s="5"/>
      <c r="R3392" s="8"/>
      <c r="S3392" s="8"/>
      <c r="T3392" s="3"/>
    </row>
    <row r="3393" spans="14:20" x14ac:dyDescent="0.3">
      <c r="N3393" s="5"/>
      <c r="O3393" s="5"/>
      <c r="P3393" s="5"/>
      <c r="Q3393" s="5"/>
      <c r="R3393" s="8"/>
      <c r="S3393" s="8"/>
      <c r="T3393" s="3"/>
    </row>
    <row r="3394" spans="14:20" x14ac:dyDescent="0.3">
      <c r="N3394" s="5"/>
      <c r="O3394" s="5"/>
      <c r="P3394" s="5"/>
      <c r="Q3394" s="5"/>
      <c r="R3394" s="8"/>
      <c r="S3394" s="8"/>
      <c r="T3394" s="3"/>
    </row>
    <row r="3395" spans="14:20" x14ac:dyDescent="0.3">
      <c r="N3395" s="5"/>
      <c r="O3395" s="5"/>
      <c r="P3395" s="5"/>
      <c r="Q3395" s="5"/>
      <c r="R3395" s="8"/>
      <c r="S3395" s="8"/>
      <c r="T3395" s="3"/>
    </row>
    <row r="3396" spans="14:20" x14ac:dyDescent="0.3">
      <c r="N3396" s="5"/>
      <c r="O3396" s="5"/>
      <c r="P3396" s="5"/>
      <c r="Q3396" s="5"/>
      <c r="R3396" s="8"/>
      <c r="S3396" s="8"/>
      <c r="T3396" s="3"/>
    </row>
    <row r="3397" spans="14:20" x14ac:dyDescent="0.3">
      <c r="N3397" s="5"/>
      <c r="O3397" s="5"/>
      <c r="P3397" s="5"/>
      <c r="Q3397" s="5"/>
      <c r="R3397" s="8"/>
      <c r="S3397" s="8"/>
      <c r="T3397" s="3"/>
    </row>
    <row r="3398" spans="14:20" x14ac:dyDescent="0.3">
      <c r="N3398" s="5"/>
      <c r="O3398" s="5"/>
      <c r="P3398" s="5"/>
      <c r="Q3398" s="5"/>
      <c r="R3398" s="8"/>
      <c r="S3398" s="8"/>
      <c r="T3398" s="3"/>
    </row>
    <row r="3399" spans="14:20" x14ac:dyDescent="0.3">
      <c r="N3399" s="5"/>
      <c r="O3399" s="5"/>
      <c r="P3399" s="5"/>
      <c r="Q3399" s="5"/>
      <c r="R3399" s="8"/>
      <c r="S3399" s="8"/>
      <c r="T3399" s="3"/>
    </row>
    <row r="3400" spans="14:20" x14ac:dyDescent="0.3">
      <c r="N3400" s="5"/>
      <c r="O3400" s="5"/>
      <c r="P3400" s="5"/>
      <c r="Q3400" s="5"/>
      <c r="R3400" s="8"/>
      <c r="S3400" s="8"/>
      <c r="T3400" s="3"/>
    </row>
    <row r="3401" spans="14:20" x14ac:dyDescent="0.3">
      <c r="N3401" s="5"/>
      <c r="O3401" s="5"/>
      <c r="P3401" s="5"/>
      <c r="Q3401" s="5"/>
      <c r="R3401" s="8"/>
      <c r="S3401" s="8"/>
      <c r="T3401" s="3"/>
    </row>
    <row r="3402" spans="14:20" x14ac:dyDescent="0.3">
      <c r="N3402" s="5"/>
      <c r="O3402" s="5"/>
      <c r="P3402" s="5"/>
      <c r="Q3402" s="5"/>
      <c r="R3402" s="8"/>
      <c r="S3402" s="8"/>
      <c r="T3402" s="3"/>
    </row>
    <row r="3403" spans="14:20" x14ac:dyDescent="0.3">
      <c r="N3403" s="5"/>
      <c r="O3403" s="5"/>
      <c r="P3403" s="5"/>
      <c r="Q3403" s="5"/>
      <c r="R3403" s="8"/>
      <c r="S3403" s="8"/>
      <c r="T3403" s="3"/>
    </row>
    <row r="3404" spans="14:20" x14ac:dyDescent="0.3">
      <c r="N3404" s="5"/>
      <c r="O3404" s="5"/>
      <c r="P3404" s="5"/>
      <c r="Q3404" s="5"/>
      <c r="R3404" s="8"/>
      <c r="S3404" s="8"/>
      <c r="T3404" s="3"/>
    </row>
    <row r="3405" spans="14:20" x14ac:dyDescent="0.3">
      <c r="N3405" s="5"/>
      <c r="O3405" s="5"/>
      <c r="P3405" s="5"/>
      <c r="Q3405" s="5"/>
      <c r="R3405" s="8"/>
      <c r="S3405" s="8"/>
      <c r="T3405" s="3"/>
    </row>
    <row r="3406" spans="14:20" x14ac:dyDescent="0.3">
      <c r="N3406" s="5"/>
      <c r="O3406" s="5"/>
      <c r="P3406" s="5"/>
      <c r="Q3406" s="5"/>
      <c r="R3406" s="8"/>
      <c r="S3406" s="8"/>
      <c r="T3406" s="3"/>
    </row>
    <row r="3407" spans="14:20" x14ac:dyDescent="0.3">
      <c r="N3407" s="5"/>
      <c r="O3407" s="5"/>
      <c r="P3407" s="5"/>
      <c r="Q3407" s="5"/>
      <c r="R3407" s="8"/>
      <c r="S3407" s="8"/>
      <c r="T3407" s="3"/>
    </row>
    <row r="3408" spans="14:20" x14ac:dyDescent="0.3">
      <c r="N3408" s="5"/>
      <c r="O3408" s="5"/>
      <c r="P3408" s="5"/>
      <c r="Q3408" s="5"/>
      <c r="R3408" s="8"/>
      <c r="S3408" s="8"/>
      <c r="T3408" s="3"/>
    </row>
    <row r="3409" spans="14:20" x14ac:dyDescent="0.3">
      <c r="N3409" s="5"/>
      <c r="O3409" s="5"/>
      <c r="P3409" s="5"/>
      <c r="Q3409" s="5"/>
      <c r="R3409" s="8"/>
      <c r="S3409" s="8"/>
      <c r="T3409" s="3"/>
    </row>
    <row r="3410" spans="14:20" x14ac:dyDescent="0.3">
      <c r="N3410" s="5"/>
      <c r="O3410" s="5"/>
      <c r="P3410" s="5"/>
      <c r="Q3410" s="5"/>
      <c r="R3410" s="8"/>
      <c r="S3410" s="8"/>
      <c r="T3410" s="3"/>
    </row>
    <row r="3411" spans="14:20" x14ac:dyDescent="0.3">
      <c r="N3411" s="5"/>
      <c r="O3411" s="5"/>
      <c r="P3411" s="5"/>
      <c r="Q3411" s="5"/>
      <c r="R3411" s="8"/>
      <c r="S3411" s="8"/>
      <c r="T3411" s="3"/>
    </row>
    <row r="3412" spans="14:20" x14ac:dyDescent="0.3">
      <c r="N3412" s="5"/>
      <c r="O3412" s="5"/>
      <c r="P3412" s="5"/>
      <c r="Q3412" s="5"/>
      <c r="R3412" s="8"/>
      <c r="S3412" s="8"/>
      <c r="T3412" s="3"/>
    </row>
    <row r="3413" spans="14:20" x14ac:dyDescent="0.3">
      <c r="N3413" s="5"/>
      <c r="O3413" s="5"/>
      <c r="P3413" s="5"/>
      <c r="Q3413" s="5"/>
      <c r="R3413" s="8"/>
      <c r="S3413" s="8"/>
      <c r="T3413" s="3"/>
    </row>
    <row r="3414" spans="14:20" x14ac:dyDescent="0.3">
      <c r="N3414" s="5"/>
      <c r="O3414" s="5"/>
      <c r="P3414" s="5"/>
      <c r="Q3414" s="5"/>
      <c r="R3414" s="8"/>
      <c r="S3414" s="8"/>
      <c r="T3414" s="3"/>
    </row>
    <row r="3415" spans="14:20" x14ac:dyDescent="0.3">
      <c r="N3415" s="5"/>
      <c r="O3415" s="5"/>
      <c r="P3415" s="5"/>
      <c r="Q3415" s="5"/>
      <c r="R3415" s="8"/>
      <c r="S3415" s="8"/>
      <c r="T3415" s="3"/>
    </row>
    <row r="3416" spans="14:20" x14ac:dyDescent="0.3">
      <c r="N3416" s="5"/>
      <c r="O3416" s="5"/>
      <c r="P3416" s="5"/>
      <c r="Q3416" s="5"/>
      <c r="R3416" s="8"/>
      <c r="S3416" s="8"/>
      <c r="T3416" s="3"/>
    </row>
    <row r="3417" spans="14:20" x14ac:dyDescent="0.3">
      <c r="N3417" s="5"/>
      <c r="O3417" s="5"/>
      <c r="P3417" s="5"/>
      <c r="Q3417" s="5"/>
      <c r="R3417" s="8"/>
      <c r="S3417" s="8"/>
      <c r="T3417" s="3"/>
    </row>
    <row r="3418" spans="14:20" x14ac:dyDescent="0.3">
      <c r="N3418" s="5"/>
      <c r="O3418" s="5"/>
      <c r="P3418" s="5"/>
      <c r="Q3418" s="5"/>
      <c r="R3418" s="8"/>
      <c r="S3418" s="8"/>
      <c r="T3418" s="3"/>
    </row>
    <row r="3419" spans="14:20" x14ac:dyDescent="0.3">
      <c r="N3419" s="5"/>
      <c r="O3419" s="5"/>
      <c r="P3419" s="5"/>
      <c r="Q3419" s="5"/>
      <c r="R3419" s="8"/>
      <c r="S3419" s="8"/>
      <c r="T3419" s="3"/>
    </row>
    <row r="3420" spans="14:20" x14ac:dyDescent="0.3">
      <c r="N3420" s="5"/>
      <c r="O3420" s="5"/>
      <c r="P3420" s="5"/>
      <c r="Q3420" s="5"/>
      <c r="R3420" s="8"/>
      <c r="S3420" s="8"/>
      <c r="T3420" s="3"/>
    </row>
    <row r="3421" spans="14:20" x14ac:dyDescent="0.3">
      <c r="N3421" s="5"/>
      <c r="O3421" s="5"/>
      <c r="P3421" s="5"/>
      <c r="Q3421" s="5"/>
      <c r="R3421" s="8"/>
      <c r="S3421" s="8"/>
      <c r="T3421" s="3"/>
    </row>
    <row r="3422" spans="14:20" x14ac:dyDescent="0.3">
      <c r="N3422" s="5"/>
      <c r="O3422" s="5"/>
      <c r="P3422" s="5"/>
      <c r="Q3422" s="5"/>
      <c r="R3422" s="8"/>
      <c r="S3422" s="8"/>
      <c r="T3422" s="3"/>
    </row>
    <row r="3423" spans="14:20" x14ac:dyDescent="0.3">
      <c r="N3423" s="5"/>
      <c r="O3423" s="5"/>
      <c r="P3423" s="5"/>
      <c r="Q3423" s="5"/>
      <c r="R3423" s="8"/>
      <c r="S3423" s="8"/>
      <c r="T3423" s="3"/>
    </row>
    <row r="3424" spans="14:20" x14ac:dyDescent="0.3">
      <c r="N3424" s="5"/>
      <c r="O3424" s="5"/>
      <c r="P3424" s="5"/>
      <c r="Q3424" s="5"/>
      <c r="R3424" s="8"/>
      <c r="S3424" s="8"/>
      <c r="T3424" s="3"/>
    </row>
    <row r="3425" spans="14:20" x14ac:dyDescent="0.3">
      <c r="N3425" s="5"/>
      <c r="O3425" s="5"/>
      <c r="P3425" s="5"/>
      <c r="Q3425" s="5"/>
      <c r="R3425" s="8"/>
      <c r="S3425" s="8"/>
      <c r="T3425" s="3"/>
    </row>
    <row r="3426" spans="14:20" x14ac:dyDescent="0.3">
      <c r="N3426" s="5"/>
      <c r="O3426" s="5"/>
      <c r="P3426" s="5"/>
      <c r="Q3426" s="5"/>
      <c r="R3426" s="8"/>
      <c r="S3426" s="8"/>
      <c r="T3426" s="3"/>
    </row>
    <row r="3427" spans="14:20" x14ac:dyDescent="0.3">
      <c r="N3427" s="5"/>
      <c r="O3427" s="5"/>
      <c r="P3427" s="5"/>
      <c r="Q3427" s="5"/>
      <c r="R3427" s="8"/>
      <c r="S3427" s="8"/>
      <c r="T3427" s="3"/>
    </row>
    <row r="3428" spans="14:20" x14ac:dyDescent="0.3">
      <c r="N3428" s="5"/>
      <c r="O3428" s="5"/>
      <c r="P3428" s="5"/>
      <c r="Q3428" s="5"/>
      <c r="R3428" s="8"/>
      <c r="S3428" s="8"/>
      <c r="T3428" s="3"/>
    </row>
    <row r="3429" spans="14:20" x14ac:dyDescent="0.3">
      <c r="N3429" s="5"/>
      <c r="O3429" s="5"/>
      <c r="P3429" s="5"/>
      <c r="Q3429" s="5"/>
      <c r="R3429" s="8"/>
      <c r="S3429" s="8"/>
      <c r="T3429" s="3"/>
    </row>
    <row r="3430" spans="14:20" x14ac:dyDescent="0.3">
      <c r="N3430" s="5"/>
      <c r="O3430" s="5"/>
      <c r="P3430" s="5"/>
      <c r="Q3430" s="5"/>
      <c r="R3430" s="8"/>
      <c r="S3430" s="8"/>
      <c r="T3430" s="3"/>
    </row>
    <row r="3431" spans="14:20" x14ac:dyDescent="0.3">
      <c r="N3431" s="5"/>
      <c r="O3431" s="5"/>
      <c r="P3431" s="5"/>
      <c r="Q3431" s="5"/>
      <c r="R3431" s="8"/>
      <c r="S3431" s="8"/>
      <c r="T3431" s="3"/>
    </row>
    <row r="3432" spans="14:20" x14ac:dyDescent="0.3">
      <c r="N3432" s="5"/>
      <c r="O3432" s="5"/>
      <c r="P3432" s="5"/>
      <c r="Q3432" s="5"/>
      <c r="R3432" s="8"/>
      <c r="S3432" s="8"/>
      <c r="T3432" s="3"/>
    </row>
    <row r="3433" spans="14:20" x14ac:dyDescent="0.3">
      <c r="N3433" s="5"/>
      <c r="O3433" s="5"/>
      <c r="P3433" s="5"/>
      <c r="Q3433" s="5"/>
      <c r="R3433" s="8"/>
      <c r="S3433" s="8"/>
      <c r="T3433" s="3"/>
    </row>
    <row r="3434" spans="14:20" x14ac:dyDescent="0.3">
      <c r="N3434" s="5"/>
      <c r="O3434" s="5"/>
      <c r="P3434" s="5"/>
      <c r="Q3434" s="5"/>
      <c r="R3434" s="8"/>
      <c r="S3434" s="8"/>
      <c r="T3434" s="3"/>
    </row>
    <row r="3435" spans="14:20" x14ac:dyDescent="0.3">
      <c r="N3435" s="5"/>
      <c r="O3435" s="5"/>
      <c r="P3435" s="5"/>
      <c r="Q3435" s="5"/>
      <c r="R3435" s="8"/>
      <c r="S3435" s="8"/>
      <c r="T3435" s="3"/>
    </row>
    <row r="3436" spans="14:20" x14ac:dyDescent="0.3">
      <c r="N3436" s="5"/>
      <c r="O3436" s="5"/>
      <c r="P3436" s="5"/>
      <c r="Q3436" s="5"/>
      <c r="R3436" s="8"/>
      <c r="S3436" s="8"/>
      <c r="T3436" s="3"/>
    </row>
    <row r="3437" spans="14:20" x14ac:dyDescent="0.3">
      <c r="N3437" s="5"/>
      <c r="O3437" s="5"/>
      <c r="P3437" s="5"/>
      <c r="Q3437" s="5"/>
      <c r="R3437" s="8"/>
      <c r="S3437" s="8"/>
      <c r="T3437" s="3"/>
    </row>
    <row r="3438" spans="14:20" x14ac:dyDescent="0.3">
      <c r="N3438" s="5"/>
      <c r="O3438" s="5"/>
      <c r="P3438" s="5"/>
      <c r="Q3438" s="5"/>
      <c r="R3438" s="8"/>
      <c r="S3438" s="8"/>
      <c r="T3438" s="3"/>
    </row>
    <row r="3439" spans="14:20" x14ac:dyDescent="0.3">
      <c r="N3439" s="5"/>
      <c r="O3439" s="5"/>
      <c r="P3439" s="5"/>
      <c r="Q3439" s="5"/>
      <c r="R3439" s="8"/>
      <c r="S3439" s="8"/>
      <c r="T3439" s="3"/>
    </row>
    <row r="3440" spans="14:20" x14ac:dyDescent="0.3">
      <c r="N3440" s="5"/>
      <c r="O3440" s="5"/>
      <c r="P3440" s="5"/>
      <c r="Q3440" s="5"/>
      <c r="R3440" s="8"/>
      <c r="S3440" s="8"/>
      <c r="T3440" s="3"/>
    </row>
    <row r="3441" spans="14:20" x14ac:dyDescent="0.3">
      <c r="N3441" s="5"/>
      <c r="O3441" s="5"/>
      <c r="P3441" s="5"/>
      <c r="Q3441" s="5"/>
      <c r="R3441" s="8"/>
      <c r="S3441" s="8"/>
      <c r="T3441" s="3"/>
    </row>
    <row r="3442" spans="14:20" x14ac:dyDescent="0.3">
      <c r="N3442" s="5"/>
      <c r="O3442" s="5"/>
      <c r="P3442" s="5"/>
      <c r="Q3442" s="5"/>
      <c r="R3442" s="8"/>
      <c r="S3442" s="8"/>
      <c r="T3442" s="3"/>
    </row>
    <row r="3443" spans="14:20" x14ac:dyDescent="0.3">
      <c r="N3443" s="5"/>
      <c r="O3443" s="5"/>
      <c r="P3443" s="5"/>
      <c r="Q3443" s="5"/>
      <c r="R3443" s="8"/>
      <c r="S3443" s="8"/>
      <c r="T3443" s="3"/>
    </row>
    <row r="3444" spans="14:20" x14ac:dyDescent="0.3">
      <c r="N3444" s="5"/>
      <c r="O3444" s="5"/>
      <c r="P3444" s="5"/>
      <c r="Q3444" s="5"/>
      <c r="R3444" s="8"/>
      <c r="S3444" s="8"/>
      <c r="T3444" s="3"/>
    </row>
    <row r="3445" spans="14:20" x14ac:dyDescent="0.3">
      <c r="N3445" s="5"/>
      <c r="O3445" s="5"/>
      <c r="P3445" s="5"/>
      <c r="Q3445" s="5"/>
      <c r="R3445" s="8"/>
      <c r="S3445" s="8"/>
      <c r="T3445" s="3"/>
    </row>
    <row r="3446" spans="14:20" x14ac:dyDescent="0.3">
      <c r="N3446" s="5"/>
      <c r="O3446" s="5"/>
      <c r="P3446" s="5"/>
      <c r="Q3446" s="5"/>
      <c r="R3446" s="8"/>
      <c r="S3446" s="8"/>
      <c r="T3446" s="3"/>
    </row>
    <row r="3447" spans="14:20" x14ac:dyDescent="0.3">
      <c r="N3447" s="5"/>
      <c r="O3447" s="5"/>
      <c r="P3447" s="5"/>
      <c r="Q3447" s="5"/>
      <c r="R3447" s="8"/>
      <c r="S3447" s="8"/>
      <c r="T3447" s="3"/>
    </row>
    <row r="3448" spans="14:20" x14ac:dyDescent="0.3">
      <c r="N3448" s="5"/>
      <c r="O3448" s="5"/>
      <c r="P3448" s="5"/>
      <c r="Q3448" s="5"/>
      <c r="R3448" s="8"/>
      <c r="S3448" s="8"/>
      <c r="T3448" s="3"/>
    </row>
    <row r="3449" spans="14:20" x14ac:dyDescent="0.3">
      <c r="N3449" s="5"/>
      <c r="O3449" s="5"/>
      <c r="P3449" s="5"/>
      <c r="Q3449" s="5"/>
      <c r="R3449" s="8"/>
      <c r="S3449" s="8"/>
      <c r="T3449" s="3"/>
    </row>
    <row r="3450" spans="14:20" x14ac:dyDescent="0.3">
      <c r="N3450" s="5"/>
      <c r="O3450" s="5"/>
      <c r="P3450" s="5"/>
      <c r="Q3450" s="5"/>
      <c r="R3450" s="8"/>
      <c r="S3450" s="8"/>
      <c r="T3450" s="3"/>
    </row>
    <row r="3451" spans="14:20" x14ac:dyDescent="0.3">
      <c r="N3451" s="5"/>
      <c r="O3451" s="5"/>
      <c r="P3451" s="5"/>
      <c r="Q3451" s="5"/>
      <c r="R3451" s="8"/>
      <c r="S3451" s="8"/>
      <c r="T3451" s="3"/>
    </row>
    <row r="3452" spans="14:20" x14ac:dyDescent="0.3">
      <c r="N3452" s="5"/>
      <c r="O3452" s="5"/>
      <c r="P3452" s="5"/>
      <c r="Q3452" s="5"/>
      <c r="R3452" s="8"/>
      <c r="S3452" s="8"/>
      <c r="T3452" s="3"/>
    </row>
    <row r="3453" spans="14:20" x14ac:dyDescent="0.3">
      <c r="N3453" s="5"/>
      <c r="O3453" s="5"/>
      <c r="P3453" s="5"/>
      <c r="Q3453" s="5"/>
      <c r="R3453" s="8"/>
      <c r="S3453" s="8"/>
      <c r="T3453" s="3"/>
    </row>
    <row r="3454" spans="14:20" x14ac:dyDescent="0.3">
      <c r="N3454" s="5"/>
      <c r="O3454" s="5"/>
      <c r="P3454" s="5"/>
      <c r="Q3454" s="5"/>
      <c r="R3454" s="8"/>
      <c r="S3454" s="8"/>
      <c r="T3454" s="3"/>
    </row>
    <row r="3455" spans="14:20" x14ac:dyDescent="0.3">
      <c r="N3455" s="5"/>
      <c r="O3455" s="5"/>
      <c r="P3455" s="5"/>
      <c r="Q3455" s="5"/>
      <c r="R3455" s="8"/>
      <c r="S3455" s="8"/>
      <c r="T3455" s="3"/>
    </row>
    <row r="3456" spans="14:20" x14ac:dyDescent="0.3">
      <c r="N3456" s="5"/>
      <c r="O3456" s="5"/>
      <c r="P3456" s="5"/>
      <c r="Q3456" s="5"/>
      <c r="R3456" s="8"/>
      <c r="S3456" s="8"/>
      <c r="T3456" s="3"/>
    </row>
    <row r="3457" spans="14:20" x14ac:dyDescent="0.3">
      <c r="N3457" s="5"/>
      <c r="O3457" s="5"/>
      <c r="P3457" s="5"/>
      <c r="Q3457" s="5"/>
      <c r="R3457" s="8"/>
      <c r="S3457" s="8"/>
      <c r="T3457" s="3"/>
    </row>
    <row r="3458" spans="14:20" x14ac:dyDescent="0.3">
      <c r="N3458" s="5"/>
      <c r="O3458" s="5"/>
      <c r="P3458" s="5"/>
      <c r="Q3458" s="5"/>
      <c r="R3458" s="8"/>
      <c r="S3458" s="8"/>
      <c r="T3458" s="3"/>
    </row>
    <row r="3459" spans="14:20" x14ac:dyDescent="0.3">
      <c r="N3459" s="5"/>
      <c r="O3459" s="5"/>
      <c r="P3459" s="5"/>
      <c r="Q3459" s="5"/>
      <c r="R3459" s="8"/>
      <c r="S3459" s="8"/>
      <c r="T3459" s="3"/>
    </row>
    <row r="3460" spans="14:20" x14ac:dyDescent="0.3">
      <c r="N3460" s="5"/>
      <c r="O3460" s="5"/>
      <c r="P3460" s="5"/>
      <c r="Q3460" s="5"/>
      <c r="R3460" s="8"/>
      <c r="S3460" s="8"/>
      <c r="T3460" s="3"/>
    </row>
    <row r="3461" spans="14:20" x14ac:dyDescent="0.3">
      <c r="N3461" s="5"/>
      <c r="O3461" s="5"/>
      <c r="P3461" s="5"/>
      <c r="Q3461" s="5"/>
      <c r="R3461" s="8"/>
      <c r="S3461" s="8"/>
      <c r="T3461" s="3"/>
    </row>
    <row r="3462" spans="14:20" x14ac:dyDescent="0.3">
      <c r="N3462" s="5"/>
      <c r="O3462" s="5"/>
      <c r="P3462" s="5"/>
      <c r="Q3462" s="5"/>
      <c r="R3462" s="8"/>
      <c r="S3462" s="8"/>
      <c r="T3462" s="3"/>
    </row>
    <row r="3463" spans="14:20" x14ac:dyDescent="0.3">
      <c r="N3463" s="5"/>
      <c r="O3463" s="5"/>
      <c r="P3463" s="5"/>
      <c r="Q3463" s="5"/>
      <c r="R3463" s="8"/>
      <c r="S3463" s="8"/>
      <c r="T3463" s="3"/>
    </row>
    <row r="3464" spans="14:20" x14ac:dyDescent="0.3">
      <c r="N3464" s="5"/>
      <c r="O3464" s="5"/>
      <c r="P3464" s="5"/>
      <c r="Q3464" s="5"/>
      <c r="R3464" s="8"/>
      <c r="S3464" s="8"/>
      <c r="T3464" s="3"/>
    </row>
    <row r="3465" spans="14:20" x14ac:dyDescent="0.3">
      <c r="N3465" s="5"/>
      <c r="O3465" s="5"/>
      <c r="P3465" s="5"/>
      <c r="Q3465" s="5"/>
      <c r="R3465" s="8"/>
      <c r="S3465" s="8"/>
      <c r="T3465" s="3"/>
    </row>
    <row r="3466" spans="14:20" x14ac:dyDescent="0.3">
      <c r="N3466" s="5"/>
      <c r="O3466" s="5"/>
      <c r="P3466" s="5"/>
      <c r="Q3466" s="5"/>
      <c r="R3466" s="8"/>
      <c r="S3466" s="8"/>
      <c r="T3466" s="3"/>
    </row>
    <row r="3467" spans="14:20" x14ac:dyDescent="0.3">
      <c r="N3467" s="5"/>
      <c r="O3467" s="5"/>
      <c r="P3467" s="5"/>
      <c r="Q3467" s="5"/>
      <c r="R3467" s="8"/>
      <c r="S3467" s="8"/>
      <c r="T3467" s="3"/>
    </row>
    <row r="3468" spans="14:20" x14ac:dyDescent="0.3">
      <c r="N3468" s="5"/>
      <c r="O3468" s="5"/>
      <c r="P3468" s="5"/>
      <c r="Q3468" s="5"/>
      <c r="R3468" s="8"/>
      <c r="S3468" s="8"/>
      <c r="T3468" s="3"/>
    </row>
    <row r="3469" spans="14:20" x14ac:dyDescent="0.3">
      <c r="N3469" s="5"/>
      <c r="O3469" s="5"/>
      <c r="P3469" s="5"/>
      <c r="Q3469" s="5"/>
      <c r="R3469" s="8"/>
      <c r="S3469" s="8"/>
      <c r="T3469" s="3"/>
    </row>
    <row r="3470" spans="14:20" x14ac:dyDescent="0.3">
      <c r="N3470" s="5"/>
      <c r="O3470" s="5"/>
      <c r="P3470" s="5"/>
      <c r="Q3470" s="5"/>
      <c r="R3470" s="8"/>
      <c r="S3470" s="8"/>
      <c r="T3470" s="3"/>
    </row>
    <row r="3471" spans="14:20" x14ac:dyDescent="0.3">
      <c r="N3471" s="5"/>
      <c r="O3471" s="5"/>
      <c r="P3471" s="5"/>
      <c r="Q3471" s="5"/>
      <c r="R3471" s="8"/>
      <c r="S3471" s="8"/>
      <c r="T3471" s="3"/>
    </row>
    <row r="3472" spans="14:20" x14ac:dyDescent="0.3">
      <c r="N3472" s="5"/>
      <c r="O3472" s="5"/>
      <c r="P3472" s="5"/>
      <c r="Q3472" s="5"/>
      <c r="R3472" s="8"/>
      <c r="S3472" s="8"/>
      <c r="T3472" s="3"/>
    </row>
    <row r="3473" spans="14:20" x14ac:dyDescent="0.3">
      <c r="N3473" s="5"/>
      <c r="O3473" s="5"/>
      <c r="P3473" s="5"/>
      <c r="Q3473" s="5"/>
      <c r="R3473" s="8"/>
      <c r="S3473" s="8"/>
      <c r="T3473" s="3"/>
    </row>
    <row r="3474" spans="14:20" x14ac:dyDescent="0.3">
      <c r="N3474" s="5"/>
      <c r="O3474" s="5"/>
      <c r="P3474" s="5"/>
      <c r="Q3474" s="5"/>
      <c r="R3474" s="8"/>
      <c r="S3474" s="8"/>
      <c r="T3474" s="3"/>
    </row>
    <row r="3475" spans="14:20" x14ac:dyDescent="0.3">
      <c r="N3475" s="5"/>
      <c r="O3475" s="5"/>
      <c r="P3475" s="5"/>
      <c r="Q3475" s="5"/>
      <c r="R3475" s="8"/>
      <c r="S3475" s="8"/>
      <c r="T3475" s="3"/>
    </row>
    <row r="3476" spans="14:20" x14ac:dyDescent="0.3">
      <c r="N3476" s="5"/>
      <c r="O3476" s="5"/>
      <c r="P3476" s="5"/>
      <c r="Q3476" s="5"/>
      <c r="R3476" s="8"/>
      <c r="S3476" s="8"/>
      <c r="T3476" s="3"/>
    </row>
    <row r="3477" spans="14:20" x14ac:dyDescent="0.3">
      <c r="N3477" s="5"/>
      <c r="O3477" s="5"/>
      <c r="P3477" s="5"/>
      <c r="Q3477" s="5"/>
      <c r="R3477" s="8"/>
      <c r="S3477" s="8"/>
      <c r="T3477" s="3"/>
    </row>
    <row r="3478" spans="14:20" x14ac:dyDescent="0.3">
      <c r="N3478" s="5"/>
      <c r="O3478" s="5"/>
      <c r="P3478" s="5"/>
      <c r="Q3478" s="5"/>
      <c r="R3478" s="8"/>
      <c r="S3478" s="8"/>
      <c r="T3478" s="3"/>
    </row>
    <row r="3479" spans="14:20" x14ac:dyDescent="0.3">
      <c r="N3479" s="5"/>
      <c r="O3479" s="5"/>
      <c r="P3479" s="5"/>
      <c r="Q3479" s="5"/>
      <c r="R3479" s="8"/>
      <c r="S3479" s="8"/>
      <c r="T3479" s="3"/>
    </row>
    <row r="3480" spans="14:20" x14ac:dyDescent="0.3">
      <c r="N3480" s="5"/>
      <c r="O3480" s="5"/>
      <c r="P3480" s="5"/>
      <c r="Q3480" s="5"/>
      <c r="R3480" s="8"/>
      <c r="S3480" s="8"/>
      <c r="T3480" s="3"/>
    </row>
    <row r="3481" spans="14:20" x14ac:dyDescent="0.3">
      <c r="N3481" s="5"/>
      <c r="O3481" s="5"/>
      <c r="P3481" s="5"/>
      <c r="Q3481" s="5"/>
      <c r="R3481" s="8"/>
      <c r="S3481" s="8"/>
      <c r="T3481" s="3"/>
    </row>
    <row r="3482" spans="14:20" x14ac:dyDescent="0.3">
      <c r="N3482" s="5"/>
      <c r="O3482" s="5"/>
      <c r="P3482" s="5"/>
      <c r="Q3482" s="5"/>
      <c r="R3482" s="8"/>
      <c r="S3482" s="8"/>
      <c r="T3482" s="3"/>
    </row>
    <row r="3483" spans="14:20" x14ac:dyDescent="0.3">
      <c r="N3483" s="5"/>
      <c r="O3483" s="5"/>
      <c r="P3483" s="5"/>
      <c r="Q3483" s="5"/>
      <c r="R3483" s="8"/>
      <c r="S3483" s="8"/>
      <c r="T3483" s="3"/>
    </row>
    <row r="3484" spans="14:20" x14ac:dyDescent="0.3">
      <c r="N3484" s="5"/>
      <c r="O3484" s="5"/>
      <c r="P3484" s="5"/>
      <c r="Q3484" s="5"/>
      <c r="R3484" s="8"/>
      <c r="S3484" s="8"/>
      <c r="T3484" s="3"/>
    </row>
    <row r="3485" spans="14:20" x14ac:dyDescent="0.3">
      <c r="N3485" s="5"/>
      <c r="O3485" s="5"/>
      <c r="P3485" s="5"/>
      <c r="Q3485" s="5"/>
      <c r="R3485" s="8"/>
      <c r="S3485" s="8"/>
      <c r="T3485" s="3"/>
    </row>
    <row r="3486" spans="14:20" x14ac:dyDescent="0.3">
      <c r="N3486" s="5"/>
      <c r="O3486" s="5"/>
      <c r="P3486" s="5"/>
      <c r="Q3486" s="5"/>
      <c r="R3486" s="8"/>
      <c r="S3486" s="8"/>
      <c r="T3486" s="3"/>
    </row>
    <row r="3487" spans="14:20" x14ac:dyDescent="0.3">
      <c r="N3487" s="5"/>
      <c r="O3487" s="5"/>
      <c r="P3487" s="5"/>
      <c r="Q3487" s="5"/>
      <c r="R3487" s="8"/>
      <c r="S3487" s="8"/>
      <c r="T3487" s="3"/>
    </row>
    <row r="3488" spans="14:20" x14ac:dyDescent="0.3">
      <c r="N3488" s="5"/>
      <c r="O3488" s="5"/>
      <c r="P3488" s="5"/>
      <c r="Q3488" s="5"/>
      <c r="R3488" s="8"/>
      <c r="S3488" s="8"/>
      <c r="T3488" s="3"/>
    </row>
    <row r="3489" spans="14:20" x14ac:dyDescent="0.3">
      <c r="N3489" s="5"/>
      <c r="O3489" s="5"/>
      <c r="P3489" s="5"/>
      <c r="Q3489" s="5"/>
      <c r="R3489" s="8"/>
      <c r="S3489" s="8"/>
      <c r="T3489" s="3"/>
    </row>
    <row r="3490" spans="14:20" x14ac:dyDescent="0.3">
      <c r="N3490" s="5"/>
      <c r="O3490" s="5"/>
      <c r="P3490" s="5"/>
      <c r="Q3490" s="5"/>
      <c r="R3490" s="8"/>
      <c r="S3490" s="8"/>
      <c r="T3490" s="3"/>
    </row>
    <row r="3491" spans="14:20" x14ac:dyDescent="0.3">
      <c r="N3491" s="5"/>
      <c r="O3491" s="5"/>
      <c r="P3491" s="5"/>
      <c r="Q3491" s="5"/>
      <c r="R3491" s="8"/>
      <c r="S3491" s="8"/>
      <c r="T3491" s="3"/>
    </row>
    <row r="3492" spans="14:20" x14ac:dyDescent="0.3">
      <c r="N3492" s="5"/>
      <c r="O3492" s="5"/>
      <c r="P3492" s="5"/>
      <c r="Q3492" s="5"/>
      <c r="R3492" s="8"/>
      <c r="S3492" s="8"/>
      <c r="T3492" s="3"/>
    </row>
    <row r="3493" spans="14:20" x14ac:dyDescent="0.3">
      <c r="N3493" s="5"/>
      <c r="O3493" s="5"/>
      <c r="P3493" s="5"/>
      <c r="Q3493" s="5"/>
      <c r="R3493" s="8"/>
      <c r="S3493" s="8"/>
      <c r="T3493" s="3"/>
    </row>
    <row r="3494" spans="14:20" x14ac:dyDescent="0.3">
      <c r="N3494" s="5"/>
      <c r="O3494" s="5"/>
      <c r="P3494" s="5"/>
      <c r="Q3494" s="5"/>
      <c r="R3494" s="8"/>
      <c r="S3494" s="8"/>
      <c r="T3494" s="3"/>
    </row>
    <row r="3495" spans="14:20" x14ac:dyDescent="0.3">
      <c r="N3495" s="5"/>
      <c r="O3495" s="5"/>
      <c r="P3495" s="5"/>
      <c r="Q3495" s="5"/>
      <c r="R3495" s="8"/>
      <c r="S3495" s="8"/>
      <c r="T3495" s="3"/>
    </row>
    <row r="3496" spans="14:20" x14ac:dyDescent="0.3">
      <c r="N3496" s="5"/>
      <c r="O3496" s="5"/>
      <c r="P3496" s="5"/>
      <c r="Q3496" s="5"/>
      <c r="R3496" s="8"/>
      <c r="S3496" s="8"/>
      <c r="T3496" s="3"/>
    </row>
    <row r="3497" spans="14:20" x14ac:dyDescent="0.3">
      <c r="N3497" s="5"/>
      <c r="O3497" s="5"/>
      <c r="P3497" s="5"/>
      <c r="Q3497" s="5"/>
      <c r="R3497" s="8"/>
      <c r="S3497" s="8"/>
      <c r="T3497" s="3"/>
    </row>
    <row r="3498" spans="14:20" x14ac:dyDescent="0.3">
      <c r="N3498" s="5"/>
      <c r="O3498" s="5"/>
      <c r="P3498" s="5"/>
      <c r="Q3498" s="5"/>
      <c r="R3498" s="8"/>
      <c r="S3498" s="8"/>
      <c r="T3498" s="3"/>
    </row>
    <row r="3499" spans="14:20" x14ac:dyDescent="0.3">
      <c r="N3499" s="5"/>
      <c r="O3499" s="5"/>
      <c r="P3499" s="5"/>
      <c r="Q3499" s="5"/>
      <c r="R3499" s="8"/>
      <c r="S3499" s="8"/>
      <c r="T3499" s="3"/>
    </row>
    <row r="3500" spans="14:20" x14ac:dyDescent="0.3">
      <c r="N3500" s="5"/>
      <c r="O3500" s="5"/>
      <c r="P3500" s="5"/>
      <c r="Q3500" s="5"/>
      <c r="R3500" s="8"/>
      <c r="S3500" s="8"/>
      <c r="T3500" s="3"/>
    </row>
    <row r="3501" spans="14:20" x14ac:dyDescent="0.3">
      <c r="N3501" s="5"/>
      <c r="O3501" s="5"/>
      <c r="P3501" s="5"/>
      <c r="Q3501" s="5"/>
      <c r="R3501" s="8"/>
      <c r="S3501" s="8"/>
      <c r="T3501" s="3"/>
    </row>
    <row r="3502" spans="14:20" x14ac:dyDescent="0.3">
      <c r="N3502" s="5"/>
      <c r="O3502" s="5"/>
      <c r="P3502" s="5"/>
      <c r="Q3502" s="5"/>
      <c r="R3502" s="8"/>
      <c r="S3502" s="8"/>
      <c r="T3502" s="3"/>
    </row>
    <row r="3503" spans="14:20" x14ac:dyDescent="0.3">
      <c r="N3503" s="5"/>
      <c r="O3503" s="5"/>
      <c r="P3503" s="5"/>
      <c r="Q3503" s="5"/>
      <c r="R3503" s="8"/>
      <c r="S3503" s="8"/>
      <c r="T3503" s="3"/>
    </row>
    <row r="3504" spans="14:20" x14ac:dyDescent="0.3">
      <c r="N3504" s="5"/>
      <c r="O3504" s="5"/>
      <c r="P3504" s="5"/>
      <c r="Q3504" s="5"/>
      <c r="R3504" s="8"/>
      <c r="S3504" s="8"/>
      <c r="T3504" s="3"/>
    </row>
    <row r="3505" spans="14:20" x14ac:dyDescent="0.3">
      <c r="N3505" s="5"/>
      <c r="O3505" s="5"/>
      <c r="P3505" s="5"/>
      <c r="Q3505" s="5"/>
      <c r="R3505" s="8"/>
      <c r="S3505" s="8"/>
      <c r="T3505" s="3"/>
    </row>
    <row r="3506" spans="14:20" x14ac:dyDescent="0.3">
      <c r="N3506" s="5"/>
      <c r="O3506" s="5"/>
      <c r="P3506" s="5"/>
      <c r="Q3506" s="5"/>
      <c r="R3506" s="8"/>
      <c r="S3506" s="8"/>
      <c r="T3506" s="3"/>
    </row>
    <row r="3507" spans="14:20" x14ac:dyDescent="0.3">
      <c r="N3507" s="5"/>
      <c r="O3507" s="5"/>
      <c r="P3507" s="5"/>
      <c r="Q3507" s="5"/>
      <c r="R3507" s="8"/>
      <c r="S3507" s="8"/>
      <c r="T3507" s="3"/>
    </row>
    <row r="3508" spans="14:20" x14ac:dyDescent="0.3">
      <c r="N3508" s="5"/>
      <c r="O3508" s="5"/>
      <c r="P3508" s="5"/>
      <c r="Q3508" s="5"/>
      <c r="R3508" s="8"/>
      <c r="S3508" s="8"/>
      <c r="T3508" s="3"/>
    </row>
    <row r="3509" spans="14:20" x14ac:dyDescent="0.3">
      <c r="N3509" s="5"/>
      <c r="O3509" s="5"/>
      <c r="P3509" s="5"/>
      <c r="Q3509" s="5"/>
      <c r="R3509" s="8"/>
      <c r="S3509" s="8"/>
      <c r="T3509" s="3"/>
    </row>
    <row r="3510" spans="14:20" x14ac:dyDescent="0.3">
      <c r="N3510" s="5"/>
      <c r="O3510" s="5"/>
      <c r="P3510" s="5"/>
      <c r="Q3510" s="5"/>
      <c r="R3510" s="8"/>
      <c r="S3510" s="8"/>
      <c r="T3510" s="3"/>
    </row>
    <row r="3511" spans="14:20" x14ac:dyDescent="0.3">
      <c r="N3511" s="5"/>
      <c r="O3511" s="5"/>
      <c r="P3511" s="5"/>
      <c r="Q3511" s="5"/>
      <c r="R3511" s="8"/>
      <c r="S3511" s="8"/>
      <c r="T3511" s="3"/>
    </row>
    <row r="3512" spans="14:20" x14ac:dyDescent="0.3">
      <c r="N3512" s="5"/>
      <c r="O3512" s="5"/>
      <c r="P3512" s="5"/>
      <c r="Q3512" s="5"/>
      <c r="R3512" s="8"/>
      <c r="S3512" s="8"/>
      <c r="T3512" s="3"/>
    </row>
    <row r="3513" spans="14:20" x14ac:dyDescent="0.3">
      <c r="N3513" s="5"/>
      <c r="O3513" s="5"/>
      <c r="P3513" s="5"/>
      <c r="Q3513" s="5"/>
      <c r="R3513" s="8"/>
      <c r="S3513" s="8"/>
      <c r="T3513" s="3"/>
    </row>
    <row r="3514" spans="14:20" x14ac:dyDescent="0.3">
      <c r="N3514" s="5"/>
      <c r="O3514" s="5"/>
      <c r="P3514" s="5"/>
      <c r="Q3514" s="5"/>
      <c r="R3514" s="8"/>
      <c r="S3514" s="8"/>
      <c r="T3514" s="3"/>
    </row>
    <row r="3515" spans="14:20" x14ac:dyDescent="0.3">
      <c r="N3515" s="5"/>
      <c r="O3515" s="5"/>
      <c r="P3515" s="5"/>
      <c r="Q3515" s="5"/>
      <c r="R3515" s="8"/>
      <c r="S3515" s="8"/>
      <c r="T3515" s="3"/>
    </row>
    <row r="3516" spans="14:20" x14ac:dyDescent="0.3">
      <c r="N3516" s="5"/>
      <c r="O3516" s="5"/>
      <c r="P3516" s="5"/>
      <c r="Q3516" s="5"/>
      <c r="R3516" s="8"/>
      <c r="S3516" s="8"/>
      <c r="T3516" s="3"/>
    </row>
    <row r="3517" spans="14:20" x14ac:dyDescent="0.3">
      <c r="N3517" s="5"/>
      <c r="O3517" s="5"/>
      <c r="P3517" s="5"/>
      <c r="Q3517" s="5"/>
      <c r="R3517" s="8"/>
      <c r="S3517" s="8"/>
      <c r="T3517" s="3"/>
    </row>
    <row r="3518" spans="14:20" x14ac:dyDescent="0.3">
      <c r="N3518" s="5"/>
      <c r="O3518" s="5"/>
      <c r="P3518" s="5"/>
      <c r="Q3518" s="5"/>
      <c r="R3518" s="8"/>
      <c r="S3518" s="8"/>
      <c r="T3518" s="3"/>
    </row>
    <row r="3519" spans="14:20" x14ac:dyDescent="0.3">
      <c r="N3519" s="5"/>
      <c r="O3519" s="5"/>
      <c r="P3519" s="5"/>
      <c r="Q3519" s="5"/>
      <c r="R3519" s="8"/>
      <c r="S3519" s="8"/>
      <c r="T3519" s="3"/>
    </row>
    <row r="3520" spans="14:20" x14ac:dyDescent="0.3">
      <c r="N3520" s="5"/>
      <c r="O3520" s="5"/>
      <c r="P3520" s="5"/>
      <c r="Q3520" s="5"/>
      <c r="R3520" s="8"/>
      <c r="S3520" s="8"/>
      <c r="T3520" s="3"/>
    </row>
    <row r="3521" spans="14:20" x14ac:dyDescent="0.3">
      <c r="N3521" s="5"/>
      <c r="O3521" s="5"/>
      <c r="P3521" s="5"/>
      <c r="Q3521" s="5"/>
      <c r="R3521" s="8"/>
      <c r="S3521" s="8"/>
      <c r="T3521" s="3"/>
    </row>
    <row r="3522" spans="14:20" x14ac:dyDescent="0.3">
      <c r="N3522" s="5"/>
      <c r="O3522" s="5"/>
      <c r="P3522" s="5"/>
      <c r="Q3522" s="5"/>
      <c r="R3522" s="8"/>
      <c r="S3522" s="8"/>
      <c r="T3522" s="3"/>
    </row>
    <row r="3523" spans="14:20" x14ac:dyDescent="0.3">
      <c r="N3523" s="5"/>
      <c r="O3523" s="5"/>
      <c r="P3523" s="5"/>
      <c r="Q3523" s="5"/>
      <c r="R3523" s="8"/>
      <c r="S3523" s="8"/>
      <c r="T3523" s="3"/>
    </row>
    <row r="3524" spans="14:20" x14ac:dyDescent="0.3">
      <c r="N3524" s="5"/>
      <c r="O3524" s="5"/>
      <c r="P3524" s="5"/>
      <c r="Q3524" s="5"/>
      <c r="R3524" s="8"/>
      <c r="S3524" s="8"/>
      <c r="T3524" s="3"/>
    </row>
    <row r="3525" spans="14:20" x14ac:dyDescent="0.3">
      <c r="N3525" s="5"/>
      <c r="O3525" s="5"/>
      <c r="P3525" s="5"/>
      <c r="Q3525" s="5"/>
      <c r="R3525" s="8"/>
      <c r="S3525" s="8"/>
      <c r="T3525" s="3"/>
    </row>
    <row r="3526" spans="14:20" x14ac:dyDescent="0.3">
      <c r="N3526" s="5"/>
      <c r="O3526" s="5"/>
      <c r="P3526" s="5"/>
      <c r="Q3526" s="5"/>
      <c r="R3526" s="8"/>
      <c r="S3526" s="8"/>
      <c r="T3526" s="3"/>
    </row>
    <row r="3527" spans="14:20" x14ac:dyDescent="0.3">
      <c r="N3527" s="5"/>
      <c r="O3527" s="5"/>
      <c r="P3527" s="5"/>
      <c r="Q3527" s="5"/>
      <c r="R3527" s="8"/>
      <c r="S3527" s="8"/>
      <c r="T3527" s="3"/>
    </row>
    <row r="3528" spans="14:20" x14ac:dyDescent="0.3">
      <c r="N3528" s="5"/>
      <c r="O3528" s="5"/>
      <c r="P3528" s="5"/>
      <c r="Q3528" s="5"/>
      <c r="R3528" s="8"/>
      <c r="S3528" s="8"/>
      <c r="T3528" s="3"/>
    </row>
    <row r="3529" spans="14:20" x14ac:dyDescent="0.3">
      <c r="N3529" s="5"/>
      <c r="O3529" s="5"/>
      <c r="P3529" s="5"/>
      <c r="Q3529" s="5"/>
      <c r="R3529" s="8"/>
      <c r="S3529" s="8"/>
      <c r="T3529" s="3"/>
    </row>
    <row r="3530" spans="14:20" x14ac:dyDescent="0.3">
      <c r="N3530" s="5"/>
      <c r="O3530" s="5"/>
      <c r="P3530" s="5"/>
      <c r="Q3530" s="5"/>
      <c r="R3530" s="8"/>
      <c r="S3530" s="8"/>
      <c r="T3530" s="3"/>
    </row>
    <row r="3531" spans="14:20" x14ac:dyDescent="0.3">
      <c r="N3531" s="5"/>
      <c r="O3531" s="5"/>
      <c r="P3531" s="5"/>
      <c r="Q3531" s="5"/>
      <c r="R3531" s="8"/>
      <c r="S3531" s="8"/>
      <c r="T3531" s="3"/>
    </row>
    <row r="3532" spans="14:20" x14ac:dyDescent="0.3">
      <c r="N3532" s="5"/>
      <c r="O3532" s="5"/>
      <c r="P3532" s="5"/>
      <c r="Q3532" s="5"/>
      <c r="R3532" s="8"/>
      <c r="S3532" s="8"/>
      <c r="T3532" s="3"/>
    </row>
    <row r="3533" spans="14:20" x14ac:dyDescent="0.3">
      <c r="N3533" s="5"/>
      <c r="O3533" s="5"/>
      <c r="P3533" s="5"/>
      <c r="Q3533" s="5"/>
      <c r="R3533" s="8"/>
      <c r="S3533" s="8"/>
      <c r="T3533" s="3"/>
    </row>
    <row r="3534" spans="14:20" x14ac:dyDescent="0.3">
      <c r="N3534" s="5"/>
      <c r="O3534" s="5"/>
      <c r="P3534" s="5"/>
      <c r="Q3534" s="5"/>
      <c r="R3534" s="8"/>
      <c r="S3534" s="8"/>
      <c r="T3534" s="3"/>
    </row>
    <row r="3535" spans="14:20" x14ac:dyDescent="0.3">
      <c r="N3535" s="5"/>
      <c r="O3535" s="5"/>
      <c r="P3535" s="5"/>
      <c r="Q3535" s="5"/>
      <c r="R3535" s="8"/>
      <c r="S3535" s="8"/>
      <c r="T3535" s="3"/>
    </row>
    <row r="3536" spans="14:20" x14ac:dyDescent="0.3">
      <c r="N3536" s="5"/>
      <c r="O3536" s="5"/>
      <c r="P3536" s="5"/>
      <c r="Q3536" s="5"/>
      <c r="R3536" s="8"/>
      <c r="S3536" s="8"/>
      <c r="T3536" s="3"/>
    </row>
    <row r="3537" spans="14:20" x14ac:dyDescent="0.3">
      <c r="N3537" s="5"/>
      <c r="O3537" s="5"/>
      <c r="P3537" s="5"/>
      <c r="Q3537" s="5"/>
      <c r="R3537" s="8"/>
      <c r="S3537" s="8"/>
      <c r="T3537" s="3"/>
    </row>
    <row r="3538" spans="14:20" x14ac:dyDescent="0.3">
      <c r="N3538" s="5"/>
      <c r="O3538" s="5"/>
      <c r="P3538" s="5"/>
      <c r="Q3538" s="5"/>
      <c r="R3538" s="8"/>
      <c r="S3538" s="8"/>
      <c r="T3538" s="3"/>
    </row>
    <row r="3539" spans="14:20" x14ac:dyDescent="0.3">
      <c r="N3539" s="5"/>
      <c r="O3539" s="5"/>
      <c r="P3539" s="5"/>
      <c r="Q3539" s="5"/>
      <c r="R3539" s="8"/>
      <c r="S3539" s="8"/>
      <c r="T3539" s="3"/>
    </row>
    <row r="3540" spans="14:20" x14ac:dyDescent="0.3">
      <c r="N3540" s="5"/>
      <c r="O3540" s="5"/>
      <c r="P3540" s="5"/>
      <c r="Q3540" s="5"/>
      <c r="R3540" s="8"/>
      <c r="S3540" s="8"/>
      <c r="T3540" s="3"/>
    </row>
    <row r="3541" spans="14:20" x14ac:dyDescent="0.3">
      <c r="N3541" s="5"/>
      <c r="O3541" s="5"/>
      <c r="P3541" s="5"/>
      <c r="Q3541" s="5"/>
      <c r="R3541" s="8"/>
      <c r="S3541" s="8"/>
      <c r="T3541" s="3"/>
    </row>
    <row r="3542" spans="14:20" x14ac:dyDescent="0.3">
      <c r="N3542" s="5"/>
      <c r="O3542" s="5"/>
      <c r="P3542" s="5"/>
      <c r="Q3542" s="5"/>
      <c r="R3542" s="8"/>
      <c r="S3542" s="8"/>
      <c r="T3542" s="3"/>
    </row>
    <row r="3543" spans="14:20" x14ac:dyDescent="0.3">
      <c r="N3543" s="5"/>
      <c r="O3543" s="5"/>
      <c r="P3543" s="5"/>
      <c r="Q3543" s="5"/>
      <c r="R3543" s="8"/>
      <c r="S3543" s="8"/>
      <c r="T3543" s="3"/>
    </row>
    <row r="3544" spans="14:20" x14ac:dyDescent="0.3">
      <c r="N3544" s="5"/>
      <c r="O3544" s="5"/>
      <c r="P3544" s="5"/>
      <c r="Q3544" s="5"/>
      <c r="R3544" s="8"/>
      <c r="S3544" s="8"/>
      <c r="T3544" s="3"/>
    </row>
    <row r="3545" spans="14:20" x14ac:dyDescent="0.3">
      <c r="N3545" s="5"/>
      <c r="O3545" s="5"/>
      <c r="P3545" s="5"/>
      <c r="Q3545" s="5"/>
      <c r="R3545" s="8"/>
      <c r="S3545" s="8"/>
      <c r="T3545" s="3"/>
    </row>
    <row r="3546" spans="14:20" x14ac:dyDescent="0.3">
      <c r="N3546" s="5"/>
      <c r="O3546" s="5"/>
      <c r="P3546" s="5"/>
      <c r="Q3546" s="5"/>
      <c r="R3546" s="8"/>
      <c r="S3546" s="8"/>
      <c r="T3546" s="3"/>
    </row>
    <row r="3547" spans="14:20" x14ac:dyDescent="0.3">
      <c r="N3547" s="5"/>
      <c r="O3547" s="5"/>
      <c r="P3547" s="5"/>
      <c r="Q3547" s="5"/>
      <c r="R3547" s="8"/>
      <c r="S3547" s="8"/>
      <c r="T3547" s="3"/>
    </row>
    <row r="3548" spans="14:20" x14ac:dyDescent="0.3">
      <c r="N3548" s="5"/>
      <c r="O3548" s="5"/>
      <c r="P3548" s="5"/>
      <c r="Q3548" s="5"/>
      <c r="R3548" s="8"/>
      <c r="S3548" s="8"/>
      <c r="T3548" s="3"/>
    </row>
    <row r="3549" spans="14:20" x14ac:dyDescent="0.3">
      <c r="N3549" s="5"/>
      <c r="O3549" s="5"/>
      <c r="P3549" s="5"/>
      <c r="Q3549" s="5"/>
      <c r="R3549" s="8"/>
      <c r="S3549" s="8"/>
      <c r="T3549" s="3"/>
    </row>
    <row r="3550" spans="14:20" x14ac:dyDescent="0.3">
      <c r="N3550" s="5"/>
      <c r="O3550" s="5"/>
      <c r="P3550" s="5"/>
      <c r="Q3550" s="5"/>
      <c r="R3550" s="8"/>
      <c r="S3550" s="8"/>
      <c r="T3550" s="3"/>
    </row>
    <row r="3551" spans="14:20" x14ac:dyDescent="0.3">
      <c r="N3551" s="5"/>
      <c r="O3551" s="5"/>
      <c r="P3551" s="5"/>
      <c r="Q3551" s="5"/>
      <c r="R3551" s="8"/>
      <c r="S3551" s="8"/>
      <c r="T3551" s="3"/>
    </row>
    <row r="3552" spans="14:20" x14ac:dyDescent="0.3">
      <c r="N3552" s="5"/>
      <c r="O3552" s="5"/>
      <c r="P3552" s="5"/>
      <c r="Q3552" s="5"/>
      <c r="R3552" s="8"/>
      <c r="S3552" s="8"/>
      <c r="T3552" s="3"/>
    </row>
    <row r="3553" spans="14:20" x14ac:dyDescent="0.3">
      <c r="N3553" s="5"/>
      <c r="O3553" s="5"/>
      <c r="P3553" s="5"/>
      <c r="Q3553" s="5"/>
      <c r="R3553" s="8"/>
      <c r="S3553" s="8"/>
      <c r="T3553" s="3"/>
    </row>
    <row r="3554" spans="14:20" x14ac:dyDescent="0.3">
      <c r="N3554" s="5"/>
      <c r="O3554" s="5"/>
      <c r="P3554" s="5"/>
      <c r="Q3554" s="5"/>
      <c r="R3554" s="8"/>
      <c r="S3554" s="8"/>
      <c r="T3554" s="3"/>
    </row>
    <row r="3555" spans="14:20" x14ac:dyDescent="0.3">
      <c r="N3555" s="5"/>
      <c r="O3555" s="5"/>
      <c r="P3555" s="5"/>
      <c r="Q3555" s="5"/>
      <c r="R3555" s="8"/>
      <c r="S3555" s="8"/>
      <c r="T3555" s="3"/>
    </row>
    <row r="3556" spans="14:20" x14ac:dyDescent="0.3">
      <c r="N3556" s="5"/>
      <c r="O3556" s="5"/>
      <c r="P3556" s="5"/>
      <c r="Q3556" s="5"/>
      <c r="R3556" s="8"/>
      <c r="S3556" s="8"/>
      <c r="T3556" s="3"/>
    </row>
    <row r="3557" spans="14:20" x14ac:dyDescent="0.3">
      <c r="N3557" s="5"/>
      <c r="O3557" s="5"/>
      <c r="P3557" s="5"/>
      <c r="Q3557" s="5"/>
      <c r="R3557" s="8"/>
      <c r="S3557" s="8"/>
      <c r="T3557" s="3"/>
    </row>
    <row r="3558" spans="14:20" x14ac:dyDescent="0.3">
      <c r="N3558" s="5"/>
      <c r="O3558" s="5"/>
      <c r="P3558" s="5"/>
      <c r="Q3558" s="5"/>
      <c r="R3558" s="8"/>
      <c r="S3558" s="8"/>
      <c r="T3558" s="3"/>
    </row>
    <row r="3559" spans="14:20" x14ac:dyDescent="0.3">
      <c r="N3559" s="5"/>
      <c r="O3559" s="5"/>
      <c r="P3559" s="5"/>
      <c r="Q3559" s="5"/>
      <c r="R3559" s="8"/>
      <c r="S3559" s="8"/>
      <c r="T3559" s="3"/>
    </row>
    <row r="3560" spans="14:20" x14ac:dyDescent="0.3">
      <c r="N3560" s="5"/>
      <c r="O3560" s="5"/>
      <c r="P3560" s="5"/>
      <c r="Q3560" s="5"/>
      <c r="R3560" s="8"/>
      <c r="S3560" s="8"/>
      <c r="T3560" s="3"/>
    </row>
    <row r="3561" spans="14:20" x14ac:dyDescent="0.3">
      <c r="N3561" s="5"/>
      <c r="O3561" s="5"/>
      <c r="P3561" s="5"/>
      <c r="Q3561" s="5"/>
      <c r="R3561" s="8"/>
      <c r="S3561" s="8"/>
      <c r="T3561" s="3"/>
    </row>
    <row r="3562" spans="14:20" x14ac:dyDescent="0.3">
      <c r="N3562" s="5"/>
      <c r="O3562" s="5"/>
      <c r="P3562" s="5"/>
      <c r="Q3562" s="5"/>
      <c r="R3562" s="8"/>
      <c r="S3562" s="8"/>
      <c r="T3562" s="3"/>
    </row>
    <row r="3563" spans="14:20" x14ac:dyDescent="0.3">
      <c r="N3563" s="5"/>
      <c r="O3563" s="5"/>
      <c r="P3563" s="5"/>
      <c r="Q3563" s="5"/>
      <c r="R3563" s="8"/>
      <c r="S3563" s="8"/>
      <c r="T3563" s="3"/>
    </row>
    <row r="3564" spans="14:20" x14ac:dyDescent="0.3">
      <c r="N3564" s="5"/>
      <c r="O3564" s="5"/>
      <c r="P3564" s="5"/>
      <c r="Q3564" s="5"/>
      <c r="R3564" s="8"/>
      <c r="S3564" s="8"/>
      <c r="T3564" s="3"/>
    </row>
    <row r="3565" spans="14:20" x14ac:dyDescent="0.3">
      <c r="N3565" s="5"/>
      <c r="O3565" s="5"/>
      <c r="P3565" s="5"/>
      <c r="Q3565" s="5"/>
      <c r="R3565" s="8"/>
      <c r="S3565" s="8"/>
      <c r="T3565" s="3"/>
    </row>
    <row r="3566" spans="14:20" x14ac:dyDescent="0.3">
      <c r="N3566" s="5"/>
      <c r="O3566" s="5"/>
      <c r="P3566" s="5"/>
      <c r="Q3566" s="5"/>
      <c r="R3566" s="8"/>
      <c r="S3566" s="8"/>
      <c r="T3566" s="3"/>
    </row>
    <row r="3567" spans="14:20" x14ac:dyDescent="0.3">
      <c r="N3567" s="5"/>
      <c r="O3567" s="5"/>
      <c r="P3567" s="5"/>
      <c r="Q3567" s="5"/>
      <c r="R3567" s="8"/>
      <c r="S3567" s="8"/>
      <c r="T3567" s="3"/>
    </row>
    <row r="3568" spans="14:20" x14ac:dyDescent="0.3">
      <c r="N3568" s="5"/>
      <c r="O3568" s="5"/>
      <c r="P3568" s="5"/>
      <c r="Q3568" s="5"/>
      <c r="R3568" s="8"/>
      <c r="S3568" s="8"/>
      <c r="T3568" s="3"/>
    </row>
    <row r="3569" spans="14:20" x14ac:dyDescent="0.3">
      <c r="N3569" s="5"/>
      <c r="O3569" s="5"/>
      <c r="P3569" s="5"/>
      <c r="Q3569" s="5"/>
      <c r="R3569" s="8"/>
      <c r="S3569" s="8"/>
      <c r="T3569" s="3"/>
    </row>
    <row r="3570" spans="14:20" x14ac:dyDescent="0.3">
      <c r="N3570" s="5"/>
      <c r="O3570" s="5"/>
      <c r="P3570" s="5"/>
      <c r="Q3570" s="5"/>
      <c r="R3570" s="8"/>
      <c r="S3570" s="8"/>
      <c r="T3570" s="3"/>
    </row>
    <row r="3571" spans="14:20" x14ac:dyDescent="0.3">
      <c r="N3571" s="5"/>
      <c r="O3571" s="5"/>
      <c r="P3571" s="5"/>
      <c r="Q3571" s="5"/>
      <c r="R3571" s="8"/>
      <c r="S3571" s="8"/>
      <c r="T3571" s="3"/>
    </row>
    <row r="3572" spans="14:20" x14ac:dyDescent="0.3">
      <c r="N3572" s="5"/>
      <c r="O3572" s="5"/>
      <c r="P3572" s="5"/>
      <c r="Q3572" s="5"/>
      <c r="R3572" s="8"/>
      <c r="S3572" s="8"/>
      <c r="T3572" s="3"/>
    </row>
    <row r="3573" spans="14:20" x14ac:dyDescent="0.3">
      <c r="N3573" s="5"/>
      <c r="O3573" s="5"/>
      <c r="P3573" s="5"/>
      <c r="Q3573" s="5"/>
      <c r="R3573" s="8"/>
      <c r="S3573" s="8"/>
      <c r="T3573" s="3"/>
    </row>
    <row r="3574" spans="14:20" x14ac:dyDescent="0.3">
      <c r="N3574" s="5"/>
      <c r="O3574" s="5"/>
      <c r="P3574" s="5"/>
      <c r="Q3574" s="5"/>
      <c r="R3574" s="8"/>
      <c r="S3574" s="8"/>
      <c r="T3574" s="3"/>
    </row>
    <row r="3575" spans="14:20" x14ac:dyDescent="0.3">
      <c r="N3575" s="5"/>
      <c r="O3575" s="5"/>
      <c r="P3575" s="5"/>
      <c r="Q3575" s="5"/>
      <c r="R3575" s="8"/>
      <c r="S3575" s="8"/>
      <c r="T3575" s="3"/>
    </row>
    <row r="3576" spans="14:20" x14ac:dyDescent="0.3">
      <c r="N3576" s="5"/>
      <c r="O3576" s="5"/>
      <c r="P3576" s="5"/>
      <c r="Q3576" s="5"/>
      <c r="R3576" s="8"/>
      <c r="S3576" s="8"/>
      <c r="T3576" s="3"/>
    </row>
    <row r="3577" spans="14:20" x14ac:dyDescent="0.3">
      <c r="N3577" s="5"/>
      <c r="O3577" s="5"/>
      <c r="P3577" s="5"/>
      <c r="Q3577" s="5"/>
      <c r="R3577" s="8"/>
      <c r="S3577" s="8"/>
      <c r="T3577" s="3"/>
    </row>
    <row r="3578" spans="14:20" x14ac:dyDescent="0.3">
      <c r="N3578" s="5"/>
      <c r="O3578" s="5"/>
      <c r="P3578" s="5"/>
      <c r="Q3578" s="5"/>
      <c r="R3578" s="8"/>
      <c r="S3578" s="8"/>
      <c r="T3578" s="3"/>
    </row>
    <row r="3579" spans="14:20" x14ac:dyDescent="0.3">
      <c r="N3579" s="5"/>
      <c r="O3579" s="5"/>
      <c r="P3579" s="5"/>
      <c r="Q3579" s="5"/>
      <c r="R3579" s="8"/>
      <c r="S3579" s="8"/>
      <c r="T3579" s="3"/>
    </row>
    <row r="3580" spans="14:20" x14ac:dyDescent="0.3">
      <c r="N3580" s="5"/>
      <c r="O3580" s="5"/>
      <c r="P3580" s="5"/>
      <c r="Q3580" s="5"/>
      <c r="R3580" s="8"/>
      <c r="S3580" s="8"/>
      <c r="T3580" s="3"/>
    </row>
    <row r="3581" spans="14:20" x14ac:dyDescent="0.3">
      <c r="N3581" s="5"/>
      <c r="O3581" s="5"/>
      <c r="P3581" s="5"/>
      <c r="Q3581" s="5"/>
      <c r="R3581" s="8"/>
      <c r="S3581" s="8"/>
      <c r="T3581" s="3"/>
    </row>
    <row r="3582" spans="14:20" x14ac:dyDescent="0.3">
      <c r="N3582" s="5"/>
      <c r="O3582" s="5"/>
      <c r="P3582" s="5"/>
      <c r="Q3582" s="5"/>
      <c r="R3582" s="8"/>
      <c r="S3582" s="8"/>
      <c r="T3582" s="3"/>
    </row>
    <row r="3583" spans="14:20" x14ac:dyDescent="0.3">
      <c r="N3583" s="5"/>
      <c r="O3583" s="5"/>
      <c r="P3583" s="5"/>
      <c r="Q3583" s="5"/>
      <c r="R3583" s="8"/>
      <c r="S3583" s="8"/>
      <c r="T3583" s="3"/>
    </row>
    <row r="3584" spans="14:20" x14ac:dyDescent="0.3">
      <c r="N3584" s="5"/>
      <c r="O3584" s="5"/>
      <c r="P3584" s="5"/>
      <c r="Q3584" s="5"/>
      <c r="R3584" s="8"/>
      <c r="S3584" s="8"/>
      <c r="T3584" s="3"/>
    </row>
    <row r="3585" spans="14:20" x14ac:dyDescent="0.3">
      <c r="N3585" s="5"/>
      <c r="O3585" s="5"/>
      <c r="P3585" s="5"/>
      <c r="Q3585" s="5"/>
      <c r="R3585" s="8"/>
      <c r="S3585" s="8"/>
      <c r="T3585" s="3"/>
    </row>
    <row r="3586" spans="14:20" x14ac:dyDescent="0.3">
      <c r="N3586" s="5"/>
      <c r="O3586" s="5"/>
      <c r="P3586" s="5"/>
      <c r="Q3586" s="5"/>
      <c r="R3586" s="8"/>
      <c r="S3586" s="8"/>
      <c r="T3586" s="3"/>
    </row>
    <row r="3587" spans="14:20" x14ac:dyDescent="0.3">
      <c r="N3587" s="5"/>
      <c r="O3587" s="5"/>
      <c r="P3587" s="5"/>
      <c r="Q3587" s="5"/>
      <c r="R3587" s="8"/>
      <c r="S3587" s="8"/>
      <c r="T3587" s="3"/>
    </row>
    <row r="3588" spans="14:20" x14ac:dyDescent="0.3">
      <c r="N3588" s="5"/>
      <c r="O3588" s="5"/>
      <c r="P3588" s="5"/>
      <c r="Q3588" s="5"/>
      <c r="R3588" s="8"/>
      <c r="S3588" s="8"/>
      <c r="T3588" s="3"/>
    </row>
    <row r="3589" spans="14:20" x14ac:dyDescent="0.3">
      <c r="N3589" s="5"/>
      <c r="O3589" s="5"/>
      <c r="P3589" s="5"/>
      <c r="Q3589" s="5"/>
      <c r="R3589" s="8"/>
      <c r="S3589" s="8"/>
      <c r="T3589" s="3"/>
    </row>
    <row r="3590" spans="14:20" x14ac:dyDescent="0.3">
      <c r="N3590" s="5"/>
      <c r="O3590" s="5"/>
      <c r="P3590" s="5"/>
      <c r="Q3590" s="5"/>
      <c r="R3590" s="8"/>
      <c r="S3590" s="8"/>
      <c r="T3590" s="3"/>
    </row>
    <row r="3591" spans="14:20" x14ac:dyDescent="0.3">
      <c r="N3591" s="5"/>
      <c r="O3591" s="5"/>
      <c r="P3591" s="5"/>
      <c r="Q3591" s="5"/>
      <c r="R3591" s="8"/>
      <c r="S3591" s="8"/>
      <c r="T3591" s="3"/>
    </row>
    <row r="3592" spans="14:20" x14ac:dyDescent="0.3">
      <c r="N3592" s="5"/>
      <c r="O3592" s="5"/>
      <c r="P3592" s="5"/>
      <c r="Q3592" s="5"/>
      <c r="R3592" s="8"/>
      <c r="S3592" s="8"/>
      <c r="T3592" s="3"/>
    </row>
    <row r="3593" spans="14:20" x14ac:dyDescent="0.3">
      <c r="N3593" s="5"/>
      <c r="O3593" s="5"/>
      <c r="P3593" s="5"/>
      <c r="Q3593" s="5"/>
      <c r="R3593" s="8"/>
      <c r="S3593" s="8"/>
      <c r="T3593" s="3"/>
    </row>
    <row r="3594" spans="14:20" x14ac:dyDescent="0.3">
      <c r="N3594" s="5"/>
      <c r="O3594" s="5"/>
      <c r="P3594" s="5"/>
      <c r="Q3594" s="5"/>
      <c r="R3594" s="8"/>
      <c r="S3594" s="8"/>
      <c r="T3594" s="3"/>
    </row>
    <row r="3595" spans="14:20" x14ac:dyDescent="0.3">
      <c r="N3595" s="5"/>
      <c r="O3595" s="5"/>
      <c r="P3595" s="5"/>
      <c r="Q3595" s="5"/>
      <c r="R3595" s="8"/>
      <c r="S3595" s="8"/>
      <c r="T3595" s="3"/>
    </row>
    <row r="3596" spans="14:20" x14ac:dyDescent="0.3">
      <c r="N3596" s="5"/>
      <c r="O3596" s="5"/>
      <c r="P3596" s="5"/>
      <c r="Q3596" s="5"/>
      <c r="R3596" s="8"/>
      <c r="S3596" s="8"/>
      <c r="T3596" s="3"/>
    </row>
    <row r="3597" spans="14:20" x14ac:dyDescent="0.3">
      <c r="N3597" s="5"/>
      <c r="O3597" s="5"/>
      <c r="P3597" s="5"/>
      <c r="Q3597" s="5"/>
      <c r="R3597" s="8"/>
      <c r="S3597" s="8"/>
      <c r="T3597" s="3"/>
    </row>
    <row r="3598" spans="14:20" x14ac:dyDescent="0.3">
      <c r="N3598" s="5"/>
      <c r="O3598" s="5"/>
      <c r="P3598" s="5"/>
      <c r="Q3598" s="5"/>
      <c r="R3598" s="8"/>
      <c r="S3598" s="8"/>
      <c r="T3598" s="3"/>
    </row>
    <row r="3599" spans="14:20" x14ac:dyDescent="0.3">
      <c r="N3599" s="5"/>
      <c r="O3599" s="5"/>
      <c r="P3599" s="5"/>
      <c r="Q3599" s="5"/>
      <c r="R3599" s="8"/>
      <c r="S3599" s="8"/>
      <c r="T3599" s="3"/>
    </row>
    <row r="3600" spans="14:20" x14ac:dyDescent="0.3">
      <c r="N3600" s="5"/>
      <c r="O3600" s="5"/>
      <c r="P3600" s="5"/>
      <c r="Q3600" s="5"/>
      <c r="R3600" s="8"/>
      <c r="S3600" s="8"/>
      <c r="T3600" s="3"/>
    </row>
    <row r="3601" spans="14:20" x14ac:dyDescent="0.3">
      <c r="N3601" s="5"/>
      <c r="O3601" s="5"/>
      <c r="P3601" s="5"/>
      <c r="Q3601" s="5"/>
      <c r="R3601" s="8"/>
      <c r="S3601" s="8"/>
      <c r="T3601" s="3"/>
    </row>
    <row r="3602" spans="14:20" x14ac:dyDescent="0.3">
      <c r="N3602" s="5"/>
      <c r="O3602" s="5"/>
      <c r="P3602" s="5"/>
      <c r="Q3602" s="5"/>
      <c r="R3602" s="8"/>
      <c r="S3602" s="8"/>
      <c r="T3602" s="3"/>
    </row>
    <row r="3603" spans="14:20" x14ac:dyDescent="0.3">
      <c r="N3603" s="5"/>
      <c r="O3603" s="5"/>
      <c r="P3603" s="5"/>
      <c r="Q3603" s="5"/>
      <c r="R3603" s="8"/>
      <c r="S3603" s="8"/>
      <c r="T3603" s="3"/>
    </row>
    <row r="3604" spans="14:20" x14ac:dyDescent="0.3">
      <c r="N3604" s="5"/>
      <c r="O3604" s="5"/>
      <c r="P3604" s="5"/>
      <c r="Q3604" s="5"/>
      <c r="R3604" s="8"/>
      <c r="S3604" s="8"/>
      <c r="T3604" s="3"/>
    </row>
    <row r="3605" spans="14:20" x14ac:dyDescent="0.3">
      <c r="N3605" s="5"/>
      <c r="O3605" s="5"/>
      <c r="P3605" s="5"/>
      <c r="Q3605" s="5"/>
      <c r="R3605" s="8"/>
      <c r="S3605" s="8"/>
      <c r="T3605" s="3"/>
    </row>
    <row r="3606" spans="14:20" x14ac:dyDescent="0.3">
      <c r="N3606" s="5"/>
      <c r="O3606" s="5"/>
      <c r="P3606" s="5"/>
      <c r="Q3606" s="5"/>
      <c r="R3606" s="8"/>
      <c r="S3606" s="8"/>
      <c r="T3606" s="3"/>
    </row>
    <row r="3607" spans="14:20" x14ac:dyDescent="0.3">
      <c r="N3607" s="5"/>
      <c r="O3607" s="5"/>
      <c r="P3607" s="5"/>
      <c r="Q3607" s="5"/>
      <c r="R3607" s="8"/>
      <c r="S3607" s="8"/>
      <c r="T3607" s="3"/>
    </row>
    <row r="3608" spans="14:20" x14ac:dyDescent="0.3">
      <c r="N3608" s="5"/>
      <c r="O3608" s="5"/>
      <c r="P3608" s="5"/>
      <c r="Q3608" s="5"/>
      <c r="R3608" s="8"/>
      <c r="S3608" s="8"/>
      <c r="T3608" s="3"/>
    </row>
    <row r="3609" spans="14:20" x14ac:dyDescent="0.3">
      <c r="N3609" s="5"/>
      <c r="O3609" s="5"/>
      <c r="P3609" s="5"/>
      <c r="Q3609" s="5"/>
      <c r="R3609" s="8"/>
      <c r="S3609" s="8"/>
      <c r="T3609" s="3"/>
    </row>
    <row r="3610" spans="14:20" x14ac:dyDescent="0.3">
      <c r="N3610" s="5"/>
      <c r="O3610" s="5"/>
      <c r="P3610" s="5"/>
      <c r="Q3610" s="5"/>
      <c r="R3610" s="8"/>
      <c r="S3610" s="8"/>
      <c r="T3610" s="3"/>
    </row>
    <row r="3611" spans="14:20" x14ac:dyDescent="0.3">
      <c r="N3611" s="5"/>
      <c r="O3611" s="5"/>
      <c r="P3611" s="5"/>
      <c r="Q3611" s="5"/>
      <c r="R3611" s="8"/>
      <c r="S3611" s="8"/>
      <c r="T3611" s="3"/>
    </row>
    <row r="3612" spans="14:20" x14ac:dyDescent="0.3">
      <c r="N3612" s="5"/>
      <c r="O3612" s="5"/>
      <c r="P3612" s="5"/>
      <c r="Q3612" s="5"/>
      <c r="R3612" s="8"/>
      <c r="S3612" s="8"/>
      <c r="T3612" s="3"/>
    </row>
    <row r="3613" spans="14:20" x14ac:dyDescent="0.3">
      <c r="N3613" s="5"/>
      <c r="O3613" s="5"/>
      <c r="P3613" s="5"/>
      <c r="Q3613" s="5"/>
      <c r="R3613" s="8"/>
      <c r="S3613" s="8"/>
      <c r="T3613" s="3"/>
    </row>
    <row r="3614" spans="14:20" x14ac:dyDescent="0.3">
      <c r="N3614" s="5"/>
      <c r="O3614" s="5"/>
      <c r="P3614" s="5"/>
      <c r="Q3614" s="5"/>
      <c r="R3614" s="8"/>
      <c r="S3614" s="8"/>
      <c r="T3614" s="3"/>
    </row>
    <row r="3615" spans="14:20" x14ac:dyDescent="0.3">
      <c r="N3615" s="5"/>
      <c r="O3615" s="5"/>
      <c r="P3615" s="5"/>
      <c r="Q3615" s="5"/>
      <c r="R3615" s="8"/>
      <c r="S3615" s="8"/>
      <c r="T3615" s="3"/>
    </row>
    <row r="3616" spans="14:20" x14ac:dyDescent="0.3">
      <c r="N3616" s="5"/>
      <c r="O3616" s="5"/>
      <c r="P3616" s="5"/>
      <c r="Q3616" s="5"/>
      <c r="R3616" s="8"/>
      <c r="S3616" s="8"/>
      <c r="T3616" s="3"/>
    </row>
    <row r="3617" spans="14:20" x14ac:dyDescent="0.3">
      <c r="N3617" s="5"/>
      <c r="O3617" s="5"/>
      <c r="P3617" s="5"/>
      <c r="Q3617" s="5"/>
      <c r="R3617" s="8"/>
      <c r="S3617" s="8"/>
      <c r="T3617" s="3"/>
    </row>
    <row r="3618" spans="14:20" x14ac:dyDescent="0.3">
      <c r="N3618" s="5"/>
      <c r="O3618" s="5"/>
      <c r="P3618" s="5"/>
      <c r="Q3618" s="5"/>
      <c r="R3618" s="8"/>
      <c r="S3618" s="8"/>
      <c r="T3618" s="3"/>
    </row>
    <row r="3619" spans="14:20" x14ac:dyDescent="0.3">
      <c r="N3619" s="5"/>
      <c r="O3619" s="5"/>
      <c r="P3619" s="5"/>
      <c r="Q3619" s="5"/>
      <c r="R3619" s="8"/>
      <c r="S3619" s="8"/>
      <c r="T3619" s="3"/>
    </row>
    <row r="3620" spans="14:20" x14ac:dyDescent="0.3">
      <c r="N3620" s="5"/>
      <c r="O3620" s="5"/>
      <c r="P3620" s="5"/>
      <c r="Q3620" s="5"/>
      <c r="R3620" s="8"/>
      <c r="S3620" s="8"/>
      <c r="T3620" s="3"/>
    </row>
    <row r="3621" spans="14:20" x14ac:dyDescent="0.3">
      <c r="N3621" s="5"/>
      <c r="O3621" s="5"/>
      <c r="P3621" s="5"/>
      <c r="Q3621" s="5"/>
      <c r="R3621" s="8"/>
      <c r="S3621" s="8"/>
      <c r="T3621" s="3"/>
    </row>
    <row r="3622" spans="14:20" x14ac:dyDescent="0.3">
      <c r="N3622" s="5"/>
      <c r="O3622" s="5"/>
      <c r="P3622" s="5"/>
      <c r="Q3622" s="5"/>
      <c r="R3622" s="8"/>
      <c r="S3622" s="8"/>
      <c r="T3622" s="3"/>
    </row>
    <row r="3623" spans="14:20" x14ac:dyDescent="0.3">
      <c r="N3623" s="5"/>
      <c r="O3623" s="5"/>
      <c r="P3623" s="5"/>
      <c r="Q3623" s="5"/>
      <c r="R3623" s="8"/>
      <c r="S3623" s="8"/>
      <c r="T3623" s="3"/>
    </row>
    <row r="3624" spans="14:20" x14ac:dyDescent="0.3">
      <c r="N3624" s="5"/>
      <c r="O3624" s="5"/>
      <c r="P3624" s="5"/>
      <c r="Q3624" s="5"/>
      <c r="R3624" s="8"/>
      <c r="S3624" s="8"/>
      <c r="T3624" s="3"/>
    </row>
    <row r="3625" spans="14:20" x14ac:dyDescent="0.3">
      <c r="N3625" s="5"/>
      <c r="O3625" s="5"/>
      <c r="P3625" s="5"/>
      <c r="Q3625" s="5"/>
      <c r="R3625" s="8"/>
      <c r="S3625" s="8"/>
      <c r="T3625" s="3"/>
    </row>
    <row r="3626" spans="14:20" x14ac:dyDescent="0.3">
      <c r="N3626" s="5"/>
      <c r="O3626" s="5"/>
      <c r="P3626" s="5"/>
      <c r="Q3626" s="5"/>
      <c r="R3626" s="8"/>
      <c r="S3626" s="8"/>
      <c r="T3626" s="3"/>
    </row>
    <row r="3627" spans="14:20" x14ac:dyDescent="0.3">
      <c r="N3627" s="5"/>
      <c r="O3627" s="5"/>
      <c r="P3627" s="5"/>
      <c r="Q3627" s="5"/>
      <c r="R3627" s="8"/>
      <c r="S3627" s="8"/>
      <c r="T3627" s="3"/>
    </row>
    <row r="3628" spans="14:20" x14ac:dyDescent="0.3">
      <c r="N3628" s="5"/>
      <c r="O3628" s="5"/>
      <c r="P3628" s="5"/>
      <c r="Q3628" s="5"/>
      <c r="R3628" s="8"/>
      <c r="S3628" s="8"/>
      <c r="T3628" s="3"/>
    </row>
    <row r="3629" spans="14:20" x14ac:dyDescent="0.3">
      <c r="N3629" s="5"/>
      <c r="O3629" s="5"/>
      <c r="P3629" s="5"/>
      <c r="Q3629" s="5"/>
      <c r="R3629" s="8"/>
      <c r="S3629" s="8"/>
      <c r="T3629" s="3"/>
    </row>
    <row r="3630" spans="14:20" x14ac:dyDescent="0.3">
      <c r="N3630" s="5"/>
      <c r="O3630" s="5"/>
      <c r="P3630" s="5"/>
      <c r="Q3630" s="5"/>
      <c r="R3630" s="8"/>
      <c r="S3630" s="8"/>
      <c r="T3630" s="3"/>
    </row>
    <row r="3631" spans="14:20" x14ac:dyDescent="0.3">
      <c r="N3631" s="5"/>
      <c r="O3631" s="5"/>
      <c r="P3631" s="5"/>
      <c r="Q3631" s="5"/>
      <c r="R3631" s="8"/>
      <c r="S3631" s="8"/>
      <c r="T3631" s="3"/>
    </row>
    <row r="3632" spans="14:20" x14ac:dyDescent="0.3">
      <c r="N3632" s="5"/>
      <c r="O3632" s="5"/>
      <c r="P3632" s="5"/>
      <c r="Q3632" s="5"/>
      <c r="R3632" s="8"/>
      <c r="S3632" s="8"/>
      <c r="T3632" s="3"/>
    </row>
    <row r="3633" spans="14:20" x14ac:dyDescent="0.3">
      <c r="N3633" s="5"/>
      <c r="O3633" s="5"/>
      <c r="P3633" s="5"/>
      <c r="Q3633" s="5"/>
      <c r="R3633" s="8"/>
      <c r="S3633" s="8"/>
      <c r="T3633" s="3"/>
    </row>
    <row r="3634" spans="14:20" x14ac:dyDescent="0.3">
      <c r="N3634" s="5"/>
      <c r="O3634" s="5"/>
      <c r="P3634" s="5"/>
      <c r="Q3634" s="5"/>
      <c r="R3634" s="8"/>
      <c r="S3634" s="8"/>
      <c r="T3634" s="3"/>
    </row>
    <row r="3635" spans="14:20" x14ac:dyDescent="0.3">
      <c r="N3635" s="5"/>
      <c r="O3635" s="5"/>
      <c r="P3635" s="5"/>
      <c r="Q3635" s="5"/>
      <c r="R3635" s="8"/>
      <c r="S3635" s="8"/>
      <c r="T3635" s="3"/>
    </row>
    <row r="3636" spans="14:20" x14ac:dyDescent="0.3">
      <c r="N3636" s="5"/>
      <c r="O3636" s="5"/>
      <c r="P3636" s="5"/>
      <c r="Q3636" s="5"/>
      <c r="R3636" s="8"/>
      <c r="S3636" s="8"/>
      <c r="T3636" s="3"/>
    </row>
    <row r="3637" spans="14:20" x14ac:dyDescent="0.3">
      <c r="N3637" s="5"/>
      <c r="O3637" s="5"/>
      <c r="P3637" s="5"/>
      <c r="Q3637" s="5"/>
      <c r="R3637" s="8"/>
      <c r="S3637" s="8"/>
      <c r="T3637" s="3"/>
    </row>
    <row r="3638" spans="14:20" x14ac:dyDescent="0.3">
      <c r="N3638" s="5"/>
      <c r="O3638" s="5"/>
      <c r="P3638" s="5"/>
      <c r="Q3638" s="5"/>
      <c r="R3638" s="8"/>
      <c r="S3638" s="8"/>
      <c r="T3638" s="3"/>
    </row>
    <row r="3639" spans="14:20" x14ac:dyDescent="0.3">
      <c r="N3639" s="5"/>
      <c r="O3639" s="5"/>
      <c r="P3639" s="5"/>
      <c r="Q3639" s="5"/>
      <c r="R3639" s="8"/>
      <c r="S3639" s="8"/>
      <c r="T3639" s="3"/>
    </row>
    <row r="3640" spans="14:20" x14ac:dyDescent="0.3">
      <c r="N3640" s="5"/>
      <c r="O3640" s="5"/>
      <c r="P3640" s="5"/>
      <c r="Q3640" s="5"/>
      <c r="R3640" s="8"/>
      <c r="S3640" s="8"/>
      <c r="T3640" s="3"/>
    </row>
    <row r="3641" spans="14:20" x14ac:dyDescent="0.3">
      <c r="N3641" s="5"/>
      <c r="O3641" s="5"/>
      <c r="P3641" s="5"/>
      <c r="Q3641" s="5"/>
      <c r="R3641" s="8"/>
      <c r="S3641" s="8"/>
      <c r="T3641" s="3"/>
    </row>
    <row r="3642" spans="14:20" x14ac:dyDescent="0.3">
      <c r="N3642" s="5"/>
      <c r="O3642" s="5"/>
      <c r="P3642" s="5"/>
      <c r="Q3642" s="5"/>
      <c r="R3642" s="8"/>
      <c r="S3642" s="8"/>
      <c r="T3642" s="3"/>
    </row>
    <row r="3643" spans="14:20" x14ac:dyDescent="0.3">
      <c r="N3643" s="5"/>
      <c r="O3643" s="5"/>
      <c r="P3643" s="5"/>
      <c r="Q3643" s="5"/>
      <c r="R3643" s="8"/>
      <c r="S3643" s="8"/>
      <c r="T3643" s="3"/>
    </row>
    <row r="3644" spans="14:20" x14ac:dyDescent="0.3">
      <c r="N3644" s="5"/>
      <c r="O3644" s="5"/>
      <c r="P3644" s="5"/>
      <c r="Q3644" s="5"/>
      <c r="R3644" s="8"/>
      <c r="S3644" s="8"/>
      <c r="T3644" s="3"/>
    </row>
    <row r="3645" spans="14:20" x14ac:dyDescent="0.3">
      <c r="N3645" s="5"/>
      <c r="O3645" s="5"/>
      <c r="P3645" s="5"/>
      <c r="Q3645" s="5"/>
      <c r="R3645" s="8"/>
      <c r="S3645" s="8"/>
      <c r="T3645" s="3"/>
    </row>
    <row r="3646" spans="14:20" x14ac:dyDescent="0.3">
      <c r="N3646" s="5"/>
      <c r="O3646" s="5"/>
      <c r="P3646" s="5"/>
      <c r="Q3646" s="5"/>
      <c r="R3646" s="8"/>
      <c r="S3646" s="8"/>
      <c r="T3646" s="3"/>
    </row>
    <row r="3647" spans="14:20" x14ac:dyDescent="0.3">
      <c r="N3647" s="5"/>
      <c r="O3647" s="5"/>
      <c r="P3647" s="5"/>
      <c r="Q3647" s="5"/>
      <c r="R3647" s="8"/>
      <c r="S3647" s="8"/>
      <c r="T3647" s="3"/>
    </row>
    <row r="3648" spans="14:20" x14ac:dyDescent="0.3">
      <c r="N3648" s="5"/>
      <c r="O3648" s="5"/>
      <c r="P3648" s="5"/>
      <c r="Q3648" s="5"/>
      <c r="R3648" s="8"/>
      <c r="S3648" s="8"/>
      <c r="T3648" s="3"/>
    </row>
    <row r="3649" spans="14:20" x14ac:dyDescent="0.3">
      <c r="N3649" s="5"/>
      <c r="O3649" s="5"/>
      <c r="P3649" s="5"/>
      <c r="Q3649" s="5"/>
      <c r="R3649" s="8"/>
      <c r="S3649" s="8"/>
      <c r="T3649" s="3"/>
    </row>
    <row r="3650" spans="14:20" x14ac:dyDescent="0.3">
      <c r="N3650" s="5"/>
      <c r="O3650" s="5"/>
      <c r="P3650" s="5"/>
      <c r="Q3650" s="5"/>
      <c r="R3650" s="8"/>
      <c r="S3650" s="8"/>
      <c r="T3650" s="3"/>
    </row>
    <row r="3651" spans="14:20" x14ac:dyDescent="0.3">
      <c r="N3651" s="5"/>
      <c r="O3651" s="5"/>
      <c r="P3651" s="5"/>
      <c r="Q3651" s="5"/>
      <c r="R3651" s="8"/>
      <c r="S3651" s="8"/>
      <c r="T3651" s="3"/>
    </row>
    <row r="3652" spans="14:20" x14ac:dyDescent="0.3">
      <c r="N3652" s="5"/>
      <c r="O3652" s="5"/>
      <c r="P3652" s="5"/>
      <c r="Q3652" s="5"/>
      <c r="R3652" s="8"/>
      <c r="S3652" s="8"/>
      <c r="T3652" s="3"/>
    </row>
    <row r="3653" spans="14:20" x14ac:dyDescent="0.3">
      <c r="N3653" s="5"/>
      <c r="O3653" s="5"/>
      <c r="P3653" s="5"/>
      <c r="Q3653" s="5"/>
      <c r="R3653" s="8"/>
      <c r="S3653" s="8"/>
      <c r="T3653" s="3"/>
    </row>
    <row r="3654" spans="14:20" x14ac:dyDescent="0.3">
      <c r="N3654" s="5"/>
      <c r="O3654" s="5"/>
      <c r="P3654" s="5"/>
      <c r="Q3654" s="5"/>
      <c r="R3654" s="8"/>
      <c r="S3654" s="8"/>
      <c r="T3654" s="3"/>
    </row>
    <row r="3655" spans="14:20" x14ac:dyDescent="0.3">
      <c r="N3655" s="5"/>
      <c r="O3655" s="5"/>
      <c r="P3655" s="5"/>
      <c r="Q3655" s="5"/>
      <c r="R3655" s="8"/>
      <c r="S3655" s="8"/>
      <c r="T3655" s="3"/>
    </row>
    <row r="3656" spans="14:20" x14ac:dyDescent="0.3">
      <c r="N3656" s="5"/>
      <c r="O3656" s="5"/>
      <c r="P3656" s="5"/>
      <c r="Q3656" s="5"/>
      <c r="R3656" s="8"/>
      <c r="S3656" s="8"/>
      <c r="T3656" s="3"/>
    </row>
    <row r="3657" spans="14:20" x14ac:dyDescent="0.3">
      <c r="N3657" s="5"/>
      <c r="O3657" s="5"/>
      <c r="P3657" s="5"/>
      <c r="Q3657" s="5"/>
      <c r="R3657" s="8"/>
      <c r="S3657" s="8"/>
      <c r="T3657" s="3"/>
    </row>
    <row r="3658" spans="14:20" x14ac:dyDescent="0.3">
      <c r="N3658" s="5"/>
      <c r="O3658" s="5"/>
      <c r="P3658" s="5"/>
      <c r="Q3658" s="5"/>
      <c r="R3658" s="8"/>
      <c r="S3658" s="8"/>
      <c r="T3658" s="3"/>
    </row>
    <row r="3659" spans="14:20" x14ac:dyDescent="0.3">
      <c r="N3659" s="5"/>
      <c r="O3659" s="5"/>
      <c r="P3659" s="5"/>
      <c r="Q3659" s="5"/>
      <c r="R3659" s="8"/>
      <c r="S3659" s="8"/>
      <c r="T3659" s="3"/>
    </row>
    <row r="3660" spans="14:20" x14ac:dyDescent="0.3">
      <c r="N3660" s="5"/>
      <c r="O3660" s="5"/>
      <c r="P3660" s="5"/>
      <c r="Q3660" s="5"/>
      <c r="R3660" s="8"/>
      <c r="S3660" s="8"/>
      <c r="T3660" s="3"/>
    </row>
    <row r="3661" spans="14:20" x14ac:dyDescent="0.3">
      <c r="N3661" s="5"/>
      <c r="O3661" s="5"/>
      <c r="P3661" s="5"/>
      <c r="Q3661" s="5"/>
      <c r="R3661" s="8"/>
      <c r="S3661" s="8"/>
      <c r="T3661" s="3"/>
    </row>
    <row r="3662" spans="14:20" x14ac:dyDescent="0.3">
      <c r="N3662" s="5"/>
      <c r="O3662" s="5"/>
      <c r="P3662" s="5"/>
      <c r="Q3662" s="5"/>
      <c r="R3662" s="8"/>
      <c r="S3662" s="8"/>
      <c r="T3662" s="3"/>
    </row>
    <row r="3663" spans="14:20" x14ac:dyDescent="0.3">
      <c r="N3663" s="5"/>
      <c r="O3663" s="5"/>
      <c r="P3663" s="5"/>
      <c r="Q3663" s="5"/>
      <c r="R3663" s="8"/>
      <c r="S3663" s="8"/>
      <c r="T3663" s="3"/>
    </row>
    <row r="3664" spans="14:20" x14ac:dyDescent="0.3">
      <c r="N3664" s="5"/>
      <c r="O3664" s="5"/>
      <c r="P3664" s="5"/>
      <c r="Q3664" s="5"/>
      <c r="R3664" s="8"/>
      <c r="S3664" s="8"/>
      <c r="T3664" s="3"/>
    </row>
    <row r="3665" spans="14:20" x14ac:dyDescent="0.3">
      <c r="N3665" s="5"/>
      <c r="O3665" s="5"/>
      <c r="P3665" s="5"/>
      <c r="Q3665" s="5"/>
      <c r="R3665" s="8"/>
      <c r="S3665" s="8"/>
      <c r="T3665" s="3"/>
    </row>
    <row r="3666" spans="14:20" x14ac:dyDescent="0.3">
      <c r="N3666" s="5"/>
      <c r="O3666" s="5"/>
      <c r="P3666" s="5"/>
      <c r="Q3666" s="5"/>
      <c r="R3666" s="8"/>
      <c r="S3666" s="8"/>
      <c r="T3666" s="3"/>
    </row>
    <row r="3667" spans="14:20" x14ac:dyDescent="0.3">
      <c r="N3667" s="5"/>
      <c r="O3667" s="5"/>
      <c r="P3667" s="5"/>
      <c r="Q3667" s="5"/>
      <c r="R3667" s="8"/>
      <c r="S3667" s="8"/>
      <c r="T3667" s="3"/>
    </row>
    <row r="3668" spans="14:20" x14ac:dyDescent="0.3">
      <c r="N3668" s="5"/>
      <c r="O3668" s="5"/>
      <c r="P3668" s="5"/>
      <c r="Q3668" s="5"/>
      <c r="R3668" s="8"/>
      <c r="S3668" s="8"/>
      <c r="T3668" s="3"/>
    </row>
    <row r="3669" spans="14:20" x14ac:dyDescent="0.3">
      <c r="N3669" s="5"/>
      <c r="O3669" s="5"/>
      <c r="P3669" s="5"/>
      <c r="Q3669" s="5"/>
      <c r="R3669" s="8"/>
      <c r="S3669" s="8"/>
      <c r="T3669" s="3"/>
    </row>
    <row r="3670" spans="14:20" x14ac:dyDescent="0.3">
      <c r="N3670" s="5"/>
      <c r="O3670" s="5"/>
      <c r="P3670" s="5"/>
      <c r="Q3670" s="5"/>
      <c r="R3670" s="8"/>
      <c r="S3670" s="8"/>
      <c r="T3670" s="3"/>
    </row>
    <row r="3671" spans="14:20" x14ac:dyDescent="0.3">
      <c r="N3671" s="5"/>
      <c r="O3671" s="5"/>
      <c r="P3671" s="5"/>
      <c r="Q3671" s="5"/>
      <c r="R3671" s="8"/>
      <c r="S3671" s="8"/>
      <c r="T3671" s="3"/>
    </row>
    <row r="3672" spans="14:20" x14ac:dyDescent="0.3">
      <c r="N3672" s="5"/>
      <c r="O3672" s="5"/>
      <c r="P3672" s="5"/>
      <c r="Q3672" s="5"/>
      <c r="R3672" s="8"/>
      <c r="S3672" s="8"/>
      <c r="T3672" s="3"/>
    </row>
    <row r="3673" spans="14:20" x14ac:dyDescent="0.3">
      <c r="N3673" s="5"/>
      <c r="O3673" s="5"/>
      <c r="P3673" s="5"/>
      <c r="Q3673" s="5"/>
      <c r="R3673" s="8"/>
      <c r="S3673" s="8"/>
      <c r="T3673" s="3"/>
    </row>
    <row r="3674" spans="14:20" x14ac:dyDescent="0.3">
      <c r="N3674" s="5"/>
      <c r="O3674" s="5"/>
      <c r="P3674" s="5"/>
      <c r="Q3674" s="5"/>
      <c r="R3674" s="8"/>
      <c r="S3674" s="8"/>
      <c r="T3674" s="3"/>
    </row>
    <row r="3675" spans="14:20" x14ac:dyDescent="0.3">
      <c r="N3675" s="5"/>
      <c r="O3675" s="5"/>
      <c r="P3675" s="5"/>
      <c r="Q3675" s="5"/>
      <c r="R3675" s="8"/>
      <c r="S3675" s="8"/>
      <c r="T3675" s="3"/>
    </row>
    <row r="3676" spans="14:20" x14ac:dyDescent="0.3">
      <c r="N3676" s="5"/>
      <c r="O3676" s="5"/>
      <c r="P3676" s="5"/>
      <c r="Q3676" s="5"/>
      <c r="R3676" s="8"/>
      <c r="S3676" s="8"/>
      <c r="T3676" s="3"/>
    </row>
    <row r="3677" spans="14:20" x14ac:dyDescent="0.3">
      <c r="N3677" s="5"/>
      <c r="O3677" s="5"/>
      <c r="P3677" s="5"/>
      <c r="Q3677" s="5"/>
      <c r="R3677" s="8"/>
      <c r="S3677" s="8"/>
      <c r="T3677" s="3"/>
    </row>
    <row r="3678" spans="14:20" x14ac:dyDescent="0.3">
      <c r="N3678" s="5"/>
      <c r="O3678" s="5"/>
      <c r="P3678" s="5"/>
      <c r="Q3678" s="5"/>
      <c r="R3678" s="8"/>
      <c r="S3678" s="8"/>
      <c r="T3678" s="3"/>
    </row>
    <row r="3679" spans="14:20" x14ac:dyDescent="0.3">
      <c r="N3679" s="5"/>
      <c r="O3679" s="5"/>
      <c r="P3679" s="5"/>
      <c r="Q3679" s="5"/>
      <c r="R3679" s="8"/>
      <c r="S3679" s="8"/>
      <c r="T3679" s="3"/>
    </row>
    <row r="3680" spans="14:20" x14ac:dyDescent="0.3">
      <c r="N3680" s="5"/>
      <c r="O3680" s="5"/>
      <c r="P3680" s="5"/>
      <c r="Q3680" s="5"/>
      <c r="R3680" s="8"/>
      <c r="S3680" s="8"/>
      <c r="T3680" s="3"/>
    </row>
    <row r="3681" spans="14:20" x14ac:dyDescent="0.3">
      <c r="N3681" s="5"/>
      <c r="O3681" s="5"/>
      <c r="P3681" s="5"/>
      <c r="Q3681" s="5"/>
      <c r="R3681" s="8"/>
      <c r="S3681" s="8"/>
      <c r="T3681" s="3"/>
    </row>
    <row r="3682" spans="14:20" x14ac:dyDescent="0.3">
      <c r="N3682" s="5"/>
      <c r="O3682" s="5"/>
      <c r="P3682" s="5"/>
      <c r="Q3682" s="5"/>
      <c r="R3682" s="8"/>
      <c r="S3682" s="8"/>
      <c r="T3682" s="3"/>
    </row>
    <row r="3683" spans="14:20" x14ac:dyDescent="0.3">
      <c r="N3683" s="5"/>
      <c r="O3683" s="5"/>
      <c r="P3683" s="5"/>
      <c r="Q3683" s="5"/>
      <c r="R3683" s="8"/>
      <c r="S3683" s="8"/>
      <c r="T3683" s="3"/>
    </row>
    <row r="3684" spans="14:20" x14ac:dyDescent="0.3">
      <c r="N3684" s="5"/>
      <c r="O3684" s="5"/>
      <c r="P3684" s="5"/>
      <c r="Q3684" s="5"/>
      <c r="R3684" s="8"/>
      <c r="S3684" s="8"/>
      <c r="T3684" s="3"/>
    </row>
    <row r="3685" spans="14:20" x14ac:dyDescent="0.3">
      <c r="N3685" s="5"/>
      <c r="O3685" s="5"/>
      <c r="P3685" s="5"/>
      <c r="Q3685" s="5"/>
      <c r="R3685" s="8"/>
      <c r="S3685" s="8"/>
      <c r="T3685" s="3"/>
    </row>
    <row r="3686" spans="14:20" x14ac:dyDescent="0.3">
      <c r="N3686" s="5"/>
      <c r="O3686" s="5"/>
      <c r="P3686" s="5"/>
      <c r="Q3686" s="5"/>
      <c r="R3686" s="8"/>
      <c r="S3686" s="8"/>
      <c r="T3686" s="3"/>
    </row>
    <row r="3687" spans="14:20" x14ac:dyDescent="0.3">
      <c r="N3687" s="5"/>
      <c r="O3687" s="5"/>
      <c r="P3687" s="5"/>
      <c r="Q3687" s="5"/>
      <c r="R3687" s="8"/>
      <c r="S3687" s="8"/>
      <c r="T3687" s="3"/>
    </row>
    <row r="3688" spans="14:20" x14ac:dyDescent="0.3">
      <c r="N3688" s="5"/>
      <c r="O3688" s="5"/>
      <c r="P3688" s="5"/>
      <c r="Q3688" s="5"/>
      <c r="R3688" s="8"/>
      <c r="S3688" s="8"/>
      <c r="T3688" s="3"/>
    </row>
    <row r="3689" spans="14:20" x14ac:dyDescent="0.3">
      <c r="N3689" s="5"/>
      <c r="O3689" s="5"/>
      <c r="P3689" s="5"/>
      <c r="Q3689" s="5"/>
      <c r="R3689" s="8"/>
      <c r="S3689" s="8"/>
      <c r="T3689" s="3"/>
    </row>
    <row r="3690" spans="14:20" x14ac:dyDescent="0.3">
      <c r="N3690" s="5"/>
      <c r="O3690" s="5"/>
      <c r="P3690" s="5"/>
      <c r="Q3690" s="5"/>
      <c r="R3690" s="8"/>
      <c r="S3690" s="8"/>
      <c r="T3690" s="3"/>
    </row>
    <row r="3691" spans="14:20" x14ac:dyDescent="0.3">
      <c r="N3691" s="5"/>
      <c r="O3691" s="5"/>
      <c r="P3691" s="5"/>
      <c r="Q3691" s="5"/>
      <c r="R3691" s="8"/>
      <c r="S3691" s="8"/>
      <c r="T3691" s="3"/>
    </row>
    <row r="3692" spans="14:20" x14ac:dyDescent="0.3">
      <c r="N3692" s="5"/>
      <c r="O3692" s="5"/>
      <c r="P3692" s="5"/>
      <c r="Q3692" s="5"/>
      <c r="R3692" s="8"/>
      <c r="S3692" s="8"/>
      <c r="T3692" s="3"/>
    </row>
    <row r="3693" spans="14:20" x14ac:dyDescent="0.3">
      <c r="N3693" s="5"/>
      <c r="O3693" s="5"/>
      <c r="P3693" s="5"/>
      <c r="Q3693" s="5"/>
      <c r="R3693" s="8"/>
      <c r="S3693" s="8"/>
      <c r="T3693" s="3"/>
    </row>
    <row r="3694" spans="14:20" x14ac:dyDescent="0.3">
      <c r="N3694" s="5"/>
      <c r="O3694" s="5"/>
      <c r="P3694" s="5"/>
      <c r="Q3694" s="5"/>
      <c r="R3694" s="8"/>
      <c r="S3694" s="8"/>
      <c r="T3694" s="3"/>
    </row>
    <row r="3695" spans="14:20" x14ac:dyDescent="0.3">
      <c r="N3695" s="5"/>
      <c r="O3695" s="5"/>
      <c r="P3695" s="5"/>
      <c r="Q3695" s="5"/>
      <c r="R3695" s="8"/>
      <c r="S3695" s="8"/>
      <c r="T3695" s="3"/>
    </row>
    <row r="3696" spans="14:20" x14ac:dyDescent="0.3">
      <c r="N3696" s="5"/>
      <c r="O3696" s="5"/>
      <c r="P3696" s="5"/>
      <c r="Q3696" s="5"/>
      <c r="R3696" s="8"/>
      <c r="S3696" s="8"/>
      <c r="T3696" s="3"/>
    </row>
    <row r="3697" spans="14:20" x14ac:dyDescent="0.3">
      <c r="N3697" s="5"/>
      <c r="O3697" s="5"/>
      <c r="P3697" s="5"/>
      <c r="Q3697" s="5"/>
      <c r="R3697" s="8"/>
      <c r="S3697" s="8"/>
      <c r="T3697" s="3"/>
    </row>
    <row r="3698" spans="14:20" x14ac:dyDescent="0.3">
      <c r="N3698" s="5"/>
      <c r="O3698" s="5"/>
      <c r="P3698" s="5"/>
      <c r="Q3698" s="5"/>
      <c r="R3698" s="8"/>
      <c r="S3698" s="8"/>
      <c r="T3698" s="3"/>
    </row>
    <row r="3699" spans="14:20" x14ac:dyDescent="0.3">
      <c r="N3699" s="5"/>
      <c r="O3699" s="5"/>
      <c r="P3699" s="5"/>
      <c r="Q3699" s="5"/>
      <c r="R3699" s="8"/>
      <c r="S3699" s="8"/>
      <c r="T3699" s="3"/>
    </row>
    <row r="3700" spans="14:20" x14ac:dyDescent="0.3">
      <c r="N3700" s="5"/>
      <c r="O3700" s="5"/>
      <c r="P3700" s="5"/>
      <c r="Q3700" s="5"/>
      <c r="R3700" s="8"/>
      <c r="S3700" s="8"/>
      <c r="T3700" s="3"/>
    </row>
    <row r="3701" spans="14:20" x14ac:dyDescent="0.3">
      <c r="N3701" s="5"/>
      <c r="O3701" s="5"/>
      <c r="P3701" s="5"/>
      <c r="Q3701" s="5"/>
      <c r="R3701" s="8"/>
      <c r="S3701" s="8"/>
      <c r="T3701" s="3"/>
    </row>
    <row r="3702" spans="14:20" x14ac:dyDescent="0.3">
      <c r="N3702" s="5"/>
      <c r="O3702" s="5"/>
      <c r="P3702" s="5"/>
      <c r="Q3702" s="5"/>
      <c r="R3702" s="8"/>
      <c r="S3702" s="8"/>
      <c r="T3702" s="3"/>
    </row>
    <row r="3703" spans="14:20" x14ac:dyDescent="0.3">
      <c r="N3703" s="5"/>
      <c r="O3703" s="5"/>
      <c r="P3703" s="5"/>
      <c r="Q3703" s="5"/>
      <c r="R3703" s="8"/>
      <c r="S3703" s="8"/>
      <c r="T3703" s="3"/>
    </row>
    <row r="3704" spans="14:20" x14ac:dyDescent="0.3">
      <c r="N3704" s="5"/>
      <c r="O3704" s="5"/>
      <c r="P3704" s="5"/>
      <c r="Q3704" s="5"/>
      <c r="R3704" s="8"/>
      <c r="S3704" s="8"/>
      <c r="T3704" s="3"/>
    </row>
    <row r="3705" spans="14:20" x14ac:dyDescent="0.3">
      <c r="N3705" s="5"/>
      <c r="O3705" s="5"/>
      <c r="P3705" s="5"/>
      <c r="Q3705" s="5"/>
      <c r="R3705" s="8"/>
      <c r="S3705" s="8"/>
      <c r="T3705" s="3"/>
    </row>
    <row r="3706" spans="14:20" x14ac:dyDescent="0.3">
      <c r="N3706" s="5"/>
      <c r="O3706" s="5"/>
      <c r="P3706" s="5"/>
      <c r="Q3706" s="5"/>
      <c r="R3706" s="8"/>
      <c r="S3706" s="8"/>
      <c r="T3706" s="3"/>
    </row>
    <row r="3707" spans="14:20" x14ac:dyDescent="0.3">
      <c r="N3707" s="5"/>
      <c r="O3707" s="5"/>
      <c r="P3707" s="5"/>
      <c r="Q3707" s="5"/>
      <c r="R3707" s="8"/>
      <c r="S3707" s="8"/>
      <c r="T3707" s="3"/>
    </row>
    <row r="3708" spans="14:20" x14ac:dyDescent="0.3">
      <c r="N3708" s="5"/>
      <c r="O3708" s="5"/>
      <c r="P3708" s="5"/>
      <c r="Q3708" s="5"/>
      <c r="R3708" s="8"/>
      <c r="S3708" s="8"/>
      <c r="T3708" s="3"/>
    </row>
    <row r="3709" spans="14:20" x14ac:dyDescent="0.3">
      <c r="N3709" s="5"/>
      <c r="O3709" s="5"/>
      <c r="P3709" s="5"/>
      <c r="Q3709" s="5"/>
      <c r="R3709" s="8"/>
      <c r="S3709" s="8"/>
      <c r="T3709" s="3"/>
    </row>
    <row r="3710" spans="14:20" x14ac:dyDescent="0.3">
      <c r="N3710" s="5"/>
      <c r="O3710" s="5"/>
      <c r="P3710" s="5"/>
      <c r="Q3710" s="5"/>
      <c r="R3710" s="8"/>
      <c r="S3710" s="8"/>
      <c r="T3710" s="3"/>
    </row>
    <row r="3711" spans="14:20" x14ac:dyDescent="0.3">
      <c r="N3711" s="5"/>
      <c r="O3711" s="5"/>
      <c r="P3711" s="5"/>
      <c r="Q3711" s="5"/>
      <c r="R3711" s="8"/>
      <c r="S3711" s="8"/>
      <c r="T3711" s="3"/>
    </row>
    <row r="3712" spans="14:20" x14ac:dyDescent="0.3">
      <c r="N3712" s="5"/>
      <c r="O3712" s="5"/>
      <c r="P3712" s="5"/>
      <c r="Q3712" s="5"/>
      <c r="R3712" s="8"/>
      <c r="S3712" s="8"/>
      <c r="T3712" s="3"/>
    </row>
    <row r="3713" spans="14:20" x14ac:dyDescent="0.3">
      <c r="N3713" s="5"/>
      <c r="O3713" s="5"/>
      <c r="P3713" s="5"/>
      <c r="Q3713" s="5"/>
      <c r="R3713" s="8"/>
      <c r="S3713" s="8"/>
      <c r="T3713" s="3"/>
    </row>
    <row r="3714" spans="14:20" x14ac:dyDescent="0.3">
      <c r="N3714" s="5"/>
      <c r="O3714" s="5"/>
      <c r="P3714" s="5"/>
      <c r="Q3714" s="5"/>
      <c r="R3714" s="8"/>
      <c r="S3714" s="8"/>
      <c r="T3714" s="3"/>
    </row>
    <row r="3715" spans="14:20" x14ac:dyDescent="0.3">
      <c r="N3715" s="5"/>
      <c r="O3715" s="5"/>
      <c r="P3715" s="5"/>
      <c r="Q3715" s="5"/>
      <c r="R3715" s="8"/>
      <c r="S3715" s="8"/>
      <c r="T3715" s="3"/>
    </row>
    <row r="3716" spans="14:20" x14ac:dyDescent="0.3">
      <c r="N3716" s="5"/>
      <c r="O3716" s="5"/>
      <c r="P3716" s="5"/>
      <c r="Q3716" s="5"/>
      <c r="R3716" s="8"/>
      <c r="S3716" s="8"/>
      <c r="T3716" s="3"/>
    </row>
    <row r="3717" spans="14:20" x14ac:dyDescent="0.3">
      <c r="N3717" s="5"/>
      <c r="O3717" s="5"/>
      <c r="P3717" s="5"/>
      <c r="Q3717" s="5"/>
      <c r="R3717" s="8"/>
      <c r="S3717" s="8"/>
      <c r="T3717" s="3"/>
    </row>
    <row r="3718" spans="14:20" x14ac:dyDescent="0.3">
      <c r="N3718" s="5"/>
      <c r="O3718" s="5"/>
      <c r="P3718" s="5"/>
      <c r="Q3718" s="5"/>
      <c r="R3718" s="8"/>
      <c r="S3718" s="8"/>
      <c r="T3718" s="3"/>
    </row>
    <row r="3719" spans="14:20" x14ac:dyDescent="0.3">
      <c r="N3719" s="5"/>
      <c r="O3719" s="5"/>
      <c r="P3719" s="5"/>
      <c r="Q3719" s="5"/>
      <c r="R3719" s="8"/>
      <c r="S3719" s="8"/>
      <c r="T3719" s="3"/>
    </row>
    <row r="3720" spans="14:20" x14ac:dyDescent="0.3">
      <c r="N3720" s="5"/>
      <c r="O3720" s="5"/>
      <c r="P3720" s="5"/>
      <c r="Q3720" s="5"/>
      <c r="R3720" s="8"/>
      <c r="S3720" s="8"/>
      <c r="T3720" s="3"/>
    </row>
    <row r="3721" spans="14:20" x14ac:dyDescent="0.3">
      <c r="N3721" s="5"/>
      <c r="O3721" s="5"/>
      <c r="P3721" s="5"/>
      <c r="Q3721" s="5"/>
      <c r="R3721" s="8"/>
      <c r="S3721" s="8"/>
      <c r="T3721" s="3"/>
    </row>
    <row r="3722" spans="14:20" x14ac:dyDescent="0.3">
      <c r="N3722" s="5"/>
      <c r="O3722" s="5"/>
      <c r="P3722" s="5"/>
      <c r="Q3722" s="5"/>
      <c r="R3722" s="8"/>
      <c r="S3722" s="8"/>
      <c r="T3722" s="3"/>
    </row>
    <row r="3723" spans="14:20" x14ac:dyDescent="0.3">
      <c r="N3723" s="5"/>
      <c r="O3723" s="5"/>
      <c r="P3723" s="5"/>
      <c r="Q3723" s="5"/>
      <c r="R3723" s="8"/>
      <c r="S3723" s="8"/>
      <c r="T3723" s="3"/>
    </row>
    <row r="3724" spans="14:20" x14ac:dyDescent="0.3">
      <c r="N3724" s="5"/>
      <c r="O3724" s="5"/>
      <c r="P3724" s="5"/>
      <c r="Q3724" s="5"/>
      <c r="R3724" s="8"/>
      <c r="S3724" s="8"/>
      <c r="T3724" s="3"/>
    </row>
    <row r="3725" spans="14:20" x14ac:dyDescent="0.3">
      <c r="N3725" s="5"/>
      <c r="O3725" s="5"/>
      <c r="P3725" s="5"/>
      <c r="Q3725" s="5"/>
      <c r="R3725" s="8"/>
      <c r="S3725" s="8"/>
      <c r="T3725" s="3"/>
    </row>
    <row r="3726" spans="14:20" x14ac:dyDescent="0.3">
      <c r="N3726" s="5"/>
      <c r="O3726" s="5"/>
      <c r="P3726" s="5"/>
      <c r="Q3726" s="5"/>
      <c r="R3726" s="8"/>
      <c r="S3726" s="8"/>
      <c r="T3726" s="3"/>
    </row>
    <row r="3727" spans="14:20" x14ac:dyDescent="0.3">
      <c r="N3727" s="5"/>
      <c r="O3727" s="5"/>
      <c r="P3727" s="5"/>
      <c r="Q3727" s="5"/>
      <c r="R3727" s="8"/>
      <c r="S3727" s="8"/>
      <c r="T3727" s="3"/>
    </row>
    <row r="3728" spans="14:20" x14ac:dyDescent="0.3">
      <c r="N3728" s="5"/>
      <c r="O3728" s="5"/>
      <c r="P3728" s="5"/>
      <c r="Q3728" s="5"/>
      <c r="R3728" s="8"/>
      <c r="S3728" s="8"/>
      <c r="T3728" s="3"/>
    </row>
    <row r="3729" spans="14:20" x14ac:dyDescent="0.3">
      <c r="N3729" s="5"/>
      <c r="O3729" s="5"/>
      <c r="P3729" s="5"/>
      <c r="Q3729" s="5"/>
      <c r="R3729" s="8"/>
      <c r="S3729" s="8"/>
      <c r="T3729" s="3"/>
    </row>
    <row r="3730" spans="14:20" x14ac:dyDescent="0.3">
      <c r="N3730" s="5"/>
      <c r="O3730" s="5"/>
      <c r="P3730" s="5"/>
      <c r="Q3730" s="5"/>
      <c r="R3730" s="8"/>
      <c r="S3730" s="8"/>
      <c r="T3730" s="3"/>
    </row>
    <row r="3731" spans="14:20" x14ac:dyDescent="0.3">
      <c r="N3731" s="5"/>
      <c r="O3731" s="5"/>
      <c r="P3731" s="5"/>
      <c r="Q3731" s="5"/>
      <c r="R3731" s="8"/>
      <c r="S3731" s="8"/>
      <c r="T3731" s="3"/>
    </row>
    <row r="3732" spans="14:20" x14ac:dyDescent="0.3">
      <c r="N3732" s="5"/>
      <c r="O3732" s="5"/>
      <c r="P3732" s="5"/>
      <c r="Q3732" s="5"/>
      <c r="R3732" s="8"/>
      <c r="S3732" s="8"/>
      <c r="T3732" s="3"/>
    </row>
    <row r="3733" spans="14:20" x14ac:dyDescent="0.3">
      <c r="N3733" s="5"/>
      <c r="O3733" s="5"/>
      <c r="P3733" s="5"/>
      <c r="Q3733" s="5"/>
      <c r="R3733" s="8"/>
      <c r="S3733" s="8"/>
      <c r="T3733" s="3"/>
    </row>
    <row r="3734" spans="14:20" x14ac:dyDescent="0.3">
      <c r="N3734" s="5"/>
      <c r="O3734" s="5"/>
      <c r="P3734" s="5"/>
      <c r="Q3734" s="5"/>
      <c r="R3734" s="8"/>
      <c r="S3734" s="8"/>
      <c r="T3734" s="3"/>
    </row>
    <row r="3735" spans="14:20" x14ac:dyDescent="0.3">
      <c r="N3735" s="5"/>
      <c r="O3735" s="5"/>
      <c r="P3735" s="5"/>
      <c r="Q3735" s="5"/>
      <c r="R3735" s="8"/>
      <c r="S3735" s="8"/>
      <c r="T3735" s="3"/>
    </row>
    <row r="3736" spans="14:20" x14ac:dyDescent="0.3">
      <c r="N3736" s="5"/>
      <c r="O3736" s="5"/>
      <c r="P3736" s="5"/>
      <c r="Q3736" s="5"/>
      <c r="R3736" s="8"/>
      <c r="S3736" s="8"/>
      <c r="T3736" s="3"/>
    </row>
    <row r="3737" spans="14:20" x14ac:dyDescent="0.3">
      <c r="N3737" s="5"/>
      <c r="O3737" s="5"/>
      <c r="P3737" s="5"/>
      <c r="Q3737" s="5"/>
      <c r="R3737" s="8"/>
      <c r="S3737" s="8"/>
      <c r="T3737" s="3"/>
    </row>
    <row r="3738" spans="14:20" x14ac:dyDescent="0.3">
      <c r="N3738" s="5"/>
      <c r="O3738" s="5"/>
      <c r="P3738" s="5"/>
      <c r="Q3738" s="5"/>
      <c r="R3738" s="8"/>
      <c r="S3738" s="8"/>
      <c r="T3738" s="3"/>
    </row>
    <row r="3739" spans="14:20" x14ac:dyDescent="0.3">
      <c r="N3739" s="5"/>
      <c r="O3739" s="5"/>
      <c r="P3739" s="5"/>
      <c r="Q3739" s="5"/>
      <c r="R3739" s="8"/>
      <c r="S3739" s="8"/>
      <c r="T3739" s="3"/>
    </row>
    <row r="3740" spans="14:20" x14ac:dyDescent="0.3">
      <c r="N3740" s="5"/>
      <c r="O3740" s="5"/>
      <c r="P3740" s="5"/>
      <c r="Q3740" s="5"/>
      <c r="R3740" s="8"/>
      <c r="S3740" s="8"/>
      <c r="T3740" s="3"/>
    </row>
    <row r="3741" spans="14:20" x14ac:dyDescent="0.3">
      <c r="N3741" s="5"/>
      <c r="O3741" s="5"/>
      <c r="P3741" s="5"/>
      <c r="Q3741" s="5"/>
      <c r="R3741" s="8"/>
      <c r="S3741" s="8"/>
      <c r="T3741" s="3"/>
    </row>
    <row r="3742" spans="14:20" x14ac:dyDescent="0.3">
      <c r="N3742" s="5"/>
      <c r="O3742" s="5"/>
      <c r="P3742" s="5"/>
      <c r="Q3742" s="5"/>
      <c r="R3742" s="8"/>
      <c r="S3742" s="8"/>
      <c r="T3742" s="3"/>
    </row>
    <row r="3743" spans="14:20" x14ac:dyDescent="0.3">
      <c r="N3743" s="5"/>
      <c r="O3743" s="5"/>
      <c r="P3743" s="5"/>
      <c r="Q3743" s="5"/>
      <c r="R3743" s="8"/>
      <c r="S3743" s="8"/>
      <c r="T3743" s="3"/>
    </row>
    <row r="3744" spans="14:20" x14ac:dyDescent="0.3">
      <c r="N3744" s="5"/>
      <c r="O3744" s="5"/>
      <c r="P3744" s="5"/>
      <c r="Q3744" s="5"/>
      <c r="R3744" s="8"/>
      <c r="S3744" s="8"/>
      <c r="T3744" s="3"/>
    </row>
    <row r="3745" spans="14:20" x14ac:dyDescent="0.3">
      <c r="N3745" s="5"/>
      <c r="O3745" s="5"/>
      <c r="P3745" s="5"/>
      <c r="Q3745" s="5"/>
      <c r="R3745" s="8"/>
      <c r="S3745" s="8"/>
      <c r="T3745" s="3"/>
    </row>
    <row r="3746" spans="14:20" x14ac:dyDescent="0.3">
      <c r="N3746" s="5"/>
      <c r="O3746" s="5"/>
      <c r="P3746" s="5"/>
      <c r="Q3746" s="5"/>
      <c r="R3746" s="8"/>
      <c r="S3746" s="8"/>
      <c r="T3746" s="3"/>
    </row>
    <row r="3747" spans="14:20" x14ac:dyDescent="0.3">
      <c r="N3747" s="5"/>
      <c r="O3747" s="5"/>
      <c r="P3747" s="5"/>
      <c r="Q3747" s="5"/>
      <c r="R3747" s="8"/>
      <c r="S3747" s="8"/>
      <c r="T3747" s="3"/>
    </row>
    <row r="3748" spans="14:20" x14ac:dyDescent="0.3">
      <c r="N3748" s="5"/>
      <c r="O3748" s="5"/>
      <c r="P3748" s="5"/>
      <c r="Q3748" s="5"/>
      <c r="R3748" s="8"/>
      <c r="S3748" s="8"/>
      <c r="T3748" s="3"/>
    </row>
    <row r="3749" spans="14:20" x14ac:dyDescent="0.3">
      <c r="N3749" s="5"/>
      <c r="O3749" s="5"/>
      <c r="P3749" s="5"/>
      <c r="Q3749" s="5"/>
      <c r="R3749" s="8"/>
      <c r="S3749" s="8"/>
      <c r="T3749" s="3"/>
    </row>
    <row r="3750" spans="14:20" x14ac:dyDescent="0.3">
      <c r="N3750" s="5"/>
      <c r="O3750" s="5"/>
      <c r="P3750" s="5"/>
      <c r="Q3750" s="5"/>
      <c r="R3750" s="8"/>
      <c r="S3750" s="8"/>
      <c r="T3750" s="3"/>
    </row>
    <row r="3751" spans="14:20" x14ac:dyDescent="0.3">
      <c r="N3751" s="5"/>
      <c r="O3751" s="5"/>
      <c r="P3751" s="5"/>
      <c r="Q3751" s="5"/>
      <c r="R3751" s="8"/>
      <c r="S3751" s="8"/>
      <c r="T3751" s="3"/>
    </row>
    <row r="3752" spans="14:20" x14ac:dyDescent="0.3">
      <c r="N3752" s="5"/>
      <c r="O3752" s="5"/>
      <c r="P3752" s="5"/>
      <c r="Q3752" s="5"/>
      <c r="R3752" s="8"/>
      <c r="S3752" s="8"/>
      <c r="T3752" s="3"/>
    </row>
    <row r="3753" spans="14:20" x14ac:dyDescent="0.3">
      <c r="N3753" s="5"/>
      <c r="O3753" s="5"/>
      <c r="P3753" s="5"/>
      <c r="Q3753" s="5"/>
      <c r="R3753" s="8"/>
      <c r="S3753" s="8"/>
      <c r="T3753" s="3"/>
    </row>
    <row r="3754" spans="14:20" x14ac:dyDescent="0.3">
      <c r="N3754" s="5"/>
      <c r="O3754" s="5"/>
      <c r="P3754" s="5"/>
      <c r="Q3754" s="5"/>
      <c r="R3754" s="8"/>
      <c r="S3754" s="8"/>
      <c r="T3754" s="3"/>
    </row>
    <row r="3755" spans="14:20" x14ac:dyDescent="0.3">
      <c r="N3755" s="5"/>
      <c r="O3755" s="5"/>
      <c r="P3755" s="5"/>
      <c r="Q3755" s="5"/>
      <c r="R3755" s="8"/>
      <c r="S3755" s="8"/>
      <c r="T3755" s="3"/>
    </row>
    <row r="3756" spans="14:20" x14ac:dyDescent="0.3">
      <c r="N3756" s="5"/>
      <c r="O3756" s="5"/>
      <c r="P3756" s="5"/>
      <c r="Q3756" s="5"/>
      <c r="R3756" s="8"/>
      <c r="S3756" s="8"/>
      <c r="T3756" s="3"/>
    </row>
    <row r="3757" spans="14:20" x14ac:dyDescent="0.3">
      <c r="N3757" s="5"/>
      <c r="O3757" s="5"/>
      <c r="P3757" s="5"/>
      <c r="Q3757" s="5"/>
      <c r="R3757" s="8"/>
      <c r="S3757" s="8"/>
      <c r="T3757" s="3"/>
    </row>
    <row r="3758" spans="14:20" x14ac:dyDescent="0.3">
      <c r="N3758" s="5"/>
      <c r="O3758" s="5"/>
      <c r="P3758" s="5"/>
      <c r="Q3758" s="5"/>
      <c r="R3758" s="8"/>
      <c r="S3758" s="8"/>
      <c r="T3758" s="3"/>
    </row>
    <row r="3759" spans="14:20" x14ac:dyDescent="0.3">
      <c r="N3759" s="5"/>
      <c r="O3759" s="5"/>
      <c r="P3759" s="5"/>
      <c r="Q3759" s="5"/>
      <c r="R3759" s="8"/>
      <c r="S3759" s="8"/>
      <c r="T3759" s="3"/>
    </row>
    <row r="3760" spans="14:20" x14ac:dyDescent="0.3">
      <c r="N3760" s="5"/>
      <c r="O3760" s="5"/>
      <c r="P3760" s="5"/>
      <c r="Q3760" s="5"/>
      <c r="R3760" s="8"/>
      <c r="S3760" s="8"/>
      <c r="T3760" s="3"/>
    </row>
    <row r="3761" spans="14:20" x14ac:dyDescent="0.3">
      <c r="N3761" s="5"/>
      <c r="O3761" s="5"/>
      <c r="P3761" s="5"/>
      <c r="Q3761" s="5"/>
      <c r="R3761" s="8"/>
      <c r="S3761" s="8"/>
      <c r="T3761" s="3"/>
    </row>
    <row r="3762" spans="14:20" x14ac:dyDescent="0.3">
      <c r="N3762" s="5"/>
      <c r="O3762" s="5"/>
      <c r="P3762" s="5"/>
      <c r="Q3762" s="5"/>
      <c r="R3762" s="8"/>
      <c r="S3762" s="8"/>
      <c r="T3762" s="3"/>
    </row>
    <row r="3763" spans="14:20" x14ac:dyDescent="0.3">
      <c r="N3763" s="5"/>
      <c r="O3763" s="5"/>
      <c r="P3763" s="5"/>
      <c r="Q3763" s="5"/>
      <c r="R3763" s="8"/>
      <c r="S3763" s="8"/>
      <c r="T3763" s="3"/>
    </row>
    <row r="3764" spans="14:20" x14ac:dyDescent="0.3">
      <c r="N3764" s="5"/>
      <c r="O3764" s="5"/>
      <c r="P3764" s="5"/>
      <c r="Q3764" s="5"/>
      <c r="R3764" s="8"/>
      <c r="S3764" s="8"/>
      <c r="T3764" s="3"/>
    </row>
    <row r="3765" spans="14:20" x14ac:dyDescent="0.3">
      <c r="N3765" s="5"/>
      <c r="O3765" s="5"/>
      <c r="P3765" s="5"/>
      <c r="Q3765" s="5"/>
      <c r="R3765" s="8"/>
      <c r="S3765" s="8"/>
      <c r="T3765" s="3"/>
    </row>
    <row r="3766" spans="14:20" x14ac:dyDescent="0.3">
      <c r="N3766" s="5"/>
      <c r="O3766" s="5"/>
      <c r="P3766" s="5"/>
      <c r="Q3766" s="5"/>
      <c r="R3766" s="8"/>
      <c r="S3766" s="8"/>
      <c r="T3766" s="3"/>
    </row>
    <row r="3767" spans="14:20" x14ac:dyDescent="0.3">
      <c r="N3767" s="5"/>
      <c r="O3767" s="5"/>
      <c r="P3767" s="5"/>
      <c r="Q3767" s="5"/>
      <c r="R3767" s="8"/>
      <c r="S3767" s="8"/>
      <c r="T3767" s="3"/>
    </row>
    <row r="3768" spans="14:20" x14ac:dyDescent="0.3">
      <c r="N3768" s="5"/>
      <c r="O3768" s="5"/>
      <c r="P3768" s="5"/>
      <c r="Q3768" s="5"/>
      <c r="R3768" s="8"/>
      <c r="S3768" s="8"/>
      <c r="T3768" s="3"/>
    </row>
    <row r="3769" spans="14:20" x14ac:dyDescent="0.3">
      <c r="N3769" s="5"/>
      <c r="O3769" s="5"/>
      <c r="P3769" s="5"/>
      <c r="Q3769" s="5"/>
      <c r="R3769" s="8"/>
      <c r="S3769" s="8"/>
      <c r="T3769" s="3"/>
    </row>
    <row r="3770" spans="14:20" x14ac:dyDescent="0.3">
      <c r="N3770" s="5"/>
      <c r="O3770" s="5"/>
      <c r="P3770" s="5"/>
      <c r="Q3770" s="5"/>
      <c r="R3770" s="8"/>
      <c r="S3770" s="8"/>
      <c r="T3770" s="3"/>
    </row>
    <row r="3771" spans="14:20" x14ac:dyDescent="0.3">
      <c r="N3771" s="5"/>
      <c r="O3771" s="5"/>
      <c r="P3771" s="5"/>
      <c r="Q3771" s="5"/>
      <c r="R3771" s="8"/>
      <c r="S3771" s="8"/>
      <c r="T3771" s="3"/>
    </row>
    <row r="3772" spans="14:20" x14ac:dyDescent="0.3">
      <c r="N3772" s="5"/>
      <c r="O3772" s="5"/>
      <c r="P3772" s="5"/>
      <c r="Q3772" s="5"/>
      <c r="R3772" s="8"/>
      <c r="S3772" s="8"/>
      <c r="T3772" s="3"/>
    </row>
    <row r="3773" spans="14:20" x14ac:dyDescent="0.3">
      <c r="N3773" s="5"/>
      <c r="O3773" s="5"/>
      <c r="P3773" s="5"/>
      <c r="Q3773" s="5"/>
      <c r="R3773" s="8"/>
      <c r="S3773" s="8"/>
      <c r="T3773" s="3"/>
    </row>
    <row r="3774" spans="14:20" x14ac:dyDescent="0.3">
      <c r="N3774" s="5"/>
      <c r="O3774" s="5"/>
      <c r="P3774" s="5"/>
      <c r="Q3774" s="5"/>
      <c r="R3774" s="8"/>
      <c r="S3774" s="8"/>
      <c r="T3774" s="3"/>
    </row>
    <row r="3775" spans="14:20" x14ac:dyDescent="0.3">
      <c r="N3775" s="5"/>
      <c r="O3775" s="5"/>
      <c r="P3775" s="5"/>
      <c r="Q3775" s="5"/>
      <c r="R3775" s="8"/>
      <c r="S3775" s="8"/>
      <c r="T3775" s="3"/>
    </row>
    <row r="3776" spans="14:20" x14ac:dyDescent="0.3">
      <c r="N3776" s="5"/>
      <c r="O3776" s="5"/>
      <c r="P3776" s="5"/>
      <c r="Q3776" s="5"/>
      <c r="R3776" s="8"/>
      <c r="S3776" s="8"/>
      <c r="T3776" s="3"/>
    </row>
    <row r="3777" spans="14:20" x14ac:dyDescent="0.3">
      <c r="N3777" s="5"/>
      <c r="O3777" s="5"/>
      <c r="P3777" s="5"/>
      <c r="Q3777" s="5"/>
      <c r="R3777" s="8"/>
      <c r="S3777" s="8"/>
      <c r="T3777" s="3"/>
    </row>
    <row r="3778" spans="14:20" x14ac:dyDescent="0.3">
      <c r="N3778" s="5"/>
      <c r="O3778" s="5"/>
      <c r="P3778" s="5"/>
      <c r="Q3778" s="5"/>
      <c r="R3778" s="8"/>
      <c r="S3778" s="8"/>
      <c r="T3778" s="3"/>
    </row>
    <row r="3779" spans="14:20" x14ac:dyDescent="0.3">
      <c r="N3779" s="5"/>
      <c r="O3779" s="5"/>
      <c r="P3779" s="5"/>
      <c r="Q3779" s="5"/>
      <c r="R3779" s="8"/>
      <c r="S3779" s="8"/>
      <c r="T3779" s="3"/>
    </row>
    <row r="3780" spans="14:20" x14ac:dyDescent="0.3">
      <c r="N3780" s="5"/>
      <c r="O3780" s="5"/>
      <c r="P3780" s="5"/>
      <c r="Q3780" s="5"/>
      <c r="R3780" s="8"/>
      <c r="S3780" s="8"/>
      <c r="T3780" s="3"/>
    </row>
    <row r="3781" spans="14:20" x14ac:dyDescent="0.3">
      <c r="N3781" s="5"/>
      <c r="O3781" s="5"/>
      <c r="P3781" s="5"/>
      <c r="Q3781" s="5"/>
      <c r="R3781" s="8"/>
      <c r="S3781" s="8"/>
      <c r="T3781" s="3"/>
    </row>
    <row r="3782" spans="14:20" x14ac:dyDescent="0.3">
      <c r="N3782" s="5"/>
      <c r="O3782" s="5"/>
      <c r="P3782" s="5"/>
      <c r="Q3782" s="5"/>
      <c r="R3782" s="8"/>
      <c r="S3782" s="8"/>
      <c r="T3782" s="3"/>
    </row>
    <row r="3783" spans="14:20" x14ac:dyDescent="0.3">
      <c r="N3783" s="5"/>
      <c r="O3783" s="5"/>
      <c r="P3783" s="5"/>
      <c r="Q3783" s="5"/>
      <c r="R3783" s="8"/>
      <c r="S3783" s="8"/>
      <c r="T3783" s="3"/>
    </row>
    <row r="3784" spans="14:20" x14ac:dyDescent="0.3">
      <c r="N3784" s="5"/>
      <c r="O3784" s="5"/>
      <c r="P3784" s="5"/>
      <c r="Q3784" s="5"/>
      <c r="R3784" s="8"/>
      <c r="S3784" s="8"/>
      <c r="T3784" s="3"/>
    </row>
    <row r="3785" spans="14:20" x14ac:dyDescent="0.3">
      <c r="N3785" s="5"/>
      <c r="O3785" s="5"/>
      <c r="P3785" s="5"/>
      <c r="Q3785" s="5"/>
      <c r="R3785" s="8"/>
      <c r="S3785" s="8"/>
      <c r="T3785" s="3"/>
    </row>
    <row r="3786" spans="14:20" x14ac:dyDescent="0.3">
      <c r="N3786" s="5"/>
      <c r="O3786" s="5"/>
      <c r="P3786" s="5"/>
      <c r="Q3786" s="5"/>
      <c r="R3786" s="8"/>
      <c r="S3786" s="8"/>
      <c r="T3786" s="3"/>
    </row>
    <row r="3787" spans="14:20" x14ac:dyDescent="0.3">
      <c r="N3787" s="5"/>
      <c r="O3787" s="5"/>
      <c r="P3787" s="5"/>
      <c r="Q3787" s="5"/>
      <c r="R3787" s="8"/>
      <c r="S3787" s="8"/>
      <c r="T3787" s="3"/>
    </row>
    <row r="3788" spans="14:20" x14ac:dyDescent="0.3">
      <c r="N3788" s="5"/>
      <c r="O3788" s="5"/>
      <c r="P3788" s="5"/>
      <c r="Q3788" s="5"/>
      <c r="R3788" s="8"/>
      <c r="S3788" s="8"/>
      <c r="T3788" s="3"/>
    </row>
    <row r="3789" spans="14:20" x14ac:dyDescent="0.3">
      <c r="N3789" s="5"/>
      <c r="O3789" s="5"/>
      <c r="P3789" s="5"/>
      <c r="Q3789" s="5"/>
      <c r="R3789" s="8"/>
      <c r="S3789" s="8"/>
      <c r="T3789" s="3"/>
    </row>
    <row r="3790" spans="14:20" x14ac:dyDescent="0.3">
      <c r="N3790" s="5"/>
      <c r="O3790" s="5"/>
      <c r="P3790" s="5"/>
      <c r="Q3790" s="5"/>
      <c r="R3790" s="8"/>
      <c r="S3790" s="8"/>
      <c r="T3790" s="3"/>
    </row>
    <row r="3791" spans="14:20" x14ac:dyDescent="0.3">
      <c r="N3791" s="5"/>
      <c r="O3791" s="5"/>
      <c r="P3791" s="5"/>
      <c r="Q3791" s="5"/>
      <c r="R3791" s="8"/>
      <c r="S3791" s="8"/>
      <c r="T3791" s="3"/>
    </row>
    <row r="3792" spans="14:20" x14ac:dyDescent="0.3">
      <c r="N3792" s="5"/>
      <c r="O3792" s="5"/>
      <c r="P3792" s="5"/>
      <c r="Q3792" s="5"/>
      <c r="R3792" s="8"/>
      <c r="S3792" s="8"/>
      <c r="T3792" s="3"/>
    </row>
    <row r="3793" spans="14:20" x14ac:dyDescent="0.3">
      <c r="N3793" s="5"/>
      <c r="O3793" s="5"/>
      <c r="P3793" s="5"/>
      <c r="Q3793" s="5"/>
      <c r="R3793" s="8"/>
      <c r="S3793" s="8"/>
      <c r="T3793" s="3"/>
    </row>
    <row r="3794" spans="14:20" x14ac:dyDescent="0.3">
      <c r="N3794" s="5"/>
      <c r="O3794" s="5"/>
      <c r="P3794" s="5"/>
      <c r="Q3794" s="5"/>
      <c r="R3794" s="8"/>
      <c r="S3794" s="8"/>
      <c r="T3794" s="3"/>
    </row>
    <row r="3795" spans="14:20" x14ac:dyDescent="0.3">
      <c r="N3795" s="5"/>
      <c r="O3795" s="5"/>
      <c r="P3795" s="5"/>
      <c r="Q3795" s="5"/>
      <c r="R3795" s="8"/>
      <c r="S3795" s="8"/>
      <c r="T3795" s="3"/>
    </row>
    <row r="3796" spans="14:20" x14ac:dyDescent="0.3">
      <c r="N3796" s="5"/>
      <c r="O3796" s="5"/>
      <c r="P3796" s="5"/>
      <c r="Q3796" s="5"/>
      <c r="R3796" s="8"/>
      <c r="S3796" s="8"/>
      <c r="T3796" s="3"/>
    </row>
    <row r="3797" spans="14:20" x14ac:dyDescent="0.3">
      <c r="N3797" s="5"/>
      <c r="O3797" s="5"/>
      <c r="P3797" s="5"/>
      <c r="Q3797" s="5"/>
      <c r="R3797" s="8"/>
      <c r="S3797" s="8"/>
      <c r="T3797" s="3"/>
    </row>
    <row r="3798" spans="14:20" x14ac:dyDescent="0.3">
      <c r="N3798" s="5"/>
      <c r="O3798" s="5"/>
      <c r="P3798" s="5"/>
      <c r="Q3798" s="5"/>
      <c r="R3798" s="8"/>
      <c r="S3798" s="8"/>
      <c r="T3798" s="3"/>
    </row>
    <row r="3799" spans="14:20" x14ac:dyDescent="0.3">
      <c r="N3799" s="5"/>
      <c r="O3799" s="5"/>
      <c r="P3799" s="5"/>
      <c r="Q3799" s="5"/>
      <c r="R3799" s="8"/>
      <c r="S3799" s="8"/>
      <c r="T3799" s="3"/>
    </row>
    <row r="3800" spans="14:20" x14ac:dyDescent="0.3">
      <c r="N3800" s="5"/>
      <c r="O3800" s="5"/>
      <c r="P3800" s="5"/>
      <c r="Q3800" s="5"/>
      <c r="R3800" s="8"/>
      <c r="S3800" s="8"/>
      <c r="T3800" s="3"/>
    </row>
    <row r="3801" spans="14:20" x14ac:dyDescent="0.3">
      <c r="N3801" s="5"/>
      <c r="O3801" s="5"/>
      <c r="P3801" s="5"/>
      <c r="Q3801" s="5"/>
      <c r="R3801" s="8"/>
      <c r="S3801" s="8"/>
      <c r="T3801" s="3"/>
    </row>
    <row r="3802" spans="14:20" x14ac:dyDescent="0.3">
      <c r="N3802" s="5"/>
      <c r="O3802" s="5"/>
      <c r="P3802" s="5"/>
      <c r="Q3802" s="5"/>
      <c r="R3802" s="8"/>
      <c r="S3802" s="8"/>
      <c r="T3802" s="3"/>
    </row>
    <row r="3803" spans="14:20" x14ac:dyDescent="0.3">
      <c r="N3803" s="5"/>
      <c r="O3803" s="5"/>
      <c r="P3803" s="5"/>
      <c r="Q3803" s="5"/>
      <c r="R3803" s="8"/>
      <c r="S3803" s="8"/>
      <c r="T3803" s="3"/>
    </row>
    <row r="3804" spans="14:20" x14ac:dyDescent="0.3">
      <c r="N3804" s="5"/>
      <c r="O3804" s="5"/>
      <c r="P3804" s="5"/>
      <c r="Q3804" s="5"/>
      <c r="R3804" s="8"/>
      <c r="S3804" s="8"/>
      <c r="T3804" s="3"/>
    </row>
    <row r="3805" spans="14:20" x14ac:dyDescent="0.3">
      <c r="N3805" s="5"/>
      <c r="O3805" s="5"/>
      <c r="P3805" s="5"/>
      <c r="Q3805" s="5"/>
      <c r="R3805" s="8"/>
      <c r="S3805" s="8"/>
      <c r="T3805" s="3"/>
    </row>
    <row r="3806" spans="14:20" x14ac:dyDescent="0.3">
      <c r="N3806" s="5"/>
      <c r="O3806" s="5"/>
      <c r="P3806" s="5"/>
      <c r="Q3806" s="5"/>
      <c r="R3806" s="8"/>
      <c r="S3806" s="8"/>
      <c r="T3806" s="3"/>
    </row>
    <row r="3807" spans="14:20" x14ac:dyDescent="0.3">
      <c r="N3807" s="5"/>
      <c r="O3807" s="5"/>
      <c r="P3807" s="5"/>
      <c r="Q3807" s="5"/>
      <c r="R3807" s="8"/>
      <c r="S3807" s="8"/>
      <c r="T3807" s="3"/>
    </row>
    <row r="3808" spans="14:20" x14ac:dyDescent="0.3">
      <c r="N3808" s="5"/>
      <c r="O3808" s="5"/>
      <c r="P3808" s="5"/>
      <c r="Q3808" s="5"/>
      <c r="R3808" s="8"/>
      <c r="S3808" s="8"/>
      <c r="T3808" s="3"/>
    </row>
    <row r="3809" spans="14:20" x14ac:dyDescent="0.3">
      <c r="N3809" s="5"/>
      <c r="O3809" s="5"/>
      <c r="P3809" s="5"/>
      <c r="Q3809" s="5"/>
      <c r="R3809" s="8"/>
      <c r="S3809" s="8"/>
      <c r="T3809" s="3"/>
    </row>
    <row r="3810" spans="14:20" x14ac:dyDescent="0.3">
      <c r="N3810" s="5"/>
      <c r="O3810" s="5"/>
      <c r="P3810" s="5"/>
      <c r="Q3810" s="5"/>
      <c r="R3810" s="8"/>
      <c r="S3810" s="8"/>
      <c r="T3810" s="3"/>
    </row>
    <row r="3811" spans="14:20" x14ac:dyDescent="0.3">
      <c r="N3811" s="5"/>
      <c r="O3811" s="5"/>
      <c r="P3811" s="5"/>
      <c r="Q3811" s="5"/>
      <c r="R3811" s="8"/>
      <c r="S3811" s="8"/>
      <c r="T3811" s="3"/>
    </row>
    <row r="3812" spans="14:20" x14ac:dyDescent="0.3">
      <c r="N3812" s="5"/>
      <c r="O3812" s="5"/>
      <c r="P3812" s="5"/>
      <c r="Q3812" s="5"/>
      <c r="R3812" s="8"/>
      <c r="S3812" s="8"/>
      <c r="T3812" s="3"/>
    </row>
    <row r="3813" spans="14:20" x14ac:dyDescent="0.3">
      <c r="N3813" s="5"/>
      <c r="O3813" s="5"/>
      <c r="P3813" s="5"/>
      <c r="Q3813" s="5"/>
      <c r="R3813" s="8"/>
      <c r="S3813" s="8"/>
      <c r="T3813" s="3"/>
    </row>
    <row r="3814" spans="14:20" x14ac:dyDescent="0.3">
      <c r="N3814" s="5"/>
      <c r="O3814" s="5"/>
      <c r="P3814" s="5"/>
      <c r="Q3814" s="5"/>
      <c r="R3814" s="8"/>
      <c r="S3814" s="8"/>
      <c r="T3814" s="3"/>
    </row>
    <row r="3815" spans="14:20" x14ac:dyDescent="0.3">
      <c r="N3815" s="5"/>
      <c r="O3815" s="5"/>
      <c r="P3815" s="5"/>
      <c r="Q3815" s="5"/>
      <c r="R3815" s="8"/>
      <c r="S3815" s="8"/>
      <c r="T3815" s="3"/>
    </row>
    <row r="3816" spans="14:20" x14ac:dyDescent="0.3">
      <c r="N3816" s="5"/>
      <c r="O3816" s="5"/>
      <c r="P3816" s="5"/>
      <c r="Q3816" s="5"/>
      <c r="R3816" s="8"/>
      <c r="S3816" s="8"/>
      <c r="T3816" s="3"/>
    </row>
    <row r="3817" spans="14:20" x14ac:dyDescent="0.3">
      <c r="N3817" s="5"/>
      <c r="O3817" s="5"/>
      <c r="P3817" s="5"/>
      <c r="Q3817" s="5"/>
      <c r="R3817" s="8"/>
      <c r="S3817" s="8"/>
      <c r="T3817" s="3"/>
    </row>
    <row r="3818" spans="14:20" x14ac:dyDescent="0.3">
      <c r="N3818" s="5"/>
      <c r="O3818" s="5"/>
      <c r="P3818" s="5"/>
      <c r="Q3818" s="5"/>
      <c r="R3818" s="8"/>
      <c r="S3818" s="8"/>
      <c r="T3818" s="3"/>
    </row>
    <row r="3819" spans="14:20" x14ac:dyDescent="0.3">
      <c r="N3819" s="5"/>
      <c r="O3819" s="5"/>
      <c r="P3819" s="5"/>
      <c r="Q3819" s="5"/>
      <c r="R3819" s="8"/>
      <c r="S3819" s="8"/>
      <c r="T3819" s="3"/>
    </row>
    <row r="3820" spans="14:20" x14ac:dyDescent="0.3">
      <c r="N3820" s="5"/>
      <c r="O3820" s="5"/>
      <c r="P3820" s="5"/>
      <c r="Q3820" s="5"/>
      <c r="R3820" s="8"/>
      <c r="S3820" s="8"/>
      <c r="T3820" s="3"/>
    </row>
    <row r="3821" spans="14:20" x14ac:dyDescent="0.3">
      <c r="N3821" s="5"/>
      <c r="O3821" s="5"/>
      <c r="P3821" s="5"/>
      <c r="Q3821" s="5"/>
      <c r="R3821" s="8"/>
      <c r="S3821" s="8"/>
      <c r="T3821" s="3"/>
    </row>
    <row r="3822" spans="14:20" x14ac:dyDescent="0.3">
      <c r="N3822" s="5"/>
      <c r="O3822" s="5"/>
      <c r="P3822" s="5"/>
      <c r="Q3822" s="5"/>
      <c r="R3822" s="8"/>
      <c r="S3822" s="8"/>
      <c r="T3822" s="3"/>
    </row>
    <row r="3823" spans="14:20" x14ac:dyDescent="0.3">
      <c r="N3823" s="5"/>
      <c r="O3823" s="5"/>
      <c r="P3823" s="5"/>
      <c r="Q3823" s="5"/>
      <c r="R3823" s="8"/>
      <c r="S3823" s="8"/>
      <c r="T3823" s="3"/>
    </row>
    <row r="3824" spans="14:20" x14ac:dyDescent="0.3">
      <c r="N3824" s="5"/>
      <c r="O3824" s="5"/>
      <c r="P3824" s="5"/>
      <c r="Q3824" s="5"/>
      <c r="R3824" s="8"/>
      <c r="S3824" s="8"/>
      <c r="T3824" s="3"/>
    </row>
    <row r="3825" spans="14:20" x14ac:dyDescent="0.3">
      <c r="N3825" s="5"/>
      <c r="O3825" s="5"/>
      <c r="P3825" s="5"/>
      <c r="Q3825" s="5"/>
      <c r="R3825" s="8"/>
      <c r="S3825" s="8"/>
      <c r="T3825" s="3"/>
    </row>
    <row r="3826" spans="14:20" x14ac:dyDescent="0.3">
      <c r="N3826" s="5"/>
      <c r="O3826" s="5"/>
      <c r="P3826" s="5"/>
      <c r="Q3826" s="5"/>
      <c r="R3826" s="8"/>
      <c r="S3826" s="8"/>
      <c r="T3826" s="3"/>
    </row>
    <row r="3827" spans="14:20" x14ac:dyDescent="0.3">
      <c r="N3827" s="5"/>
      <c r="O3827" s="5"/>
      <c r="P3827" s="5"/>
      <c r="Q3827" s="5"/>
      <c r="R3827" s="8"/>
      <c r="S3827" s="8"/>
      <c r="T3827" s="3"/>
    </row>
    <row r="3828" spans="14:20" x14ac:dyDescent="0.3">
      <c r="N3828" s="5"/>
      <c r="O3828" s="5"/>
      <c r="P3828" s="5"/>
      <c r="Q3828" s="5"/>
      <c r="R3828" s="8"/>
      <c r="S3828" s="8"/>
      <c r="T3828" s="3"/>
    </row>
    <row r="3829" spans="14:20" x14ac:dyDescent="0.3">
      <c r="N3829" s="5"/>
      <c r="O3829" s="5"/>
      <c r="P3829" s="5"/>
      <c r="Q3829" s="5"/>
      <c r="R3829" s="8"/>
      <c r="S3829" s="8"/>
      <c r="T3829" s="3"/>
    </row>
    <row r="3830" spans="14:20" x14ac:dyDescent="0.3">
      <c r="N3830" s="5"/>
      <c r="O3830" s="5"/>
      <c r="P3830" s="5"/>
      <c r="Q3830" s="5"/>
      <c r="R3830" s="8"/>
      <c r="S3830" s="8"/>
      <c r="T3830" s="3"/>
    </row>
    <row r="3831" spans="14:20" x14ac:dyDescent="0.3">
      <c r="N3831" s="5"/>
      <c r="O3831" s="5"/>
      <c r="P3831" s="5"/>
      <c r="Q3831" s="5"/>
      <c r="R3831" s="8"/>
      <c r="S3831" s="8"/>
      <c r="T3831" s="3"/>
    </row>
    <row r="3832" spans="14:20" x14ac:dyDescent="0.3">
      <c r="N3832" s="5"/>
      <c r="O3832" s="5"/>
      <c r="P3832" s="5"/>
      <c r="Q3832" s="5"/>
      <c r="R3832" s="8"/>
      <c r="S3832" s="8"/>
      <c r="T3832" s="3"/>
    </row>
    <row r="3833" spans="14:20" x14ac:dyDescent="0.3">
      <c r="N3833" s="5"/>
      <c r="O3833" s="5"/>
      <c r="P3833" s="5"/>
      <c r="Q3833" s="5"/>
      <c r="R3833" s="8"/>
      <c r="S3833" s="8"/>
      <c r="T3833" s="3"/>
    </row>
    <row r="3834" spans="14:20" x14ac:dyDescent="0.3">
      <c r="N3834" s="5"/>
      <c r="O3834" s="5"/>
      <c r="P3834" s="5"/>
      <c r="Q3834" s="5"/>
      <c r="R3834" s="8"/>
      <c r="S3834" s="8"/>
      <c r="T3834" s="3"/>
    </row>
    <row r="3835" spans="14:20" x14ac:dyDescent="0.3">
      <c r="N3835" s="5"/>
      <c r="O3835" s="5"/>
      <c r="P3835" s="5"/>
      <c r="Q3835" s="5"/>
      <c r="R3835" s="8"/>
      <c r="S3835" s="8"/>
      <c r="T3835" s="3"/>
    </row>
    <row r="3836" spans="14:20" x14ac:dyDescent="0.3">
      <c r="N3836" s="5"/>
      <c r="O3836" s="5"/>
      <c r="P3836" s="5"/>
      <c r="Q3836" s="5"/>
      <c r="R3836" s="8"/>
      <c r="S3836" s="8"/>
      <c r="T3836" s="3"/>
    </row>
    <row r="3837" spans="14:20" x14ac:dyDescent="0.3">
      <c r="N3837" s="5"/>
      <c r="O3837" s="5"/>
      <c r="P3837" s="5"/>
      <c r="Q3837" s="5"/>
      <c r="R3837" s="8"/>
      <c r="S3837" s="8"/>
      <c r="T3837" s="3"/>
    </row>
    <row r="3838" spans="14:20" x14ac:dyDescent="0.3">
      <c r="N3838" s="5"/>
      <c r="O3838" s="5"/>
      <c r="P3838" s="5"/>
      <c r="Q3838" s="5"/>
      <c r="R3838" s="8"/>
      <c r="S3838" s="8"/>
      <c r="T3838" s="3"/>
    </row>
    <row r="3839" spans="14:20" x14ac:dyDescent="0.3">
      <c r="N3839" s="5"/>
      <c r="O3839" s="5"/>
      <c r="P3839" s="5"/>
      <c r="Q3839" s="5"/>
      <c r="R3839" s="8"/>
      <c r="S3839" s="8"/>
      <c r="T3839" s="3"/>
    </row>
    <row r="3840" spans="14:20" x14ac:dyDescent="0.3">
      <c r="N3840" s="5"/>
      <c r="O3840" s="5"/>
      <c r="P3840" s="5"/>
      <c r="Q3840" s="5"/>
      <c r="R3840" s="8"/>
      <c r="S3840" s="8"/>
      <c r="T3840" s="3"/>
    </row>
    <row r="3841" spans="14:20" x14ac:dyDescent="0.3">
      <c r="N3841" s="5"/>
      <c r="O3841" s="5"/>
      <c r="P3841" s="5"/>
      <c r="Q3841" s="5"/>
      <c r="R3841" s="8"/>
      <c r="S3841" s="8"/>
      <c r="T3841" s="3"/>
    </row>
    <row r="3842" spans="14:20" x14ac:dyDescent="0.3">
      <c r="N3842" s="5"/>
      <c r="O3842" s="5"/>
      <c r="P3842" s="5"/>
      <c r="Q3842" s="5"/>
      <c r="R3842" s="8"/>
      <c r="S3842" s="8"/>
      <c r="T3842" s="3"/>
    </row>
    <row r="3843" spans="14:20" x14ac:dyDescent="0.3">
      <c r="N3843" s="5"/>
      <c r="O3843" s="5"/>
      <c r="P3843" s="5"/>
      <c r="Q3843" s="5"/>
      <c r="R3843" s="8"/>
      <c r="S3843" s="8"/>
      <c r="T3843" s="3"/>
    </row>
    <row r="3844" spans="14:20" x14ac:dyDescent="0.3">
      <c r="N3844" s="5"/>
      <c r="O3844" s="5"/>
      <c r="P3844" s="5"/>
      <c r="Q3844" s="5"/>
      <c r="R3844" s="8"/>
      <c r="S3844" s="8"/>
      <c r="T3844" s="3"/>
    </row>
    <row r="3845" spans="14:20" x14ac:dyDescent="0.3">
      <c r="N3845" s="5"/>
      <c r="O3845" s="5"/>
      <c r="P3845" s="5"/>
      <c r="Q3845" s="5"/>
      <c r="R3845" s="8"/>
      <c r="S3845" s="8"/>
      <c r="T3845" s="3"/>
    </row>
    <row r="3846" spans="14:20" x14ac:dyDescent="0.3">
      <c r="N3846" s="5"/>
      <c r="O3846" s="5"/>
      <c r="P3846" s="5"/>
      <c r="Q3846" s="5"/>
      <c r="R3846" s="8"/>
      <c r="S3846" s="8"/>
      <c r="T3846" s="3"/>
    </row>
    <row r="3847" spans="14:20" x14ac:dyDescent="0.3">
      <c r="N3847" s="5"/>
      <c r="O3847" s="5"/>
      <c r="P3847" s="5"/>
      <c r="Q3847" s="5"/>
      <c r="R3847" s="8"/>
      <c r="S3847" s="8"/>
      <c r="T3847" s="3"/>
    </row>
    <row r="3848" spans="14:20" x14ac:dyDescent="0.3">
      <c r="N3848" s="5"/>
      <c r="O3848" s="5"/>
      <c r="P3848" s="5"/>
      <c r="Q3848" s="5"/>
      <c r="R3848" s="8"/>
      <c r="S3848" s="8"/>
      <c r="T3848" s="3"/>
    </row>
    <row r="3849" spans="14:20" x14ac:dyDescent="0.3">
      <c r="N3849" s="5"/>
      <c r="O3849" s="5"/>
      <c r="P3849" s="5"/>
      <c r="Q3849" s="5"/>
      <c r="R3849" s="8"/>
      <c r="S3849" s="8"/>
      <c r="T3849" s="3"/>
    </row>
    <row r="3850" spans="14:20" x14ac:dyDescent="0.3">
      <c r="N3850" s="5"/>
      <c r="O3850" s="5"/>
      <c r="P3850" s="5"/>
      <c r="Q3850" s="5"/>
      <c r="R3850" s="8"/>
      <c r="S3850" s="8"/>
      <c r="T3850" s="3"/>
    </row>
    <row r="3851" spans="14:20" x14ac:dyDescent="0.3">
      <c r="N3851" s="5"/>
      <c r="O3851" s="5"/>
      <c r="P3851" s="5"/>
      <c r="Q3851" s="5"/>
      <c r="R3851" s="8"/>
      <c r="S3851" s="8"/>
      <c r="T3851" s="3"/>
    </row>
    <row r="3852" spans="14:20" x14ac:dyDescent="0.3">
      <c r="N3852" s="5"/>
      <c r="O3852" s="5"/>
      <c r="P3852" s="5"/>
      <c r="Q3852" s="5"/>
      <c r="R3852" s="8"/>
      <c r="S3852" s="8"/>
      <c r="T3852" s="3"/>
    </row>
    <row r="3853" spans="14:20" x14ac:dyDescent="0.3">
      <c r="N3853" s="5"/>
      <c r="O3853" s="5"/>
      <c r="P3853" s="5"/>
      <c r="Q3853" s="5"/>
      <c r="R3853" s="8"/>
      <c r="S3853" s="8"/>
      <c r="T3853" s="3"/>
    </row>
    <row r="3854" spans="14:20" x14ac:dyDescent="0.3">
      <c r="N3854" s="5"/>
      <c r="O3854" s="5"/>
      <c r="P3854" s="5"/>
      <c r="Q3854" s="5"/>
      <c r="R3854" s="8"/>
      <c r="S3854" s="8"/>
      <c r="T3854" s="3"/>
    </row>
    <row r="3855" spans="14:20" x14ac:dyDescent="0.3">
      <c r="N3855" s="5"/>
      <c r="O3855" s="5"/>
      <c r="P3855" s="5"/>
      <c r="Q3855" s="5"/>
      <c r="R3855" s="8"/>
      <c r="S3855" s="8"/>
      <c r="T3855" s="3"/>
    </row>
    <row r="3856" spans="14:20" x14ac:dyDescent="0.3">
      <c r="N3856" s="5"/>
      <c r="O3856" s="5"/>
      <c r="P3856" s="5"/>
      <c r="Q3856" s="5"/>
      <c r="R3856" s="8"/>
      <c r="S3856" s="8"/>
      <c r="T3856" s="3"/>
    </row>
    <row r="3857" spans="14:20" x14ac:dyDescent="0.3">
      <c r="N3857" s="5"/>
      <c r="O3857" s="5"/>
      <c r="P3857" s="5"/>
      <c r="Q3857" s="5"/>
      <c r="R3857" s="8"/>
      <c r="S3857" s="8"/>
      <c r="T3857" s="3"/>
    </row>
    <row r="3858" spans="14:20" x14ac:dyDescent="0.3">
      <c r="N3858" s="5"/>
      <c r="O3858" s="5"/>
      <c r="P3858" s="5"/>
      <c r="Q3858" s="5"/>
      <c r="R3858" s="8"/>
      <c r="S3858" s="8"/>
      <c r="T3858" s="3"/>
    </row>
    <row r="3859" spans="14:20" x14ac:dyDescent="0.3">
      <c r="N3859" s="5"/>
      <c r="O3859" s="5"/>
      <c r="P3859" s="5"/>
      <c r="Q3859" s="5"/>
      <c r="R3859" s="8"/>
      <c r="S3859" s="8"/>
      <c r="T3859" s="3"/>
    </row>
    <row r="3860" spans="14:20" x14ac:dyDescent="0.3">
      <c r="N3860" s="5"/>
      <c r="O3860" s="5"/>
      <c r="P3860" s="5"/>
      <c r="Q3860" s="5"/>
      <c r="R3860" s="8"/>
      <c r="S3860" s="8"/>
      <c r="T3860" s="3"/>
    </row>
    <row r="3861" spans="14:20" x14ac:dyDescent="0.3">
      <c r="N3861" s="5"/>
      <c r="O3861" s="5"/>
      <c r="P3861" s="5"/>
      <c r="Q3861" s="5"/>
      <c r="R3861" s="8"/>
      <c r="S3861" s="8"/>
      <c r="T3861" s="3"/>
    </row>
    <row r="3862" spans="14:20" x14ac:dyDescent="0.3">
      <c r="N3862" s="5"/>
      <c r="O3862" s="5"/>
      <c r="P3862" s="5"/>
      <c r="Q3862" s="5"/>
      <c r="R3862" s="8"/>
      <c r="S3862" s="8"/>
      <c r="T3862" s="3"/>
    </row>
    <row r="3863" spans="14:20" x14ac:dyDescent="0.3">
      <c r="N3863" s="5"/>
      <c r="O3863" s="5"/>
      <c r="P3863" s="5"/>
      <c r="Q3863" s="5"/>
      <c r="R3863" s="8"/>
      <c r="S3863" s="8"/>
      <c r="T3863" s="3"/>
    </row>
    <row r="3864" spans="14:20" x14ac:dyDescent="0.3">
      <c r="N3864" s="5"/>
      <c r="O3864" s="5"/>
      <c r="P3864" s="5"/>
      <c r="Q3864" s="5"/>
      <c r="R3864" s="8"/>
      <c r="S3864" s="8"/>
      <c r="T3864" s="3"/>
    </row>
    <row r="3865" spans="14:20" x14ac:dyDescent="0.3">
      <c r="N3865" s="5"/>
      <c r="O3865" s="5"/>
      <c r="P3865" s="5"/>
      <c r="Q3865" s="5"/>
      <c r="R3865" s="8"/>
      <c r="S3865" s="8"/>
      <c r="T3865" s="3"/>
    </row>
    <row r="3866" spans="14:20" x14ac:dyDescent="0.3">
      <c r="N3866" s="5"/>
      <c r="O3866" s="5"/>
      <c r="P3866" s="5"/>
      <c r="Q3866" s="5"/>
      <c r="R3866" s="8"/>
      <c r="S3866" s="8"/>
      <c r="T3866" s="3"/>
    </row>
    <row r="3867" spans="14:20" x14ac:dyDescent="0.3">
      <c r="N3867" s="5"/>
      <c r="O3867" s="5"/>
      <c r="P3867" s="5"/>
      <c r="Q3867" s="5"/>
      <c r="R3867" s="8"/>
      <c r="S3867" s="8"/>
      <c r="T3867" s="3"/>
    </row>
    <row r="3868" spans="14:20" x14ac:dyDescent="0.3">
      <c r="N3868" s="5"/>
      <c r="O3868" s="5"/>
      <c r="P3868" s="5"/>
      <c r="Q3868" s="5"/>
      <c r="R3868" s="8"/>
      <c r="S3868" s="8"/>
      <c r="T3868" s="3"/>
    </row>
    <row r="3869" spans="14:20" x14ac:dyDescent="0.3">
      <c r="N3869" s="5"/>
      <c r="O3869" s="5"/>
      <c r="P3869" s="5"/>
      <c r="Q3869" s="5"/>
      <c r="R3869" s="8"/>
      <c r="S3869" s="8"/>
      <c r="T3869" s="3"/>
    </row>
    <row r="3870" spans="14:20" x14ac:dyDescent="0.3">
      <c r="N3870" s="5"/>
      <c r="O3870" s="5"/>
      <c r="P3870" s="5"/>
      <c r="Q3870" s="5"/>
      <c r="R3870" s="8"/>
      <c r="S3870" s="8"/>
      <c r="T3870" s="3"/>
    </row>
    <row r="3871" spans="14:20" x14ac:dyDescent="0.3">
      <c r="N3871" s="5"/>
      <c r="O3871" s="5"/>
      <c r="P3871" s="5"/>
      <c r="Q3871" s="5"/>
      <c r="R3871" s="8"/>
      <c r="S3871" s="8"/>
      <c r="T3871" s="3"/>
    </row>
    <row r="3872" spans="14:20" x14ac:dyDescent="0.3">
      <c r="N3872" s="5"/>
      <c r="O3872" s="5"/>
      <c r="P3872" s="5"/>
      <c r="Q3872" s="5"/>
      <c r="R3872" s="8"/>
      <c r="S3872" s="8"/>
      <c r="T3872" s="3"/>
    </row>
    <row r="3873" spans="14:20" x14ac:dyDescent="0.3">
      <c r="N3873" s="5"/>
      <c r="O3873" s="5"/>
      <c r="P3873" s="5"/>
      <c r="Q3873" s="5"/>
      <c r="R3873" s="8"/>
      <c r="S3873" s="8"/>
      <c r="T3873" s="3"/>
    </row>
    <row r="3874" spans="14:20" x14ac:dyDescent="0.3">
      <c r="N3874" s="5"/>
      <c r="O3874" s="5"/>
      <c r="P3874" s="5"/>
      <c r="Q3874" s="5"/>
      <c r="R3874" s="8"/>
      <c r="S3874" s="8"/>
      <c r="T3874" s="3"/>
    </row>
    <row r="3875" spans="14:20" x14ac:dyDescent="0.3">
      <c r="N3875" s="5"/>
      <c r="O3875" s="5"/>
      <c r="P3875" s="5"/>
      <c r="Q3875" s="5"/>
      <c r="R3875" s="8"/>
      <c r="S3875" s="8"/>
      <c r="T3875" s="3"/>
    </row>
    <row r="3876" spans="14:20" x14ac:dyDescent="0.3">
      <c r="N3876" s="5"/>
      <c r="O3876" s="5"/>
      <c r="P3876" s="5"/>
      <c r="Q3876" s="5"/>
      <c r="R3876" s="8"/>
      <c r="S3876" s="8"/>
      <c r="T3876" s="3"/>
    </row>
    <row r="3877" spans="14:20" x14ac:dyDescent="0.3">
      <c r="N3877" s="5"/>
      <c r="O3877" s="5"/>
      <c r="P3877" s="5"/>
      <c r="Q3877" s="5"/>
      <c r="R3877" s="8"/>
      <c r="S3877" s="8"/>
      <c r="T3877" s="3"/>
    </row>
    <row r="3878" spans="14:20" x14ac:dyDescent="0.3">
      <c r="N3878" s="5"/>
      <c r="O3878" s="5"/>
      <c r="P3878" s="5"/>
      <c r="Q3878" s="5"/>
      <c r="R3878" s="8"/>
      <c r="S3878" s="8"/>
      <c r="T3878" s="3"/>
    </row>
    <row r="3879" spans="14:20" x14ac:dyDescent="0.3">
      <c r="N3879" s="5"/>
      <c r="O3879" s="5"/>
      <c r="P3879" s="5"/>
      <c r="Q3879" s="5"/>
      <c r="R3879" s="8"/>
      <c r="S3879" s="8"/>
      <c r="T3879" s="3"/>
    </row>
    <row r="3880" spans="14:20" x14ac:dyDescent="0.3">
      <c r="N3880" s="5"/>
      <c r="O3880" s="5"/>
      <c r="P3880" s="5"/>
      <c r="Q3880" s="5"/>
      <c r="R3880" s="8"/>
      <c r="S3880" s="8"/>
      <c r="T3880" s="3"/>
    </row>
    <row r="3881" spans="14:20" x14ac:dyDescent="0.3">
      <c r="N3881" s="5"/>
      <c r="O3881" s="5"/>
      <c r="P3881" s="5"/>
      <c r="Q3881" s="5"/>
      <c r="R3881" s="8"/>
      <c r="S3881" s="8"/>
      <c r="T3881" s="3"/>
    </row>
    <row r="3882" spans="14:20" x14ac:dyDescent="0.3">
      <c r="N3882" s="5"/>
      <c r="O3882" s="5"/>
      <c r="P3882" s="5"/>
      <c r="Q3882" s="5"/>
      <c r="R3882" s="8"/>
      <c r="S3882" s="8"/>
      <c r="T3882" s="3"/>
    </row>
    <row r="3883" spans="14:20" x14ac:dyDescent="0.3">
      <c r="N3883" s="5"/>
      <c r="O3883" s="5"/>
      <c r="P3883" s="5"/>
      <c r="Q3883" s="5"/>
      <c r="R3883" s="8"/>
      <c r="S3883" s="8"/>
      <c r="T3883" s="3"/>
    </row>
    <row r="3884" spans="14:20" x14ac:dyDescent="0.3">
      <c r="N3884" s="5"/>
      <c r="O3884" s="5"/>
      <c r="P3884" s="5"/>
      <c r="Q3884" s="5"/>
      <c r="R3884" s="8"/>
      <c r="S3884" s="8"/>
      <c r="T3884" s="3"/>
    </row>
    <row r="3885" spans="14:20" x14ac:dyDescent="0.3">
      <c r="N3885" s="5"/>
      <c r="O3885" s="5"/>
      <c r="P3885" s="5"/>
      <c r="Q3885" s="5"/>
      <c r="R3885" s="8"/>
      <c r="S3885" s="8"/>
      <c r="T3885" s="3"/>
    </row>
    <row r="3886" spans="14:20" x14ac:dyDescent="0.3">
      <c r="N3886" s="5"/>
      <c r="O3886" s="5"/>
      <c r="P3886" s="5"/>
      <c r="Q3886" s="5"/>
      <c r="R3886" s="8"/>
      <c r="S3886" s="8"/>
      <c r="T3886" s="3"/>
    </row>
    <row r="3887" spans="14:20" x14ac:dyDescent="0.3">
      <c r="N3887" s="5"/>
      <c r="O3887" s="5"/>
      <c r="P3887" s="5"/>
      <c r="Q3887" s="5"/>
      <c r="R3887" s="8"/>
      <c r="S3887" s="8"/>
      <c r="T3887" s="3"/>
    </row>
    <row r="3888" spans="14:20" x14ac:dyDescent="0.3">
      <c r="N3888" s="5"/>
      <c r="O3888" s="5"/>
      <c r="P3888" s="5"/>
      <c r="Q3888" s="5"/>
      <c r="R3888" s="8"/>
      <c r="S3888" s="8"/>
      <c r="T3888" s="3"/>
    </row>
    <row r="3889" spans="14:20" x14ac:dyDescent="0.3">
      <c r="N3889" s="5"/>
      <c r="O3889" s="5"/>
      <c r="P3889" s="5"/>
      <c r="Q3889" s="5"/>
      <c r="R3889" s="8"/>
      <c r="S3889" s="8"/>
      <c r="T3889" s="3"/>
    </row>
    <row r="3890" spans="14:20" x14ac:dyDescent="0.3">
      <c r="N3890" s="5"/>
      <c r="O3890" s="5"/>
      <c r="P3890" s="5"/>
      <c r="Q3890" s="5"/>
      <c r="R3890" s="8"/>
      <c r="S3890" s="8"/>
      <c r="T3890" s="3"/>
    </row>
    <row r="3891" spans="14:20" x14ac:dyDescent="0.3">
      <c r="N3891" s="5"/>
      <c r="O3891" s="5"/>
      <c r="P3891" s="5"/>
      <c r="Q3891" s="5"/>
      <c r="R3891" s="8"/>
      <c r="S3891" s="8"/>
      <c r="T3891" s="3"/>
    </row>
    <row r="3892" spans="14:20" x14ac:dyDescent="0.3">
      <c r="N3892" s="5"/>
      <c r="O3892" s="5"/>
      <c r="P3892" s="5"/>
      <c r="Q3892" s="5"/>
      <c r="R3892" s="8"/>
      <c r="S3892" s="8"/>
      <c r="T3892" s="3"/>
    </row>
    <row r="3893" spans="14:20" x14ac:dyDescent="0.3">
      <c r="N3893" s="5"/>
      <c r="O3893" s="5"/>
      <c r="P3893" s="5"/>
      <c r="Q3893" s="5"/>
      <c r="R3893" s="8"/>
      <c r="S3893" s="8"/>
      <c r="T3893" s="3"/>
    </row>
    <row r="3894" spans="14:20" x14ac:dyDescent="0.3">
      <c r="N3894" s="5"/>
      <c r="O3894" s="5"/>
      <c r="P3894" s="5"/>
      <c r="Q3894" s="5"/>
      <c r="R3894" s="8"/>
      <c r="S3894" s="8"/>
      <c r="T3894" s="3"/>
    </row>
    <row r="3895" spans="14:20" x14ac:dyDescent="0.3">
      <c r="N3895" s="5"/>
      <c r="O3895" s="5"/>
      <c r="P3895" s="5"/>
      <c r="Q3895" s="5"/>
      <c r="R3895" s="8"/>
      <c r="S3895" s="8"/>
      <c r="T3895" s="3"/>
    </row>
    <row r="3896" spans="14:20" x14ac:dyDescent="0.3">
      <c r="N3896" s="5"/>
      <c r="O3896" s="5"/>
      <c r="P3896" s="5"/>
      <c r="Q3896" s="5"/>
      <c r="R3896" s="8"/>
      <c r="S3896" s="8"/>
      <c r="T3896" s="3"/>
    </row>
    <row r="3897" spans="14:20" x14ac:dyDescent="0.3">
      <c r="N3897" s="5"/>
      <c r="O3897" s="5"/>
      <c r="P3897" s="5"/>
      <c r="Q3897" s="5"/>
      <c r="R3897" s="8"/>
      <c r="S3897" s="8"/>
      <c r="T3897" s="3"/>
    </row>
    <row r="3898" spans="14:20" x14ac:dyDescent="0.3">
      <c r="N3898" s="5"/>
      <c r="O3898" s="5"/>
      <c r="P3898" s="5"/>
      <c r="Q3898" s="5"/>
      <c r="R3898" s="8"/>
      <c r="S3898" s="8"/>
      <c r="T3898" s="3"/>
    </row>
    <row r="3899" spans="14:20" x14ac:dyDescent="0.3">
      <c r="N3899" s="5"/>
      <c r="O3899" s="5"/>
      <c r="P3899" s="5"/>
      <c r="Q3899" s="5"/>
      <c r="R3899" s="8"/>
      <c r="S3899" s="8"/>
      <c r="T3899" s="3"/>
    </row>
    <row r="3900" spans="14:20" x14ac:dyDescent="0.3">
      <c r="N3900" s="5"/>
      <c r="O3900" s="5"/>
      <c r="P3900" s="5"/>
      <c r="Q3900" s="5"/>
      <c r="R3900" s="8"/>
      <c r="S3900" s="8"/>
      <c r="T3900" s="3"/>
    </row>
    <row r="3901" spans="14:20" x14ac:dyDescent="0.3">
      <c r="N3901" s="5"/>
      <c r="O3901" s="5"/>
      <c r="P3901" s="5"/>
      <c r="Q3901" s="5"/>
      <c r="R3901" s="8"/>
      <c r="S3901" s="8"/>
      <c r="T3901" s="3"/>
    </row>
    <row r="3902" spans="14:20" x14ac:dyDescent="0.3">
      <c r="N3902" s="5"/>
      <c r="O3902" s="5"/>
      <c r="P3902" s="5"/>
      <c r="Q3902" s="5"/>
      <c r="R3902" s="8"/>
      <c r="S3902" s="8"/>
      <c r="T3902" s="3"/>
    </row>
    <row r="3903" spans="14:20" x14ac:dyDescent="0.3">
      <c r="N3903" s="5"/>
      <c r="O3903" s="5"/>
      <c r="P3903" s="5"/>
      <c r="Q3903" s="5"/>
      <c r="R3903" s="8"/>
      <c r="S3903" s="8"/>
      <c r="T3903" s="3"/>
    </row>
    <row r="3904" spans="14:20" x14ac:dyDescent="0.3">
      <c r="N3904" s="5"/>
      <c r="O3904" s="5"/>
      <c r="P3904" s="5"/>
      <c r="Q3904" s="5"/>
      <c r="R3904" s="8"/>
      <c r="S3904" s="8"/>
      <c r="T3904" s="3"/>
    </row>
    <row r="3905" spans="14:20" x14ac:dyDescent="0.3">
      <c r="N3905" s="5"/>
      <c r="O3905" s="5"/>
      <c r="P3905" s="5"/>
      <c r="Q3905" s="5"/>
      <c r="R3905" s="8"/>
      <c r="S3905" s="8"/>
      <c r="T3905" s="3"/>
    </row>
    <row r="3906" spans="14:20" x14ac:dyDescent="0.3">
      <c r="N3906" s="5"/>
      <c r="O3906" s="5"/>
      <c r="P3906" s="5"/>
      <c r="Q3906" s="5"/>
      <c r="R3906" s="8"/>
      <c r="S3906" s="8"/>
      <c r="T3906" s="3"/>
    </row>
    <row r="3907" spans="14:20" x14ac:dyDescent="0.3">
      <c r="N3907" s="5"/>
      <c r="O3907" s="5"/>
      <c r="P3907" s="5"/>
      <c r="Q3907" s="5"/>
      <c r="R3907" s="8"/>
      <c r="S3907" s="8"/>
      <c r="T3907" s="3"/>
    </row>
    <row r="3908" spans="14:20" x14ac:dyDescent="0.3">
      <c r="N3908" s="5"/>
      <c r="O3908" s="5"/>
      <c r="P3908" s="5"/>
      <c r="Q3908" s="5"/>
      <c r="R3908" s="8"/>
      <c r="S3908" s="8"/>
      <c r="T3908" s="3"/>
    </row>
    <row r="3909" spans="14:20" x14ac:dyDescent="0.3">
      <c r="N3909" s="5"/>
      <c r="O3909" s="5"/>
      <c r="P3909" s="5"/>
      <c r="Q3909" s="5"/>
      <c r="R3909" s="8"/>
      <c r="S3909" s="8"/>
      <c r="T3909" s="3"/>
    </row>
    <row r="3910" spans="14:20" x14ac:dyDescent="0.3">
      <c r="N3910" s="5"/>
      <c r="O3910" s="5"/>
      <c r="P3910" s="5"/>
      <c r="Q3910" s="5"/>
      <c r="R3910" s="8"/>
      <c r="S3910" s="8"/>
      <c r="T3910" s="3"/>
    </row>
    <row r="3911" spans="14:20" x14ac:dyDescent="0.3">
      <c r="N3911" s="5"/>
      <c r="O3911" s="5"/>
      <c r="P3911" s="5"/>
      <c r="Q3911" s="5"/>
      <c r="R3911" s="8"/>
      <c r="S3911" s="8"/>
      <c r="T3911" s="3"/>
    </row>
    <row r="3912" spans="14:20" x14ac:dyDescent="0.3">
      <c r="N3912" s="5"/>
      <c r="O3912" s="5"/>
      <c r="P3912" s="5"/>
      <c r="Q3912" s="5"/>
      <c r="R3912" s="8"/>
      <c r="S3912" s="8"/>
      <c r="T3912" s="3"/>
    </row>
    <row r="3913" spans="14:20" x14ac:dyDescent="0.3">
      <c r="N3913" s="5"/>
      <c r="O3913" s="5"/>
      <c r="P3913" s="5"/>
      <c r="Q3913" s="5"/>
      <c r="R3913" s="8"/>
      <c r="S3913" s="8"/>
      <c r="T3913" s="3"/>
    </row>
    <row r="3914" spans="14:20" x14ac:dyDescent="0.3">
      <c r="N3914" s="5"/>
      <c r="O3914" s="5"/>
      <c r="P3914" s="5"/>
      <c r="Q3914" s="5"/>
      <c r="R3914" s="8"/>
      <c r="S3914" s="8"/>
      <c r="T3914" s="3"/>
    </row>
    <row r="3915" spans="14:20" x14ac:dyDescent="0.3">
      <c r="N3915" s="5"/>
      <c r="O3915" s="5"/>
      <c r="P3915" s="5"/>
      <c r="Q3915" s="5"/>
      <c r="R3915" s="8"/>
      <c r="S3915" s="8"/>
      <c r="T3915" s="3"/>
    </row>
    <row r="3916" spans="14:20" x14ac:dyDescent="0.3">
      <c r="N3916" s="5"/>
      <c r="O3916" s="5"/>
      <c r="P3916" s="5"/>
      <c r="Q3916" s="5"/>
      <c r="R3916" s="8"/>
      <c r="S3916" s="8"/>
      <c r="T3916" s="3"/>
    </row>
    <row r="3917" spans="14:20" x14ac:dyDescent="0.3">
      <c r="N3917" s="5"/>
      <c r="O3917" s="5"/>
      <c r="P3917" s="5"/>
      <c r="Q3917" s="5"/>
      <c r="R3917" s="8"/>
      <c r="S3917" s="8"/>
      <c r="T3917" s="3"/>
    </row>
    <row r="3918" spans="14:20" x14ac:dyDescent="0.3">
      <c r="N3918" s="5"/>
      <c r="O3918" s="5"/>
      <c r="P3918" s="5"/>
      <c r="Q3918" s="5"/>
      <c r="R3918" s="8"/>
      <c r="S3918" s="8"/>
      <c r="T3918" s="3"/>
    </row>
    <row r="3919" spans="14:20" x14ac:dyDescent="0.3">
      <c r="N3919" s="5"/>
      <c r="O3919" s="5"/>
      <c r="P3919" s="5"/>
      <c r="Q3919" s="5"/>
      <c r="R3919" s="8"/>
      <c r="S3919" s="8"/>
      <c r="T3919" s="3"/>
    </row>
    <row r="3920" spans="14:20" x14ac:dyDescent="0.3">
      <c r="N3920" s="5"/>
      <c r="O3920" s="5"/>
      <c r="P3920" s="5"/>
      <c r="Q3920" s="5"/>
      <c r="R3920" s="8"/>
      <c r="S3920" s="8"/>
      <c r="T3920" s="3"/>
    </row>
    <row r="3921" spans="14:20" x14ac:dyDescent="0.3">
      <c r="N3921" s="5"/>
      <c r="O3921" s="5"/>
      <c r="P3921" s="5"/>
      <c r="Q3921" s="5"/>
      <c r="R3921" s="8"/>
      <c r="S3921" s="8"/>
      <c r="T3921" s="3"/>
    </row>
    <row r="3922" spans="14:20" x14ac:dyDescent="0.3">
      <c r="N3922" s="5"/>
      <c r="O3922" s="5"/>
      <c r="P3922" s="5"/>
      <c r="Q3922" s="5"/>
      <c r="R3922" s="8"/>
      <c r="S3922" s="8"/>
      <c r="T3922" s="3"/>
    </row>
    <row r="3923" spans="14:20" x14ac:dyDescent="0.3">
      <c r="N3923" s="5"/>
      <c r="O3923" s="5"/>
      <c r="P3923" s="5"/>
      <c r="Q3923" s="5"/>
      <c r="R3923" s="8"/>
      <c r="S3923" s="8"/>
      <c r="T3923" s="3"/>
    </row>
    <row r="3924" spans="14:20" x14ac:dyDescent="0.3">
      <c r="N3924" s="5"/>
      <c r="O3924" s="5"/>
      <c r="P3924" s="5"/>
      <c r="Q3924" s="5"/>
      <c r="R3924" s="8"/>
      <c r="S3924" s="8"/>
      <c r="T3924" s="3"/>
    </row>
    <row r="3925" spans="14:20" x14ac:dyDescent="0.3">
      <c r="N3925" s="5"/>
      <c r="O3925" s="5"/>
      <c r="P3925" s="5"/>
      <c r="Q3925" s="5"/>
      <c r="R3925" s="8"/>
      <c r="S3925" s="8"/>
      <c r="T3925" s="3"/>
    </row>
    <row r="3926" spans="14:20" x14ac:dyDescent="0.3">
      <c r="N3926" s="5"/>
      <c r="O3926" s="5"/>
      <c r="P3926" s="5"/>
      <c r="Q3926" s="5"/>
      <c r="R3926" s="8"/>
      <c r="S3926" s="8"/>
      <c r="T3926" s="3"/>
    </row>
    <row r="3927" spans="14:20" x14ac:dyDescent="0.3">
      <c r="N3927" s="5"/>
      <c r="O3927" s="5"/>
      <c r="P3927" s="5"/>
      <c r="Q3927" s="5"/>
      <c r="R3927" s="8"/>
      <c r="S3927" s="8"/>
      <c r="T3927" s="3"/>
    </row>
    <row r="3928" spans="14:20" x14ac:dyDescent="0.3">
      <c r="N3928" s="5"/>
      <c r="O3928" s="5"/>
      <c r="P3928" s="5"/>
      <c r="Q3928" s="5"/>
      <c r="R3928" s="8"/>
      <c r="S3928" s="8"/>
      <c r="T3928" s="3"/>
    </row>
    <row r="3929" spans="14:20" x14ac:dyDescent="0.3">
      <c r="N3929" s="5"/>
      <c r="O3929" s="5"/>
      <c r="P3929" s="5"/>
      <c r="Q3929" s="5"/>
      <c r="R3929" s="8"/>
      <c r="S3929" s="8"/>
      <c r="T3929" s="3"/>
    </row>
    <row r="3930" spans="14:20" x14ac:dyDescent="0.3">
      <c r="N3930" s="5"/>
      <c r="O3930" s="5"/>
      <c r="P3930" s="5"/>
      <c r="Q3930" s="5"/>
      <c r="R3930" s="8"/>
      <c r="S3930" s="8"/>
      <c r="T3930" s="3"/>
    </row>
    <row r="3931" spans="14:20" x14ac:dyDescent="0.3">
      <c r="N3931" s="5"/>
      <c r="O3931" s="5"/>
      <c r="P3931" s="5"/>
      <c r="Q3931" s="5"/>
      <c r="R3931" s="8"/>
      <c r="S3931" s="8"/>
      <c r="T3931" s="3"/>
    </row>
    <row r="3932" spans="14:20" x14ac:dyDescent="0.3">
      <c r="N3932" s="5"/>
      <c r="O3932" s="5"/>
      <c r="P3932" s="5"/>
      <c r="Q3932" s="5"/>
      <c r="R3932" s="8"/>
      <c r="S3932" s="8"/>
      <c r="T3932" s="3"/>
    </row>
    <row r="3933" spans="14:20" x14ac:dyDescent="0.3">
      <c r="N3933" s="5"/>
      <c r="O3933" s="5"/>
      <c r="P3933" s="5"/>
      <c r="Q3933" s="5"/>
      <c r="R3933" s="8"/>
      <c r="S3933" s="8"/>
      <c r="T3933" s="3"/>
    </row>
    <row r="3934" spans="14:20" x14ac:dyDescent="0.3">
      <c r="N3934" s="5"/>
      <c r="O3934" s="5"/>
      <c r="P3934" s="5"/>
      <c r="Q3934" s="5"/>
      <c r="R3934" s="8"/>
      <c r="S3934" s="8"/>
      <c r="T3934" s="3"/>
    </row>
    <row r="3935" spans="14:20" x14ac:dyDescent="0.3">
      <c r="N3935" s="5"/>
      <c r="O3935" s="5"/>
      <c r="P3935" s="5"/>
      <c r="Q3935" s="5"/>
      <c r="R3935" s="8"/>
      <c r="S3935" s="8"/>
      <c r="T3935" s="3"/>
    </row>
    <row r="3936" spans="14:20" x14ac:dyDescent="0.3">
      <c r="N3936" s="5"/>
      <c r="O3936" s="5"/>
      <c r="P3936" s="5"/>
      <c r="Q3936" s="5"/>
      <c r="R3936" s="8"/>
      <c r="S3936" s="8"/>
      <c r="T3936" s="3"/>
    </row>
    <row r="3937" spans="14:20" x14ac:dyDescent="0.3">
      <c r="N3937" s="5"/>
      <c r="O3937" s="5"/>
      <c r="P3937" s="5"/>
      <c r="Q3937" s="5"/>
      <c r="R3937" s="8"/>
      <c r="S3937" s="8"/>
      <c r="T3937" s="3"/>
    </row>
    <row r="3938" spans="14:20" x14ac:dyDescent="0.3">
      <c r="N3938" s="5"/>
      <c r="O3938" s="5"/>
      <c r="P3938" s="5"/>
      <c r="Q3938" s="5"/>
      <c r="R3938" s="8"/>
      <c r="S3938" s="8"/>
      <c r="T3938" s="3"/>
    </row>
    <row r="3939" spans="14:20" x14ac:dyDescent="0.3">
      <c r="N3939" s="5"/>
      <c r="O3939" s="5"/>
      <c r="P3939" s="5"/>
      <c r="Q3939" s="5"/>
      <c r="R3939" s="8"/>
      <c r="S3939" s="8"/>
      <c r="T3939" s="3"/>
    </row>
    <row r="3940" spans="14:20" x14ac:dyDescent="0.3">
      <c r="N3940" s="5"/>
      <c r="O3940" s="5"/>
      <c r="P3940" s="5"/>
      <c r="Q3940" s="5"/>
      <c r="R3940" s="8"/>
      <c r="S3940" s="8"/>
      <c r="T3940" s="3"/>
    </row>
    <row r="3941" spans="14:20" x14ac:dyDescent="0.3">
      <c r="N3941" s="5"/>
      <c r="O3941" s="5"/>
      <c r="P3941" s="5"/>
      <c r="Q3941" s="5"/>
      <c r="R3941" s="8"/>
      <c r="S3941" s="8"/>
      <c r="T3941" s="3"/>
    </row>
    <row r="3942" spans="14:20" x14ac:dyDescent="0.3">
      <c r="N3942" s="5"/>
      <c r="O3942" s="5"/>
      <c r="P3942" s="5"/>
      <c r="Q3942" s="5"/>
      <c r="R3942" s="8"/>
      <c r="S3942" s="8"/>
      <c r="T3942" s="3"/>
    </row>
    <row r="3943" spans="14:20" x14ac:dyDescent="0.3">
      <c r="N3943" s="5"/>
      <c r="O3943" s="5"/>
      <c r="P3943" s="5"/>
      <c r="Q3943" s="5"/>
      <c r="R3943" s="8"/>
      <c r="S3943" s="8"/>
      <c r="T3943" s="3"/>
    </row>
    <row r="3944" spans="14:20" x14ac:dyDescent="0.3">
      <c r="N3944" s="5"/>
      <c r="O3944" s="5"/>
      <c r="P3944" s="5"/>
      <c r="Q3944" s="5"/>
      <c r="R3944" s="8"/>
      <c r="S3944" s="8"/>
      <c r="T3944" s="3"/>
    </row>
    <row r="3945" spans="14:20" x14ac:dyDescent="0.3">
      <c r="N3945" s="5"/>
      <c r="O3945" s="5"/>
      <c r="P3945" s="5"/>
      <c r="Q3945" s="5"/>
      <c r="R3945" s="8"/>
      <c r="S3945" s="8"/>
      <c r="T3945" s="3"/>
    </row>
    <row r="3946" spans="14:20" x14ac:dyDescent="0.3">
      <c r="N3946" s="5"/>
      <c r="O3946" s="5"/>
      <c r="P3946" s="5"/>
      <c r="Q3946" s="5"/>
      <c r="R3946" s="8"/>
      <c r="S3946" s="8"/>
      <c r="T3946" s="3"/>
    </row>
    <row r="3947" spans="14:20" x14ac:dyDescent="0.3">
      <c r="N3947" s="5"/>
      <c r="O3947" s="5"/>
      <c r="P3947" s="5"/>
      <c r="Q3947" s="5"/>
      <c r="R3947" s="8"/>
      <c r="S3947" s="8"/>
      <c r="T3947" s="3"/>
    </row>
    <row r="3948" spans="14:20" x14ac:dyDescent="0.3">
      <c r="N3948" s="5"/>
      <c r="O3948" s="5"/>
      <c r="P3948" s="5"/>
      <c r="Q3948" s="5"/>
      <c r="R3948" s="8"/>
      <c r="S3948" s="8"/>
      <c r="T3948" s="3"/>
    </row>
    <row r="3949" spans="14:20" x14ac:dyDescent="0.3">
      <c r="N3949" s="5"/>
      <c r="O3949" s="5"/>
      <c r="P3949" s="5"/>
      <c r="Q3949" s="5"/>
      <c r="R3949" s="8"/>
      <c r="S3949" s="8"/>
      <c r="T3949" s="3"/>
    </row>
    <row r="3950" spans="14:20" x14ac:dyDescent="0.3">
      <c r="N3950" s="5"/>
      <c r="O3950" s="5"/>
      <c r="P3950" s="5"/>
      <c r="Q3950" s="5"/>
      <c r="R3950" s="8"/>
      <c r="S3950" s="8"/>
      <c r="T3950" s="3"/>
    </row>
    <row r="3951" spans="14:20" x14ac:dyDescent="0.3">
      <c r="N3951" s="5"/>
      <c r="O3951" s="5"/>
      <c r="P3951" s="5"/>
      <c r="Q3951" s="5"/>
      <c r="R3951" s="8"/>
      <c r="S3951" s="8"/>
      <c r="T3951" s="3"/>
    </row>
    <row r="3952" spans="14:20" x14ac:dyDescent="0.3">
      <c r="N3952" s="5"/>
      <c r="O3952" s="5"/>
      <c r="P3952" s="5"/>
      <c r="Q3952" s="5"/>
      <c r="R3952" s="8"/>
      <c r="S3952" s="8"/>
      <c r="T3952" s="3"/>
    </row>
    <row r="3953" spans="14:20" x14ac:dyDescent="0.3">
      <c r="N3953" s="5"/>
      <c r="O3953" s="5"/>
      <c r="P3953" s="5"/>
      <c r="Q3953" s="5"/>
      <c r="R3953" s="8"/>
      <c r="S3953" s="8"/>
      <c r="T3953" s="3"/>
    </row>
    <row r="3954" spans="14:20" x14ac:dyDescent="0.3">
      <c r="N3954" s="5"/>
      <c r="O3954" s="5"/>
      <c r="P3954" s="5"/>
      <c r="Q3954" s="5"/>
      <c r="R3954" s="8"/>
      <c r="S3954" s="8"/>
      <c r="T3954" s="3"/>
    </row>
    <row r="3955" spans="14:20" x14ac:dyDescent="0.3">
      <c r="N3955" s="5"/>
      <c r="O3955" s="5"/>
      <c r="P3955" s="5"/>
      <c r="Q3955" s="5"/>
      <c r="R3955" s="8"/>
      <c r="S3955" s="8"/>
      <c r="T3955" s="3"/>
    </row>
    <row r="3956" spans="14:20" x14ac:dyDescent="0.3">
      <c r="N3956" s="5"/>
      <c r="O3956" s="5"/>
      <c r="P3956" s="5"/>
      <c r="Q3956" s="5"/>
      <c r="R3956" s="8"/>
      <c r="S3956" s="8"/>
      <c r="T3956" s="3"/>
    </row>
    <row r="3957" spans="14:20" x14ac:dyDescent="0.3">
      <c r="N3957" s="5"/>
      <c r="O3957" s="5"/>
      <c r="P3957" s="5"/>
      <c r="Q3957" s="5"/>
      <c r="R3957" s="8"/>
      <c r="S3957" s="8"/>
      <c r="T3957" s="3"/>
    </row>
    <row r="3958" spans="14:20" x14ac:dyDescent="0.3">
      <c r="N3958" s="5"/>
      <c r="O3958" s="5"/>
      <c r="P3958" s="5"/>
      <c r="Q3958" s="5"/>
      <c r="R3958" s="8"/>
      <c r="S3958" s="8"/>
      <c r="T3958" s="3"/>
    </row>
    <row r="3959" spans="14:20" x14ac:dyDescent="0.3">
      <c r="N3959" s="5"/>
      <c r="O3959" s="5"/>
      <c r="P3959" s="5"/>
      <c r="Q3959" s="5"/>
      <c r="R3959" s="8"/>
      <c r="S3959" s="8"/>
      <c r="T3959" s="3"/>
    </row>
    <row r="3960" spans="14:20" x14ac:dyDescent="0.3">
      <c r="N3960" s="5"/>
      <c r="O3960" s="5"/>
      <c r="P3960" s="5"/>
      <c r="Q3960" s="5"/>
      <c r="R3960" s="8"/>
      <c r="S3960" s="8"/>
      <c r="T3960" s="3"/>
    </row>
    <row r="3961" spans="14:20" x14ac:dyDescent="0.3">
      <c r="N3961" s="5"/>
      <c r="O3961" s="5"/>
      <c r="P3961" s="5"/>
      <c r="Q3961" s="5"/>
      <c r="R3961" s="8"/>
      <c r="S3961" s="8"/>
      <c r="T3961" s="3"/>
    </row>
    <row r="3962" spans="14:20" x14ac:dyDescent="0.3">
      <c r="N3962" s="5"/>
      <c r="O3962" s="5"/>
      <c r="P3962" s="5"/>
      <c r="Q3962" s="5"/>
      <c r="R3962" s="8"/>
      <c r="S3962" s="8"/>
      <c r="T3962" s="3"/>
    </row>
    <row r="3963" spans="14:20" x14ac:dyDescent="0.3">
      <c r="N3963" s="5"/>
      <c r="O3963" s="5"/>
      <c r="P3963" s="5"/>
      <c r="Q3963" s="5"/>
      <c r="R3963" s="8"/>
      <c r="S3963" s="8"/>
      <c r="T3963" s="3"/>
    </row>
    <row r="3964" spans="14:20" x14ac:dyDescent="0.3">
      <c r="N3964" s="5"/>
      <c r="O3964" s="5"/>
      <c r="P3964" s="5"/>
      <c r="Q3964" s="5"/>
      <c r="R3964" s="8"/>
      <c r="S3964" s="8"/>
      <c r="T3964" s="3"/>
    </row>
    <row r="3965" spans="14:20" x14ac:dyDescent="0.3">
      <c r="N3965" s="5"/>
      <c r="O3965" s="5"/>
      <c r="P3965" s="5"/>
      <c r="Q3965" s="5"/>
      <c r="R3965" s="8"/>
      <c r="S3965" s="8"/>
      <c r="T3965" s="3"/>
    </row>
    <row r="3966" spans="14:20" x14ac:dyDescent="0.3">
      <c r="N3966" s="5"/>
      <c r="O3966" s="5"/>
      <c r="P3966" s="5"/>
      <c r="Q3966" s="5"/>
      <c r="R3966" s="8"/>
      <c r="S3966" s="8"/>
      <c r="T3966" s="3"/>
    </row>
    <row r="3967" spans="14:20" x14ac:dyDescent="0.3">
      <c r="N3967" s="5"/>
      <c r="O3967" s="5"/>
      <c r="P3967" s="5"/>
      <c r="Q3967" s="5"/>
      <c r="R3967" s="8"/>
      <c r="S3967" s="8"/>
      <c r="T3967" s="3"/>
    </row>
    <row r="3968" spans="14:20" x14ac:dyDescent="0.3">
      <c r="N3968" s="5"/>
      <c r="O3968" s="5"/>
      <c r="P3968" s="5"/>
      <c r="Q3968" s="5"/>
      <c r="R3968" s="8"/>
      <c r="S3968" s="8"/>
      <c r="T3968" s="3"/>
    </row>
    <row r="3969" spans="14:20" x14ac:dyDescent="0.3">
      <c r="N3969" s="5"/>
      <c r="O3969" s="5"/>
      <c r="P3969" s="5"/>
      <c r="Q3969" s="5"/>
      <c r="R3969" s="8"/>
      <c r="S3969" s="8"/>
      <c r="T3969" s="3"/>
    </row>
    <row r="3970" spans="14:20" x14ac:dyDescent="0.3">
      <c r="N3970" s="5"/>
      <c r="O3970" s="5"/>
      <c r="P3970" s="5"/>
      <c r="Q3970" s="5"/>
      <c r="R3970" s="8"/>
      <c r="S3970" s="8"/>
      <c r="T3970" s="3"/>
    </row>
    <row r="3971" spans="14:20" x14ac:dyDescent="0.3">
      <c r="N3971" s="5"/>
      <c r="O3971" s="5"/>
      <c r="P3971" s="5"/>
      <c r="Q3971" s="5"/>
      <c r="R3971" s="8"/>
      <c r="S3971" s="8"/>
      <c r="T3971" s="3"/>
    </row>
    <row r="3972" spans="14:20" x14ac:dyDescent="0.3">
      <c r="N3972" s="5"/>
      <c r="O3972" s="5"/>
      <c r="P3972" s="5"/>
      <c r="Q3972" s="5"/>
      <c r="R3972" s="8"/>
      <c r="S3972" s="8"/>
      <c r="T3972" s="3"/>
    </row>
    <row r="3973" spans="14:20" x14ac:dyDescent="0.3">
      <c r="N3973" s="5"/>
      <c r="O3973" s="5"/>
      <c r="P3973" s="5"/>
      <c r="Q3973" s="5"/>
      <c r="R3973" s="8"/>
      <c r="S3973" s="8"/>
      <c r="T3973" s="3"/>
    </row>
    <row r="3974" spans="14:20" x14ac:dyDescent="0.3">
      <c r="N3974" s="5"/>
      <c r="O3974" s="5"/>
      <c r="P3974" s="5"/>
      <c r="Q3974" s="5"/>
      <c r="R3974" s="8"/>
      <c r="S3974" s="8"/>
      <c r="T3974" s="3"/>
    </row>
    <row r="3975" spans="14:20" x14ac:dyDescent="0.3">
      <c r="N3975" s="5"/>
      <c r="O3975" s="5"/>
      <c r="P3975" s="5"/>
      <c r="Q3975" s="5"/>
      <c r="R3975" s="8"/>
      <c r="S3975" s="8"/>
      <c r="T3975" s="3"/>
    </row>
    <row r="3976" spans="14:20" x14ac:dyDescent="0.3">
      <c r="N3976" s="5"/>
      <c r="O3976" s="5"/>
      <c r="P3976" s="5"/>
      <c r="Q3976" s="5"/>
      <c r="R3976" s="8"/>
      <c r="S3976" s="8"/>
      <c r="T3976" s="3"/>
    </row>
    <row r="3977" spans="14:20" x14ac:dyDescent="0.3">
      <c r="N3977" s="5"/>
      <c r="O3977" s="5"/>
      <c r="P3977" s="5"/>
      <c r="Q3977" s="5"/>
      <c r="R3977" s="8"/>
      <c r="S3977" s="8"/>
      <c r="T3977" s="3"/>
    </row>
    <row r="3978" spans="14:20" x14ac:dyDescent="0.3">
      <c r="N3978" s="5"/>
      <c r="O3978" s="5"/>
      <c r="P3978" s="5"/>
      <c r="Q3978" s="5"/>
      <c r="R3978" s="8"/>
      <c r="S3978" s="8"/>
      <c r="T3978" s="3"/>
    </row>
    <row r="3979" spans="14:20" x14ac:dyDescent="0.3">
      <c r="N3979" s="5"/>
      <c r="O3979" s="5"/>
      <c r="P3979" s="5"/>
      <c r="Q3979" s="5"/>
      <c r="R3979" s="8"/>
      <c r="S3979" s="8"/>
      <c r="T3979" s="3"/>
    </row>
    <row r="3980" spans="14:20" x14ac:dyDescent="0.3">
      <c r="N3980" s="5"/>
      <c r="O3980" s="5"/>
      <c r="P3980" s="5"/>
      <c r="Q3980" s="5"/>
      <c r="R3980" s="8"/>
      <c r="S3980" s="8"/>
      <c r="T3980" s="3"/>
    </row>
    <row r="3981" spans="14:20" x14ac:dyDescent="0.3">
      <c r="N3981" s="5"/>
      <c r="O3981" s="5"/>
      <c r="P3981" s="5"/>
      <c r="Q3981" s="5"/>
      <c r="R3981" s="8"/>
      <c r="S3981" s="8"/>
      <c r="T3981" s="3"/>
    </row>
    <row r="3982" spans="14:20" x14ac:dyDescent="0.3">
      <c r="N3982" s="5"/>
      <c r="O3982" s="5"/>
      <c r="P3982" s="5"/>
      <c r="Q3982" s="5"/>
      <c r="R3982" s="8"/>
      <c r="S3982" s="8"/>
      <c r="T3982" s="3"/>
    </row>
    <row r="3983" spans="14:20" x14ac:dyDescent="0.3">
      <c r="N3983" s="5"/>
      <c r="O3983" s="5"/>
      <c r="P3983" s="5"/>
      <c r="Q3983" s="5"/>
      <c r="R3983" s="8"/>
      <c r="S3983" s="8"/>
      <c r="T3983" s="3"/>
    </row>
    <row r="3984" spans="14:20" x14ac:dyDescent="0.3">
      <c r="N3984" s="5"/>
      <c r="O3984" s="5"/>
      <c r="P3984" s="5"/>
      <c r="Q3984" s="5"/>
      <c r="R3984" s="8"/>
      <c r="S3984" s="8"/>
      <c r="T3984" s="3"/>
    </row>
    <row r="3985" spans="14:20" x14ac:dyDescent="0.3">
      <c r="N3985" s="5"/>
      <c r="O3985" s="5"/>
      <c r="P3985" s="5"/>
      <c r="Q3985" s="5"/>
      <c r="R3985" s="8"/>
      <c r="S3985" s="8"/>
      <c r="T3985" s="3"/>
    </row>
    <row r="3986" spans="14:20" x14ac:dyDescent="0.3">
      <c r="N3986" s="5"/>
      <c r="O3986" s="5"/>
      <c r="P3986" s="5"/>
      <c r="Q3986" s="5"/>
      <c r="R3986" s="8"/>
      <c r="S3986" s="8"/>
      <c r="T3986" s="3"/>
    </row>
    <row r="3987" spans="14:20" x14ac:dyDescent="0.3">
      <c r="N3987" s="5"/>
      <c r="O3987" s="5"/>
      <c r="P3987" s="5"/>
      <c r="Q3987" s="5"/>
      <c r="R3987" s="8"/>
      <c r="S3987" s="8"/>
      <c r="T3987" s="3"/>
    </row>
    <row r="3988" spans="14:20" x14ac:dyDescent="0.3">
      <c r="N3988" s="5"/>
      <c r="O3988" s="5"/>
      <c r="P3988" s="5"/>
      <c r="Q3988" s="5"/>
      <c r="R3988" s="8"/>
      <c r="S3988" s="8"/>
      <c r="T3988" s="3"/>
    </row>
    <row r="3989" spans="14:20" x14ac:dyDescent="0.3">
      <c r="N3989" s="5"/>
      <c r="O3989" s="5"/>
      <c r="P3989" s="5"/>
      <c r="Q3989" s="5"/>
      <c r="R3989" s="8"/>
      <c r="S3989" s="8"/>
      <c r="T3989" s="3"/>
    </row>
    <row r="3990" spans="14:20" x14ac:dyDescent="0.3">
      <c r="N3990" s="5"/>
      <c r="O3990" s="5"/>
      <c r="P3990" s="5"/>
      <c r="Q3990" s="5"/>
      <c r="R3990" s="8"/>
      <c r="S3990" s="8"/>
      <c r="T3990" s="3"/>
    </row>
    <row r="3991" spans="14:20" x14ac:dyDescent="0.3">
      <c r="N3991" s="5"/>
      <c r="O3991" s="5"/>
      <c r="P3991" s="5"/>
      <c r="Q3991" s="5"/>
      <c r="R3991" s="8"/>
      <c r="S3991" s="8"/>
      <c r="T3991" s="3"/>
    </row>
    <row r="3992" spans="14:20" x14ac:dyDescent="0.3">
      <c r="N3992" s="5"/>
      <c r="O3992" s="5"/>
      <c r="P3992" s="5"/>
      <c r="Q3992" s="5"/>
      <c r="R3992" s="8"/>
      <c r="S3992" s="8"/>
      <c r="T3992" s="3"/>
    </row>
    <row r="3993" spans="14:20" x14ac:dyDescent="0.3">
      <c r="N3993" s="5"/>
      <c r="O3993" s="5"/>
      <c r="P3993" s="5"/>
      <c r="Q3993" s="5"/>
      <c r="R3993" s="8"/>
      <c r="S3993" s="8"/>
      <c r="T3993" s="3"/>
    </row>
    <row r="3994" spans="14:20" x14ac:dyDescent="0.3">
      <c r="N3994" s="5"/>
      <c r="O3994" s="5"/>
      <c r="P3994" s="5"/>
      <c r="Q3994" s="5"/>
      <c r="R3994" s="8"/>
      <c r="S3994" s="8"/>
      <c r="T3994" s="3"/>
    </row>
    <row r="3995" spans="14:20" x14ac:dyDescent="0.3">
      <c r="N3995" s="5"/>
      <c r="O3995" s="5"/>
      <c r="P3995" s="5"/>
      <c r="Q3995" s="5"/>
      <c r="R3995" s="8"/>
      <c r="S3995" s="8"/>
      <c r="T3995" s="3"/>
    </row>
    <row r="3996" spans="14:20" x14ac:dyDescent="0.3">
      <c r="N3996" s="5"/>
      <c r="O3996" s="5"/>
      <c r="P3996" s="5"/>
      <c r="Q3996" s="5"/>
      <c r="R3996" s="8"/>
      <c r="S3996" s="8"/>
      <c r="T3996" s="3"/>
    </row>
    <row r="3997" spans="14:20" x14ac:dyDescent="0.3">
      <c r="N3997" s="5"/>
      <c r="O3997" s="5"/>
      <c r="P3997" s="5"/>
      <c r="Q3997" s="5"/>
      <c r="R3997" s="8"/>
      <c r="S3997" s="8"/>
      <c r="T3997" s="3"/>
    </row>
    <row r="3998" spans="14:20" x14ac:dyDescent="0.3">
      <c r="N3998" s="5"/>
      <c r="O3998" s="5"/>
      <c r="P3998" s="5"/>
      <c r="Q3998" s="5"/>
      <c r="R3998" s="8"/>
      <c r="S3998" s="8"/>
      <c r="T3998" s="3"/>
    </row>
    <row r="3999" spans="14:20" x14ac:dyDescent="0.3">
      <c r="N3999" s="5"/>
      <c r="O3999" s="5"/>
      <c r="P3999" s="5"/>
      <c r="Q3999" s="5"/>
      <c r="R3999" s="8"/>
      <c r="S3999" s="8"/>
      <c r="T3999" s="3"/>
    </row>
    <row r="4000" spans="14:20" x14ac:dyDescent="0.3">
      <c r="N4000" s="5"/>
      <c r="O4000" s="5"/>
      <c r="P4000" s="5"/>
      <c r="Q4000" s="5"/>
      <c r="R4000" s="8"/>
      <c r="S4000" s="8"/>
      <c r="T4000" s="3"/>
    </row>
    <row r="4001" spans="14:20" x14ac:dyDescent="0.3">
      <c r="N4001" s="5"/>
      <c r="O4001" s="5"/>
      <c r="P4001" s="5"/>
      <c r="Q4001" s="5"/>
      <c r="R4001" s="8"/>
      <c r="S4001" s="8"/>
      <c r="T4001" s="3"/>
    </row>
    <row r="4002" spans="14:20" x14ac:dyDescent="0.3">
      <c r="N4002" s="5"/>
      <c r="O4002" s="5"/>
      <c r="P4002" s="5"/>
      <c r="Q4002" s="5"/>
      <c r="R4002" s="8"/>
      <c r="S4002" s="8"/>
      <c r="T4002" s="3"/>
    </row>
    <row r="4003" spans="14:20" x14ac:dyDescent="0.3">
      <c r="N4003" s="5"/>
      <c r="O4003" s="5"/>
      <c r="P4003" s="5"/>
      <c r="Q4003" s="5"/>
      <c r="R4003" s="8"/>
      <c r="S4003" s="8"/>
      <c r="T4003" s="3"/>
    </row>
    <row r="4004" spans="14:20" x14ac:dyDescent="0.3">
      <c r="N4004" s="5"/>
      <c r="O4004" s="5"/>
      <c r="P4004" s="5"/>
      <c r="Q4004" s="5"/>
      <c r="R4004" s="8"/>
      <c r="S4004" s="8"/>
      <c r="T4004" s="3"/>
    </row>
    <row r="4005" spans="14:20" x14ac:dyDescent="0.3">
      <c r="N4005" s="5"/>
      <c r="O4005" s="5"/>
      <c r="P4005" s="5"/>
      <c r="Q4005" s="5"/>
      <c r="R4005" s="8"/>
      <c r="S4005" s="8"/>
      <c r="T4005" s="3"/>
    </row>
    <row r="4006" spans="14:20" x14ac:dyDescent="0.3">
      <c r="N4006" s="5"/>
      <c r="O4006" s="5"/>
      <c r="P4006" s="5"/>
      <c r="Q4006" s="5"/>
      <c r="R4006" s="8"/>
      <c r="S4006" s="8"/>
      <c r="T4006" s="3"/>
    </row>
    <row r="4007" spans="14:20" x14ac:dyDescent="0.3">
      <c r="N4007" s="5"/>
      <c r="O4007" s="5"/>
      <c r="P4007" s="5"/>
      <c r="Q4007" s="5"/>
      <c r="R4007" s="8"/>
      <c r="S4007" s="8"/>
      <c r="T4007" s="3"/>
    </row>
    <row r="4008" spans="14:20" x14ac:dyDescent="0.3">
      <c r="N4008" s="5"/>
      <c r="O4008" s="5"/>
      <c r="P4008" s="5"/>
      <c r="Q4008" s="5"/>
      <c r="R4008" s="8"/>
      <c r="S4008" s="8"/>
      <c r="T4008" s="3"/>
    </row>
    <row r="4009" spans="14:20" x14ac:dyDescent="0.3">
      <c r="N4009" s="5"/>
      <c r="O4009" s="5"/>
      <c r="P4009" s="5"/>
      <c r="Q4009" s="5"/>
      <c r="R4009" s="8"/>
      <c r="S4009" s="8"/>
      <c r="T4009" s="3"/>
    </row>
    <row r="4010" spans="14:20" x14ac:dyDescent="0.3">
      <c r="N4010" s="5"/>
      <c r="O4010" s="5"/>
      <c r="P4010" s="5"/>
      <c r="Q4010" s="5"/>
      <c r="R4010" s="8"/>
      <c r="S4010" s="8"/>
      <c r="T4010" s="3"/>
    </row>
    <row r="4011" spans="14:20" x14ac:dyDescent="0.3">
      <c r="N4011" s="5"/>
      <c r="O4011" s="5"/>
      <c r="P4011" s="5"/>
      <c r="Q4011" s="5"/>
      <c r="R4011" s="8"/>
      <c r="S4011" s="8"/>
      <c r="T4011" s="3"/>
    </row>
    <row r="4012" spans="14:20" x14ac:dyDescent="0.3">
      <c r="N4012" s="5"/>
      <c r="O4012" s="5"/>
      <c r="P4012" s="5"/>
      <c r="Q4012" s="5"/>
      <c r="R4012" s="8"/>
      <c r="S4012" s="8"/>
      <c r="T4012" s="3"/>
    </row>
    <row r="4013" spans="14:20" x14ac:dyDescent="0.3">
      <c r="N4013" s="5"/>
      <c r="O4013" s="5"/>
      <c r="P4013" s="5"/>
      <c r="Q4013" s="5"/>
      <c r="R4013" s="8"/>
      <c r="S4013" s="8"/>
      <c r="T4013" s="3"/>
    </row>
    <row r="4014" spans="14:20" x14ac:dyDescent="0.3">
      <c r="N4014" s="5"/>
      <c r="O4014" s="5"/>
      <c r="P4014" s="5"/>
      <c r="Q4014" s="5"/>
      <c r="R4014" s="8"/>
      <c r="S4014" s="8"/>
      <c r="T4014" s="3"/>
    </row>
    <row r="4015" spans="14:20" x14ac:dyDescent="0.3">
      <c r="N4015" s="5"/>
      <c r="O4015" s="5"/>
      <c r="P4015" s="5"/>
      <c r="Q4015" s="5"/>
      <c r="R4015" s="8"/>
      <c r="S4015" s="8"/>
      <c r="T4015" s="3"/>
    </row>
    <row r="4016" spans="14:20" x14ac:dyDescent="0.3">
      <c r="N4016" s="5"/>
      <c r="O4016" s="5"/>
      <c r="P4016" s="5"/>
      <c r="Q4016" s="5"/>
      <c r="R4016" s="8"/>
      <c r="S4016" s="8"/>
      <c r="T4016" s="3"/>
    </row>
    <row r="4017" spans="14:20" x14ac:dyDescent="0.3">
      <c r="N4017" s="5"/>
      <c r="O4017" s="5"/>
      <c r="P4017" s="5"/>
      <c r="Q4017" s="5"/>
      <c r="R4017" s="8"/>
      <c r="S4017" s="8"/>
      <c r="T4017" s="3"/>
    </row>
    <row r="4018" spans="14:20" x14ac:dyDescent="0.3">
      <c r="N4018" s="5"/>
      <c r="O4018" s="5"/>
      <c r="P4018" s="5"/>
      <c r="Q4018" s="5"/>
      <c r="R4018" s="8"/>
      <c r="S4018" s="8"/>
      <c r="T4018" s="3"/>
    </row>
    <row r="4019" spans="14:20" x14ac:dyDescent="0.3">
      <c r="N4019" s="5"/>
      <c r="O4019" s="5"/>
      <c r="P4019" s="5"/>
      <c r="Q4019" s="5"/>
      <c r="R4019" s="8"/>
      <c r="S4019" s="8"/>
      <c r="T4019" s="3"/>
    </row>
    <row r="4020" spans="14:20" x14ac:dyDescent="0.3">
      <c r="N4020" s="5"/>
      <c r="O4020" s="5"/>
      <c r="P4020" s="5"/>
      <c r="Q4020" s="5"/>
      <c r="R4020" s="8"/>
      <c r="S4020" s="8"/>
      <c r="T4020" s="3"/>
    </row>
    <row r="4021" spans="14:20" x14ac:dyDescent="0.3">
      <c r="N4021" s="5"/>
      <c r="O4021" s="5"/>
      <c r="P4021" s="5"/>
      <c r="Q4021" s="5"/>
      <c r="R4021" s="8"/>
      <c r="S4021" s="8"/>
      <c r="T4021" s="3"/>
    </row>
    <row r="4022" spans="14:20" x14ac:dyDescent="0.3">
      <c r="N4022" s="5"/>
      <c r="O4022" s="5"/>
      <c r="P4022" s="5"/>
      <c r="Q4022" s="5"/>
      <c r="R4022" s="8"/>
      <c r="S4022" s="8"/>
      <c r="T4022" s="3"/>
    </row>
    <row r="4023" spans="14:20" x14ac:dyDescent="0.3">
      <c r="N4023" s="5"/>
      <c r="O4023" s="5"/>
      <c r="P4023" s="5"/>
      <c r="Q4023" s="5"/>
      <c r="R4023" s="8"/>
      <c r="S4023" s="8"/>
      <c r="T4023" s="3"/>
    </row>
    <row r="4024" spans="14:20" x14ac:dyDescent="0.3">
      <c r="N4024" s="5"/>
      <c r="O4024" s="5"/>
      <c r="P4024" s="5"/>
      <c r="Q4024" s="5"/>
      <c r="R4024" s="8"/>
      <c r="S4024" s="8"/>
      <c r="T4024" s="3"/>
    </row>
    <row r="4025" spans="14:20" x14ac:dyDescent="0.3">
      <c r="N4025" s="5"/>
      <c r="O4025" s="5"/>
      <c r="P4025" s="5"/>
      <c r="Q4025" s="5"/>
      <c r="R4025" s="8"/>
      <c r="S4025" s="8"/>
      <c r="T4025" s="3"/>
    </row>
    <row r="4026" spans="14:20" x14ac:dyDescent="0.3">
      <c r="N4026" s="5"/>
      <c r="O4026" s="5"/>
      <c r="P4026" s="5"/>
      <c r="Q4026" s="5"/>
      <c r="R4026" s="8"/>
      <c r="S4026" s="8"/>
      <c r="T4026" s="3"/>
    </row>
    <row r="4027" spans="14:20" x14ac:dyDescent="0.3">
      <c r="N4027" s="5"/>
      <c r="O4027" s="5"/>
      <c r="P4027" s="5"/>
      <c r="Q4027" s="5"/>
      <c r="R4027" s="8"/>
      <c r="S4027" s="8"/>
      <c r="T4027" s="3"/>
    </row>
    <row r="4028" spans="14:20" x14ac:dyDescent="0.3">
      <c r="N4028" s="5"/>
      <c r="O4028" s="5"/>
      <c r="P4028" s="5"/>
      <c r="Q4028" s="5"/>
      <c r="R4028" s="8"/>
      <c r="S4028" s="8"/>
      <c r="T4028" s="3"/>
    </row>
    <row r="4029" spans="14:20" x14ac:dyDescent="0.3">
      <c r="N4029" s="5"/>
      <c r="O4029" s="5"/>
      <c r="P4029" s="5"/>
      <c r="Q4029" s="5"/>
      <c r="R4029" s="8"/>
      <c r="S4029" s="8"/>
      <c r="T4029" s="3"/>
    </row>
    <row r="4030" spans="14:20" x14ac:dyDescent="0.3">
      <c r="N4030" s="5"/>
      <c r="O4030" s="5"/>
      <c r="P4030" s="5"/>
      <c r="Q4030" s="5"/>
      <c r="R4030" s="8"/>
      <c r="S4030" s="8"/>
      <c r="T4030" s="3"/>
    </row>
    <row r="4031" spans="14:20" x14ac:dyDescent="0.3">
      <c r="N4031" s="5"/>
      <c r="O4031" s="5"/>
      <c r="P4031" s="5"/>
      <c r="Q4031" s="5"/>
      <c r="R4031" s="8"/>
      <c r="S4031" s="8"/>
      <c r="T4031" s="3"/>
    </row>
    <row r="4032" spans="14:20" x14ac:dyDescent="0.3">
      <c r="N4032" s="5"/>
      <c r="O4032" s="5"/>
      <c r="P4032" s="5"/>
      <c r="Q4032" s="5"/>
      <c r="R4032" s="8"/>
      <c r="S4032" s="8"/>
      <c r="T4032" s="3"/>
    </row>
    <row r="4033" spans="14:20" x14ac:dyDescent="0.3">
      <c r="N4033" s="5"/>
      <c r="O4033" s="5"/>
      <c r="P4033" s="5"/>
      <c r="Q4033" s="5"/>
      <c r="R4033" s="8"/>
      <c r="S4033" s="8"/>
      <c r="T4033" s="3"/>
    </row>
    <row r="4034" spans="14:20" x14ac:dyDescent="0.3">
      <c r="N4034" s="5"/>
      <c r="O4034" s="5"/>
      <c r="P4034" s="5"/>
      <c r="Q4034" s="5"/>
      <c r="R4034" s="8"/>
      <c r="S4034" s="8"/>
      <c r="T4034" s="3"/>
    </row>
    <row r="4035" spans="14:20" x14ac:dyDescent="0.3">
      <c r="N4035" s="5"/>
      <c r="O4035" s="5"/>
      <c r="P4035" s="5"/>
      <c r="Q4035" s="5"/>
      <c r="R4035" s="8"/>
      <c r="S4035" s="8"/>
      <c r="T4035" s="3"/>
    </row>
    <row r="4036" spans="14:20" x14ac:dyDescent="0.3">
      <c r="N4036" s="5"/>
      <c r="O4036" s="5"/>
      <c r="P4036" s="5"/>
      <c r="Q4036" s="5"/>
      <c r="R4036" s="8"/>
      <c r="S4036" s="8"/>
      <c r="T4036" s="3"/>
    </row>
    <row r="4037" spans="14:20" x14ac:dyDescent="0.3">
      <c r="N4037" s="5"/>
      <c r="O4037" s="5"/>
      <c r="P4037" s="5"/>
      <c r="Q4037" s="5"/>
      <c r="R4037" s="8"/>
      <c r="S4037" s="8"/>
      <c r="T4037" s="3"/>
    </row>
    <row r="4038" spans="14:20" x14ac:dyDescent="0.3">
      <c r="N4038" s="5"/>
      <c r="O4038" s="5"/>
      <c r="P4038" s="5"/>
      <c r="Q4038" s="5"/>
      <c r="R4038" s="8"/>
      <c r="S4038" s="8"/>
      <c r="T4038" s="3"/>
    </row>
    <row r="4039" spans="14:20" x14ac:dyDescent="0.3">
      <c r="N4039" s="5"/>
      <c r="O4039" s="5"/>
      <c r="P4039" s="5"/>
      <c r="Q4039" s="5"/>
      <c r="R4039" s="8"/>
      <c r="S4039" s="8"/>
      <c r="T4039" s="3"/>
    </row>
    <row r="4040" spans="14:20" x14ac:dyDescent="0.3">
      <c r="N4040" s="5"/>
      <c r="O4040" s="5"/>
      <c r="P4040" s="5"/>
      <c r="Q4040" s="5"/>
      <c r="R4040" s="8"/>
      <c r="S4040" s="8"/>
      <c r="T4040" s="3"/>
    </row>
    <row r="4041" spans="14:20" x14ac:dyDescent="0.3">
      <c r="N4041" s="5"/>
      <c r="O4041" s="5"/>
      <c r="P4041" s="5"/>
      <c r="Q4041" s="5"/>
      <c r="R4041" s="8"/>
      <c r="S4041" s="8"/>
      <c r="T4041" s="3"/>
    </row>
    <row r="4042" spans="14:20" x14ac:dyDescent="0.3">
      <c r="N4042" s="5"/>
      <c r="O4042" s="5"/>
      <c r="P4042" s="5"/>
      <c r="Q4042" s="5"/>
      <c r="R4042" s="8"/>
      <c r="S4042" s="8"/>
      <c r="T4042" s="3"/>
    </row>
    <row r="4043" spans="14:20" x14ac:dyDescent="0.3">
      <c r="N4043" s="5"/>
      <c r="O4043" s="5"/>
      <c r="P4043" s="5"/>
      <c r="Q4043" s="5"/>
      <c r="R4043" s="8"/>
      <c r="S4043" s="8"/>
      <c r="T4043" s="3"/>
    </row>
    <row r="4044" spans="14:20" x14ac:dyDescent="0.3">
      <c r="N4044" s="5"/>
      <c r="O4044" s="5"/>
      <c r="P4044" s="5"/>
      <c r="Q4044" s="5"/>
      <c r="R4044" s="8"/>
      <c r="S4044" s="8"/>
      <c r="T4044" s="3"/>
    </row>
    <row r="4045" spans="14:20" x14ac:dyDescent="0.3">
      <c r="N4045" s="5"/>
      <c r="O4045" s="5"/>
      <c r="P4045" s="5"/>
      <c r="Q4045" s="5"/>
      <c r="R4045" s="8"/>
      <c r="S4045" s="8"/>
      <c r="T4045" s="3"/>
    </row>
    <row r="4046" spans="14:20" x14ac:dyDescent="0.3">
      <c r="N4046" s="5"/>
      <c r="O4046" s="5"/>
      <c r="P4046" s="5"/>
      <c r="Q4046" s="5"/>
      <c r="R4046" s="8"/>
      <c r="S4046" s="8"/>
      <c r="T4046" s="3"/>
    </row>
    <row r="4047" spans="14:20" x14ac:dyDescent="0.3">
      <c r="N4047" s="5"/>
      <c r="O4047" s="5"/>
      <c r="P4047" s="5"/>
      <c r="Q4047" s="5"/>
      <c r="R4047" s="8"/>
      <c r="S4047" s="8"/>
      <c r="T4047" s="3"/>
    </row>
    <row r="4048" spans="14:20" x14ac:dyDescent="0.3">
      <c r="N4048" s="5"/>
      <c r="O4048" s="5"/>
      <c r="P4048" s="5"/>
      <c r="Q4048" s="5"/>
      <c r="R4048" s="8"/>
      <c r="S4048" s="8"/>
      <c r="T4048" s="3"/>
    </row>
    <row r="4049" spans="14:20" x14ac:dyDescent="0.3">
      <c r="N4049" s="5"/>
      <c r="O4049" s="5"/>
      <c r="P4049" s="5"/>
      <c r="Q4049" s="5"/>
      <c r="R4049" s="8"/>
      <c r="S4049" s="8"/>
      <c r="T4049" s="3"/>
    </row>
    <row r="4050" spans="14:20" x14ac:dyDescent="0.3">
      <c r="N4050" s="5"/>
      <c r="O4050" s="5"/>
      <c r="P4050" s="5"/>
      <c r="Q4050" s="5"/>
      <c r="R4050" s="8"/>
      <c r="S4050" s="8"/>
      <c r="T4050" s="3"/>
    </row>
    <row r="4051" spans="14:20" x14ac:dyDescent="0.3">
      <c r="N4051" s="5"/>
      <c r="O4051" s="5"/>
      <c r="P4051" s="5"/>
      <c r="Q4051" s="5"/>
      <c r="R4051" s="8"/>
      <c r="S4051" s="8"/>
      <c r="T4051" s="3"/>
    </row>
    <row r="4052" spans="14:20" x14ac:dyDescent="0.3">
      <c r="N4052" s="5"/>
      <c r="O4052" s="5"/>
      <c r="P4052" s="5"/>
      <c r="Q4052" s="5"/>
      <c r="R4052" s="8"/>
      <c r="S4052" s="8"/>
      <c r="T4052" s="3"/>
    </row>
    <row r="4053" spans="14:20" x14ac:dyDescent="0.3">
      <c r="N4053" s="5"/>
      <c r="O4053" s="5"/>
      <c r="P4053" s="5"/>
      <c r="Q4053" s="5"/>
      <c r="R4053" s="8"/>
      <c r="S4053" s="8"/>
      <c r="T4053" s="3"/>
    </row>
    <row r="4054" spans="14:20" x14ac:dyDescent="0.3">
      <c r="N4054" s="5"/>
      <c r="O4054" s="5"/>
      <c r="P4054" s="5"/>
      <c r="Q4054" s="5"/>
      <c r="R4054" s="8"/>
      <c r="S4054" s="8"/>
      <c r="T4054" s="3"/>
    </row>
    <row r="4055" spans="14:20" x14ac:dyDescent="0.3">
      <c r="N4055" s="5"/>
      <c r="O4055" s="5"/>
      <c r="P4055" s="5"/>
      <c r="Q4055" s="5"/>
      <c r="R4055" s="8"/>
      <c r="S4055" s="8"/>
      <c r="T4055" s="3"/>
    </row>
    <row r="4056" spans="14:20" x14ac:dyDescent="0.3">
      <c r="N4056" s="5"/>
      <c r="O4056" s="5"/>
      <c r="P4056" s="5"/>
      <c r="Q4056" s="5"/>
      <c r="R4056" s="8"/>
      <c r="S4056" s="8"/>
      <c r="T4056" s="3"/>
    </row>
    <row r="4057" spans="14:20" x14ac:dyDescent="0.3">
      <c r="N4057" s="5"/>
      <c r="O4057" s="5"/>
      <c r="P4057" s="5"/>
      <c r="Q4057" s="5"/>
      <c r="R4057" s="8"/>
      <c r="S4057" s="8"/>
      <c r="T4057" s="3"/>
    </row>
    <row r="4058" spans="14:20" x14ac:dyDescent="0.3">
      <c r="N4058" s="5"/>
      <c r="O4058" s="5"/>
      <c r="P4058" s="5"/>
      <c r="Q4058" s="5"/>
      <c r="R4058" s="8"/>
      <c r="S4058" s="8"/>
      <c r="T4058" s="3"/>
    </row>
    <row r="4059" spans="14:20" x14ac:dyDescent="0.3">
      <c r="N4059" s="5"/>
      <c r="O4059" s="5"/>
      <c r="P4059" s="5"/>
      <c r="Q4059" s="5"/>
      <c r="R4059" s="8"/>
      <c r="S4059" s="8"/>
      <c r="T4059" s="3"/>
    </row>
    <row r="4060" spans="14:20" x14ac:dyDescent="0.3">
      <c r="N4060" s="5"/>
      <c r="O4060" s="5"/>
      <c r="P4060" s="5"/>
      <c r="Q4060" s="5"/>
      <c r="R4060" s="8"/>
      <c r="S4060" s="8"/>
      <c r="T4060" s="3"/>
    </row>
    <row r="4061" spans="14:20" x14ac:dyDescent="0.3">
      <c r="N4061" s="5"/>
      <c r="O4061" s="5"/>
      <c r="P4061" s="5"/>
      <c r="Q4061" s="5"/>
      <c r="R4061" s="8"/>
      <c r="S4061" s="8"/>
      <c r="T4061" s="3"/>
    </row>
    <row r="4062" spans="14:20" x14ac:dyDescent="0.3">
      <c r="N4062" s="5"/>
      <c r="O4062" s="5"/>
      <c r="P4062" s="5"/>
      <c r="Q4062" s="5"/>
      <c r="R4062" s="8"/>
      <c r="S4062" s="8"/>
      <c r="T4062" s="3"/>
    </row>
    <row r="4063" spans="14:20" x14ac:dyDescent="0.3">
      <c r="N4063" s="5"/>
      <c r="O4063" s="5"/>
      <c r="P4063" s="5"/>
      <c r="Q4063" s="5"/>
      <c r="R4063" s="8"/>
      <c r="S4063" s="8"/>
      <c r="T4063" s="3"/>
    </row>
    <row r="4064" spans="14:20" x14ac:dyDescent="0.3">
      <c r="N4064" s="5"/>
      <c r="O4064" s="5"/>
      <c r="P4064" s="5"/>
      <c r="Q4064" s="5"/>
      <c r="R4064" s="8"/>
      <c r="S4064" s="8"/>
      <c r="T4064" s="3"/>
    </row>
    <row r="4065" spans="14:20" x14ac:dyDescent="0.3">
      <c r="N4065" s="5"/>
      <c r="O4065" s="5"/>
      <c r="P4065" s="5"/>
      <c r="Q4065" s="5"/>
      <c r="R4065" s="8"/>
      <c r="S4065" s="8"/>
      <c r="T4065" s="3"/>
    </row>
    <row r="4066" spans="14:20" x14ac:dyDescent="0.3">
      <c r="N4066" s="5"/>
      <c r="O4066" s="5"/>
      <c r="P4066" s="5"/>
      <c r="Q4066" s="5"/>
      <c r="R4066" s="8"/>
      <c r="S4066" s="8"/>
      <c r="T4066" s="3"/>
    </row>
    <row r="4067" spans="14:20" x14ac:dyDescent="0.3">
      <c r="N4067" s="5"/>
      <c r="O4067" s="5"/>
      <c r="P4067" s="5"/>
      <c r="Q4067" s="5"/>
      <c r="R4067" s="8"/>
      <c r="S4067" s="8"/>
      <c r="T4067" s="3"/>
    </row>
    <row r="4068" spans="14:20" x14ac:dyDescent="0.3">
      <c r="N4068" s="5"/>
      <c r="O4068" s="5"/>
      <c r="P4068" s="5"/>
      <c r="Q4068" s="5"/>
      <c r="R4068" s="8"/>
      <c r="S4068" s="8"/>
      <c r="T4068" s="3"/>
    </row>
    <row r="4069" spans="14:20" x14ac:dyDescent="0.3">
      <c r="N4069" s="5"/>
      <c r="O4069" s="5"/>
      <c r="P4069" s="5"/>
      <c r="Q4069" s="5"/>
      <c r="R4069" s="8"/>
      <c r="S4069" s="8"/>
      <c r="T4069" s="3"/>
    </row>
    <row r="4070" spans="14:20" x14ac:dyDescent="0.3">
      <c r="N4070" s="5"/>
      <c r="O4070" s="5"/>
      <c r="P4070" s="5"/>
      <c r="Q4070" s="5"/>
      <c r="R4070" s="8"/>
      <c r="S4070" s="8"/>
      <c r="T4070" s="3"/>
    </row>
    <row r="4071" spans="14:20" x14ac:dyDescent="0.3">
      <c r="N4071" s="5"/>
      <c r="O4071" s="5"/>
      <c r="P4071" s="5"/>
      <c r="Q4071" s="5"/>
      <c r="R4071" s="8"/>
      <c r="S4071" s="8"/>
      <c r="T4071" s="3"/>
    </row>
    <row r="4072" spans="14:20" x14ac:dyDescent="0.3">
      <c r="N4072" s="5"/>
      <c r="O4072" s="5"/>
      <c r="P4072" s="5"/>
      <c r="Q4072" s="5"/>
      <c r="R4072" s="8"/>
      <c r="S4072" s="8"/>
      <c r="T4072" s="3"/>
    </row>
    <row r="4073" spans="14:20" x14ac:dyDescent="0.3">
      <c r="N4073" s="5"/>
      <c r="O4073" s="5"/>
      <c r="P4073" s="5"/>
      <c r="Q4073" s="5"/>
      <c r="R4073" s="8"/>
      <c r="S4073" s="8"/>
      <c r="T4073" s="3"/>
    </row>
    <row r="4074" spans="14:20" x14ac:dyDescent="0.3">
      <c r="N4074" s="5"/>
      <c r="O4074" s="5"/>
      <c r="P4074" s="5"/>
      <c r="Q4074" s="5"/>
      <c r="R4074" s="8"/>
      <c r="S4074" s="8"/>
      <c r="T4074" s="3"/>
    </row>
    <row r="4075" spans="14:20" x14ac:dyDescent="0.3">
      <c r="N4075" s="5"/>
      <c r="O4075" s="5"/>
      <c r="P4075" s="5"/>
      <c r="Q4075" s="5"/>
      <c r="R4075" s="8"/>
      <c r="S4075" s="8"/>
      <c r="T4075" s="3"/>
    </row>
    <row r="4076" spans="14:20" x14ac:dyDescent="0.3">
      <c r="N4076" s="5"/>
      <c r="O4076" s="5"/>
      <c r="P4076" s="5"/>
      <c r="Q4076" s="5"/>
      <c r="R4076" s="8"/>
      <c r="S4076" s="8"/>
      <c r="T4076" s="3"/>
    </row>
    <row r="4077" spans="14:20" x14ac:dyDescent="0.3">
      <c r="N4077" s="5"/>
      <c r="O4077" s="5"/>
      <c r="P4077" s="5"/>
      <c r="Q4077" s="5"/>
      <c r="R4077" s="8"/>
      <c r="S4077" s="8"/>
      <c r="T4077" s="3"/>
    </row>
    <row r="4078" spans="14:20" x14ac:dyDescent="0.3">
      <c r="N4078" s="5"/>
      <c r="O4078" s="5"/>
      <c r="P4078" s="5"/>
      <c r="Q4078" s="5"/>
      <c r="R4078" s="8"/>
      <c r="S4078" s="8"/>
      <c r="T4078" s="3"/>
    </row>
    <row r="4079" spans="14:20" x14ac:dyDescent="0.3">
      <c r="N4079" s="5"/>
      <c r="O4079" s="5"/>
      <c r="P4079" s="5"/>
      <c r="Q4079" s="5"/>
      <c r="R4079" s="8"/>
      <c r="S4079" s="8"/>
      <c r="T4079" s="3"/>
    </row>
    <row r="4080" spans="14:20" x14ac:dyDescent="0.3">
      <c r="N4080" s="5"/>
      <c r="O4080" s="5"/>
      <c r="P4080" s="5"/>
      <c r="Q4080" s="5"/>
      <c r="R4080" s="8"/>
      <c r="S4080" s="8"/>
      <c r="T4080" s="3"/>
    </row>
    <row r="4081" spans="14:20" x14ac:dyDescent="0.3">
      <c r="N4081" s="5"/>
      <c r="O4081" s="5"/>
      <c r="P4081" s="5"/>
      <c r="Q4081" s="5"/>
      <c r="R4081" s="8"/>
      <c r="S4081" s="8"/>
      <c r="T4081" s="3"/>
    </row>
    <row r="4082" spans="14:20" x14ac:dyDescent="0.3">
      <c r="N4082" s="5"/>
      <c r="O4082" s="5"/>
      <c r="P4082" s="5"/>
      <c r="Q4082" s="5"/>
      <c r="R4082" s="8"/>
      <c r="S4082" s="8"/>
      <c r="T4082" s="3"/>
    </row>
    <row r="4083" spans="14:20" x14ac:dyDescent="0.3">
      <c r="N4083" s="5"/>
      <c r="O4083" s="5"/>
      <c r="P4083" s="5"/>
      <c r="Q4083" s="5"/>
      <c r="R4083" s="8"/>
      <c r="S4083" s="8"/>
      <c r="T4083" s="3"/>
    </row>
    <row r="4084" spans="14:20" x14ac:dyDescent="0.3">
      <c r="N4084" s="5"/>
      <c r="O4084" s="5"/>
      <c r="P4084" s="5"/>
      <c r="Q4084" s="5"/>
      <c r="R4084" s="8"/>
      <c r="S4084" s="8"/>
      <c r="T4084" s="3"/>
    </row>
    <row r="4085" spans="14:20" x14ac:dyDescent="0.3">
      <c r="N4085" s="5"/>
      <c r="O4085" s="5"/>
      <c r="P4085" s="5"/>
      <c r="Q4085" s="5"/>
      <c r="R4085" s="8"/>
      <c r="S4085" s="8"/>
      <c r="T4085" s="3"/>
    </row>
    <row r="4086" spans="14:20" x14ac:dyDescent="0.3">
      <c r="N4086" s="5"/>
      <c r="O4086" s="5"/>
      <c r="P4086" s="5"/>
      <c r="Q4086" s="5"/>
      <c r="R4086" s="8"/>
      <c r="S4086" s="8"/>
      <c r="T4086" s="3"/>
    </row>
    <row r="4087" spans="14:20" x14ac:dyDescent="0.3">
      <c r="N4087" s="5"/>
      <c r="O4087" s="5"/>
      <c r="P4087" s="5"/>
      <c r="Q4087" s="5"/>
      <c r="R4087" s="8"/>
      <c r="S4087" s="8"/>
      <c r="T4087" s="3"/>
    </row>
    <row r="4088" spans="14:20" x14ac:dyDescent="0.3">
      <c r="N4088" s="5"/>
      <c r="O4088" s="5"/>
      <c r="P4088" s="5"/>
      <c r="Q4088" s="5"/>
      <c r="R4088" s="8"/>
      <c r="S4088" s="8"/>
      <c r="T4088" s="3"/>
    </row>
    <row r="4089" spans="14:20" x14ac:dyDescent="0.3">
      <c r="N4089" s="5"/>
      <c r="O4089" s="5"/>
      <c r="P4089" s="5"/>
      <c r="Q4089" s="5"/>
      <c r="R4089" s="8"/>
      <c r="S4089" s="8"/>
      <c r="T4089" s="3"/>
    </row>
    <row r="4090" spans="14:20" x14ac:dyDescent="0.3">
      <c r="N4090" s="5"/>
      <c r="O4090" s="5"/>
      <c r="P4090" s="5"/>
      <c r="Q4090" s="5"/>
      <c r="R4090" s="8"/>
      <c r="S4090" s="8"/>
      <c r="T4090" s="3"/>
    </row>
    <row r="4091" spans="14:20" x14ac:dyDescent="0.3">
      <c r="N4091" s="5"/>
      <c r="O4091" s="5"/>
      <c r="P4091" s="5"/>
      <c r="Q4091" s="5"/>
      <c r="R4091" s="8"/>
      <c r="S4091" s="8"/>
      <c r="T4091" s="3"/>
    </row>
    <row r="4092" spans="14:20" x14ac:dyDescent="0.3">
      <c r="N4092" s="5"/>
      <c r="O4092" s="5"/>
      <c r="P4092" s="5"/>
      <c r="Q4092" s="5"/>
      <c r="R4092" s="8"/>
      <c r="S4092" s="8"/>
      <c r="T4092" s="3"/>
    </row>
    <row r="4093" spans="14:20" x14ac:dyDescent="0.3">
      <c r="N4093" s="5"/>
      <c r="O4093" s="5"/>
      <c r="P4093" s="5"/>
      <c r="Q4093" s="5"/>
      <c r="R4093" s="8"/>
      <c r="S4093" s="8"/>
      <c r="T4093" s="3"/>
    </row>
    <row r="4094" spans="14:20" x14ac:dyDescent="0.3">
      <c r="N4094" s="5"/>
      <c r="O4094" s="5"/>
      <c r="P4094" s="5"/>
      <c r="Q4094" s="5"/>
      <c r="R4094" s="8"/>
      <c r="S4094" s="8"/>
      <c r="T4094" s="3"/>
    </row>
    <row r="4095" spans="14:20" x14ac:dyDescent="0.3">
      <c r="N4095" s="5"/>
      <c r="O4095" s="5"/>
      <c r="P4095" s="5"/>
      <c r="Q4095" s="5"/>
      <c r="R4095" s="8"/>
      <c r="S4095" s="8"/>
      <c r="T4095" s="3"/>
    </row>
    <row r="4096" spans="14:20" x14ac:dyDescent="0.3">
      <c r="N4096" s="5"/>
      <c r="O4096" s="5"/>
      <c r="P4096" s="5"/>
      <c r="Q4096" s="5"/>
      <c r="R4096" s="8"/>
      <c r="S4096" s="8"/>
      <c r="T4096" s="3"/>
    </row>
    <row r="4097" spans="14:20" x14ac:dyDescent="0.3">
      <c r="N4097" s="5"/>
      <c r="O4097" s="5"/>
      <c r="P4097" s="5"/>
      <c r="Q4097" s="5"/>
      <c r="R4097" s="8"/>
      <c r="S4097" s="8"/>
      <c r="T4097" s="3"/>
    </row>
    <row r="4098" spans="14:20" x14ac:dyDescent="0.3">
      <c r="N4098" s="5"/>
      <c r="O4098" s="5"/>
      <c r="P4098" s="5"/>
      <c r="Q4098" s="5"/>
      <c r="R4098" s="8"/>
      <c r="S4098" s="8"/>
      <c r="T4098" s="3"/>
    </row>
    <row r="4099" spans="14:20" x14ac:dyDescent="0.3">
      <c r="N4099" s="5"/>
      <c r="O4099" s="5"/>
      <c r="P4099" s="5"/>
      <c r="Q4099" s="5"/>
      <c r="R4099" s="8"/>
      <c r="S4099" s="8"/>
      <c r="T4099" s="3"/>
    </row>
    <row r="4100" spans="14:20" x14ac:dyDescent="0.3">
      <c r="N4100" s="5"/>
      <c r="O4100" s="5"/>
      <c r="P4100" s="5"/>
      <c r="Q4100" s="5"/>
      <c r="R4100" s="8"/>
      <c r="S4100" s="8"/>
      <c r="T4100" s="3"/>
    </row>
    <row r="4101" spans="14:20" x14ac:dyDescent="0.3">
      <c r="N4101" s="5"/>
      <c r="O4101" s="5"/>
      <c r="P4101" s="5"/>
      <c r="Q4101" s="5"/>
      <c r="R4101" s="8"/>
      <c r="S4101" s="8"/>
      <c r="T4101" s="3"/>
    </row>
    <row r="4102" spans="14:20" x14ac:dyDescent="0.3">
      <c r="N4102" s="5"/>
      <c r="O4102" s="5"/>
      <c r="P4102" s="5"/>
      <c r="Q4102" s="5"/>
      <c r="R4102" s="8"/>
      <c r="S4102" s="8"/>
      <c r="T4102" s="3"/>
    </row>
    <row r="4103" spans="14:20" x14ac:dyDescent="0.3">
      <c r="N4103" s="5"/>
      <c r="O4103" s="5"/>
      <c r="P4103" s="5"/>
      <c r="Q4103" s="5"/>
      <c r="R4103" s="8"/>
      <c r="S4103" s="8"/>
      <c r="T4103" s="3"/>
    </row>
    <row r="4104" spans="14:20" x14ac:dyDescent="0.3">
      <c r="N4104" s="5"/>
      <c r="O4104" s="5"/>
      <c r="P4104" s="5"/>
      <c r="Q4104" s="5"/>
      <c r="R4104" s="8"/>
      <c r="S4104" s="8"/>
      <c r="T4104" s="3"/>
    </row>
    <row r="4105" spans="14:20" x14ac:dyDescent="0.3">
      <c r="N4105" s="5"/>
      <c r="O4105" s="5"/>
      <c r="P4105" s="5"/>
      <c r="Q4105" s="5"/>
      <c r="R4105" s="8"/>
      <c r="S4105" s="8"/>
      <c r="T4105" s="3"/>
    </row>
    <row r="4106" spans="14:20" x14ac:dyDescent="0.3">
      <c r="N4106" s="5"/>
      <c r="O4106" s="5"/>
      <c r="P4106" s="5"/>
      <c r="Q4106" s="5"/>
      <c r="R4106" s="8"/>
      <c r="S4106" s="8"/>
      <c r="T4106" s="3"/>
    </row>
    <row r="4107" spans="14:20" x14ac:dyDescent="0.3">
      <c r="N4107" s="5"/>
      <c r="O4107" s="5"/>
      <c r="P4107" s="5"/>
      <c r="Q4107" s="5"/>
      <c r="R4107" s="8"/>
      <c r="S4107" s="8"/>
      <c r="T4107" s="3"/>
    </row>
    <row r="4108" spans="14:20" x14ac:dyDescent="0.3">
      <c r="N4108" s="5"/>
      <c r="O4108" s="5"/>
      <c r="P4108" s="5"/>
      <c r="Q4108" s="5"/>
      <c r="R4108" s="8"/>
      <c r="S4108" s="8"/>
      <c r="T4108" s="3"/>
    </row>
    <row r="4109" spans="14:20" x14ac:dyDescent="0.3">
      <c r="N4109" s="5"/>
      <c r="O4109" s="5"/>
      <c r="P4109" s="5"/>
      <c r="Q4109" s="5"/>
      <c r="R4109" s="8"/>
      <c r="S4109" s="8"/>
      <c r="T4109" s="3"/>
    </row>
    <row r="4110" spans="14:20" x14ac:dyDescent="0.3">
      <c r="N4110" s="5"/>
      <c r="O4110" s="5"/>
      <c r="P4110" s="5"/>
      <c r="Q4110" s="5"/>
      <c r="R4110" s="8"/>
      <c r="S4110" s="8"/>
      <c r="T4110" s="3"/>
    </row>
    <row r="4111" spans="14:20" x14ac:dyDescent="0.3">
      <c r="N4111" s="5"/>
      <c r="O4111" s="5"/>
      <c r="P4111" s="5"/>
      <c r="Q4111" s="5"/>
      <c r="R4111" s="8"/>
      <c r="S4111" s="8"/>
      <c r="T4111" s="3"/>
    </row>
    <row r="4112" spans="14:20" x14ac:dyDescent="0.3">
      <c r="N4112" s="5"/>
      <c r="O4112" s="5"/>
      <c r="P4112" s="5"/>
      <c r="Q4112" s="5"/>
      <c r="R4112" s="8"/>
      <c r="S4112" s="8"/>
      <c r="T4112" s="3"/>
    </row>
    <row r="4113" spans="14:20" x14ac:dyDescent="0.3">
      <c r="N4113" s="5"/>
      <c r="O4113" s="5"/>
      <c r="P4113" s="5"/>
      <c r="Q4113" s="5"/>
      <c r="R4113" s="8"/>
      <c r="S4113" s="8"/>
      <c r="T4113" s="3"/>
    </row>
    <row r="4114" spans="14:20" x14ac:dyDescent="0.3">
      <c r="N4114" s="5"/>
      <c r="O4114" s="5"/>
      <c r="P4114" s="5"/>
      <c r="Q4114" s="5"/>
      <c r="R4114" s="8"/>
      <c r="S4114" s="8"/>
      <c r="T4114" s="3"/>
    </row>
    <row r="4115" spans="14:20" x14ac:dyDescent="0.3">
      <c r="N4115" s="5"/>
      <c r="O4115" s="5"/>
      <c r="P4115" s="5"/>
      <c r="Q4115" s="5"/>
      <c r="R4115" s="8"/>
      <c r="S4115" s="8"/>
      <c r="T4115" s="3"/>
    </row>
    <row r="4116" spans="14:20" x14ac:dyDescent="0.3">
      <c r="N4116" s="5"/>
      <c r="O4116" s="5"/>
      <c r="P4116" s="5"/>
      <c r="Q4116" s="5"/>
      <c r="R4116" s="8"/>
      <c r="S4116" s="8"/>
      <c r="T4116" s="3"/>
    </row>
    <row r="4117" spans="14:20" x14ac:dyDescent="0.3">
      <c r="N4117" s="5"/>
      <c r="O4117" s="5"/>
      <c r="P4117" s="5"/>
      <c r="Q4117" s="5"/>
      <c r="R4117" s="8"/>
      <c r="S4117" s="8"/>
      <c r="T4117" s="3"/>
    </row>
    <row r="4118" spans="14:20" x14ac:dyDescent="0.3">
      <c r="N4118" s="5"/>
      <c r="O4118" s="5"/>
      <c r="P4118" s="5"/>
      <c r="Q4118" s="5"/>
      <c r="R4118" s="8"/>
      <c r="S4118" s="8"/>
      <c r="T4118" s="3"/>
    </row>
    <row r="4119" spans="14:20" x14ac:dyDescent="0.3">
      <c r="N4119" s="5"/>
      <c r="O4119" s="5"/>
      <c r="P4119" s="5"/>
      <c r="Q4119" s="5"/>
      <c r="R4119" s="8"/>
      <c r="S4119" s="8"/>
      <c r="T4119" s="3"/>
    </row>
    <row r="4120" spans="14:20" x14ac:dyDescent="0.3">
      <c r="N4120" s="5"/>
      <c r="O4120" s="5"/>
      <c r="P4120" s="5"/>
      <c r="Q4120" s="5"/>
      <c r="R4120" s="8"/>
      <c r="S4120" s="8"/>
      <c r="T4120" s="3"/>
    </row>
    <row r="4121" spans="14:20" x14ac:dyDescent="0.3">
      <c r="N4121" s="5"/>
      <c r="O4121" s="5"/>
      <c r="P4121" s="5"/>
      <c r="Q4121" s="5"/>
      <c r="R4121" s="8"/>
      <c r="S4121" s="8"/>
      <c r="T4121" s="3"/>
    </row>
    <row r="4122" spans="14:20" x14ac:dyDescent="0.3">
      <c r="N4122" s="5"/>
      <c r="O4122" s="5"/>
      <c r="P4122" s="5"/>
      <c r="Q4122" s="5"/>
      <c r="R4122" s="8"/>
      <c r="S4122" s="8"/>
      <c r="T4122" s="3"/>
    </row>
    <row r="4123" spans="14:20" x14ac:dyDescent="0.3">
      <c r="N4123" s="5"/>
      <c r="O4123" s="5"/>
      <c r="P4123" s="5"/>
      <c r="Q4123" s="5"/>
      <c r="R4123" s="8"/>
      <c r="S4123" s="8"/>
      <c r="T4123" s="3"/>
    </row>
    <row r="4124" spans="14:20" x14ac:dyDescent="0.3">
      <c r="N4124" s="5"/>
      <c r="O4124" s="5"/>
      <c r="P4124" s="5"/>
      <c r="Q4124" s="5"/>
      <c r="R4124" s="8"/>
      <c r="S4124" s="8"/>
      <c r="T4124" s="3"/>
    </row>
    <row r="4125" spans="14:20" x14ac:dyDescent="0.3">
      <c r="N4125" s="5"/>
      <c r="O4125" s="5"/>
      <c r="P4125" s="5"/>
      <c r="Q4125" s="5"/>
      <c r="R4125" s="8"/>
      <c r="S4125" s="8"/>
      <c r="T4125" s="3"/>
    </row>
    <row r="4126" spans="14:20" x14ac:dyDescent="0.3">
      <c r="N4126" s="5"/>
      <c r="O4126" s="5"/>
      <c r="P4126" s="5"/>
      <c r="Q4126" s="5"/>
      <c r="R4126" s="8"/>
      <c r="S4126" s="8"/>
      <c r="T4126" s="3"/>
    </row>
    <row r="4127" spans="14:20" x14ac:dyDescent="0.3">
      <c r="N4127" s="5"/>
      <c r="O4127" s="5"/>
      <c r="P4127" s="5"/>
      <c r="Q4127" s="5"/>
      <c r="R4127" s="8"/>
      <c r="S4127" s="8"/>
      <c r="T4127" s="3"/>
    </row>
    <row r="4128" spans="14:20" x14ac:dyDescent="0.3">
      <c r="N4128" s="5"/>
      <c r="O4128" s="5"/>
      <c r="P4128" s="5"/>
      <c r="Q4128" s="5"/>
      <c r="R4128" s="8"/>
      <c r="S4128" s="8"/>
      <c r="T4128" s="3"/>
    </row>
    <row r="4129" spans="14:20" x14ac:dyDescent="0.3">
      <c r="N4129" s="5"/>
      <c r="O4129" s="5"/>
      <c r="P4129" s="5"/>
      <c r="Q4129" s="5"/>
      <c r="R4129" s="8"/>
      <c r="S4129" s="8"/>
      <c r="T4129" s="3"/>
    </row>
    <row r="4130" spans="14:20" x14ac:dyDescent="0.3">
      <c r="N4130" s="5"/>
      <c r="O4130" s="5"/>
      <c r="P4130" s="5"/>
      <c r="Q4130" s="5"/>
      <c r="R4130" s="8"/>
      <c r="S4130" s="8"/>
      <c r="T4130" s="3"/>
    </row>
    <row r="4131" spans="14:20" x14ac:dyDescent="0.3">
      <c r="N4131" s="5"/>
      <c r="O4131" s="5"/>
      <c r="P4131" s="5"/>
      <c r="Q4131" s="5"/>
      <c r="R4131" s="8"/>
      <c r="S4131" s="8"/>
      <c r="T4131" s="3"/>
    </row>
    <row r="4132" spans="14:20" x14ac:dyDescent="0.3">
      <c r="N4132" s="5"/>
      <c r="O4132" s="5"/>
      <c r="P4132" s="5"/>
      <c r="Q4132" s="5"/>
      <c r="R4132" s="8"/>
      <c r="S4132" s="8"/>
      <c r="T4132" s="3"/>
    </row>
    <row r="4133" spans="14:20" x14ac:dyDescent="0.3">
      <c r="N4133" s="5"/>
      <c r="O4133" s="5"/>
      <c r="P4133" s="5"/>
      <c r="Q4133" s="5"/>
      <c r="R4133" s="8"/>
      <c r="S4133" s="8"/>
      <c r="T4133" s="3"/>
    </row>
    <row r="4134" spans="14:20" x14ac:dyDescent="0.3">
      <c r="N4134" s="5"/>
      <c r="O4134" s="5"/>
      <c r="P4134" s="5"/>
      <c r="Q4134" s="5"/>
      <c r="R4134" s="8"/>
      <c r="S4134" s="8"/>
      <c r="T4134" s="3"/>
    </row>
    <row r="4135" spans="14:20" x14ac:dyDescent="0.3">
      <c r="N4135" s="5"/>
      <c r="O4135" s="5"/>
      <c r="P4135" s="5"/>
      <c r="Q4135" s="5"/>
      <c r="R4135" s="8"/>
      <c r="S4135" s="8"/>
      <c r="T4135" s="3"/>
    </row>
    <row r="4136" spans="14:20" x14ac:dyDescent="0.3">
      <c r="N4136" s="5"/>
      <c r="O4136" s="5"/>
      <c r="P4136" s="5"/>
      <c r="Q4136" s="5"/>
      <c r="R4136" s="8"/>
      <c r="S4136" s="8"/>
      <c r="T4136" s="3"/>
    </row>
    <row r="4137" spans="14:20" x14ac:dyDescent="0.3">
      <c r="N4137" s="5"/>
      <c r="O4137" s="5"/>
      <c r="P4137" s="5"/>
      <c r="Q4137" s="5"/>
      <c r="R4137" s="8"/>
      <c r="S4137" s="8"/>
      <c r="T4137" s="3"/>
    </row>
    <row r="4138" spans="14:20" x14ac:dyDescent="0.3">
      <c r="N4138" s="5"/>
      <c r="O4138" s="5"/>
      <c r="P4138" s="5"/>
      <c r="Q4138" s="5"/>
      <c r="R4138" s="8"/>
      <c r="S4138" s="8"/>
      <c r="T4138" s="3"/>
    </row>
    <row r="4139" spans="14:20" x14ac:dyDescent="0.3">
      <c r="N4139" s="5"/>
      <c r="O4139" s="5"/>
      <c r="P4139" s="5"/>
      <c r="Q4139" s="5"/>
      <c r="R4139" s="8"/>
      <c r="S4139" s="8"/>
      <c r="T4139" s="3"/>
    </row>
    <row r="4140" spans="14:20" x14ac:dyDescent="0.3">
      <c r="N4140" s="5"/>
      <c r="O4140" s="5"/>
      <c r="P4140" s="5"/>
      <c r="Q4140" s="5"/>
      <c r="R4140" s="8"/>
      <c r="S4140" s="8"/>
      <c r="T4140" s="3"/>
    </row>
    <row r="4141" spans="14:20" x14ac:dyDescent="0.3">
      <c r="N4141" s="5"/>
      <c r="O4141" s="5"/>
      <c r="P4141" s="5"/>
      <c r="Q4141" s="5"/>
      <c r="R4141" s="8"/>
      <c r="S4141" s="8"/>
      <c r="T4141" s="3"/>
    </row>
    <row r="4142" spans="14:20" x14ac:dyDescent="0.3">
      <c r="N4142" s="5"/>
      <c r="O4142" s="5"/>
      <c r="P4142" s="5"/>
      <c r="Q4142" s="5"/>
      <c r="R4142" s="8"/>
      <c r="S4142" s="8"/>
      <c r="T4142" s="3"/>
    </row>
    <row r="4143" spans="14:20" x14ac:dyDescent="0.3">
      <c r="N4143" s="5"/>
      <c r="O4143" s="5"/>
      <c r="P4143" s="5"/>
      <c r="Q4143" s="5"/>
      <c r="R4143" s="8"/>
      <c r="S4143" s="8"/>
      <c r="T4143" s="3"/>
    </row>
    <row r="4144" spans="14:20" x14ac:dyDescent="0.3">
      <c r="N4144" s="5"/>
      <c r="O4144" s="5"/>
      <c r="P4144" s="5"/>
      <c r="Q4144" s="5"/>
      <c r="R4144" s="8"/>
      <c r="S4144" s="8"/>
      <c r="T4144" s="3"/>
    </row>
    <row r="4145" spans="14:20" x14ac:dyDescent="0.3">
      <c r="N4145" s="5"/>
      <c r="O4145" s="5"/>
      <c r="P4145" s="5"/>
      <c r="Q4145" s="5"/>
      <c r="R4145" s="8"/>
      <c r="S4145" s="8"/>
      <c r="T4145" s="3"/>
    </row>
    <row r="4146" spans="14:20" x14ac:dyDescent="0.3">
      <c r="N4146" s="5"/>
      <c r="O4146" s="5"/>
      <c r="P4146" s="5"/>
      <c r="Q4146" s="5"/>
      <c r="R4146" s="8"/>
      <c r="S4146" s="8"/>
      <c r="T4146" s="3"/>
    </row>
    <row r="4147" spans="14:20" x14ac:dyDescent="0.3">
      <c r="N4147" s="5"/>
      <c r="O4147" s="5"/>
      <c r="P4147" s="5"/>
      <c r="Q4147" s="5"/>
      <c r="R4147" s="8"/>
      <c r="S4147" s="8"/>
      <c r="T4147" s="3"/>
    </row>
    <row r="4148" spans="14:20" x14ac:dyDescent="0.3">
      <c r="N4148" s="5"/>
      <c r="O4148" s="5"/>
      <c r="P4148" s="5"/>
      <c r="Q4148" s="5"/>
      <c r="R4148" s="8"/>
      <c r="S4148" s="8"/>
      <c r="T4148" s="3"/>
    </row>
    <row r="4149" spans="14:20" x14ac:dyDescent="0.3">
      <c r="N4149" s="5"/>
      <c r="O4149" s="5"/>
      <c r="P4149" s="5"/>
      <c r="Q4149" s="5"/>
      <c r="R4149" s="8"/>
      <c r="S4149" s="8"/>
      <c r="T4149" s="3"/>
    </row>
    <row r="4150" spans="14:20" x14ac:dyDescent="0.3">
      <c r="N4150" s="5"/>
      <c r="O4150" s="5"/>
      <c r="P4150" s="5"/>
      <c r="Q4150" s="5"/>
      <c r="R4150" s="8"/>
      <c r="S4150" s="8"/>
      <c r="T4150" s="3"/>
    </row>
    <row r="4151" spans="14:20" x14ac:dyDescent="0.3">
      <c r="N4151" s="5"/>
      <c r="O4151" s="5"/>
      <c r="P4151" s="5"/>
      <c r="Q4151" s="5"/>
      <c r="R4151" s="8"/>
      <c r="S4151" s="8"/>
      <c r="T4151" s="3"/>
    </row>
    <row r="4152" spans="14:20" x14ac:dyDescent="0.3">
      <c r="N4152" s="5"/>
      <c r="O4152" s="5"/>
      <c r="P4152" s="5"/>
      <c r="Q4152" s="5"/>
      <c r="R4152" s="8"/>
      <c r="S4152" s="8"/>
      <c r="T4152" s="3"/>
    </row>
    <row r="4153" spans="14:20" x14ac:dyDescent="0.3">
      <c r="N4153" s="5"/>
      <c r="O4153" s="5"/>
      <c r="P4153" s="5"/>
      <c r="Q4153" s="5"/>
      <c r="R4153" s="8"/>
      <c r="S4153" s="8"/>
      <c r="T4153" s="3"/>
    </row>
    <row r="4154" spans="14:20" x14ac:dyDescent="0.3">
      <c r="N4154" s="5"/>
      <c r="O4154" s="5"/>
      <c r="P4154" s="5"/>
      <c r="Q4154" s="5"/>
      <c r="R4154" s="8"/>
      <c r="S4154" s="8"/>
      <c r="T4154" s="3"/>
    </row>
    <row r="4155" spans="14:20" x14ac:dyDescent="0.3">
      <c r="N4155" s="5"/>
      <c r="O4155" s="5"/>
      <c r="P4155" s="5"/>
      <c r="Q4155" s="5"/>
      <c r="R4155" s="8"/>
      <c r="S4155" s="8"/>
      <c r="T4155" s="3"/>
    </row>
    <row r="4156" spans="14:20" x14ac:dyDescent="0.3">
      <c r="N4156" s="5"/>
      <c r="O4156" s="5"/>
      <c r="P4156" s="5"/>
      <c r="Q4156" s="5"/>
      <c r="R4156" s="8"/>
      <c r="S4156" s="8"/>
      <c r="T4156" s="3"/>
    </row>
    <row r="4157" spans="14:20" x14ac:dyDescent="0.3">
      <c r="N4157" s="5"/>
      <c r="O4157" s="5"/>
      <c r="P4157" s="5"/>
      <c r="Q4157" s="5"/>
      <c r="R4157" s="8"/>
      <c r="S4157" s="8"/>
      <c r="T4157" s="3"/>
    </row>
    <row r="4158" spans="14:20" x14ac:dyDescent="0.3">
      <c r="N4158" s="5"/>
      <c r="O4158" s="5"/>
      <c r="P4158" s="5"/>
      <c r="Q4158" s="5"/>
      <c r="R4158" s="8"/>
      <c r="S4158" s="8"/>
      <c r="T4158" s="3"/>
    </row>
    <row r="4159" spans="14:20" x14ac:dyDescent="0.3">
      <c r="N4159" s="5"/>
      <c r="O4159" s="5"/>
      <c r="P4159" s="5"/>
      <c r="Q4159" s="5"/>
      <c r="R4159" s="8"/>
      <c r="S4159" s="8"/>
      <c r="T4159" s="3"/>
    </row>
    <row r="4160" spans="14:20" x14ac:dyDescent="0.3">
      <c r="N4160" s="5"/>
      <c r="O4160" s="5"/>
      <c r="P4160" s="5"/>
      <c r="Q4160" s="5"/>
      <c r="R4160" s="8"/>
      <c r="S4160" s="8"/>
      <c r="T4160" s="3"/>
    </row>
    <row r="4161" spans="14:20" x14ac:dyDescent="0.3">
      <c r="N4161" s="5"/>
      <c r="O4161" s="5"/>
      <c r="P4161" s="5"/>
      <c r="Q4161" s="5"/>
      <c r="R4161" s="8"/>
      <c r="S4161" s="8"/>
      <c r="T4161" s="3"/>
    </row>
    <row r="4162" spans="14:20" x14ac:dyDescent="0.3">
      <c r="N4162" s="5"/>
      <c r="O4162" s="5"/>
      <c r="P4162" s="5"/>
      <c r="Q4162" s="5"/>
      <c r="R4162" s="8"/>
      <c r="S4162" s="8"/>
      <c r="T4162" s="3"/>
    </row>
    <row r="4163" spans="14:20" x14ac:dyDescent="0.3">
      <c r="N4163" s="5"/>
      <c r="O4163" s="5"/>
      <c r="P4163" s="5"/>
      <c r="Q4163" s="5"/>
      <c r="R4163" s="8"/>
      <c r="S4163" s="8"/>
      <c r="T4163" s="3"/>
    </row>
    <row r="4164" spans="14:20" x14ac:dyDescent="0.3">
      <c r="N4164" s="5"/>
      <c r="O4164" s="5"/>
      <c r="P4164" s="5"/>
      <c r="Q4164" s="5"/>
      <c r="R4164" s="8"/>
      <c r="S4164" s="8"/>
      <c r="T4164" s="3"/>
    </row>
    <row r="4165" spans="14:20" x14ac:dyDescent="0.3">
      <c r="N4165" s="5"/>
      <c r="O4165" s="5"/>
      <c r="P4165" s="5"/>
      <c r="Q4165" s="5"/>
      <c r="R4165" s="8"/>
      <c r="S4165" s="8"/>
      <c r="T4165" s="3"/>
    </row>
    <row r="4166" spans="14:20" x14ac:dyDescent="0.3">
      <c r="N4166" s="5"/>
      <c r="O4166" s="5"/>
      <c r="P4166" s="5"/>
      <c r="Q4166" s="5"/>
      <c r="R4166" s="8"/>
      <c r="S4166" s="8"/>
      <c r="T4166" s="3"/>
    </row>
    <row r="4167" spans="14:20" x14ac:dyDescent="0.3">
      <c r="N4167" s="5"/>
      <c r="O4167" s="5"/>
      <c r="P4167" s="5"/>
      <c r="Q4167" s="5"/>
      <c r="R4167" s="8"/>
      <c r="S4167" s="8"/>
      <c r="T4167" s="3"/>
    </row>
    <row r="4168" spans="14:20" x14ac:dyDescent="0.3">
      <c r="N4168" s="5"/>
      <c r="O4168" s="5"/>
      <c r="P4168" s="5"/>
      <c r="Q4168" s="5"/>
      <c r="R4168" s="8"/>
      <c r="S4168" s="8"/>
      <c r="T4168" s="3"/>
    </row>
    <row r="4169" spans="14:20" x14ac:dyDescent="0.3">
      <c r="N4169" s="5"/>
      <c r="O4169" s="5"/>
      <c r="P4169" s="5"/>
      <c r="Q4169" s="5"/>
      <c r="R4169" s="8"/>
      <c r="S4169" s="8"/>
      <c r="T4169" s="3"/>
    </row>
    <row r="4170" spans="14:20" x14ac:dyDescent="0.3">
      <c r="N4170" s="5"/>
      <c r="O4170" s="5"/>
      <c r="P4170" s="5"/>
      <c r="Q4170" s="5"/>
      <c r="R4170" s="8"/>
      <c r="S4170" s="8"/>
      <c r="T4170" s="3"/>
    </row>
    <row r="4171" spans="14:20" x14ac:dyDescent="0.3">
      <c r="N4171" s="5"/>
      <c r="O4171" s="5"/>
      <c r="P4171" s="5"/>
      <c r="Q4171" s="5"/>
      <c r="R4171" s="8"/>
      <c r="S4171" s="8"/>
      <c r="T4171" s="3"/>
    </row>
    <row r="4172" spans="14:20" x14ac:dyDescent="0.3">
      <c r="N4172" s="5"/>
      <c r="O4172" s="5"/>
      <c r="P4172" s="5"/>
      <c r="Q4172" s="5"/>
      <c r="R4172" s="8"/>
      <c r="S4172" s="8"/>
      <c r="T4172" s="3"/>
    </row>
    <row r="4173" spans="14:20" x14ac:dyDescent="0.3">
      <c r="N4173" s="5"/>
      <c r="O4173" s="5"/>
      <c r="P4173" s="5"/>
      <c r="Q4173" s="5"/>
      <c r="R4173" s="8"/>
      <c r="S4173" s="8"/>
      <c r="T4173" s="3"/>
    </row>
    <row r="4174" spans="14:20" x14ac:dyDescent="0.3">
      <c r="N4174" s="5"/>
      <c r="O4174" s="5"/>
      <c r="P4174" s="5"/>
      <c r="Q4174" s="5"/>
      <c r="R4174" s="8"/>
      <c r="S4174" s="8"/>
      <c r="T4174" s="3"/>
    </row>
    <row r="4175" spans="14:20" x14ac:dyDescent="0.3">
      <c r="N4175" s="5"/>
      <c r="O4175" s="5"/>
      <c r="P4175" s="5"/>
      <c r="Q4175" s="5"/>
      <c r="R4175" s="8"/>
      <c r="S4175" s="8"/>
      <c r="T4175" s="3"/>
    </row>
    <row r="4176" spans="14:20" x14ac:dyDescent="0.3">
      <c r="N4176" s="5"/>
      <c r="O4176" s="5"/>
      <c r="P4176" s="5"/>
      <c r="Q4176" s="5"/>
      <c r="R4176" s="8"/>
      <c r="S4176" s="8"/>
      <c r="T4176" s="3"/>
    </row>
    <row r="4177" spans="14:20" x14ac:dyDescent="0.3">
      <c r="N4177" s="5"/>
      <c r="O4177" s="5"/>
      <c r="P4177" s="5"/>
      <c r="Q4177" s="5"/>
      <c r="R4177" s="8"/>
      <c r="S4177" s="8"/>
      <c r="T4177" s="3"/>
    </row>
    <row r="4178" spans="14:20" x14ac:dyDescent="0.3">
      <c r="N4178" s="5"/>
      <c r="O4178" s="5"/>
      <c r="P4178" s="5"/>
      <c r="Q4178" s="5"/>
      <c r="R4178" s="8"/>
      <c r="S4178" s="8"/>
      <c r="T4178" s="3"/>
    </row>
    <row r="4179" spans="14:20" x14ac:dyDescent="0.3">
      <c r="N4179" s="5"/>
      <c r="O4179" s="5"/>
      <c r="P4179" s="5"/>
      <c r="Q4179" s="5"/>
      <c r="R4179" s="8"/>
      <c r="S4179" s="8"/>
      <c r="T4179" s="3"/>
    </row>
    <row r="4180" spans="14:20" x14ac:dyDescent="0.3">
      <c r="N4180" s="5"/>
      <c r="O4180" s="5"/>
      <c r="P4180" s="5"/>
      <c r="Q4180" s="5"/>
      <c r="R4180" s="8"/>
      <c r="S4180" s="8"/>
      <c r="T4180" s="3"/>
    </row>
    <row r="4181" spans="14:20" x14ac:dyDescent="0.3">
      <c r="N4181" s="5"/>
      <c r="O4181" s="5"/>
      <c r="P4181" s="5"/>
      <c r="Q4181" s="5"/>
      <c r="R4181" s="8"/>
      <c r="S4181" s="8"/>
      <c r="T4181" s="3"/>
    </row>
    <row r="4182" spans="14:20" x14ac:dyDescent="0.3">
      <c r="N4182" s="5"/>
      <c r="O4182" s="5"/>
      <c r="P4182" s="5"/>
      <c r="Q4182" s="5"/>
      <c r="R4182" s="8"/>
      <c r="S4182" s="8"/>
      <c r="T4182" s="3"/>
    </row>
    <row r="4183" spans="14:20" x14ac:dyDescent="0.3">
      <c r="N4183" s="5"/>
      <c r="O4183" s="5"/>
      <c r="P4183" s="5"/>
      <c r="Q4183" s="5"/>
      <c r="R4183" s="8"/>
      <c r="S4183" s="8"/>
      <c r="T4183" s="3"/>
    </row>
    <row r="4184" spans="14:20" x14ac:dyDescent="0.3">
      <c r="N4184" s="5"/>
      <c r="O4184" s="5"/>
      <c r="P4184" s="5"/>
      <c r="Q4184" s="5"/>
      <c r="R4184" s="8"/>
      <c r="S4184" s="8"/>
      <c r="T4184" s="3"/>
    </row>
    <row r="4185" spans="14:20" x14ac:dyDescent="0.3">
      <c r="N4185" s="5"/>
      <c r="O4185" s="5"/>
      <c r="P4185" s="5"/>
      <c r="Q4185" s="5"/>
      <c r="R4185" s="8"/>
      <c r="S4185" s="8"/>
      <c r="T4185" s="3"/>
    </row>
    <row r="4186" spans="14:20" x14ac:dyDescent="0.3">
      <c r="N4186" s="5"/>
      <c r="O4186" s="5"/>
      <c r="P4186" s="5"/>
      <c r="Q4186" s="5"/>
      <c r="R4186" s="8"/>
      <c r="S4186" s="8"/>
      <c r="T4186" s="3"/>
    </row>
    <row r="4187" spans="14:20" x14ac:dyDescent="0.3">
      <c r="N4187" s="5"/>
      <c r="O4187" s="5"/>
      <c r="P4187" s="5"/>
      <c r="Q4187" s="5"/>
      <c r="R4187" s="8"/>
      <c r="S4187" s="8"/>
      <c r="T4187" s="3"/>
    </row>
    <row r="4188" spans="14:20" x14ac:dyDescent="0.3">
      <c r="N4188" s="5"/>
      <c r="O4188" s="5"/>
      <c r="P4188" s="5"/>
      <c r="Q4188" s="5"/>
      <c r="R4188" s="8"/>
      <c r="S4188" s="8"/>
      <c r="T4188" s="3"/>
    </row>
    <row r="4189" spans="14:20" x14ac:dyDescent="0.3">
      <c r="N4189" s="5"/>
      <c r="O4189" s="5"/>
      <c r="P4189" s="5"/>
      <c r="Q4189" s="5"/>
      <c r="R4189" s="8"/>
      <c r="S4189" s="8"/>
      <c r="T4189" s="3"/>
    </row>
    <row r="4190" spans="14:20" x14ac:dyDescent="0.3">
      <c r="N4190" s="5"/>
      <c r="O4190" s="5"/>
      <c r="P4190" s="5"/>
      <c r="Q4190" s="5"/>
      <c r="R4190" s="8"/>
      <c r="S4190" s="8"/>
      <c r="T4190" s="3"/>
    </row>
    <row r="4191" spans="14:20" x14ac:dyDescent="0.3">
      <c r="N4191" s="5"/>
      <c r="O4191" s="5"/>
      <c r="P4191" s="5"/>
      <c r="Q4191" s="5"/>
      <c r="R4191" s="8"/>
      <c r="S4191" s="8"/>
      <c r="T4191" s="3"/>
    </row>
    <row r="4192" spans="14:20" x14ac:dyDescent="0.3">
      <c r="N4192" s="5"/>
      <c r="O4192" s="5"/>
      <c r="P4192" s="5"/>
      <c r="Q4192" s="5"/>
      <c r="R4192" s="8"/>
      <c r="S4192" s="8"/>
      <c r="T4192" s="3"/>
    </row>
    <row r="4193" spans="14:20" x14ac:dyDescent="0.3">
      <c r="N4193" s="5"/>
      <c r="O4193" s="5"/>
      <c r="P4193" s="5"/>
      <c r="Q4193" s="5"/>
      <c r="R4193" s="8"/>
      <c r="S4193" s="8"/>
      <c r="T4193" s="3"/>
    </row>
    <row r="4194" spans="14:20" x14ac:dyDescent="0.3">
      <c r="N4194" s="5"/>
      <c r="O4194" s="5"/>
      <c r="P4194" s="5"/>
      <c r="Q4194" s="5"/>
      <c r="R4194" s="8"/>
      <c r="S4194" s="8"/>
      <c r="T4194" s="3"/>
    </row>
    <row r="4195" spans="14:20" x14ac:dyDescent="0.3">
      <c r="N4195" s="5"/>
      <c r="O4195" s="5"/>
      <c r="P4195" s="5"/>
      <c r="Q4195" s="5"/>
      <c r="R4195" s="8"/>
      <c r="S4195" s="8"/>
      <c r="T4195" s="3"/>
    </row>
    <row r="4196" spans="14:20" x14ac:dyDescent="0.3">
      <c r="N4196" s="5"/>
      <c r="O4196" s="5"/>
      <c r="P4196" s="5"/>
      <c r="Q4196" s="5"/>
      <c r="R4196" s="8"/>
      <c r="S4196" s="8"/>
      <c r="T4196" s="3"/>
    </row>
    <row r="4197" spans="14:20" x14ac:dyDescent="0.3">
      <c r="N4197" s="5"/>
      <c r="O4197" s="5"/>
      <c r="P4197" s="5"/>
      <c r="Q4197" s="5"/>
      <c r="R4197" s="8"/>
      <c r="S4197" s="8"/>
      <c r="T4197" s="3"/>
    </row>
    <row r="4198" spans="14:20" x14ac:dyDescent="0.3">
      <c r="N4198" s="5"/>
      <c r="O4198" s="5"/>
      <c r="P4198" s="5"/>
      <c r="Q4198" s="5"/>
      <c r="R4198" s="8"/>
      <c r="S4198" s="8"/>
      <c r="T4198" s="3"/>
    </row>
    <row r="4199" spans="14:20" x14ac:dyDescent="0.3">
      <c r="N4199" s="5"/>
      <c r="O4199" s="5"/>
      <c r="P4199" s="5"/>
      <c r="Q4199" s="5"/>
      <c r="R4199" s="8"/>
      <c r="S4199" s="8"/>
      <c r="T4199" s="3"/>
    </row>
    <row r="4200" spans="14:20" x14ac:dyDescent="0.3">
      <c r="N4200" s="5"/>
      <c r="O4200" s="5"/>
      <c r="P4200" s="5"/>
      <c r="Q4200" s="5"/>
      <c r="R4200" s="8"/>
      <c r="S4200" s="8"/>
      <c r="T4200" s="3"/>
    </row>
    <row r="4201" spans="14:20" x14ac:dyDescent="0.3">
      <c r="N4201" s="5"/>
      <c r="O4201" s="5"/>
      <c r="P4201" s="5"/>
      <c r="Q4201" s="5"/>
      <c r="R4201" s="8"/>
      <c r="S4201" s="8"/>
      <c r="T4201" s="3"/>
    </row>
    <row r="4202" spans="14:20" x14ac:dyDescent="0.3">
      <c r="N4202" s="5"/>
      <c r="O4202" s="5"/>
      <c r="P4202" s="5"/>
      <c r="Q4202" s="5"/>
      <c r="R4202" s="8"/>
      <c r="S4202" s="8"/>
      <c r="T4202" s="3"/>
    </row>
    <row r="4203" spans="14:20" x14ac:dyDescent="0.3">
      <c r="N4203" s="5"/>
      <c r="O4203" s="5"/>
      <c r="P4203" s="5"/>
      <c r="Q4203" s="5"/>
      <c r="R4203" s="8"/>
      <c r="S4203" s="8"/>
      <c r="T4203" s="3"/>
    </row>
    <row r="4204" spans="14:20" x14ac:dyDescent="0.3">
      <c r="N4204" s="5"/>
      <c r="O4204" s="5"/>
      <c r="P4204" s="5"/>
      <c r="Q4204" s="5"/>
      <c r="R4204" s="8"/>
      <c r="S4204" s="8"/>
      <c r="T4204" s="3"/>
    </row>
    <row r="4205" spans="14:20" x14ac:dyDescent="0.3">
      <c r="N4205" s="5"/>
      <c r="O4205" s="5"/>
      <c r="P4205" s="5"/>
      <c r="Q4205" s="5"/>
      <c r="R4205" s="8"/>
      <c r="S4205" s="8"/>
      <c r="T4205" s="3"/>
    </row>
    <row r="4206" spans="14:20" x14ac:dyDescent="0.3">
      <c r="N4206" s="5"/>
      <c r="O4206" s="5"/>
      <c r="P4206" s="5"/>
      <c r="Q4206" s="5"/>
      <c r="R4206" s="8"/>
      <c r="S4206" s="8"/>
      <c r="T4206" s="3"/>
    </row>
    <row r="4207" spans="14:20" x14ac:dyDescent="0.3">
      <c r="N4207" s="5"/>
      <c r="O4207" s="5"/>
      <c r="P4207" s="5"/>
      <c r="Q4207" s="5"/>
      <c r="R4207" s="8"/>
      <c r="S4207" s="8"/>
      <c r="T4207" s="3"/>
    </row>
    <row r="4208" spans="14:20" x14ac:dyDescent="0.3">
      <c r="N4208" s="5"/>
      <c r="O4208" s="5"/>
      <c r="P4208" s="5"/>
      <c r="Q4208" s="5"/>
      <c r="R4208" s="8"/>
      <c r="S4208" s="8"/>
      <c r="T4208" s="3"/>
    </row>
    <row r="4209" spans="14:20" x14ac:dyDescent="0.3">
      <c r="N4209" s="5"/>
      <c r="O4209" s="5"/>
      <c r="P4209" s="5"/>
      <c r="Q4209" s="5"/>
      <c r="R4209" s="8"/>
      <c r="S4209" s="8"/>
      <c r="T4209" s="3"/>
    </row>
    <row r="4210" spans="14:20" x14ac:dyDescent="0.3">
      <c r="N4210" s="5"/>
      <c r="O4210" s="5"/>
      <c r="P4210" s="5"/>
      <c r="Q4210" s="5"/>
      <c r="R4210" s="8"/>
      <c r="S4210" s="8"/>
      <c r="T4210" s="3"/>
    </row>
    <row r="4211" spans="14:20" x14ac:dyDescent="0.3">
      <c r="N4211" s="5"/>
      <c r="O4211" s="5"/>
      <c r="P4211" s="5"/>
      <c r="Q4211" s="5"/>
      <c r="R4211" s="8"/>
      <c r="S4211" s="8"/>
      <c r="T4211" s="3"/>
    </row>
    <row r="4212" spans="14:20" x14ac:dyDescent="0.3">
      <c r="N4212" s="5"/>
      <c r="O4212" s="5"/>
      <c r="P4212" s="5"/>
      <c r="Q4212" s="5"/>
      <c r="R4212" s="8"/>
      <c r="S4212" s="8"/>
      <c r="T4212" s="3"/>
    </row>
    <row r="4213" spans="14:20" x14ac:dyDescent="0.3">
      <c r="N4213" s="5"/>
      <c r="O4213" s="5"/>
      <c r="P4213" s="5"/>
      <c r="Q4213" s="5"/>
      <c r="R4213" s="8"/>
      <c r="S4213" s="8"/>
      <c r="T4213" s="3"/>
    </row>
    <row r="4214" spans="14:20" x14ac:dyDescent="0.3">
      <c r="N4214" s="5"/>
      <c r="O4214" s="5"/>
      <c r="P4214" s="5"/>
      <c r="Q4214" s="5"/>
      <c r="R4214" s="8"/>
      <c r="S4214" s="8"/>
      <c r="T4214" s="3"/>
    </row>
    <row r="4215" spans="14:20" x14ac:dyDescent="0.3">
      <c r="N4215" s="5"/>
      <c r="O4215" s="5"/>
      <c r="P4215" s="5"/>
      <c r="Q4215" s="5"/>
      <c r="R4215" s="8"/>
      <c r="S4215" s="8"/>
      <c r="T4215" s="3"/>
    </row>
    <row r="4216" spans="14:20" x14ac:dyDescent="0.3">
      <c r="N4216" s="5"/>
      <c r="O4216" s="5"/>
      <c r="P4216" s="5"/>
      <c r="Q4216" s="5"/>
      <c r="R4216" s="8"/>
      <c r="S4216" s="8"/>
      <c r="T4216" s="3"/>
    </row>
    <row r="4217" spans="14:20" x14ac:dyDescent="0.3">
      <c r="N4217" s="5"/>
      <c r="O4217" s="5"/>
      <c r="P4217" s="5"/>
      <c r="Q4217" s="5"/>
      <c r="R4217" s="8"/>
      <c r="S4217" s="8"/>
      <c r="T4217" s="3"/>
    </row>
    <row r="4218" spans="14:20" x14ac:dyDescent="0.3">
      <c r="N4218" s="5"/>
      <c r="O4218" s="5"/>
      <c r="P4218" s="5"/>
      <c r="Q4218" s="5"/>
      <c r="R4218" s="8"/>
      <c r="S4218" s="8"/>
      <c r="T4218" s="3"/>
    </row>
    <row r="4219" spans="14:20" x14ac:dyDescent="0.3">
      <c r="N4219" s="5"/>
      <c r="O4219" s="5"/>
      <c r="P4219" s="5"/>
      <c r="Q4219" s="5"/>
      <c r="R4219" s="8"/>
      <c r="S4219" s="8"/>
      <c r="T4219" s="3"/>
    </row>
    <row r="4220" spans="14:20" x14ac:dyDescent="0.3">
      <c r="N4220" s="5"/>
      <c r="O4220" s="5"/>
      <c r="P4220" s="5"/>
      <c r="Q4220" s="5"/>
      <c r="R4220" s="8"/>
      <c r="S4220" s="8"/>
      <c r="T4220" s="3"/>
    </row>
    <row r="4221" spans="14:20" x14ac:dyDescent="0.3">
      <c r="N4221" s="5"/>
      <c r="O4221" s="5"/>
      <c r="P4221" s="5"/>
      <c r="Q4221" s="5"/>
      <c r="R4221" s="8"/>
      <c r="S4221" s="8"/>
      <c r="T4221" s="3"/>
    </row>
    <row r="4222" spans="14:20" x14ac:dyDescent="0.3">
      <c r="N4222" s="5"/>
      <c r="O4222" s="5"/>
      <c r="P4222" s="5"/>
      <c r="Q4222" s="5"/>
      <c r="R4222" s="8"/>
      <c r="S4222" s="8"/>
      <c r="T4222" s="3"/>
    </row>
    <row r="4223" spans="14:20" x14ac:dyDescent="0.3">
      <c r="N4223" s="5"/>
      <c r="O4223" s="5"/>
      <c r="P4223" s="5"/>
      <c r="Q4223" s="5"/>
      <c r="R4223" s="8"/>
      <c r="S4223" s="8"/>
      <c r="T4223" s="3"/>
    </row>
    <row r="4224" spans="14:20" x14ac:dyDescent="0.3">
      <c r="N4224" s="5"/>
      <c r="O4224" s="5"/>
      <c r="P4224" s="5"/>
      <c r="Q4224" s="5"/>
      <c r="R4224" s="8"/>
      <c r="S4224" s="8"/>
      <c r="T4224" s="3"/>
    </row>
    <row r="4225" spans="14:20" x14ac:dyDescent="0.3">
      <c r="N4225" s="5"/>
      <c r="O4225" s="5"/>
      <c r="P4225" s="5"/>
      <c r="Q4225" s="5"/>
      <c r="R4225" s="8"/>
      <c r="S4225" s="8"/>
      <c r="T4225" s="3"/>
    </row>
    <row r="4226" spans="14:20" x14ac:dyDescent="0.3">
      <c r="N4226" s="5"/>
      <c r="O4226" s="5"/>
      <c r="P4226" s="5"/>
      <c r="Q4226" s="5"/>
      <c r="R4226" s="8"/>
      <c r="S4226" s="8"/>
      <c r="T4226" s="3"/>
    </row>
    <row r="4227" spans="14:20" x14ac:dyDescent="0.3">
      <c r="N4227" s="5"/>
      <c r="O4227" s="5"/>
      <c r="P4227" s="5"/>
      <c r="Q4227" s="5"/>
      <c r="R4227" s="8"/>
      <c r="S4227" s="8"/>
      <c r="T4227" s="3"/>
    </row>
    <row r="4228" spans="14:20" x14ac:dyDescent="0.3">
      <c r="N4228" s="5"/>
      <c r="O4228" s="5"/>
      <c r="P4228" s="5"/>
      <c r="Q4228" s="5"/>
      <c r="R4228" s="8"/>
      <c r="S4228" s="8"/>
      <c r="T4228" s="3"/>
    </row>
    <row r="4229" spans="14:20" x14ac:dyDescent="0.3">
      <c r="N4229" s="5"/>
      <c r="O4229" s="5"/>
      <c r="P4229" s="5"/>
      <c r="Q4229" s="5"/>
      <c r="R4229" s="8"/>
      <c r="S4229" s="8"/>
      <c r="T4229" s="3"/>
    </row>
    <row r="4230" spans="14:20" x14ac:dyDescent="0.3">
      <c r="N4230" s="5"/>
      <c r="O4230" s="5"/>
      <c r="P4230" s="5"/>
      <c r="Q4230" s="5"/>
      <c r="R4230" s="8"/>
      <c r="S4230" s="8"/>
      <c r="T4230" s="3"/>
    </row>
    <row r="4231" spans="14:20" x14ac:dyDescent="0.3">
      <c r="N4231" s="5"/>
      <c r="O4231" s="5"/>
      <c r="P4231" s="5"/>
      <c r="Q4231" s="5"/>
      <c r="R4231" s="8"/>
      <c r="S4231" s="8"/>
      <c r="T4231" s="3"/>
    </row>
    <row r="4232" spans="14:20" x14ac:dyDescent="0.3">
      <c r="N4232" s="5"/>
      <c r="O4232" s="5"/>
      <c r="P4232" s="5"/>
      <c r="Q4232" s="5"/>
      <c r="R4232" s="8"/>
      <c r="S4232" s="8"/>
      <c r="T4232" s="3"/>
    </row>
    <row r="4233" spans="14:20" x14ac:dyDescent="0.3">
      <c r="N4233" s="5"/>
      <c r="O4233" s="5"/>
      <c r="P4233" s="5"/>
      <c r="Q4233" s="5"/>
      <c r="R4233" s="8"/>
      <c r="S4233" s="8"/>
      <c r="T4233" s="3"/>
    </row>
    <row r="4234" spans="14:20" x14ac:dyDescent="0.3">
      <c r="N4234" s="5"/>
      <c r="O4234" s="5"/>
      <c r="P4234" s="5"/>
      <c r="Q4234" s="5"/>
      <c r="R4234" s="8"/>
      <c r="S4234" s="8"/>
      <c r="T4234" s="3"/>
    </row>
    <row r="4235" spans="14:20" x14ac:dyDescent="0.3">
      <c r="N4235" s="5"/>
      <c r="O4235" s="5"/>
      <c r="P4235" s="5"/>
      <c r="Q4235" s="5"/>
      <c r="R4235" s="8"/>
      <c r="S4235" s="8"/>
      <c r="T4235" s="3"/>
    </row>
    <row r="4236" spans="14:20" x14ac:dyDescent="0.3">
      <c r="N4236" s="5"/>
      <c r="O4236" s="5"/>
      <c r="P4236" s="5"/>
      <c r="Q4236" s="5"/>
      <c r="R4236" s="8"/>
      <c r="S4236" s="8"/>
      <c r="T4236" s="3"/>
    </row>
    <row r="4237" spans="14:20" x14ac:dyDescent="0.3">
      <c r="N4237" s="5"/>
      <c r="O4237" s="5"/>
      <c r="P4237" s="5"/>
      <c r="Q4237" s="5"/>
      <c r="R4237" s="8"/>
      <c r="S4237" s="8"/>
      <c r="T4237" s="3"/>
    </row>
    <row r="4238" spans="14:20" x14ac:dyDescent="0.3">
      <c r="N4238" s="5"/>
      <c r="O4238" s="5"/>
      <c r="P4238" s="5"/>
      <c r="Q4238" s="5"/>
      <c r="R4238" s="8"/>
      <c r="S4238" s="8"/>
      <c r="T4238" s="3"/>
    </row>
    <row r="4239" spans="14:20" x14ac:dyDescent="0.3">
      <c r="N4239" s="5"/>
      <c r="O4239" s="5"/>
      <c r="P4239" s="5"/>
      <c r="Q4239" s="5"/>
      <c r="R4239" s="8"/>
      <c r="S4239" s="8"/>
      <c r="T4239" s="3"/>
    </row>
    <row r="4240" spans="14:20" x14ac:dyDescent="0.3">
      <c r="N4240" s="5"/>
      <c r="O4240" s="5"/>
      <c r="P4240" s="5"/>
      <c r="Q4240" s="5"/>
      <c r="R4240" s="8"/>
      <c r="S4240" s="8"/>
      <c r="T4240" s="3"/>
    </row>
    <row r="4241" spans="14:20" x14ac:dyDescent="0.3">
      <c r="N4241" s="5"/>
      <c r="O4241" s="5"/>
      <c r="P4241" s="5"/>
      <c r="Q4241" s="5"/>
      <c r="R4241" s="8"/>
      <c r="S4241" s="8"/>
      <c r="T4241" s="3"/>
    </row>
    <row r="4242" spans="14:20" x14ac:dyDescent="0.3">
      <c r="N4242" s="5"/>
      <c r="O4242" s="5"/>
      <c r="P4242" s="5"/>
      <c r="Q4242" s="5"/>
      <c r="R4242" s="8"/>
      <c r="S4242" s="8"/>
      <c r="T4242" s="3"/>
    </row>
    <row r="4243" spans="14:20" x14ac:dyDescent="0.3">
      <c r="N4243" s="5"/>
      <c r="O4243" s="5"/>
      <c r="P4243" s="5"/>
      <c r="Q4243" s="5"/>
      <c r="R4243" s="8"/>
      <c r="S4243" s="8"/>
      <c r="T4243" s="3"/>
    </row>
    <row r="4244" spans="14:20" x14ac:dyDescent="0.3">
      <c r="N4244" s="5"/>
      <c r="O4244" s="5"/>
      <c r="P4244" s="5"/>
      <c r="Q4244" s="5"/>
      <c r="R4244" s="8"/>
      <c r="S4244" s="8"/>
      <c r="T4244" s="3"/>
    </row>
    <row r="4245" spans="14:20" x14ac:dyDescent="0.3">
      <c r="N4245" s="5"/>
      <c r="O4245" s="5"/>
      <c r="P4245" s="5"/>
      <c r="Q4245" s="5"/>
      <c r="R4245" s="8"/>
      <c r="S4245" s="8"/>
      <c r="T4245" s="3"/>
    </row>
    <row r="4246" spans="14:20" x14ac:dyDescent="0.3">
      <c r="N4246" s="5"/>
      <c r="O4246" s="5"/>
      <c r="P4246" s="5"/>
      <c r="Q4246" s="5"/>
      <c r="R4246" s="8"/>
      <c r="S4246" s="8"/>
      <c r="T4246" s="3"/>
    </row>
    <row r="4247" spans="14:20" x14ac:dyDescent="0.3">
      <c r="N4247" s="5"/>
      <c r="O4247" s="5"/>
      <c r="P4247" s="5"/>
      <c r="Q4247" s="5"/>
      <c r="R4247" s="8"/>
      <c r="S4247" s="8"/>
      <c r="T4247" s="3"/>
    </row>
    <row r="4248" spans="14:20" x14ac:dyDescent="0.3">
      <c r="N4248" s="5"/>
      <c r="O4248" s="5"/>
      <c r="P4248" s="5"/>
      <c r="Q4248" s="5"/>
      <c r="R4248" s="8"/>
      <c r="S4248" s="8"/>
      <c r="T4248" s="3"/>
    </row>
    <row r="4249" spans="14:20" x14ac:dyDescent="0.3">
      <c r="N4249" s="5"/>
      <c r="O4249" s="5"/>
      <c r="P4249" s="5"/>
      <c r="Q4249" s="5"/>
      <c r="R4249" s="8"/>
      <c r="S4249" s="8"/>
      <c r="T4249" s="3"/>
    </row>
    <row r="4250" spans="14:20" x14ac:dyDescent="0.3">
      <c r="N4250" s="5"/>
      <c r="O4250" s="5"/>
      <c r="P4250" s="5"/>
      <c r="Q4250" s="5"/>
      <c r="R4250" s="8"/>
      <c r="S4250" s="8"/>
      <c r="T4250" s="3"/>
    </row>
    <row r="4251" spans="14:20" x14ac:dyDescent="0.3">
      <c r="N4251" s="5"/>
      <c r="O4251" s="5"/>
      <c r="P4251" s="5"/>
      <c r="Q4251" s="5"/>
      <c r="R4251" s="8"/>
      <c r="S4251" s="8"/>
      <c r="T4251" s="3"/>
    </row>
    <row r="4252" spans="14:20" x14ac:dyDescent="0.3">
      <c r="N4252" s="5"/>
      <c r="O4252" s="5"/>
      <c r="P4252" s="5"/>
      <c r="Q4252" s="5"/>
      <c r="R4252" s="8"/>
      <c r="S4252" s="8"/>
      <c r="T4252" s="3"/>
    </row>
    <row r="4253" spans="14:20" x14ac:dyDescent="0.3">
      <c r="N4253" s="5"/>
      <c r="O4253" s="5"/>
      <c r="P4253" s="5"/>
      <c r="Q4253" s="5"/>
      <c r="R4253" s="8"/>
      <c r="S4253" s="8"/>
      <c r="T4253" s="3"/>
    </row>
    <row r="4254" spans="14:20" x14ac:dyDescent="0.3">
      <c r="N4254" s="5"/>
      <c r="O4254" s="5"/>
      <c r="P4254" s="5"/>
      <c r="Q4254" s="5"/>
      <c r="R4254" s="8"/>
      <c r="S4254" s="8"/>
      <c r="T4254" s="3"/>
    </row>
    <row r="4255" spans="14:20" x14ac:dyDescent="0.3">
      <c r="N4255" s="5"/>
      <c r="O4255" s="5"/>
      <c r="P4255" s="5"/>
      <c r="Q4255" s="5"/>
      <c r="R4255" s="8"/>
      <c r="S4255" s="8"/>
      <c r="T4255" s="3"/>
    </row>
    <row r="4256" spans="14:20" x14ac:dyDescent="0.3">
      <c r="N4256" s="5"/>
      <c r="O4256" s="5"/>
      <c r="P4256" s="5"/>
      <c r="Q4256" s="5"/>
      <c r="R4256" s="8"/>
      <c r="S4256" s="8"/>
      <c r="T4256" s="3"/>
    </row>
    <row r="4257" spans="14:20" x14ac:dyDescent="0.3">
      <c r="N4257" s="5"/>
      <c r="O4257" s="5"/>
      <c r="P4257" s="5"/>
      <c r="Q4257" s="5"/>
      <c r="R4257" s="8"/>
      <c r="S4257" s="8"/>
      <c r="T4257" s="3"/>
    </row>
    <row r="4258" spans="14:20" x14ac:dyDescent="0.3">
      <c r="N4258" s="5"/>
      <c r="O4258" s="5"/>
      <c r="P4258" s="5"/>
      <c r="Q4258" s="5"/>
      <c r="R4258" s="8"/>
      <c r="S4258" s="8"/>
      <c r="T4258" s="3"/>
    </row>
    <row r="4259" spans="14:20" x14ac:dyDescent="0.3">
      <c r="N4259" s="5"/>
      <c r="O4259" s="5"/>
      <c r="P4259" s="5"/>
      <c r="Q4259" s="5"/>
      <c r="R4259" s="8"/>
      <c r="S4259" s="8"/>
      <c r="T4259" s="3"/>
    </row>
    <row r="4260" spans="14:20" x14ac:dyDescent="0.3">
      <c r="N4260" s="5"/>
      <c r="O4260" s="5"/>
      <c r="P4260" s="5"/>
      <c r="Q4260" s="5"/>
      <c r="R4260" s="8"/>
      <c r="S4260" s="8"/>
      <c r="T4260" s="3"/>
    </row>
    <row r="4261" spans="14:20" x14ac:dyDescent="0.3">
      <c r="N4261" s="5"/>
      <c r="O4261" s="5"/>
      <c r="P4261" s="5"/>
      <c r="Q4261" s="5"/>
      <c r="R4261" s="8"/>
      <c r="S4261" s="8"/>
      <c r="T4261" s="3"/>
    </row>
    <row r="4262" spans="14:20" x14ac:dyDescent="0.3">
      <c r="N4262" s="5"/>
      <c r="O4262" s="5"/>
      <c r="P4262" s="5"/>
      <c r="Q4262" s="5"/>
      <c r="R4262" s="8"/>
      <c r="S4262" s="8"/>
      <c r="T4262" s="3"/>
    </row>
    <row r="4263" spans="14:20" x14ac:dyDescent="0.3">
      <c r="N4263" s="5"/>
      <c r="O4263" s="5"/>
      <c r="P4263" s="5"/>
      <c r="Q4263" s="5"/>
      <c r="R4263" s="8"/>
      <c r="S4263" s="8"/>
      <c r="T4263" s="3"/>
    </row>
    <row r="4264" spans="14:20" x14ac:dyDescent="0.3">
      <c r="N4264" s="5"/>
      <c r="O4264" s="5"/>
      <c r="P4264" s="5"/>
      <c r="Q4264" s="5"/>
      <c r="R4264" s="8"/>
      <c r="S4264" s="8"/>
      <c r="T4264" s="3"/>
    </row>
    <row r="4265" spans="14:20" x14ac:dyDescent="0.3">
      <c r="N4265" s="5"/>
      <c r="O4265" s="5"/>
      <c r="P4265" s="5"/>
      <c r="Q4265" s="5"/>
      <c r="R4265" s="8"/>
      <c r="S4265" s="8"/>
      <c r="T4265" s="3"/>
    </row>
    <row r="4266" spans="14:20" x14ac:dyDescent="0.3">
      <c r="N4266" s="5"/>
      <c r="O4266" s="5"/>
      <c r="P4266" s="5"/>
      <c r="Q4266" s="5"/>
      <c r="R4266" s="8"/>
      <c r="S4266" s="8"/>
      <c r="T4266" s="3"/>
    </row>
    <row r="4267" spans="14:20" x14ac:dyDescent="0.3">
      <c r="N4267" s="5"/>
      <c r="O4267" s="5"/>
      <c r="P4267" s="5"/>
      <c r="Q4267" s="5"/>
      <c r="R4267" s="8"/>
      <c r="S4267" s="8"/>
      <c r="T4267" s="3"/>
    </row>
    <row r="4268" spans="14:20" x14ac:dyDescent="0.3">
      <c r="N4268" s="5"/>
      <c r="O4268" s="5"/>
      <c r="P4268" s="5"/>
      <c r="Q4268" s="5"/>
      <c r="R4268" s="8"/>
      <c r="S4268" s="8"/>
      <c r="T4268" s="3"/>
    </row>
    <row r="4269" spans="14:20" x14ac:dyDescent="0.3">
      <c r="N4269" s="5"/>
      <c r="O4269" s="5"/>
      <c r="P4269" s="5"/>
      <c r="Q4269" s="5"/>
      <c r="R4269" s="8"/>
      <c r="S4269" s="8"/>
      <c r="T4269" s="3"/>
    </row>
    <row r="4270" spans="14:20" x14ac:dyDescent="0.3">
      <c r="N4270" s="5"/>
      <c r="O4270" s="5"/>
      <c r="P4270" s="5"/>
      <c r="Q4270" s="5"/>
      <c r="R4270" s="8"/>
      <c r="S4270" s="8"/>
      <c r="T4270" s="3"/>
    </row>
    <row r="4271" spans="14:20" x14ac:dyDescent="0.3">
      <c r="N4271" s="5"/>
      <c r="O4271" s="5"/>
      <c r="P4271" s="5"/>
      <c r="Q4271" s="5"/>
      <c r="R4271" s="8"/>
      <c r="S4271" s="8"/>
      <c r="T4271" s="3"/>
    </row>
    <row r="4272" spans="14:20" x14ac:dyDescent="0.3">
      <c r="N4272" s="5"/>
      <c r="O4272" s="5"/>
      <c r="P4272" s="5"/>
      <c r="Q4272" s="5"/>
      <c r="R4272" s="8"/>
      <c r="S4272" s="8"/>
      <c r="T4272" s="3"/>
    </row>
    <row r="4273" spans="14:20" x14ac:dyDescent="0.3">
      <c r="N4273" s="5"/>
      <c r="O4273" s="5"/>
      <c r="P4273" s="5"/>
      <c r="Q4273" s="5"/>
      <c r="R4273" s="8"/>
      <c r="S4273" s="8"/>
      <c r="T4273" s="3"/>
    </row>
    <row r="4274" spans="14:20" x14ac:dyDescent="0.3">
      <c r="N4274" s="5"/>
      <c r="O4274" s="5"/>
      <c r="P4274" s="5"/>
      <c r="Q4274" s="5"/>
      <c r="R4274" s="8"/>
      <c r="S4274" s="8"/>
      <c r="T4274" s="3"/>
    </row>
    <row r="4275" spans="14:20" x14ac:dyDescent="0.3">
      <c r="N4275" s="5"/>
      <c r="O4275" s="5"/>
      <c r="P4275" s="5"/>
      <c r="Q4275" s="5"/>
      <c r="R4275" s="8"/>
      <c r="S4275" s="8"/>
      <c r="T4275" s="3"/>
    </row>
    <row r="4276" spans="14:20" x14ac:dyDescent="0.3">
      <c r="N4276" s="5"/>
      <c r="O4276" s="5"/>
      <c r="P4276" s="5"/>
      <c r="Q4276" s="5"/>
      <c r="R4276" s="8"/>
      <c r="S4276" s="8"/>
      <c r="T4276" s="3"/>
    </row>
    <row r="4277" spans="14:20" x14ac:dyDescent="0.3">
      <c r="N4277" s="5"/>
      <c r="O4277" s="5"/>
      <c r="P4277" s="5"/>
      <c r="Q4277" s="5"/>
      <c r="R4277" s="8"/>
      <c r="S4277" s="8"/>
      <c r="T4277" s="3"/>
    </row>
    <row r="4278" spans="14:20" x14ac:dyDescent="0.3">
      <c r="N4278" s="5"/>
      <c r="O4278" s="5"/>
      <c r="P4278" s="5"/>
      <c r="Q4278" s="5"/>
      <c r="R4278" s="8"/>
      <c r="S4278" s="8"/>
      <c r="T4278" s="3"/>
    </row>
    <row r="4279" spans="14:20" x14ac:dyDescent="0.3">
      <c r="N4279" s="5"/>
      <c r="O4279" s="5"/>
      <c r="P4279" s="5"/>
      <c r="Q4279" s="5"/>
      <c r="R4279" s="8"/>
      <c r="S4279" s="8"/>
      <c r="T4279" s="3"/>
    </row>
    <row r="4280" spans="14:20" x14ac:dyDescent="0.3">
      <c r="N4280" s="5"/>
      <c r="O4280" s="5"/>
      <c r="P4280" s="5"/>
      <c r="Q4280" s="5"/>
      <c r="R4280" s="8"/>
      <c r="S4280" s="8"/>
      <c r="T4280" s="3"/>
    </row>
    <row r="4281" spans="14:20" x14ac:dyDescent="0.3">
      <c r="N4281" s="5"/>
      <c r="O4281" s="5"/>
      <c r="P4281" s="5"/>
      <c r="Q4281" s="5"/>
      <c r="R4281" s="8"/>
      <c r="S4281" s="8"/>
      <c r="T4281" s="3"/>
    </row>
    <row r="4282" spans="14:20" x14ac:dyDescent="0.3">
      <c r="N4282" s="5"/>
      <c r="O4282" s="5"/>
      <c r="P4282" s="5"/>
      <c r="Q4282" s="5"/>
      <c r="R4282" s="8"/>
      <c r="S4282" s="8"/>
      <c r="T4282" s="3"/>
    </row>
    <row r="4283" spans="14:20" x14ac:dyDescent="0.3">
      <c r="N4283" s="5"/>
      <c r="O4283" s="5"/>
      <c r="P4283" s="5"/>
      <c r="Q4283" s="5"/>
      <c r="R4283" s="8"/>
      <c r="S4283" s="8"/>
      <c r="T4283" s="3"/>
    </row>
    <row r="4284" spans="14:20" x14ac:dyDescent="0.3">
      <c r="N4284" s="5"/>
      <c r="O4284" s="5"/>
      <c r="P4284" s="5"/>
      <c r="Q4284" s="5"/>
      <c r="R4284" s="8"/>
      <c r="S4284" s="8"/>
      <c r="T4284" s="3"/>
    </row>
    <row r="4285" spans="14:20" x14ac:dyDescent="0.3">
      <c r="N4285" s="5"/>
      <c r="O4285" s="5"/>
      <c r="P4285" s="5"/>
      <c r="Q4285" s="5"/>
      <c r="R4285" s="8"/>
      <c r="S4285" s="8"/>
      <c r="T4285" s="3"/>
    </row>
    <row r="4286" spans="14:20" x14ac:dyDescent="0.3">
      <c r="N4286" s="5"/>
      <c r="O4286" s="5"/>
      <c r="P4286" s="5"/>
      <c r="Q4286" s="5"/>
      <c r="R4286" s="8"/>
      <c r="S4286" s="8"/>
      <c r="T4286" s="3"/>
    </row>
    <row r="4287" spans="14:20" x14ac:dyDescent="0.3">
      <c r="N4287" s="5"/>
      <c r="O4287" s="5"/>
      <c r="P4287" s="5"/>
      <c r="Q4287" s="5"/>
      <c r="R4287" s="8"/>
      <c r="S4287" s="8"/>
      <c r="T4287" s="3"/>
    </row>
    <row r="4288" spans="14:20" x14ac:dyDescent="0.3">
      <c r="N4288" s="5"/>
      <c r="O4288" s="5"/>
      <c r="P4288" s="5"/>
      <c r="Q4288" s="5"/>
      <c r="R4288" s="8"/>
      <c r="S4288" s="8"/>
      <c r="T4288" s="3"/>
    </row>
    <row r="4289" spans="14:20" x14ac:dyDescent="0.3">
      <c r="N4289" s="5"/>
      <c r="O4289" s="5"/>
      <c r="P4289" s="5"/>
      <c r="Q4289" s="5"/>
      <c r="R4289" s="8"/>
      <c r="S4289" s="8"/>
      <c r="T4289" s="3"/>
    </row>
    <row r="4290" spans="14:20" x14ac:dyDescent="0.3">
      <c r="N4290" s="5"/>
      <c r="O4290" s="5"/>
      <c r="P4290" s="5"/>
      <c r="Q4290" s="5"/>
      <c r="R4290" s="8"/>
      <c r="S4290" s="8"/>
      <c r="T4290" s="3"/>
    </row>
    <row r="4291" spans="14:20" x14ac:dyDescent="0.3">
      <c r="N4291" s="5"/>
      <c r="O4291" s="5"/>
      <c r="P4291" s="5"/>
      <c r="Q4291" s="5"/>
      <c r="R4291" s="8"/>
      <c r="S4291" s="8"/>
      <c r="T4291" s="3"/>
    </row>
    <row r="4292" spans="14:20" x14ac:dyDescent="0.3">
      <c r="N4292" s="5"/>
      <c r="O4292" s="5"/>
      <c r="P4292" s="5"/>
      <c r="Q4292" s="5"/>
      <c r="R4292" s="8"/>
      <c r="S4292" s="8"/>
      <c r="T4292" s="3"/>
    </row>
    <row r="4293" spans="14:20" x14ac:dyDescent="0.3">
      <c r="N4293" s="5"/>
      <c r="O4293" s="5"/>
      <c r="P4293" s="5"/>
      <c r="Q4293" s="5"/>
      <c r="R4293" s="8"/>
      <c r="S4293" s="8"/>
      <c r="T4293" s="3"/>
    </row>
    <row r="4294" spans="14:20" x14ac:dyDescent="0.3">
      <c r="N4294" s="5"/>
      <c r="O4294" s="5"/>
      <c r="P4294" s="5"/>
      <c r="Q4294" s="5"/>
      <c r="R4294" s="8"/>
      <c r="S4294" s="8"/>
      <c r="T4294" s="3"/>
    </row>
    <row r="4295" spans="14:20" x14ac:dyDescent="0.3">
      <c r="N4295" s="5"/>
      <c r="O4295" s="5"/>
      <c r="P4295" s="5"/>
      <c r="Q4295" s="5"/>
      <c r="R4295" s="8"/>
      <c r="S4295" s="8"/>
      <c r="T4295" s="3"/>
    </row>
    <row r="4296" spans="14:20" x14ac:dyDescent="0.3">
      <c r="N4296" s="5"/>
      <c r="O4296" s="5"/>
      <c r="P4296" s="5"/>
      <c r="Q4296" s="5"/>
      <c r="R4296" s="8"/>
      <c r="S4296" s="8"/>
      <c r="T4296" s="3"/>
    </row>
    <row r="4297" spans="14:20" x14ac:dyDescent="0.3">
      <c r="N4297" s="5"/>
      <c r="O4297" s="5"/>
      <c r="P4297" s="5"/>
      <c r="Q4297" s="5"/>
      <c r="R4297" s="8"/>
      <c r="S4297" s="8"/>
      <c r="T4297" s="3"/>
    </row>
    <row r="4298" spans="14:20" x14ac:dyDescent="0.3">
      <c r="N4298" s="5"/>
      <c r="O4298" s="5"/>
      <c r="P4298" s="5"/>
      <c r="Q4298" s="5"/>
      <c r="R4298" s="8"/>
      <c r="S4298" s="8"/>
      <c r="T4298" s="3"/>
    </row>
    <row r="4299" spans="14:20" x14ac:dyDescent="0.3">
      <c r="N4299" s="5"/>
      <c r="O4299" s="5"/>
      <c r="P4299" s="5"/>
      <c r="Q4299" s="5"/>
      <c r="R4299" s="8"/>
      <c r="S4299" s="8"/>
      <c r="T4299" s="3"/>
    </row>
    <row r="4300" spans="14:20" x14ac:dyDescent="0.3">
      <c r="N4300" s="5"/>
      <c r="O4300" s="5"/>
      <c r="P4300" s="5"/>
      <c r="Q4300" s="5"/>
      <c r="R4300" s="8"/>
      <c r="S4300" s="8"/>
      <c r="T4300" s="3"/>
    </row>
    <row r="4301" spans="14:20" x14ac:dyDescent="0.3">
      <c r="N4301" s="5"/>
      <c r="O4301" s="5"/>
      <c r="P4301" s="5"/>
      <c r="Q4301" s="5"/>
      <c r="R4301" s="8"/>
      <c r="S4301" s="8"/>
      <c r="T4301" s="3"/>
    </row>
    <row r="4302" spans="14:20" x14ac:dyDescent="0.3">
      <c r="N4302" s="5"/>
      <c r="O4302" s="5"/>
      <c r="P4302" s="5"/>
      <c r="Q4302" s="5"/>
      <c r="R4302" s="8"/>
      <c r="S4302" s="8"/>
      <c r="T4302" s="3"/>
    </row>
    <row r="4303" spans="14:20" x14ac:dyDescent="0.3">
      <c r="N4303" s="5"/>
      <c r="O4303" s="5"/>
      <c r="P4303" s="5"/>
      <c r="Q4303" s="5"/>
      <c r="R4303" s="8"/>
      <c r="S4303" s="8"/>
      <c r="T4303" s="3"/>
    </row>
    <row r="4304" spans="14:20" x14ac:dyDescent="0.3">
      <c r="N4304" s="5"/>
      <c r="O4304" s="5"/>
      <c r="P4304" s="5"/>
      <c r="Q4304" s="5"/>
      <c r="R4304" s="8"/>
      <c r="S4304" s="8"/>
      <c r="T4304" s="3"/>
    </row>
    <row r="4305" spans="14:20" x14ac:dyDescent="0.3">
      <c r="N4305" s="5"/>
      <c r="O4305" s="5"/>
      <c r="P4305" s="5"/>
      <c r="Q4305" s="5"/>
      <c r="R4305" s="8"/>
      <c r="S4305" s="8"/>
      <c r="T4305" s="3"/>
    </row>
    <row r="4306" spans="14:20" x14ac:dyDescent="0.3">
      <c r="N4306" s="5"/>
      <c r="O4306" s="5"/>
      <c r="P4306" s="5"/>
      <c r="Q4306" s="5"/>
      <c r="R4306" s="8"/>
      <c r="S4306" s="8"/>
      <c r="T4306" s="3"/>
    </row>
    <row r="4307" spans="14:20" x14ac:dyDescent="0.3">
      <c r="N4307" s="5"/>
      <c r="O4307" s="5"/>
      <c r="P4307" s="5"/>
      <c r="Q4307" s="5"/>
      <c r="R4307" s="8"/>
      <c r="S4307" s="8"/>
      <c r="T4307" s="3"/>
    </row>
    <row r="4308" spans="14:20" x14ac:dyDescent="0.3">
      <c r="N4308" s="5"/>
      <c r="O4308" s="5"/>
      <c r="P4308" s="5"/>
      <c r="Q4308" s="5"/>
      <c r="R4308" s="8"/>
      <c r="S4308" s="8"/>
      <c r="T4308" s="3"/>
    </row>
    <row r="4309" spans="14:20" x14ac:dyDescent="0.3">
      <c r="N4309" s="5"/>
      <c r="O4309" s="5"/>
      <c r="P4309" s="5"/>
      <c r="Q4309" s="5"/>
      <c r="R4309" s="8"/>
      <c r="S4309" s="8"/>
      <c r="T4309" s="3"/>
    </row>
    <row r="4310" spans="14:20" x14ac:dyDescent="0.3">
      <c r="N4310" s="5"/>
      <c r="O4310" s="5"/>
      <c r="P4310" s="5"/>
      <c r="Q4310" s="5"/>
      <c r="R4310" s="8"/>
      <c r="S4310" s="8"/>
      <c r="T4310" s="3"/>
    </row>
    <row r="4311" spans="14:20" x14ac:dyDescent="0.3">
      <c r="N4311" s="5"/>
      <c r="O4311" s="5"/>
      <c r="P4311" s="5"/>
      <c r="Q4311" s="5"/>
      <c r="R4311" s="8"/>
      <c r="S4311" s="8"/>
      <c r="T4311" s="3"/>
    </row>
    <row r="4312" spans="14:20" x14ac:dyDescent="0.3">
      <c r="N4312" s="5"/>
      <c r="O4312" s="5"/>
      <c r="P4312" s="5"/>
      <c r="Q4312" s="5"/>
      <c r="R4312" s="8"/>
      <c r="S4312" s="8"/>
      <c r="T4312" s="3"/>
    </row>
    <row r="4313" spans="14:20" x14ac:dyDescent="0.3">
      <c r="N4313" s="5"/>
      <c r="O4313" s="5"/>
      <c r="P4313" s="5"/>
      <c r="Q4313" s="5"/>
      <c r="R4313" s="8"/>
      <c r="S4313" s="8"/>
      <c r="T4313" s="3"/>
    </row>
    <row r="4314" spans="14:20" x14ac:dyDescent="0.3">
      <c r="N4314" s="5"/>
      <c r="O4314" s="5"/>
      <c r="P4314" s="5"/>
      <c r="Q4314" s="5"/>
      <c r="R4314" s="8"/>
      <c r="S4314" s="8"/>
      <c r="T4314" s="3"/>
    </row>
    <row r="4315" spans="14:20" x14ac:dyDescent="0.3">
      <c r="N4315" s="5"/>
      <c r="O4315" s="5"/>
      <c r="P4315" s="5"/>
      <c r="Q4315" s="5"/>
      <c r="R4315" s="8"/>
      <c r="S4315" s="8"/>
      <c r="T4315" s="3"/>
    </row>
    <row r="4316" spans="14:20" x14ac:dyDescent="0.3">
      <c r="N4316" s="5"/>
      <c r="O4316" s="5"/>
      <c r="P4316" s="5"/>
      <c r="Q4316" s="5"/>
      <c r="R4316" s="8"/>
      <c r="S4316" s="8"/>
      <c r="T4316" s="3"/>
    </row>
    <row r="4317" spans="14:20" x14ac:dyDescent="0.3">
      <c r="N4317" s="5"/>
      <c r="O4317" s="5"/>
      <c r="P4317" s="5"/>
      <c r="Q4317" s="5"/>
      <c r="R4317" s="8"/>
      <c r="S4317" s="8"/>
      <c r="T4317" s="3"/>
    </row>
    <row r="4318" spans="14:20" x14ac:dyDescent="0.3">
      <c r="N4318" s="5"/>
      <c r="O4318" s="5"/>
      <c r="P4318" s="5"/>
      <c r="Q4318" s="5"/>
      <c r="R4318" s="8"/>
      <c r="S4318" s="8"/>
      <c r="T4318" s="3"/>
    </row>
    <row r="4319" spans="14:20" x14ac:dyDescent="0.3">
      <c r="N4319" s="5"/>
      <c r="O4319" s="5"/>
      <c r="P4319" s="5"/>
      <c r="Q4319" s="5"/>
      <c r="R4319" s="8"/>
      <c r="S4319" s="8"/>
      <c r="T4319" s="3"/>
    </row>
    <row r="4320" spans="14:20" x14ac:dyDescent="0.3">
      <c r="N4320" s="5"/>
      <c r="O4320" s="5"/>
      <c r="P4320" s="5"/>
      <c r="Q4320" s="5"/>
      <c r="R4320" s="8"/>
      <c r="S4320" s="8"/>
      <c r="T4320" s="3"/>
    </row>
    <row r="4321" spans="14:20" x14ac:dyDescent="0.3">
      <c r="N4321" s="5"/>
      <c r="O4321" s="5"/>
      <c r="P4321" s="5"/>
      <c r="Q4321" s="5"/>
      <c r="R4321" s="8"/>
      <c r="S4321" s="8"/>
      <c r="T4321" s="3"/>
    </row>
    <row r="4322" spans="14:20" x14ac:dyDescent="0.3">
      <c r="N4322" s="5"/>
      <c r="O4322" s="5"/>
      <c r="P4322" s="5"/>
      <c r="Q4322" s="5"/>
      <c r="R4322" s="8"/>
      <c r="S4322" s="8"/>
      <c r="T4322" s="3"/>
    </row>
    <row r="4323" spans="14:20" x14ac:dyDescent="0.3">
      <c r="N4323" s="5"/>
      <c r="O4323" s="5"/>
      <c r="P4323" s="5"/>
      <c r="Q4323" s="5"/>
      <c r="R4323" s="8"/>
      <c r="S4323" s="8"/>
      <c r="T4323" s="3"/>
    </row>
    <row r="4324" spans="14:20" x14ac:dyDescent="0.3">
      <c r="N4324" s="5"/>
      <c r="O4324" s="5"/>
      <c r="P4324" s="5"/>
      <c r="Q4324" s="5"/>
      <c r="R4324" s="8"/>
      <c r="S4324" s="8"/>
      <c r="T4324" s="3"/>
    </row>
    <row r="4325" spans="14:20" x14ac:dyDescent="0.3">
      <c r="N4325" s="5"/>
      <c r="O4325" s="5"/>
      <c r="P4325" s="5"/>
      <c r="Q4325" s="5"/>
      <c r="R4325" s="8"/>
      <c r="S4325" s="8"/>
      <c r="T4325" s="3"/>
    </row>
    <row r="4326" spans="14:20" x14ac:dyDescent="0.3">
      <c r="N4326" s="5"/>
      <c r="O4326" s="5"/>
      <c r="P4326" s="5"/>
      <c r="Q4326" s="5"/>
      <c r="R4326" s="8"/>
      <c r="S4326" s="8"/>
      <c r="T4326" s="3"/>
    </row>
    <row r="4327" spans="14:20" x14ac:dyDescent="0.3">
      <c r="N4327" s="5"/>
      <c r="O4327" s="5"/>
      <c r="P4327" s="5"/>
      <c r="Q4327" s="5"/>
      <c r="R4327" s="8"/>
      <c r="S4327" s="8"/>
      <c r="T4327" s="3"/>
    </row>
    <row r="4328" spans="14:20" x14ac:dyDescent="0.3">
      <c r="N4328" s="5"/>
      <c r="O4328" s="5"/>
      <c r="P4328" s="5"/>
      <c r="Q4328" s="5"/>
      <c r="R4328" s="8"/>
      <c r="S4328" s="8"/>
      <c r="T4328" s="3"/>
    </row>
    <row r="4329" spans="14:20" x14ac:dyDescent="0.3">
      <c r="N4329" s="5"/>
      <c r="O4329" s="5"/>
      <c r="P4329" s="5"/>
      <c r="Q4329" s="5"/>
      <c r="R4329" s="8"/>
      <c r="S4329" s="8"/>
      <c r="T4329" s="3"/>
    </row>
    <row r="4330" spans="14:20" x14ac:dyDescent="0.3">
      <c r="N4330" s="5"/>
      <c r="O4330" s="5"/>
      <c r="P4330" s="5"/>
      <c r="Q4330" s="5"/>
      <c r="R4330" s="8"/>
      <c r="S4330" s="8"/>
      <c r="T4330" s="3"/>
    </row>
    <row r="4331" spans="14:20" x14ac:dyDescent="0.3">
      <c r="N4331" s="5"/>
      <c r="O4331" s="5"/>
      <c r="P4331" s="5"/>
      <c r="Q4331" s="5"/>
      <c r="R4331" s="8"/>
      <c r="S4331" s="8"/>
      <c r="T4331" s="3"/>
    </row>
    <row r="4332" spans="14:20" x14ac:dyDescent="0.3">
      <c r="N4332" s="5"/>
      <c r="O4332" s="5"/>
      <c r="P4332" s="5"/>
      <c r="Q4332" s="5"/>
      <c r="R4332" s="8"/>
      <c r="S4332" s="8"/>
      <c r="T4332" s="3"/>
    </row>
    <row r="4333" spans="14:20" x14ac:dyDescent="0.3">
      <c r="N4333" s="5"/>
      <c r="O4333" s="5"/>
      <c r="P4333" s="5"/>
      <c r="Q4333" s="5"/>
      <c r="R4333" s="8"/>
      <c r="S4333" s="8"/>
      <c r="T4333" s="3"/>
    </row>
    <row r="4334" spans="14:20" x14ac:dyDescent="0.3">
      <c r="N4334" s="5"/>
      <c r="O4334" s="5"/>
      <c r="P4334" s="5"/>
      <c r="Q4334" s="5"/>
      <c r="R4334" s="8"/>
      <c r="S4334" s="8"/>
      <c r="T4334" s="3"/>
    </row>
    <row r="4335" spans="14:20" x14ac:dyDescent="0.3">
      <c r="N4335" s="5"/>
      <c r="O4335" s="5"/>
      <c r="P4335" s="5"/>
      <c r="Q4335" s="5"/>
      <c r="R4335" s="8"/>
      <c r="S4335" s="8"/>
      <c r="T4335" s="3"/>
    </row>
    <row r="4336" spans="14:20" x14ac:dyDescent="0.3">
      <c r="N4336" s="5"/>
      <c r="O4336" s="5"/>
      <c r="P4336" s="5"/>
      <c r="Q4336" s="5"/>
      <c r="R4336" s="8"/>
      <c r="S4336" s="8"/>
      <c r="T4336" s="3"/>
    </row>
    <row r="4337" spans="14:20" x14ac:dyDescent="0.3">
      <c r="N4337" s="5"/>
      <c r="O4337" s="5"/>
      <c r="P4337" s="5"/>
      <c r="Q4337" s="5"/>
      <c r="R4337" s="8"/>
      <c r="S4337" s="8"/>
      <c r="T4337" s="3"/>
    </row>
    <row r="4338" spans="14:20" x14ac:dyDescent="0.3">
      <c r="N4338" s="5"/>
      <c r="O4338" s="5"/>
      <c r="P4338" s="5"/>
      <c r="Q4338" s="5"/>
      <c r="R4338" s="8"/>
      <c r="S4338" s="8"/>
      <c r="T4338" s="3"/>
    </row>
    <row r="4339" spans="14:20" x14ac:dyDescent="0.3">
      <c r="N4339" s="5"/>
      <c r="O4339" s="5"/>
      <c r="P4339" s="5"/>
      <c r="Q4339" s="5"/>
      <c r="R4339" s="8"/>
      <c r="S4339" s="8"/>
      <c r="T4339" s="3"/>
    </row>
    <row r="4340" spans="14:20" x14ac:dyDescent="0.3">
      <c r="N4340" s="5"/>
      <c r="O4340" s="5"/>
      <c r="P4340" s="5"/>
      <c r="Q4340" s="5"/>
      <c r="R4340" s="8"/>
      <c r="S4340" s="8"/>
      <c r="T4340" s="3"/>
    </row>
    <row r="4341" spans="14:20" x14ac:dyDescent="0.3">
      <c r="N4341" s="5"/>
      <c r="O4341" s="5"/>
      <c r="P4341" s="5"/>
      <c r="Q4341" s="5"/>
      <c r="R4341" s="8"/>
      <c r="S4341" s="8"/>
      <c r="T4341" s="3"/>
    </row>
    <row r="4342" spans="14:20" x14ac:dyDescent="0.3">
      <c r="N4342" s="5"/>
      <c r="O4342" s="5"/>
      <c r="P4342" s="5"/>
      <c r="Q4342" s="5"/>
      <c r="R4342" s="8"/>
      <c r="S4342" s="8"/>
      <c r="T4342" s="3"/>
    </row>
    <row r="4343" spans="14:20" x14ac:dyDescent="0.3">
      <c r="N4343" s="5"/>
      <c r="O4343" s="5"/>
      <c r="P4343" s="5"/>
      <c r="Q4343" s="5"/>
      <c r="R4343" s="8"/>
      <c r="S4343" s="8"/>
      <c r="T4343" s="3"/>
    </row>
    <row r="4344" spans="14:20" x14ac:dyDescent="0.3">
      <c r="N4344" s="5"/>
      <c r="O4344" s="5"/>
      <c r="P4344" s="5"/>
      <c r="Q4344" s="5"/>
      <c r="R4344" s="8"/>
      <c r="S4344" s="8"/>
      <c r="T4344" s="3"/>
    </row>
    <row r="4345" spans="14:20" x14ac:dyDescent="0.3">
      <c r="N4345" s="5"/>
      <c r="O4345" s="5"/>
      <c r="P4345" s="5"/>
      <c r="Q4345" s="5"/>
      <c r="R4345" s="8"/>
      <c r="S4345" s="8"/>
      <c r="T4345" s="3"/>
    </row>
    <row r="4346" spans="14:20" x14ac:dyDescent="0.3">
      <c r="N4346" s="5"/>
      <c r="O4346" s="5"/>
      <c r="P4346" s="5"/>
      <c r="Q4346" s="5"/>
      <c r="R4346" s="8"/>
      <c r="S4346" s="8"/>
      <c r="T4346" s="3"/>
    </row>
    <row r="4347" spans="14:20" x14ac:dyDescent="0.3">
      <c r="N4347" s="5"/>
      <c r="O4347" s="5"/>
      <c r="P4347" s="5"/>
      <c r="Q4347" s="5"/>
      <c r="R4347" s="8"/>
      <c r="S4347" s="8"/>
      <c r="T4347" s="3"/>
    </row>
    <row r="4348" spans="14:20" x14ac:dyDescent="0.3">
      <c r="N4348" s="5"/>
      <c r="O4348" s="5"/>
      <c r="P4348" s="5"/>
      <c r="Q4348" s="5"/>
      <c r="R4348" s="8"/>
      <c r="S4348" s="8"/>
      <c r="T4348" s="3"/>
    </row>
    <row r="4349" spans="14:20" x14ac:dyDescent="0.3">
      <c r="N4349" s="5"/>
      <c r="O4349" s="5"/>
      <c r="P4349" s="5"/>
      <c r="Q4349" s="5"/>
      <c r="R4349" s="8"/>
      <c r="S4349" s="8"/>
      <c r="T4349" s="3"/>
    </row>
    <row r="4350" spans="14:20" x14ac:dyDescent="0.3">
      <c r="N4350" s="5"/>
      <c r="O4350" s="5"/>
      <c r="P4350" s="5"/>
      <c r="Q4350" s="5"/>
      <c r="R4350" s="8"/>
      <c r="S4350" s="8"/>
      <c r="T4350" s="3"/>
    </row>
    <row r="4351" spans="14:20" x14ac:dyDescent="0.3">
      <c r="N4351" s="5"/>
      <c r="O4351" s="5"/>
      <c r="P4351" s="5"/>
      <c r="Q4351" s="5"/>
      <c r="R4351" s="8"/>
      <c r="S4351" s="8"/>
      <c r="T4351" s="3"/>
    </row>
    <row r="4352" spans="14:20" x14ac:dyDescent="0.3">
      <c r="N4352" s="5"/>
      <c r="O4352" s="5"/>
      <c r="P4352" s="5"/>
      <c r="Q4352" s="5"/>
      <c r="R4352" s="8"/>
      <c r="S4352" s="8"/>
      <c r="T4352" s="3"/>
    </row>
    <row r="4353" spans="14:20" x14ac:dyDescent="0.3">
      <c r="N4353" s="5"/>
      <c r="O4353" s="5"/>
      <c r="P4353" s="5"/>
      <c r="Q4353" s="5"/>
      <c r="R4353" s="8"/>
      <c r="S4353" s="8"/>
      <c r="T4353" s="3"/>
    </row>
    <row r="4354" spans="14:20" x14ac:dyDescent="0.3">
      <c r="N4354" s="5"/>
      <c r="O4354" s="5"/>
      <c r="P4354" s="5"/>
      <c r="Q4354" s="5"/>
      <c r="R4354" s="8"/>
      <c r="S4354" s="8"/>
      <c r="T4354" s="3"/>
    </row>
    <row r="4355" spans="14:20" x14ac:dyDescent="0.3">
      <c r="N4355" s="5"/>
      <c r="O4355" s="5"/>
      <c r="P4355" s="5"/>
      <c r="Q4355" s="5"/>
      <c r="R4355" s="8"/>
      <c r="S4355" s="8"/>
      <c r="T4355" s="3"/>
    </row>
    <row r="4356" spans="14:20" x14ac:dyDescent="0.3">
      <c r="N4356" s="5"/>
      <c r="O4356" s="5"/>
      <c r="P4356" s="5"/>
      <c r="Q4356" s="5"/>
      <c r="R4356" s="8"/>
      <c r="S4356" s="8"/>
      <c r="T4356" s="3"/>
    </row>
    <row r="4357" spans="14:20" x14ac:dyDescent="0.3">
      <c r="N4357" s="5"/>
      <c r="O4357" s="5"/>
      <c r="P4357" s="5"/>
      <c r="Q4357" s="5"/>
      <c r="R4357" s="8"/>
      <c r="S4357" s="8"/>
      <c r="T4357" s="3"/>
    </row>
    <row r="4358" spans="14:20" x14ac:dyDescent="0.3">
      <c r="N4358" s="5"/>
      <c r="O4358" s="5"/>
      <c r="P4358" s="5"/>
      <c r="Q4358" s="5"/>
      <c r="R4358" s="8"/>
      <c r="S4358" s="8"/>
      <c r="T4358" s="3"/>
    </row>
    <row r="4359" spans="14:20" x14ac:dyDescent="0.3">
      <c r="N4359" s="5"/>
      <c r="O4359" s="5"/>
      <c r="P4359" s="5"/>
      <c r="Q4359" s="5"/>
      <c r="R4359" s="8"/>
      <c r="S4359" s="8"/>
      <c r="T4359" s="3"/>
    </row>
    <row r="4360" spans="14:20" x14ac:dyDescent="0.3">
      <c r="N4360" s="5"/>
      <c r="O4360" s="5"/>
      <c r="P4360" s="5"/>
      <c r="Q4360" s="5"/>
      <c r="R4360" s="8"/>
      <c r="S4360" s="8"/>
      <c r="T4360" s="3"/>
    </row>
    <row r="4361" spans="14:20" x14ac:dyDescent="0.3">
      <c r="N4361" s="5"/>
      <c r="O4361" s="5"/>
      <c r="P4361" s="5"/>
      <c r="Q4361" s="5"/>
      <c r="R4361" s="8"/>
      <c r="S4361" s="8"/>
      <c r="T4361" s="3"/>
    </row>
    <row r="4362" spans="14:20" x14ac:dyDescent="0.3">
      <c r="N4362" s="5"/>
      <c r="O4362" s="5"/>
      <c r="P4362" s="5"/>
      <c r="Q4362" s="5"/>
      <c r="R4362" s="8"/>
      <c r="S4362" s="8"/>
      <c r="T4362" s="3"/>
    </row>
    <row r="4363" spans="14:20" x14ac:dyDescent="0.3">
      <c r="N4363" s="5"/>
      <c r="O4363" s="5"/>
      <c r="P4363" s="5"/>
      <c r="Q4363" s="5"/>
      <c r="R4363" s="8"/>
      <c r="S4363" s="8"/>
      <c r="T4363" s="3"/>
    </row>
    <row r="4364" spans="14:20" x14ac:dyDescent="0.3">
      <c r="N4364" s="5"/>
      <c r="O4364" s="5"/>
      <c r="P4364" s="5"/>
      <c r="Q4364" s="5"/>
      <c r="R4364" s="8"/>
      <c r="S4364" s="8"/>
      <c r="T4364" s="3"/>
    </row>
    <row r="4365" spans="14:20" x14ac:dyDescent="0.3">
      <c r="N4365" s="5"/>
      <c r="O4365" s="5"/>
      <c r="P4365" s="5"/>
      <c r="Q4365" s="5"/>
      <c r="R4365" s="8"/>
      <c r="S4365" s="8"/>
      <c r="T4365" s="3"/>
    </row>
    <row r="4366" spans="14:20" x14ac:dyDescent="0.3">
      <c r="N4366" s="5"/>
      <c r="O4366" s="5"/>
      <c r="P4366" s="5"/>
      <c r="Q4366" s="5"/>
      <c r="R4366" s="8"/>
      <c r="S4366" s="8"/>
      <c r="T4366" s="3"/>
    </row>
    <row r="4367" spans="14:20" x14ac:dyDescent="0.3">
      <c r="N4367" s="5"/>
      <c r="O4367" s="5"/>
      <c r="P4367" s="5"/>
      <c r="Q4367" s="5"/>
      <c r="R4367" s="8"/>
      <c r="S4367" s="8"/>
      <c r="T4367" s="3"/>
    </row>
    <row r="4368" spans="14:20" x14ac:dyDescent="0.3">
      <c r="N4368" s="5"/>
      <c r="O4368" s="5"/>
      <c r="P4368" s="5"/>
      <c r="Q4368" s="5"/>
      <c r="R4368" s="8"/>
      <c r="S4368" s="8"/>
      <c r="T4368" s="3"/>
    </row>
    <row r="4369" spans="14:20" x14ac:dyDescent="0.3">
      <c r="N4369" s="5"/>
      <c r="O4369" s="5"/>
      <c r="P4369" s="5"/>
      <c r="Q4369" s="5"/>
      <c r="R4369" s="8"/>
      <c r="S4369" s="8"/>
      <c r="T4369" s="3"/>
    </row>
    <row r="4370" spans="14:20" x14ac:dyDescent="0.3">
      <c r="N4370" s="5"/>
      <c r="O4370" s="5"/>
      <c r="P4370" s="5"/>
      <c r="Q4370" s="5"/>
      <c r="R4370" s="8"/>
      <c r="S4370" s="8"/>
      <c r="T4370" s="3"/>
    </row>
    <row r="4371" spans="14:20" x14ac:dyDescent="0.3">
      <c r="N4371" s="5"/>
      <c r="O4371" s="5"/>
      <c r="P4371" s="5"/>
      <c r="Q4371" s="5"/>
      <c r="R4371" s="8"/>
      <c r="S4371" s="8"/>
      <c r="T4371" s="3"/>
    </row>
    <row r="4372" spans="14:20" x14ac:dyDescent="0.3">
      <c r="N4372" s="5"/>
      <c r="O4372" s="5"/>
      <c r="P4372" s="5"/>
      <c r="Q4372" s="5"/>
      <c r="R4372" s="8"/>
      <c r="S4372" s="8"/>
      <c r="T4372" s="3"/>
    </row>
    <row r="4373" spans="14:20" x14ac:dyDescent="0.3">
      <c r="N4373" s="5"/>
      <c r="O4373" s="5"/>
      <c r="P4373" s="5"/>
      <c r="Q4373" s="5"/>
      <c r="R4373" s="8"/>
      <c r="S4373" s="8"/>
      <c r="T4373" s="3"/>
    </row>
    <row r="4374" spans="14:20" x14ac:dyDescent="0.3">
      <c r="N4374" s="5"/>
      <c r="O4374" s="5"/>
      <c r="P4374" s="5"/>
      <c r="Q4374" s="5"/>
      <c r="R4374" s="8"/>
      <c r="S4374" s="8"/>
      <c r="T4374" s="3"/>
    </row>
    <row r="4375" spans="14:20" x14ac:dyDescent="0.3">
      <c r="N4375" s="5"/>
      <c r="O4375" s="5"/>
      <c r="P4375" s="5"/>
      <c r="Q4375" s="5"/>
      <c r="R4375" s="8"/>
      <c r="S4375" s="8"/>
      <c r="T4375" s="3"/>
    </row>
    <row r="4376" spans="14:20" x14ac:dyDescent="0.3">
      <c r="N4376" s="5"/>
      <c r="O4376" s="5"/>
      <c r="P4376" s="5"/>
      <c r="Q4376" s="5"/>
      <c r="R4376" s="8"/>
      <c r="S4376" s="8"/>
      <c r="T4376" s="3"/>
    </row>
    <row r="4377" spans="14:20" x14ac:dyDescent="0.3">
      <c r="N4377" s="5"/>
      <c r="O4377" s="5"/>
      <c r="P4377" s="5"/>
      <c r="Q4377" s="5"/>
      <c r="R4377" s="8"/>
      <c r="S4377" s="8"/>
      <c r="T4377" s="3"/>
    </row>
    <row r="4378" spans="14:20" x14ac:dyDescent="0.3">
      <c r="N4378" s="5"/>
      <c r="O4378" s="5"/>
      <c r="P4378" s="5"/>
      <c r="Q4378" s="5"/>
      <c r="R4378" s="8"/>
      <c r="S4378" s="8"/>
      <c r="T4378" s="3"/>
    </row>
    <row r="4379" spans="14:20" x14ac:dyDescent="0.3">
      <c r="N4379" s="5"/>
      <c r="O4379" s="5"/>
      <c r="P4379" s="5"/>
      <c r="Q4379" s="5"/>
      <c r="R4379" s="8"/>
      <c r="S4379" s="8"/>
      <c r="T4379" s="3"/>
    </row>
    <row r="4380" spans="14:20" x14ac:dyDescent="0.3">
      <c r="N4380" s="5"/>
      <c r="O4380" s="5"/>
      <c r="P4380" s="5"/>
      <c r="Q4380" s="5"/>
      <c r="R4380" s="8"/>
      <c r="S4380" s="8"/>
      <c r="T4380" s="3"/>
    </row>
    <row r="4381" spans="14:20" x14ac:dyDescent="0.3">
      <c r="N4381" s="5"/>
      <c r="O4381" s="5"/>
      <c r="P4381" s="5"/>
      <c r="Q4381" s="5"/>
      <c r="R4381" s="8"/>
      <c r="S4381" s="8"/>
      <c r="T4381" s="3"/>
    </row>
    <row r="4382" spans="14:20" x14ac:dyDescent="0.3">
      <c r="N4382" s="5"/>
      <c r="O4382" s="5"/>
      <c r="P4382" s="5"/>
      <c r="Q4382" s="5"/>
      <c r="R4382" s="8"/>
      <c r="S4382" s="8"/>
      <c r="T4382" s="3"/>
    </row>
    <row r="4383" spans="14:20" x14ac:dyDescent="0.3">
      <c r="N4383" s="5"/>
      <c r="O4383" s="5"/>
      <c r="P4383" s="5"/>
      <c r="Q4383" s="5"/>
      <c r="R4383" s="8"/>
      <c r="S4383" s="8"/>
      <c r="T4383" s="3"/>
    </row>
    <row r="4384" spans="14:20" x14ac:dyDescent="0.3">
      <c r="N4384" s="5"/>
      <c r="O4384" s="5"/>
      <c r="P4384" s="5"/>
      <c r="Q4384" s="5"/>
      <c r="R4384" s="8"/>
      <c r="S4384" s="8"/>
      <c r="T4384" s="3"/>
    </row>
    <row r="4385" spans="14:20" x14ac:dyDescent="0.3">
      <c r="N4385" s="5"/>
      <c r="O4385" s="5"/>
      <c r="P4385" s="5"/>
      <c r="Q4385" s="5"/>
      <c r="R4385" s="8"/>
      <c r="S4385" s="8"/>
      <c r="T4385" s="3"/>
    </row>
    <row r="4386" spans="14:20" x14ac:dyDescent="0.3">
      <c r="N4386" s="5"/>
      <c r="O4386" s="5"/>
      <c r="P4386" s="5"/>
      <c r="Q4386" s="5"/>
      <c r="R4386" s="8"/>
      <c r="S4386" s="8"/>
      <c r="T4386" s="3"/>
    </row>
    <row r="4387" spans="14:20" x14ac:dyDescent="0.3">
      <c r="N4387" s="5"/>
      <c r="O4387" s="5"/>
      <c r="P4387" s="5"/>
      <c r="Q4387" s="5"/>
      <c r="R4387" s="8"/>
      <c r="S4387" s="8"/>
      <c r="T4387" s="3"/>
    </row>
    <row r="4388" spans="14:20" x14ac:dyDescent="0.3">
      <c r="N4388" s="5"/>
      <c r="O4388" s="5"/>
      <c r="P4388" s="5"/>
      <c r="Q4388" s="5"/>
      <c r="R4388" s="8"/>
      <c r="S4388" s="8"/>
      <c r="T4388" s="3"/>
    </row>
    <row r="4389" spans="14:20" x14ac:dyDescent="0.3">
      <c r="N4389" s="5"/>
      <c r="O4389" s="5"/>
      <c r="P4389" s="5"/>
      <c r="Q4389" s="5"/>
      <c r="R4389" s="8"/>
      <c r="S4389" s="8"/>
      <c r="T4389" s="3"/>
    </row>
    <row r="4390" spans="14:20" x14ac:dyDescent="0.3">
      <c r="N4390" s="5"/>
      <c r="O4390" s="5"/>
      <c r="P4390" s="5"/>
      <c r="Q4390" s="5"/>
      <c r="R4390" s="8"/>
      <c r="S4390" s="8"/>
      <c r="T4390" s="3"/>
    </row>
    <row r="4391" spans="14:20" x14ac:dyDescent="0.3">
      <c r="N4391" s="5"/>
      <c r="O4391" s="5"/>
      <c r="P4391" s="5"/>
      <c r="Q4391" s="5"/>
      <c r="R4391" s="8"/>
      <c r="S4391" s="8"/>
      <c r="T4391" s="3"/>
    </row>
    <row r="4392" spans="14:20" x14ac:dyDescent="0.3">
      <c r="N4392" s="5"/>
      <c r="O4392" s="5"/>
      <c r="P4392" s="5"/>
      <c r="Q4392" s="5"/>
      <c r="R4392" s="8"/>
      <c r="S4392" s="8"/>
      <c r="T4392" s="3"/>
    </row>
    <row r="4393" spans="14:20" x14ac:dyDescent="0.3">
      <c r="N4393" s="5"/>
      <c r="O4393" s="5"/>
      <c r="P4393" s="5"/>
      <c r="Q4393" s="5"/>
      <c r="R4393" s="8"/>
      <c r="S4393" s="8"/>
      <c r="T4393" s="3"/>
    </row>
    <row r="4394" spans="14:20" x14ac:dyDescent="0.3">
      <c r="N4394" s="5"/>
      <c r="O4394" s="5"/>
      <c r="P4394" s="5"/>
      <c r="Q4394" s="5"/>
      <c r="R4394" s="8"/>
      <c r="S4394" s="8"/>
      <c r="T4394" s="3"/>
    </row>
    <row r="4395" spans="14:20" x14ac:dyDescent="0.3">
      <c r="N4395" s="5"/>
      <c r="O4395" s="5"/>
      <c r="P4395" s="5"/>
      <c r="Q4395" s="5"/>
      <c r="R4395" s="8"/>
      <c r="S4395" s="8"/>
      <c r="T4395" s="3"/>
    </row>
    <row r="4396" spans="14:20" x14ac:dyDescent="0.3">
      <c r="N4396" s="5"/>
      <c r="O4396" s="5"/>
      <c r="P4396" s="5"/>
      <c r="Q4396" s="5"/>
      <c r="R4396" s="8"/>
      <c r="S4396" s="8"/>
      <c r="T4396" s="3"/>
    </row>
    <row r="4397" spans="14:20" x14ac:dyDescent="0.3">
      <c r="N4397" s="5"/>
      <c r="O4397" s="5"/>
      <c r="P4397" s="5"/>
      <c r="Q4397" s="5"/>
      <c r="R4397" s="8"/>
      <c r="S4397" s="8"/>
      <c r="T4397" s="3"/>
    </row>
    <row r="4398" spans="14:20" x14ac:dyDescent="0.3">
      <c r="N4398" s="5"/>
      <c r="O4398" s="5"/>
      <c r="P4398" s="5"/>
      <c r="Q4398" s="5"/>
      <c r="R4398" s="8"/>
      <c r="S4398" s="8"/>
      <c r="T4398" s="3"/>
    </row>
    <row r="4399" spans="14:20" x14ac:dyDescent="0.3">
      <c r="N4399" s="5"/>
      <c r="O4399" s="5"/>
      <c r="P4399" s="5"/>
      <c r="Q4399" s="5"/>
      <c r="R4399" s="8"/>
      <c r="S4399" s="8"/>
      <c r="T4399" s="3"/>
    </row>
    <row r="4400" spans="14:20" x14ac:dyDescent="0.3">
      <c r="N4400" s="5"/>
      <c r="O4400" s="5"/>
      <c r="P4400" s="5"/>
      <c r="Q4400" s="5"/>
      <c r="R4400" s="8"/>
      <c r="S4400" s="8"/>
      <c r="T4400" s="3"/>
    </row>
    <row r="4401" spans="14:20" x14ac:dyDescent="0.3">
      <c r="N4401" s="5"/>
      <c r="O4401" s="5"/>
      <c r="P4401" s="5"/>
      <c r="Q4401" s="5"/>
      <c r="R4401" s="8"/>
      <c r="S4401" s="8"/>
      <c r="T4401" s="3"/>
    </row>
    <row r="4402" spans="14:20" x14ac:dyDescent="0.3">
      <c r="N4402" s="5"/>
      <c r="O4402" s="5"/>
      <c r="P4402" s="5"/>
      <c r="Q4402" s="5"/>
      <c r="R4402" s="8"/>
      <c r="S4402" s="8"/>
      <c r="T4402" s="3"/>
    </row>
    <row r="4403" spans="14:20" x14ac:dyDescent="0.3">
      <c r="N4403" s="5"/>
      <c r="O4403" s="5"/>
      <c r="P4403" s="5"/>
      <c r="Q4403" s="5"/>
      <c r="R4403" s="8"/>
      <c r="S4403" s="8"/>
      <c r="T4403" s="3"/>
    </row>
    <row r="4404" spans="14:20" x14ac:dyDescent="0.3">
      <c r="N4404" s="5"/>
      <c r="O4404" s="5"/>
      <c r="P4404" s="5"/>
      <c r="Q4404" s="5"/>
      <c r="R4404" s="8"/>
      <c r="S4404" s="8"/>
      <c r="T4404" s="3"/>
    </row>
    <row r="4405" spans="14:20" x14ac:dyDescent="0.3">
      <c r="N4405" s="5"/>
      <c r="O4405" s="5"/>
      <c r="P4405" s="5"/>
      <c r="Q4405" s="5"/>
      <c r="R4405" s="8"/>
      <c r="S4405" s="8"/>
      <c r="T4405" s="3"/>
    </row>
    <row r="4406" spans="14:20" x14ac:dyDescent="0.3">
      <c r="N4406" s="5"/>
      <c r="O4406" s="5"/>
      <c r="P4406" s="5"/>
      <c r="Q4406" s="5"/>
      <c r="R4406" s="8"/>
      <c r="S4406" s="8"/>
      <c r="T4406" s="3"/>
    </row>
    <row r="4407" spans="14:20" x14ac:dyDescent="0.3">
      <c r="N4407" s="5"/>
      <c r="O4407" s="5"/>
      <c r="P4407" s="5"/>
      <c r="Q4407" s="5"/>
      <c r="R4407" s="8"/>
      <c r="S4407" s="8"/>
      <c r="T4407" s="3"/>
    </row>
    <row r="4408" spans="14:20" x14ac:dyDescent="0.3">
      <c r="N4408" s="5"/>
      <c r="O4408" s="5"/>
      <c r="P4408" s="5"/>
      <c r="Q4408" s="5"/>
      <c r="R4408" s="8"/>
      <c r="S4408" s="8"/>
      <c r="T4408" s="3"/>
    </row>
    <row r="4409" spans="14:20" x14ac:dyDescent="0.3">
      <c r="N4409" s="5"/>
      <c r="O4409" s="5"/>
      <c r="P4409" s="5"/>
      <c r="Q4409" s="5"/>
      <c r="R4409" s="8"/>
      <c r="S4409" s="8"/>
      <c r="T4409" s="3"/>
    </row>
    <row r="4410" spans="14:20" x14ac:dyDescent="0.3">
      <c r="N4410" s="5"/>
      <c r="O4410" s="5"/>
      <c r="P4410" s="5"/>
      <c r="Q4410" s="5"/>
      <c r="R4410" s="8"/>
      <c r="S4410" s="8"/>
      <c r="T4410" s="3"/>
    </row>
    <row r="4411" spans="14:20" x14ac:dyDescent="0.3">
      <c r="N4411" s="5"/>
      <c r="O4411" s="5"/>
      <c r="P4411" s="5"/>
      <c r="Q4411" s="5"/>
      <c r="R4411" s="8"/>
      <c r="S4411" s="8"/>
      <c r="T4411" s="3"/>
    </row>
    <row r="4412" spans="14:20" x14ac:dyDescent="0.3">
      <c r="N4412" s="5"/>
      <c r="O4412" s="5"/>
      <c r="P4412" s="5"/>
      <c r="Q4412" s="5"/>
      <c r="R4412" s="8"/>
      <c r="S4412" s="8"/>
      <c r="T4412" s="3"/>
    </row>
    <row r="4413" spans="14:20" x14ac:dyDescent="0.3">
      <c r="N4413" s="5"/>
      <c r="O4413" s="5"/>
      <c r="P4413" s="5"/>
      <c r="Q4413" s="5"/>
      <c r="R4413" s="8"/>
      <c r="S4413" s="8"/>
      <c r="T4413" s="3"/>
    </row>
    <row r="4414" spans="14:20" x14ac:dyDescent="0.3">
      <c r="N4414" s="5"/>
      <c r="O4414" s="5"/>
      <c r="P4414" s="5"/>
      <c r="Q4414" s="5"/>
      <c r="R4414" s="8"/>
      <c r="S4414" s="8"/>
      <c r="T4414" s="3"/>
    </row>
    <row r="4415" spans="14:20" x14ac:dyDescent="0.3">
      <c r="N4415" s="5"/>
      <c r="O4415" s="5"/>
      <c r="P4415" s="5"/>
      <c r="Q4415" s="5"/>
      <c r="R4415" s="8"/>
      <c r="S4415" s="8"/>
      <c r="T4415" s="3"/>
    </row>
    <row r="4416" spans="14:20" x14ac:dyDescent="0.3">
      <c r="N4416" s="5"/>
      <c r="O4416" s="5"/>
      <c r="P4416" s="5"/>
      <c r="Q4416" s="5"/>
      <c r="R4416" s="8"/>
      <c r="S4416" s="8"/>
      <c r="T4416" s="3"/>
    </row>
    <row r="4417" spans="14:20" x14ac:dyDescent="0.3">
      <c r="N4417" s="5"/>
      <c r="O4417" s="5"/>
      <c r="P4417" s="5"/>
      <c r="Q4417" s="5"/>
      <c r="R4417" s="8"/>
      <c r="S4417" s="8"/>
      <c r="T4417" s="3"/>
    </row>
    <row r="4418" spans="14:20" x14ac:dyDescent="0.3">
      <c r="N4418" s="5"/>
      <c r="O4418" s="5"/>
      <c r="P4418" s="5"/>
      <c r="Q4418" s="5"/>
      <c r="R4418" s="8"/>
      <c r="S4418" s="8"/>
      <c r="T4418" s="3"/>
    </row>
    <row r="4419" spans="14:20" x14ac:dyDescent="0.3">
      <c r="N4419" s="5"/>
      <c r="O4419" s="5"/>
      <c r="P4419" s="5"/>
      <c r="Q4419" s="5"/>
      <c r="R4419" s="8"/>
      <c r="S4419" s="8"/>
      <c r="T4419" s="3"/>
    </row>
    <row r="4420" spans="14:20" x14ac:dyDescent="0.3">
      <c r="N4420" s="5"/>
      <c r="O4420" s="5"/>
      <c r="P4420" s="5"/>
      <c r="Q4420" s="5"/>
      <c r="R4420" s="8"/>
      <c r="S4420" s="8"/>
      <c r="T4420" s="3"/>
    </row>
    <row r="4421" spans="14:20" x14ac:dyDescent="0.3">
      <c r="N4421" s="5"/>
      <c r="O4421" s="5"/>
      <c r="P4421" s="5"/>
      <c r="Q4421" s="5"/>
      <c r="R4421" s="8"/>
      <c r="S4421" s="8"/>
      <c r="T4421" s="3"/>
    </row>
    <row r="4422" spans="14:20" x14ac:dyDescent="0.3">
      <c r="N4422" s="5"/>
      <c r="O4422" s="5"/>
      <c r="P4422" s="5"/>
      <c r="Q4422" s="5"/>
      <c r="R4422" s="8"/>
      <c r="S4422" s="8"/>
      <c r="T4422" s="3"/>
    </row>
    <row r="4423" spans="14:20" x14ac:dyDescent="0.3">
      <c r="N4423" s="5"/>
      <c r="O4423" s="5"/>
      <c r="P4423" s="5"/>
      <c r="Q4423" s="5"/>
      <c r="R4423" s="8"/>
      <c r="S4423" s="8"/>
      <c r="T4423" s="3"/>
    </row>
    <row r="4424" spans="14:20" x14ac:dyDescent="0.3">
      <c r="N4424" s="5"/>
      <c r="O4424" s="5"/>
      <c r="P4424" s="5"/>
      <c r="Q4424" s="5"/>
      <c r="R4424" s="8"/>
      <c r="S4424" s="8"/>
      <c r="T4424" s="3"/>
    </row>
    <row r="4425" spans="14:20" x14ac:dyDescent="0.3">
      <c r="N4425" s="5"/>
      <c r="O4425" s="5"/>
      <c r="P4425" s="5"/>
      <c r="Q4425" s="5"/>
      <c r="R4425" s="8"/>
      <c r="S4425" s="8"/>
      <c r="T4425" s="3"/>
    </row>
    <row r="4426" spans="14:20" x14ac:dyDescent="0.3">
      <c r="N4426" s="5"/>
      <c r="O4426" s="5"/>
      <c r="P4426" s="5"/>
      <c r="Q4426" s="5"/>
      <c r="R4426" s="8"/>
      <c r="S4426" s="8"/>
      <c r="T4426" s="3"/>
    </row>
    <row r="4427" spans="14:20" x14ac:dyDescent="0.3">
      <c r="N4427" s="5"/>
      <c r="O4427" s="5"/>
      <c r="P4427" s="5"/>
      <c r="Q4427" s="5"/>
      <c r="R4427" s="8"/>
      <c r="S4427" s="8"/>
      <c r="T4427" s="3"/>
    </row>
    <row r="4428" spans="14:20" x14ac:dyDescent="0.3">
      <c r="N4428" s="5"/>
      <c r="O4428" s="5"/>
      <c r="P4428" s="5"/>
      <c r="Q4428" s="5"/>
      <c r="R4428" s="8"/>
      <c r="S4428" s="8"/>
      <c r="T4428" s="3"/>
    </row>
    <row r="4429" spans="14:20" x14ac:dyDescent="0.3">
      <c r="N4429" s="5"/>
      <c r="O4429" s="5"/>
      <c r="P4429" s="5"/>
      <c r="Q4429" s="5"/>
      <c r="R4429" s="8"/>
      <c r="S4429" s="8"/>
      <c r="T4429" s="3"/>
    </row>
    <row r="4430" spans="14:20" x14ac:dyDescent="0.3">
      <c r="N4430" s="5"/>
      <c r="O4430" s="5"/>
      <c r="P4430" s="5"/>
      <c r="Q4430" s="5"/>
      <c r="R4430" s="8"/>
      <c r="S4430" s="8"/>
      <c r="T4430" s="3"/>
    </row>
    <row r="4431" spans="14:20" x14ac:dyDescent="0.3">
      <c r="N4431" s="5"/>
      <c r="O4431" s="5"/>
      <c r="P4431" s="5"/>
      <c r="Q4431" s="5"/>
      <c r="R4431" s="8"/>
      <c r="S4431" s="8"/>
      <c r="T4431" s="3"/>
    </row>
    <row r="4432" spans="14:20" x14ac:dyDescent="0.3">
      <c r="N4432" s="5"/>
      <c r="O4432" s="5"/>
      <c r="P4432" s="5"/>
      <c r="Q4432" s="5"/>
      <c r="R4432" s="8"/>
      <c r="S4432" s="8"/>
      <c r="T4432" s="3"/>
    </row>
    <row r="4433" spans="14:20" x14ac:dyDescent="0.3">
      <c r="N4433" s="5"/>
      <c r="O4433" s="5"/>
      <c r="P4433" s="5"/>
      <c r="Q4433" s="5"/>
      <c r="R4433" s="8"/>
      <c r="S4433" s="8"/>
      <c r="T4433" s="3"/>
    </row>
    <row r="4434" spans="14:20" x14ac:dyDescent="0.3">
      <c r="N4434" s="5"/>
      <c r="O4434" s="5"/>
      <c r="P4434" s="5"/>
      <c r="Q4434" s="5"/>
      <c r="R4434" s="8"/>
      <c r="S4434" s="8"/>
      <c r="T4434" s="3"/>
    </row>
    <row r="4435" spans="14:20" x14ac:dyDescent="0.3">
      <c r="N4435" s="5"/>
      <c r="O4435" s="5"/>
      <c r="P4435" s="5"/>
      <c r="Q4435" s="5"/>
      <c r="R4435" s="8"/>
      <c r="S4435" s="8"/>
      <c r="T4435" s="3"/>
    </row>
    <row r="4436" spans="14:20" x14ac:dyDescent="0.3">
      <c r="N4436" s="5"/>
      <c r="O4436" s="5"/>
      <c r="P4436" s="5"/>
      <c r="Q4436" s="5"/>
      <c r="R4436" s="8"/>
      <c r="S4436" s="8"/>
      <c r="T4436" s="3"/>
    </row>
    <row r="4437" spans="14:20" x14ac:dyDescent="0.3">
      <c r="N4437" s="5"/>
      <c r="O4437" s="5"/>
      <c r="P4437" s="5"/>
      <c r="Q4437" s="5"/>
      <c r="R4437" s="8"/>
      <c r="S4437" s="8"/>
      <c r="T4437" s="3"/>
    </row>
    <row r="4438" spans="14:20" x14ac:dyDescent="0.3">
      <c r="N4438" s="5"/>
      <c r="O4438" s="5"/>
      <c r="P4438" s="5"/>
      <c r="Q4438" s="5"/>
      <c r="R4438" s="8"/>
      <c r="S4438" s="8"/>
      <c r="T4438" s="3"/>
    </row>
    <row r="4439" spans="14:20" x14ac:dyDescent="0.3">
      <c r="N4439" s="5"/>
      <c r="O4439" s="5"/>
      <c r="P4439" s="5"/>
      <c r="Q4439" s="5"/>
      <c r="R4439" s="8"/>
      <c r="S4439" s="8"/>
      <c r="T4439" s="3"/>
    </row>
    <row r="4440" spans="14:20" x14ac:dyDescent="0.3">
      <c r="N4440" s="5"/>
      <c r="O4440" s="5"/>
      <c r="P4440" s="5"/>
      <c r="Q4440" s="5"/>
      <c r="R4440" s="8"/>
      <c r="S4440" s="8"/>
      <c r="T4440" s="3"/>
    </row>
    <row r="4441" spans="14:20" x14ac:dyDescent="0.3">
      <c r="N4441" s="5"/>
      <c r="O4441" s="5"/>
      <c r="P4441" s="5"/>
      <c r="Q4441" s="5"/>
      <c r="R4441" s="8"/>
      <c r="S4441" s="8"/>
      <c r="T4441" s="3"/>
    </row>
    <row r="4442" spans="14:20" x14ac:dyDescent="0.3">
      <c r="N4442" s="5"/>
      <c r="O4442" s="5"/>
      <c r="P4442" s="5"/>
      <c r="Q4442" s="5"/>
      <c r="R4442" s="8"/>
      <c r="S4442" s="8"/>
      <c r="T4442" s="3"/>
    </row>
    <row r="4443" spans="14:20" x14ac:dyDescent="0.3">
      <c r="N4443" s="5"/>
      <c r="O4443" s="5"/>
      <c r="P4443" s="5"/>
      <c r="Q4443" s="5"/>
      <c r="R4443" s="8"/>
      <c r="S4443" s="8"/>
      <c r="T4443" s="3"/>
    </row>
    <row r="4444" spans="14:20" x14ac:dyDescent="0.3">
      <c r="N4444" s="5"/>
      <c r="O4444" s="5"/>
      <c r="P4444" s="5"/>
      <c r="Q4444" s="5"/>
      <c r="R4444" s="8"/>
      <c r="S4444" s="8"/>
      <c r="T4444" s="3"/>
    </row>
    <row r="4445" spans="14:20" x14ac:dyDescent="0.3">
      <c r="N4445" s="5"/>
      <c r="O4445" s="5"/>
      <c r="P4445" s="5"/>
      <c r="Q4445" s="5"/>
      <c r="R4445" s="8"/>
      <c r="S4445" s="8"/>
      <c r="T4445" s="3"/>
    </row>
    <row r="4446" spans="14:20" x14ac:dyDescent="0.3">
      <c r="N4446" s="5"/>
      <c r="O4446" s="5"/>
      <c r="P4446" s="5"/>
      <c r="Q4446" s="5"/>
      <c r="R4446" s="8"/>
      <c r="S4446" s="8"/>
      <c r="T4446" s="3"/>
    </row>
    <row r="4447" spans="14:20" x14ac:dyDescent="0.3">
      <c r="N4447" s="5"/>
      <c r="O4447" s="5"/>
      <c r="P4447" s="5"/>
      <c r="Q4447" s="5"/>
      <c r="R4447" s="8"/>
      <c r="S4447" s="8"/>
      <c r="T4447" s="3"/>
    </row>
    <row r="4448" spans="14:20" x14ac:dyDescent="0.3">
      <c r="N4448" s="5"/>
      <c r="O4448" s="5"/>
      <c r="P4448" s="5"/>
      <c r="Q4448" s="5"/>
      <c r="R4448" s="8"/>
      <c r="S4448" s="8"/>
      <c r="T4448" s="3"/>
    </row>
    <row r="4449" spans="14:20" x14ac:dyDescent="0.3">
      <c r="N4449" s="5"/>
      <c r="O4449" s="5"/>
      <c r="P4449" s="5"/>
      <c r="Q4449" s="5"/>
      <c r="R4449" s="8"/>
      <c r="S4449" s="8"/>
      <c r="T4449" s="3"/>
    </row>
    <row r="4450" spans="14:20" x14ac:dyDescent="0.3">
      <c r="N4450" s="5"/>
      <c r="O4450" s="5"/>
      <c r="P4450" s="5"/>
      <c r="Q4450" s="5"/>
      <c r="R4450" s="8"/>
      <c r="S4450" s="8"/>
      <c r="T4450" s="3"/>
    </row>
    <row r="4451" spans="14:20" x14ac:dyDescent="0.3">
      <c r="N4451" s="5"/>
      <c r="O4451" s="5"/>
      <c r="P4451" s="5"/>
      <c r="Q4451" s="5"/>
      <c r="R4451" s="8"/>
      <c r="S4451" s="8"/>
      <c r="T4451" s="3"/>
    </row>
    <row r="4452" spans="14:20" x14ac:dyDescent="0.3">
      <c r="N4452" s="5"/>
      <c r="O4452" s="5"/>
      <c r="P4452" s="5"/>
      <c r="Q4452" s="5"/>
      <c r="R4452" s="8"/>
      <c r="S4452" s="8"/>
      <c r="T4452" s="3"/>
    </row>
    <row r="4453" spans="14:20" x14ac:dyDescent="0.3">
      <c r="N4453" s="5"/>
      <c r="O4453" s="5"/>
      <c r="P4453" s="5"/>
      <c r="Q4453" s="5"/>
      <c r="R4453" s="8"/>
      <c r="S4453" s="8"/>
      <c r="T4453" s="3"/>
    </row>
    <row r="4454" spans="14:20" x14ac:dyDescent="0.3">
      <c r="N4454" s="5"/>
      <c r="O4454" s="5"/>
      <c r="P4454" s="5"/>
      <c r="Q4454" s="5"/>
      <c r="R4454" s="8"/>
      <c r="S4454" s="8"/>
      <c r="T4454" s="3"/>
    </row>
    <row r="4455" spans="14:20" x14ac:dyDescent="0.3">
      <c r="N4455" s="5"/>
      <c r="O4455" s="5"/>
      <c r="P4455" s="5"/>
      <c r="Q4455" s="5"/>
      <c r="R4455" s="8"/>
      <c r="S4455" s="8"/>
      <c r="T4455" s="3"/>
    </row>
    <row r="4456" spans="14:20" x14ac:dyDescent="0.3">
      <c r="N4456" s="5"/>
      <c r="O4456" s="5"/>
      <c r="P4456" s="5"/>
      <c r="Q4456" s="5"/>
      <c r="R4456" s="8"/>
      <c r="S4456" s="8"/>
      <c r="T4456" s="3"/>
    </row>
    <row r="4457" spans="14:20" x14ac:dyDescent="0.3">
      <c r="N4457" s="5"/>
      <c r="O4457" s="5"/>
      <c r="P4457" s="5"/>
      <c r="Q4457" s="5"/>
      <c r="R4457" s="8"/>
      <c r="S4457" s="8"/>
      <c r="T4457" s="3"/>
    </row>
    <row r="4458" spans="14:20" x14ac:dyDescent="0.3">
      <c r="N4458" s="5"/>
      <c r="O4458" s="5"/>
      <c r="P4458" s="5"/>
      <c r="Q4458" s="5"/>
      <c r="R4458" s="8"/>
      <c r="S4458" s="8"/>
      <c r="T4458" s="3"/>
    </row>
    <row r="4459" spans="14:20" x14ac:dyDescent="0.3">
      <c r="N4459" s="5"/>
      <c r="O4459" s="5"/>
      <c r="P4459" s="5"/>
      <c r="Q4459" s="5"/>
      <c r="R4459" s="8"/>
      <c r="S4459" s="8"/>
      <c r="T4459" s="3"/>
    </row>
    <row r="4460" spans="14:20" x14ac:dyDescent="0.3">
      <c r="N4460" s="5"/>
      <c r="O4460" s="5"/>
      <c r="P4460" s="5"/>
      <c r="Q4460" s="5"/>
      <c r="R4460" s="8"/>
      <c r="S4460" s="8"/>
      <c r="T4460" s="3"/>
    </row>
    <row r="4461" spans="14:20" x14ac:dyDescent="0.3">
      <c r="N4461" s="5"/>
      <c r="O4461" s="5"/>
      <c r="P4461" s="5"/>
      <c r="Q4461" s="5"/>
      <c r="R4461" s="8"/>
      <c r="S4461" s="8"/>
      <c r="T4461" s="3"/>
    </row>
    <row r="4462" spans="14:20" x14ac:dyDescent="0.3">
      <c r="N4462" s="5"/>
      <c r="O4462" s="5"/>
      <c r="P4462" s="5"/>
      <c r="Q4462" s="5"/>
      <c r="R4462" s="8"/>
      <c r="S4462" s="8"/>
      <c r="T4462" s="3"/>
    </row>
    <row r="4463" spans="14:20" x14ac:dyDescent="0.3">
      <c r="N4463" s="5"/>
      <c r="O4463" s="5"/>
      <c r="P4463" s="5"/>
      <c r="Q4463" s="5"/>
      <c r="R4463" s="8"/>
      <c r="S4463" s="8"/>
      <c r="T4463" s="3"/>
    </row>
    <row r="4464" spans="14:20" x14ac:dyDescent="0.3">
      <c r="N4464" s="5"/>
      <c r="O4464" s="5"/>
      <c r="P4464" s="5"/>
      <c r="Q4464" s="5"/>
      <c r="R4464" s="8"/>
      <c r="S4464" s="8"/>
      <c r="T4464" s="3"/>
    </row>
    <row r="4465" spans="14:20" x14ac:dyDescent="0.3">
      <c r="N4465" s="5"/>
      <c r="O4465" s="5"/>
      <c r="P4465" s="5"/>
      <c r="Q4465" s="5"/>
      <c r="R4465" s="8"/>
      <c r="S4465" s="8"/>
      <c r="T4465" s="3"/>
    </row>
    <row r="4466" spans="14:20" x14ac:dyDescent="0.3">
      <c r="N4466" s="5"/>
      <c r="O4466" s="5"/>
      <c r="P4466" s="5"/>
      <c r="Q4466" s="5"/>
      <c r="R4466" s="8"/>
      <c r="S4466" s="8"/>
      <c r="T4466" s="3"/>
    </row>
    <row r="4467" spans="14:20" x14ac:dyDescent="0.3">
      <c r="N4467" s="5"/>
      <c r="O4467" s="5"/>
      <c r="P4467" s="5"/>
      <c r="Q4467" s="5"/>
      <c r="R4467" s="8"/>
      <c r="S4467" s="8"/>
      <c r="T4467" s="3"/>
    </row>
    <row r="4468" spans="14:20" x14ac:dyDescent="0.3">
      <c r="N4468" s="5"/>
      <c r="O4468" s="5"/>
      <c r="P4468" s="5"/>
      <c r="Q4468" s="5"/>
      <c r="R4468" s="8"/>
      <c r="S4468" s="8"/>
      <c r="T4468" s="3"/>
    </row>
    <row r="4469" spans="14:20" x14ac:dyDescent="0.3">
      <c r="N4469" s="5"/>
      <c r="O4469" s="5"/>
      <c r="P4469" s="5"/>
      <c r="Q4469" s="5"/>
      <c r="R4469" s="8"/>
      <c r="S4469" s="8"/>
      <c r="T4469" s="3"/>
    </row>
    <row r="4470" spans="14:20" x14ac:dyDescent="0.3">
      <c r="N4470" s="5"/>
      <c r="O4470" s="5"/>
      <c r="P4470" s="5"/>
      <c r="Q4470" s="5"/>
      <c r="R4470" s="8"/>
      <c r="S4470" s="8"/>
      <c r="T4470" s="3"/>
    </row>
    <row r="4471" spans="14:20" x14ac:dyDescent="0.3">
      <c r="N4471" s="5"/>
      <c r="O4471" s="5"/>
      <c r="P4471" s="5"/>
      <c r="Q4471" s="5"/>
      <c r="R4471" s="8"/>
      <c r="S4471" s="8"/>
      <c r="T4471" s="3"/>
    </row>
    <row r="4472" spans="14:20" x14ac:dyDescent="0.3">
      <c r="N4472" s="5"/>
      <c r="O4472" s="5"/>
      <c r="P4472" s="5"/>
      <c r="Q4472" s="5"/>
      <c r="R4472" s="8"/>
      <c r="S4472" s="8"/>
      <c r="T4472" s="3"/>
    </row>
    <row r="4473" spans="14:20" x14ac:dyDescent="0.3">
      <c r="N4473" s="5"/>
      <c r="O4473" s="5"/>
      <c r="P4473" s="5"/>
      <c r="Q4473" s="5"/>
      <c r="R4473" s="8"/>
      <c r="S4473" s="8"/>
      <c r="T4473" s="3"/>
    </row>
    <row r="4474" spans="14:20" x14ac:dyDescent="0.3">
      <c r="N4474" s="5"/>
      <c r="O4474" s="5"/>
      <c r="P4474" s="5"/>
      <c r="Q4474" s="5"/>
      <c r="R4474" s="8"/>
      <c r="S4474" s="8"/>
      <c r="T4474" s="3"/>
    </row>
    <row r="4475" spans="14:20" x14ac:dyDescent="0.3">
      <c r="N4475" s="5"/>
      <c r="O4475" s="5"/>
      <c r="P4475" s="5"/>
      <c r="Q4475" s="5"/>
      <c r="R4475" s="8"/>
      <c r="S4475" s="8"/>
      <c r="T4475" s="3"/>
    </row>
    <row r="4476" spans="14:20" x14ac:dyDescent="0.3">
      <c r="N4476" s="5"/>
      <c r="O4476" s="5"/>
      <c r="P4476" s="5"/>
      <c r="Q4476" s="5"/>
      <c r="R4476" s="8"/>
      <c r="S4476" s="8"/>
      <c r="T4476" s="3"/>
    </row>
    <row r="4477" spans="14:20" x14ac:dyDescent="0.3">
      <c r="N4477" s="5"/>
      <c r="O4477" s="5"/>
      <c r="P4477" s="5"/>
      <c r="Q4477" s="5"/>
      <c r="R4477" s="8"/>
      <c r="S4477" s="8"/>
      <c r="T4477" s="3"/>
    </row>
    <row r="4478" spans="14:20" x14ac:dyDescent="0.3">
      <c r="N4478" s="5"/>
      <c r="O4478" s="5"/>
      <c r="P4478" s="5"/>
      <c r="Q4478" s="5"/>
      <c r="R4478" s="8"/>
      <c r="S4478" s="8"/>
      <c r="T4478" s="3"/>
    </row>
    <row r="4479" spans="14:20" x14ac:dyDescent="0.3">
      <c r="N4479" s="5"/>
      <c r="O4479" s="5"/>
      <c r="P4479" s="5"/>
      <c r="Q4479" s="5"/>
      <c r="R4479" s="8"/>
      <c r="S4479" s="8"/>
      <c r="T4479" s="3"/>
    </row>
    <row r="4480" spans="14:20" x14ac:dyDescent="0.3">
      <c r="N4480" s="5"/>
      <c r="O4480" s="5"/>
      <c r="P4480" s="5"/>
      <c r="Q4480" s="5"/>
      <c r="R4480" s="8"/>
      <c r="S4480" s="8"/>
      <c r="T4480" s="3"/>
    </row>
    <row r="4481" spans="14:20" x14ac:dyDescent="0.3">
      <c r="N4481" s="5"/>
      <c r="O4481" s="5"/>
      <c r="P4481" s="5"/>
      <c r="Q4481" s="5"/>
      <c r="R4481" s="8"/>
      <c r="S4481" s="8"/>
      <c r="T4481" s="3"/>
    </row>
    <row r="4482" spans="14:20" x14ac:dyDescent="0.3">
      <c r="N4482" s="5"/>
      <c r="O4482" s="5"/>
      <c r="P4482" s="5"/>
      <c r="Q4482" s="5"/>
      <c r="R4482" s="8"/>
      <c r="S4482" s="8"/>
      <c r="T4482" s="3"/>
    </row>
    <row r="4483" spans="14:20" x14ac:dyDescent="0.3">
      <c r="N4483" s="5"/>
      <c r="O4483" s="5"/>
      <c r="P4483" s="5"/>
      <c r="Q4483" s="5"/>
      <c r="R4483" s="8"/>
      <c r="S4483" s="8"/>
      <c r="T4483" s="3"/>
    </row>
    <row r="4484" spans="14:20" x14ac:dyDescent="0.3">
      <c r="N4484" s="5"/>
      <c r="O4484" s="5"/>
      <c r="P4484" s="5"/>
      <c r="Q4484" s="5"/>
      <c r="R4484" s="8"/>
      <c r="S4484" s="8"/>
      <c r="T4484" s="3"/>
    </row>
    <row r="4485" spans="14:20" x14ac:dyDescent="0.3">
      <c r="N4485" s="5"/>
      <c r="O4485" s="5"/>
      <c r="P4485" s="5"/>
      <c r="Q4485" s="5"/>
      <c r="R4485" s="8"/>
      <c r="S4485" s="8"/>
      <c r="T4485" s="3"/>
    </row>
    <row r="4486" spans="14:20" x14ac:dyDescent="0.3">
      <c r="N4486" s="5"/>
      <c r="O4486" s="5"/>
      <c r="P4486" s="5"/>
      <c r="Q4486" s="5"/>
      <c r="R4486" s="8"/>
      <c r="S4486" s="8"/>
      <c r="T4486" s="3"/>
    </row>
    <row r="4487" spans="14:20" x14ac:dyDescent="0.3">
      <c r="N4487" s="5"/>
      <c r="O4487" s="5"/>
      <c r="P4487" s="5"/>
      <c r="Q4487" s="5"/>
      <c r="R4487" s="8"/>
      <c r="S4487" s="8"/>
      <c r="T4487" s="3"/>
    </row>
    <row r="4488" spans="14:20" x14ac:dyDescent="0.3">
      <c r="N4488" s="5"/>
      <c r="O4488" s="5"/>
      <c r="P4488" s="5"/>
      <c r="Q4488" s="5"/>
      <c r="R4488" s="8"/>
      <c r="S4488" s="8"/>
      <c r="T4488" s="3"/>
    </row>
    <row r="4489" spans="14:20" x14ac:dyDescent="0.3">
      <c r="N4489" s="5"/>
      <c r="O4489" s="5"/>
      <c r="P4489" s="5"/>
      <c r="Q4489" s="5"/>
      <c r="R4489" s="8"/>
      <c r="S4489" s="8"/>
      <c r="T4489" s="3"/>
    </row>
    <row r="4490" spans="14:20" x14ac:dyDescent="0.3">
      <c r="N4490" s="5"/>
      <c r="O4490" s="5"/>
      <c r="P4490" s="5"/>
      <c r="Q4490" s="5"/>
      <c r="R4490" s="8"/>
      <c r="S4490" s="8"/>
      <c r="T4490" s="3"/>
    </row>
    <row r="4491" spans="14:20" x14ac:dyDescent="0.3">
      <c r="N4491" s="5"/>
      <c r="O4491" s="5"/>
      <c r="P4491" s="5"/>
      <c r="Q4491" s="5"/>
      <c r="R4491" s="8"/>
      <c r="S4491" s="8"/>
      <c r="T4491" s="3"/>
    </row>
    <row r="4492" spans="14:20" x14ac:dyDescent="0.3">
      <c r="N4492" s="5"/>
      <c r="O4492" s="5"/>
      <c r="P4492" s="5"/>
      <c r="Q4492" s="5"/>
      <c r="R4492" s="8"/>
      <c r="S4492" s="8"/>
      <c r="T4492" s="3"/>
    </row>
    <row r="4493" spans="14:20" x14ac:dyDescent="0.3">
      <c r="N4493" s="5"/>
      <c r="O4493" s="5"/>
      <c r="P4493" s="5"/>
      <c r="Q4493" s="5"/>
      <c r="R4493" s="8"/>
      <c r="S4493" s="8"/>
      <c r="T4493" s="3"/>
    </row>
    <row r="4494" spans="14:20" x14ac:dyDescent="0.3">
      <c r="N4494" s="5"/>
      <c r="O4494" s="5"/>
      <c r="P4494" s="5"/>
      <c r="Q4494" s="5"/>
      <c r="R4494" s="8"/>
      <c r="S4494" s="8"/>
      <c r="T4494" s="3"/>
    </row>
    <row r="4495" spans="14:20" x14ac:dyDescent="0.3">
      <c r="N4495" s="5"/>
      <c r="O4495" s="5"/>
      <c r="P4495" s="5"/>
      <c r="Q4495" s="5"/>
      <c r="R4495" s="8"/>
      <c r="S4495" s="8"/>
      <c r="T4495" s="3"/>
    </row>
    <row r="4496" spans="14:20" x14ac:dyDescent="0.3">
      <c r="N4496" s="5"/>
      <c r="O4496" s="5"/>
      <c r="P4496" s="5"/>
      <c r="Q4496" s="5"/>
      <c r="R4496" s="8"/>
      <c r="S4496" s="8"/>
      <c r="T4496" s="3"/>
    </row>
    <row r="4497" spans="14:20" x14ac:dyDescent="0.3">
      <c r="N4497" s="5"/>
      <c r="O4497" s="5"/>
      <c r="P4497" s="5"/>
      <c r="Q4497" s="5"/>
      <c r="R4497" s="8"/>
      <c r="S4497" s="8"/>
      <c r="T4497" s="3"/>
    </row>
    <row r="4498" spans="14:20" x14ac:dyDescent="0.3">
      <c r="N4498" s="5"/>
      <c r="O4498" s="5"/>
      <c r="P4498" s="5"/>
      <c r="Q4498" s="5"/>
      <c r="R4498" s="8"/>
      <c r="S4498" s="8"/>
      <c r="T4498" s="3"/>
    </row>
    <row r="4499" spans="14:20" x14ac:dyDescent="0.3">
      <c r="N4499" s="5"/>
      <c r="O4499" s="5"/>
      <c r="P4499" s="5"/>
      <c r="Q4499" s="5"/>
      <c r="R4499" s="8"/>
      <c r="S4499" s="8"/>
      <c r="T4499" s="3"/>
    </row>
    <row r="4500" spans="14:20" x14ac:dyDescent="0.3">
      <c r="N4500" s="5"/>
      <c r="O4500" s="5"/>
      <c r="P4500" s="5"/>
      <c r="Q4500" s="5"/>
      <c r="R4500" s="8"/>
      <c r="S4500" s="8"/>
      <c r="T4500" s="3"/>
    </row>
    <row r="4501" spans="14:20" x14ac:dyDescent="0.3">
      <c r="N4501" s="5"/>
      <c r="O4501" s="5"/>
      <c r="P4501" s="5"/>
      <c r="Q4501" s="5"/>
      <c r="R4501" s="8"/>
      <c r="S4501" s="8"/>
      <c r="T4501" s="3"/>
    </row>
    <row r="4502" spans="14:20" x14ac:dyDescent="0.3">
      <c r="N4502" s="5"/>
      <c r="O4502" s="5"/>
      <c r="P4502" s="5"/>
      <c r="Q4502" s="5"/>
      <c r="R4502" s="8"/>
      <c r="S4502" s="8"/>
      <c r="T4502" s="3"/>
    </row>
    <row r="4503" spans="14:20" x14ac:dyDescent="0.3">
      <c r="N4503" s="5"/>
      <c r="O4503" s="5"/>
      <c r="P4503" s="5"/>
      <c r="Q4503" s="5"/>
      <c r="R4503" s="8"/>
      <c r="S4503" s="8"/>
      <c r="T4503" s="3"/>
    </row>
    <row r="4504" spans="14:20" x14ac:dyDescent="0.3">
      <c r="N4504" s="5"/>
      <c r="O4504" s="5"/>
      <c r="P4504" s="5"/>
      <c r="Q4504" s="5"/>
      <c r="R4504" s="8"/>
      <c r="S4504" s="8"/>
      <c r="T4504" s="3"/>
    </row>
    <row r="4505" spans="14:20" x14ac:dyDescent="0.3">
      <c r="N4505" s="5"/>
      <c r="O4505" s="5"/>
      <c r="P4505" s="5"/>
      <c r="Q4505" s="5"/>
      <c r="R4505" s="8"/>
      <c r="S4505" s="8"/>
      <c r="T4505" s="3"/>
    </row>
    <row r="4506" spans="14:20" x14ac:dyDescent="0.3">
      <c r="N4506" s="5"/>
      <c r="O4506" s="5"/>
      <c r="P4506" s="5"/>
      <c r="Q4506" s="5"/>
      <c r="R4506" s="8"/>
      <c r="S4506" s="8"/>
      <c r="T4506" s="3"/>
    </row>
    <row r="4507" spans="14:20" x14ac:dyDescent="0.3">
      <c r="N4507" s="5"/>
      <c r="O4507" s="5"/>
      <c r="P4507" s="5"/>
      <c r="Q4507" s="5"/>
      <c r="R4507" s="8"/>
      <c r="S4507" s="8"/>
      <c r="T4507" s="3"/>
    </row>
    <row r="4508" spans="14:20" x14ac:dyDescent="0.3">
      <c r="N4508" s="5"/>
      <c r="O4508" s="5"/>
      <c r="P4508" s="5"/>
      <c r="Q4508" s="5"/>
      <c r="R4508" s="8"/>
      <c r="S4508" s="8"/>
      <c r="T4508" s="3"/>
    </row>
    <row r="4509" spans="14:20" x14ac:dyDescent="0.3">
      <c r="N4509" s="5"/>
      <c r="O4509" s="5"/>
      <c r="P4509" s="5"/>
      <c r="Q4509" s="5"/>
      <c r="R4509" s="8"/>
      <c r="S4509" s="8"/>
      <c r="T4509" s="3"/>
    </row>
    <row r="4510" spans="14:20" x14ac:dyDescent="0.3">
      <c r="N4510" s="5"/>
      <c r="O4510" s="5"/>
      <c r="P4510" s="5"/>
      <c r="Q4510" s="5"/>
      <c r="R4510" s="8"/>
      <c r="S4510" s="8"/>
      <c r="T4510" s="3"/>
    </row>
    <row r="4511" spans="14:20" x14ac:dyDescent="0.3">
      <c r="N4511" s="5"/>
      <c r="O4511" s="5"/>
      <c r="P4511" s="5"/>
      <c r="Q4511" s="5"/>
      <c r="R4511" s="8"/>
      <c r="S4511" s="8"/>
      <c r="T4511" s="3"/>
    </row>
    <row r="4512" spans="14:20" x14ac:dyDescent="0.3">
      <c r="N4512" s="5"/>
      <c r="O4512" s="5"/>
      <c r="P4512" s="5"/>
      <c r="Q4512" s="5"/>
      <c r="R4512" s="8"/>
      <c r="S4512" s="8"/>
      <c r="T4512" s="3"/>
    </row>
    <row r="4513" spans="14:20" x14ac:dyDescent="0.3">
      <c r="N4513" s="5"/>
      <c r="O4513" s="5"/>
      <c r="P4513" s="5"/>
      <c r="Q4513" s="5"/>
      <c r="R4513" s="8"/>
      <c r="S4513" s="8"/>
      <c r="T4513" s="3"/>
    </row>
    <row r="4514" spans="14:20" x14ac:dyDescent="0.3">
      <c r="N4514" s="5"/>
      <c r="O4514" s="5"/>
      <c r="P4514" s="5"/>
      <c r="Q4514" s="5"/>
      <c r="R4514" s="8"/>
      <c r="S4514" s="8"/>
      <c r="T4514" s="3"/>
    </row>
    <row r="4515" spans="14:20" x14ac:dyDescent="0.3">
      <c r="N4515" s="5"/>
      <c r="O4515" s="5"/>
      <c r="P4515" s="5"/>
      <c r="Q4515" s="5"/>
      <c r="R4515" s="8"/>
      <c r="S4515" s="8"/>
      <c r="T4515" s="3"/>
    </row>
    <row r="4516" spans="14:20" x14ac:dyDescent="0.3">
      <c r="N4516" s="5"/>
      <c r="O4516" s="5"/>
      <c r="P4516" s="5"/>
      <c r="Q4516" s="5"/>
      <c r="R4516" s="8"/>
      <c r="S4516" s="8"/>
      <c r="T4516" s="3"/>
    </row>
    <row r="4517" spans="14:20" x14ac:dyDescent="0.3">
      <c r="N4517" s="5"/>
      <c r="O4517" s="5"/>
      <c r="P4517" s="5"/>
      <c r="Q4517" s="5"/>
      <c r="R4517" s="8"/>
      <c r="S4517" s="8"/>
      <c r="T4517" s="3"/>
    </row>
    <row r="4518" spans="14:20" x14ac:dyDescent="0.3">
      <c r="N4518" s="5"/>
      <c r="O4518" s="5"/>
      <c r="P4518" s="5"/>
      <c r="Q4518" s="5"/>
      <c r="R4518" s="8"/>
      <c r="S4518" s="8"/>
      <c r="T4518" s="3"/>
    </row>
    <row r="4519" spans="14:20" x14ac:dyDescent="0.3">
      <c r="N4519" s="5"/>
      <c r="O4519" s="5"/>
      <c r="P4519" s="5"/>
      <c r="Q4519" s="5"/>
      <c r="R4519" s="8"/>
      <c r="S4519" s="8"/>
      <c r="T4519" s="3"/>
    </row>
    <row r="4520" spans="14:20" x14ac:dyDescent="0.3">
      <c r="N4520" s="5"/>
      <c r="O4520" s="5"/>
      <c r="P4520" s="5"/>
      <c r="Q4520" s="5"/>
      <c r="R4520" s="8"/>
      <c r="S4520" s="8"/>
      <c r="T4520" s="3"/>
    </row>
    <row r="4521" spans="14:20" x14ac:dyDescent="0.3">
      <c r="N4521" s="5"/>
      <c r="O4521" s="5"/>
      <c r="P4521" s="5"/>
      <c r="Q4521" s="5"/>
      <c r="R4521" s="8"/>
      <c r="S4521" s="8"/>
      <c r="T4521" s="3"/>
    </row>
    <row r="4522" spans="14:20" x14ac:dyDescent="0.3">
      <c r="N4522" s="5"/>
      <c r="O4522" s="5"/>
      <c r="P4522" s="5"/>
      <c r="Q4522" s="5"/>
      <c r="R4522" s="8"/>
      <c r="S4522" s="8"/>
      <c r="T4522" s="3"/>
    </row>
    <row r="4523" spans="14:20" x14ac:dyDescent="0.3">
      <c r="N4523" s="5"/>
      <c r="O4523" s="5"/>
      <c r="P4523" s="5"/>
      <c r="Q4523" s="5"/>
      <c r="R4523" s="8"/>
      <c r="S4523" s="8"/>
      <c r="T4523" s="3"/>
    </row>
    <row r="4524" spans="14:20" x14ac:dyDescent="0.3">
      <c r="N4524" s="5"/>
      <c r="O4524" s="5"/>
      <c r="P4524" s="5"/>
      <c r="Q4524" s="5"/>
      <c r="R4524" s="8"/>
      <c r="S4524" s="8"/>
      <c r="T4524" s="3"/>
    </row>
    <row r="4525" spans="14:20" x14ac:dyDescent="0.3">
      <c r="N4525" s="5"/>
      <c r="O4525" s="5"/>
      <c r="P4525" s="5"/>
      <c r="Q4525" s="5"/>
      <c r="R4525" s="8"/>
      <c r="S4525" s="8"/>
      <c r="T4525" s="3"/>
    </row>
    <row r="4526" spans="14:20" x14ac:dyDescent="0.3">
      <c r="N4526" s="5"/>
      <c r="O4526" s="5"/>
      <c r="P4526" s="5"/>
      <c r="Q4526" s="5"/>
      <c r="R4526" s="8"/>
      <c r="S4526" s="8"/>
      <c r="T4526" s="3"/>
    </row>
    <row r="4527" spans="14:20" x14ac:dyDescent="0.3">
      <c r="N4527" s="5"/>
      <c r="O4527" s="5"/>
      <c r="P4527" s="5"/>
      <c r="Q4527" s="5"/>
      <c r="R4527" s="8"/>
      <c r="S4527" s="8"/>
      <c r="T4527" s="3"/>
    </row>
    <row r="4528" spans="14:20" x14ac:dyDescent="0.3">
      <c r="N4528" s="5"/>
      <c r="O4528" s="5"/>
      <c r="P4528" s="5"/>
      <c r="Q4528" s="5"/>
      <c r="R4528" s="8"/>
      <c r="S4528" s="8"/>
      <c r="T4528" s="3"/>
    </row>
    <row r="4529" spans="14:20" x14ac:dyDescent="0.3">
      <c r="N4529" s="5"/>
      <c r="O4529" s="5"/>
      <c r="P4529" s="5"/>
      <c r="Q4529" s="5"/>
      <c r="R4529" s="8"/>
      <c r="S4529" s="8"/>
      <c r="T4529" s="3"/>
    </row>
    <row r="4530" spans="14:20" x14ac:dyDescent="0.3">
      <c r="N4530" s="5"/>
      <c r="O4530" s="5"/>
      <c r="P4530" s="5"/>
      <c r="Q4530" s="5"/>
      <c r="R4530" s="8"/>
      <c r="S4530" s="8"/>
      <c r="T4530" s="3"/>
    </row>
    <row r="4531" spans="14:20" x14ac:dyDescent="0.3">
      <c r="N4531" s="5"/>
      <c r="O4531" s="5"/>
      <c r="P4531" s="5"/>
      <c r="Q4531" s="5"/>
      <c r="R4531" s="8"/>
      <c r="S4531" s="8"/>
      <c r="T4531" s="3"/>
    </row>
    <row r="4532" spans="14:20" x14ac:dyDescent="0.3">
      <c r="N4532" s="5"/>
      <c r="O4532" s="5"/>
      <c r="P4532" s="5"/>
      <c r="Q4532" s="5"/>
      <c r="R4532" s="8"/>
      <c r="S4532" s="8"/>
      <c r="T4532" s="3"/>
    </row>
    <row r="4533" spans="14:20" x14ac:dyDescent="0.3">
      <c r="N4533" s="5"/>
      <c r="O4533" s="5"/>
      <c r="P4533" s="5"/>
      <c r="Q4533" s="5"/>
      <c r="R4533" s="8"/>
      <c r="S4533" s="8"/>
      <c r="T4533" s="3"/>
    </row>
    <row r="4534" spans="14:20" x14ac:dyDescent="0.3">
      <c r="N4534" s="5"/>
      <c r="O4534" s="5"/>
      <c r="P4534" s="5"/>
      <c r="Q4534" s="5"/>
      <c r="R4534" s="8"/>
      <c r="S4534" s="8"/>
      <c r="T4534" s="3"/>
    </row>
    <row r="4535" spans="14:20" x14ac:dyDescent="0.3">
      <c r="N4535" s="5"/>
      <c r="O4535" s="5"/>
      <c r="P4535" s="5"/>
      <c r="Q4535" s="5"/>
      <c r="R4535" s="8"/>
      <c r="S4535" s="8"/>
      <c r="T4535" s="3"/>
    </row>
    <row r="4536" spans="14:20" x14ac:dyDescent="0.3">
      <c r="N4536" s="5"/>
      <c r="O4536" s="5"/>
      <c r="P4536" s="5"/>
      <c r="Q4536" s="5"/>
      <c r="R4536" s="8"/>
      <c r="S4536" s="8"/>
      <c r="T4536" s="3"/>
    </row>
    <row r="4537" spans="14:20" x14ac:dyDescent="0.3">
      <c r="N4537" s="5"/>
      <c r="O4537" s="5"/>
      <c r="P4537" s="5"/>
      <c r="Q4537" s="5"/>
      <c r="R4537" s="8"/>
      <c r="S4537" s="8"/>
      <c r="T4537" s="3"/>
    </row>
    <row r="4538" spans="14:20" x14ac:dyDescent="0.3">
      <c r="N4538" s="5"/>
      <c r="O4538" s="5"/>
      <c r="P4538" s="5"/>
      <c r="Q4538" s="5"/>
      <c r="R4538" s="8"/>
      <c r="S4538" s="8"/>
      <c r="T4538" s="3"/>
    </row>
    <row r="4539" spans="14:20" x14ac:dyDescent="0.3">
      <c r="N4539" s="5"/>
      <c r="O4539" s="5"/>
      <c r="P4539" s="5"/>
      <c r="Q4539" s="5"/>
      <c r="R4539" s="8"/>
      <c r="S4539" s="8"/>
      <c r="T4539" s="3"/>
    </row>
    <row r="4540" spans="14:20" x14ac:dyDescent="0.3">
      <c r="N4540" s="5"/>
      <c r="O4540" s="5"/>
      <c r="P4540" s="5"/>
      <c r="Q4540" s="5"/>
      <c r="R4540" s="8"/>
      <c r="S4540" s="8"/>
      <c r="T4540" s="3"/>
    </row>
    <row r="4541" spans="14:20" x14ac:dyDescent="0.3">
      <c r="N4541" s="5"/>
      <c r="O4541" s="5"/>
      <c r="P4541" s="5"/>
      <c r="Q4541" s="5"/>
      <c r="R4541" s="8"/>
      <c r="S4541" s="8"/>
      <c r="T4541" s="3"/>
    </row>
    <row r="4542" spans="14:20" x14ac:dyDescent="0.3">
      <c r="N4542" s="5"/>
      <c r="O4542" s="5"/>
      <c r="P4542" s="5"/>
      <c r="Q4542" s="5"/>
      <c r="R4542" s="8"/>
      <c r="S4542" s="8"/>
      <c r="T4542" s="3"/>
    </row>
    <row r="4543" spans="14:20" x14ac:dyDescent="0.3">
      <c r="N4543" s="5"/>
      <c r="O4543" s="5"/>
      <c r="P4543" s="5"/>
      <c r="Q4543" s="5"/>
      <c r="R4543" s="8"/>
      <c r="S4543" s="8"/>
      <c r="T4543" s="3"/>
    </row>
    <row r="4544" spans="14:20" x14ac:dyDescent="0.3">
      <c r="N4544" s="5"/>
      <c r="O4544" s="5"/>
      <c r="P4544" s="5"/>
      <c r="Q4544" s="5"/>
      <c r="R4544" s="8"/>
      <c r="S4544" s="8"/>
      <c r="T4544" s="3"/>
    </row>
    <row r="4545" spans="14:20" x14ac:dyDescent="0.3">
      <c r="N4545" s="5"/>
      <c r="O4545" s="5"/>
      <c r="P4545" s="5"/>
      <c r="Q4545" s="5"/>
      <c r="R4545" s="8"/>
      <c r="S4545" s="8"/>
      <c r="T4545" s="3"/>
    </row>
    <row r="4546" spans="14:20" x14ac:dyDescent="0.3">
      <c r="N4546" s="5"/>
      <c r="O4546" s="5"/>
      <c r="P4546" s="5"/>
      <c r="Q4546" s="5"/>
      <c r="R4546" s="8"/>
      <c r="S4546" s="8"/>
      <c r="T4546" s="3"/>
    </row>
    <row r="4547" spans="14:20" x14ac:dyDescent="0.3">
      <c r="N4547" s="5"/>
      <c r="O4547" s="5"/>
      <c r="P4547" s="5"/>
      <c r="Q4547" s="5"/>
      <c r="R4547" s="8"/>
      <c r="S4547" s="8"/>
      <c r="T4547" s="3"/>
    </row>
    <row r="4548" spans="14:20" x14ac:dyDescent="0.3">
      <c r="N4548" s="5"/>
      <c r="O4548" s="5"/>
      <c r="P4548" s="5"/>
      <c r="Q4548" s="5"/>
      <c r="R4548" s="8"/>
      <c r="S4548" s="8"/>
      <c r="T4548" s="3"/>
    </row>
    <row r="4549" spans="14:20" x14ac:dyDescent="0.3">
      <c r="N4549" s="5"/>
      <c r="O4549" s="5"/>
      <c r="P4549" s="5"/>
      <c r="Q4549" s="5"/>
      <c r="R4549" s="8"/>
      <c r="S4549" s="8"/>
      <c r="T4549" s="3"/>
    </row>
    <row r="4550" spans="14:20" x14ac:dyDescent="0.3">
      <c r="N4550" s="5"/>
      <c r="O4550" s="5"/>
      <c r="P4550" s="5"/>
      <c r="Q4550" s="5"/>
      <c r="R4550" s="8"/>
      <c r="S4550" s="8"/>
      <c r="T4550" s="3"/>
    </row>
    <row r="4551" spans="14:20" x14ac:dyDescent="0.3">
      <c r="N4551" s="5"/>
      <c r="O4551" s="5"/>
      <c r="P4551" s="5"/>
      <c r="Q4551" s="5"/>
      <c r="R4551" s="8"/>
      <c r="S4551" s="8"/>
      <c r="T4551" s="3"/>
    </row>
    <row r="4552" spans="14:20" x14ac:dyDescent="0.3">
      <c r="N4552" s="5"/>
      <c r="O4552" s="5"/>
      <c r="P4552" s="5"/>
      <c r="Q4552" s="5"/>
      <c r="R4552" s="8"/>
      <c r="S4552" s="8"/>
      <c r="T4552" s="3"/>
    </row>
    <row r="4553" spans="14:20" x14ac:dyDescent="0.3">
      <c r="N4553" s="5"/>
      <c r="O4553" s="5"/>
      <c r="P4553" s="5"/>
      <c r="Q4553" s="5"/>
      <c r="R4553" s="8"/>
      <c r="S4553" s="8"/>
      <c r="T4553" s="3"/>
    </row>
    <row r="4554" spans="14:20" x14ac:dyDescent="0.3">
      <c r="N4554" s="5"/>
      <c r="O4554" s="5"/>
      <c r="P4554" s="5"/>
      <c r="Q4554" s="5"/>
      <c r="R4554" s="8"/>
      <c r="S4554" s="8"/>
      <c r="T4554" s="3"/>
    </row>
    <row r="4555" spans="14:20" x14ac:dyDescent="0.3">
      <c r="N4555" s="5"/>
      <c r="O4555" s="5"/>
      <c r="P4555" s="5"/>
      <c r="Q4555" s="5"/>
      <c r="R4555" s="8"/>
      <c r="S4555" s="8"/>
      <c r="T4555" s="3"/>
    </row>
    <row r="4556" spans="14:20" x14ac:dyDescent="0.3">
      <c r="N4556" s="5"/>
      <c r="O4556" s="5"/>
      <c r="P4556" s="5"/>
      <c r="Q4556" s="5"/>
      <c r="R4556" s="8"/>
      <c r="S4556" s="8"/>
      <c r="T4556" s="3"/>
    </row>
    <row r="4557" spans="14:20" x14ac:dyDescent="0.3">
      <c r="N4557" s="5"/>
      <c r="O4557" s="5"/>
      <c r="P4557" s="5"/>
      <c r="Q4557" s="5"/>
      <c r="R4557" s="8"/>
      <c r="S4557" s="8"/>
      <c r="T4557" s="3"/>
    </row>
    <row r="4558" spans="14:20" x14ac:dyDescent="0.3">
      <c r="N4558" s="5"/>
      <c r="O4558" s="5"/>
      <c r="P4558" s="5"/>
      <c r="Q4558" s="5"/>
      <c r="R4558" s="8"/>
      <c r="S4558" s="8"/>
      <c r="T4558" s="3"/>
    </row>
    <row r="4559" spans="14:20" x14ac:dyDescent="0.3">
      <c r="N4559" s="5"/>
      <c r="O4559" s="5"/>
      <c r="P4559" s="5"/>
      <c r="Q4559" s="5"/>
      <c r="R4559" s="8"/>
      <c r="S4559" s="8"/>
      <c r="T4559" s="3"/>
    </row>
    <row r="4560" spans="14:20" x14ac:dyDescent="0.3">
      <c r="N4560" s="5"/>
      <c r="O4560" s="5"/>
      <c r="P4560" s="5"/>
      <c r="Q4560" s="5"/>
      <c r="R4560" s="8"/>
      <c r="S4560" s="8"/>
      <c r="T4560" s="3"/>
    </row>
    <row r="4561" spans="14:20" x14ac:dyDescent="0.3">
      <c r="N4561" s="5"/>
      <c r="O4561" s="5"/>
      <c r="P4561" s="5"/>
      <c r="Q4561" s="5"/>
      <c r="R4561" s="8"/>
      <c r="S4561" s="8"/>
      <c r="T4561" s="3"/>
    </row>
    <row r="4562" spans="14:20" x14ac:dyDescent="0.3">
      <c r="N4562" s="5"/>
      <c r="O4562" s="5"/>
      <c r="P4562" s="5"/>
      <c r="Q4562" s="5"/>
      <c r="R4562" s="8"/>
      <c r="S4562" s="8"/>
      <c r="T4562" s="3"/>
    </row>
    <row r="4563" spans="14:20" x14ac:dyDescent="0.3">
      <c r="N4563" s="5"/>
      <c r="O4563" s="5"/>
      <c r="P4563" s="5"/>
      <c r="Q4563" s="5"/>
      <c r="R4563" s="8"/>
      <c r="S4563" s="8"/>
      <c r="T4563" s="3"/>
    </row>
    <row r="4564" spans="14:20" x14ac:dyDescent="0.3">
      <c r="N4564" s="5"/>
      <c r="O4564" s="5"/>
      <c r="P4564" s="5"/>
      <c r="Q4564" s="5"/>
      <c r="R4564" s="8"/>
      <c r="S4564" s="8"/>
      <c r="T4564" s="3"/>
    </row>
    <row r="4565" spans="14:20" x14ac:dyDescent="0.3">
      <c r="N4565" s="5"/>
      <c r="O4565" s="5"/>
      <c r="P4565" s="5"/>
      <c r="Q4565" s="5"/>
      <c r="R4565" s="8"/>
      <c r="S4565" s="8"/>
      <c r="T4565" s="3"/>
    </row>
    <row r="4566" spans="14:20" x14ac:dyDescent="0.3">
      <c r="N4566" s="5"/>
      <c r="O4566" s="5"/>
      <c r="P4566" s="5"/>
      <c r="Q4566" s="5"/>
      <c r="R4566" s="8"/>
      <c r="S4566" s="8"/>
      <c r="T4566" s="3"/>
    </row>
    <row r="4567" spans="14:20" x14ac:dyDescent="0.3">
      <c r="N4567" s="5"/>
      <c r="O4567" s="5"/>
      <c r="P4567" s="5"/>
      <c r="Q4567" s="5"/>
      <c r="R4567" s="8"/>
      <c r="S4567" s="8"/>
      <c r="T4567" s="3"/>
    </row>
    <row r="4568" spans="14:20" x14ac:dyDescent="0.3">
      <c r="N4568" s="5"/>
      <c r="O4568" s="5"/>
      <c r="P4568" s="5"/>
      <c r="Q4568" s="5"/>
      <c r="R4568" s="8"/>
      <c r="S4568" s="8"/>
      <c r="T4568" s="3"/>
    </row>
    <row r="4569" spans="14:20" x14ac:dyDescent="0.3">
      <c r="N4569" s="5"/>
      <c r="O4569" s="5"/>
      <c r="P4569" s="5"/>
      <c r="Q4569" s="5"/>
      <c r="R4569" s="8"/>
      <c r="S4569" s="8"/>
      <c r="T4569" s="3"/>
    </row>
    <row r="4570" spans="14:20" x14ac:dyDescent="0.3">
      <c r="N4570" s="5"/>
      <c r="O4570" s="5"/>
      <c r="P4570" s="5"/>
      <c r="Q4570" s="5"/>
      <c r="R4570" s="8"/>
      <c r="S4570" s="8"/>
      <c r="T4570" s="3"/>
    </row>
    <row r="4571" spans="14:20" x14ac:dyDescent="0.3">
      <c r="N4571" s="5"/>
      <c r="O4571" s="5"/>
      <c r="P4571" s="5"/>
      <c r="Q4571" s="5"/>
      <c r="R4571" s="8"/>
      <c r="S4571" s="8"/>
      <c r="T4571" s="3"/>
    </row>
    <row r="4572" spans="14:20" x14ac:dyDescent="0.3">
      <c r="N4572" s="5"/>
      <c r="O4572" s="5"/>
      <c r="P4572" s="5"/>
      <c r="Q4572" s="5"/>
      <c r="R4572" s="8"/>
      <c r="S4572" s="8"/>
      <c r="T4572" s="3"/>
    </row>
    <row r="4573" spans="14:20" x14ac:dyDescent="0.3">
      <c r="N4573" s="5"/>
      <c r="O4573" s="5"/>
      <c r="P4573" s="5"/>
      <c r="Q4573" s="5"/>
      <c r="R4573" s="8"/>
      <c r="S4573" s="8"/>
      <c r="T4573" s="3"/>
    </row>
    <row r="4574" spans="14:20" x14ac:dyDescent="0.3">
      <c r="N4574" s="5"/>
      <c r="O4574" s="5"/>
      <c r="P4574" s="5"/>
      <c r="Q4574" s="5"/>
      <c r="R4574" s="8"/>
      <c r="S4574" s="8"/>
      <c r="T4574" s="3"/>
    </row>
    <row r="4575" spans="14:20" x14ac:dyDescent="0.3">
      <c r="N4575" s="5"/>
      <c r="O4575" s="5"/>
      <c r="P4575" s="5"/>
      <c r="Q4575" s="5"/>
      <c r="R4575" s="8"/>
      <c r="S4575" s="8"/>
      <c r="T4575" s="3"/>
    </row>
    <row r="4576" spans="14:20" x14ac:dyDescent="0.3">
      <c r="N4576" s="5"/>
      <c r="O4576" s="5"/>
      <c r="P4576" s="5"/>
      <c r="Q4576" s="5"/>
      <c r="R4576" s="8"/>
      <c r="S4576" s="8"/>
      <c r="T4576" s="3"/>
    </row>
    <row r="4577" spans="14:20" x14ac:dyDescent="0.3">
      <c r="N4577" s="5"/>
      <c r="O4577" s="5"/>
      <c r="P4577" s="5"/>
      <c r="Q4577" s="5"/>
      <c r="R4577" s="8"/>
      <c r="S4577" s="8"/>
      <c r="T4577" s="3"/>
    </row>
    <row r="4578" spans="14:20" x14ac:dyDescent="0.3">
      <c r="N4578" s="5"/>
      <c r="O4578" s="5"/>
      <c r="P4578" s="5"/>
      <c r="Q4578" s="5"/>
      <c r="R4578" s="8"/>
      <c r="S4578" s="8"/>
      <c r="T4578" s="3"/>
    </row>
    <row r="4579" spans="14:20" x14ac:dyDescent="0.3">
      <c r="N4579" s="5"/>
      <c r="O4579" s="5"/>
      <c r="P4579" s="5"/>
      <c r="Q4579" s="5"/>
      <c r="R4579" s="8"/>
      <c r="S4579" s="8"/>
      <c r="T4579" s="3"/>
    </row>
    <row r="4580" spans="14:20" x14ac:dyDescent="0.3">
      <c r="N4580" s="5"/>
      <c r="O4580" s="5"/>
      <c r="P4580" s="5"/>
      <c r="Q4580" s="5"/>
      <c r="R4580" s="8"/>
      <c r="S4580" s="8"/>
      <c r="T4580" s="3"/>
    </row>
    <row r="4581" spans="14:20" x14ac:dyDescent="0.3">
      <c r="N4581" s="5"/>
      <c r="O4581" s="5"/>
      <c r="P4581" s="5"/>
      <c r="Q4581" s="5"/>
      <c r="R4581" s="8"/>
      <c r="S4581" s="8"/>
      <c r="T4581" s="3"/>
    </row>
    <row r="4582" spans="14:20" x14ac:dyDescent="0.3">
      <c r="N4582" s="5"/>
      <c r="O4582" s="5"/>
      <c r="P4582" s="5"/>
      <c r="Q4582" s="5"/>
      <c r="R4582" s="8"/>
      <c r="S4582" s="8"/>
      <c r="T4582" s="3"/>
    </row>
    <row r="4583" spans="14:20" x14ac:dyDescent="0.3">
      <c r="N4583" s="5"/>
      <c r="O4583" s="5"/>
      <c r="P4583" s="5"/>
      <c r="Q4583" s="5"/>
      <c r="R4583" s="8"/>
      <c r="S4583" s="8"/>
      <c r="T4583" s="3"/>
    </row>
    <row r="4584" spans="14:20" x14ac:dyDescent="0.3">
      <c r="N4584" s="5"/>
      <c r="O4584" s="5"/>
      <c r="P4584" s="5"/>
      <c r="Q4584" s="5"/>
      <c r="R4584" s="8"/>
      <c r="S4584" s="8"/>
      <c r="T4584" s="3"/>
    </row>
    <row r="4585" spans="14:20" x14ac:dyDescent="0.3">
      <c r="N4585" s="5"/>
      <c r="O4585" s="5"/>
      <c r="P4585" s="5"/>
      <c r="Q4585" s="5"/>
      <c r="R4585" s="8"/>
      <c r="S4585" s="8"/>
      <c r="T4585" s="3"/>
    </row>
    <row r="4586" spans="14:20" x14ac:dyDescent="0.3">
      <c r="N4586" s="5"/>
      <c r="O4586" s="5"/>
      <c r="P4586" s="5"/>
      <c r="Q4586" s="5"/>
      <c r="R4586" s="8"/>
      <c r="S4586" s="8"/>
      <c r="T4586" s="3"/>
    </row>
    <row r="4587" spans="14:20" x14ac:dyDescent="0.3">
      <c r="N4587" s="5"/>
      <c r="O4587" s="5"/>
      <c r="P4587" s="5"/>
      <c r="Q4587" s="5"/>
      <c r="R4587" s="8"/>
      <c r="S4587" s="8"/>
      <c r="T4587" s="3"/>
    </row>
    <row r="4588" spans="14:20" x14ac:dyDescent="0.3">
      <c r="N4588" s="5"/>
      <c r="O4588" s="5"/>
      <c r="P4588" s="5"/>
      <c r="Q4588" s="5"/>
      <c r="R4588" s="8"/>
      <c r="S4588" s="8"/>
      <c r="T4588" s="3"/>
    </row>
    <row r="4589" spans="14:20" x14ac:dyDescent="0.3">
      <c r="N4589" s="5"/>
      <c r="O4589" s="5"/>
      <c r="P4589" s="5"/>
      <c r="Q4589" s="5"/>
      <c r="R4589" s="8"/>
      <c r="S4589" s="8"/>
      <c r="T4589" s="3"/>
    </row>
    <row r="4590" spans="14:20" x14ac:dyDescent="0.3">
      <c r="N4590" s="5"/>
      <c r="O4590" s="5"/>
      <c r="P4590" s="5"/>
      <c r="Q4590" s="5"/>
      <c r="R4590" s="8"/>
      <c r="S4590" s="8"/>
      <c r="T4590" s="3"/>
    </row>
    <row r="4591" spans="14:20" x14ac:dyDescent="0.3">
      <c r="N4591" s="5"/>
      <c r="O4591" s="5"/>
      <c r="P4591" s="5"/>
      <c r="Q4591" s="5"/>
      <c r="R4591" s="8"/>
      <c r="S4591" s="8"/>
      <c r="T4591" s="3"/>
    </row>
    <row r="4592" spans="14:20" x14ac:dyDescent="0.3">
      <c r="N4592" s="5"/>
      <c r="O4592" s="5"/>
      <c r="P4592" s="5"/>
      <c r="Q4592" s="5"/>
      <c r="R4592" s="8"/>
      <c r="S4592" s="8"/>
      <c r="T4592" s="3"/>
    </row>
    <row r="4593" spans="14:20" x14ac:dyDescent="0.3">
      <c r="N4593" s="5"/>
      <c r="O4593" s="5"/>
      <c r="P4593" s="5"/>
      <c r="Q4593" s="5"/>
      <c r="R4593" s="8"/>
      <c r="S4593" s="8"/>
      <c r="T4593" s="3"/>
    </row>
    <row r="4594" spans="14:20" x14ac:dyDescent="0.3">
      <c r="N4594" s="5"/>
      <c r="O4594" s="5"/>
      <c r="P4594" s="5"/>
      <c r="Q4594" s="5"/>
      <c r="R4594" s="8"/>
      <c r="S4594" s="8"/>
      <c r="T4594" s="3"/>
    </row>
    <row r="4595" spans="14:20" x14ac:dyDescent="0.3">
      <c r="N4595" s="5"/>
      <c r="O4595" s="5"/>
      <c r="P4595" s="5"/>
      <c r="Q4595" s="5"/>
      <c r="R4595" s="8"/>
      <c r="S4595" s="8"/>
      <c r="T4595" s="3"/>
    </row>
    <row r="4596" spans="14:20" x14ac:dyDescent="0.3">
      <c r="N4596" s="5"/>
      <c r="O4596" s="5"/>
      <c r="P4596" s="5"/>
      <c r="Q4596" s="5"/>
      <c r="R4596" s="8"/>
      <c r="S4596" s="8"/>
      <c r="T4596" s="3"/>
    </row>
    <row r="4597" spans="14:20" x14ac:dyDescent="0.3">
      <c r="N4597" s="5"/>
      <c r="O4597" s="5"/>
      <c r="P4597" s="5"/>
      <c r="Q4597" s="5"/>
      <c r="R4597" s="8"/>
      <c r="S4597" s="8"/>
      <c r="T4597" s="3"/>
    </row>
    <row r="4598" spans="14:20" x14ac:dyDescent="0.3">
      <c r="N4598" s="5"/>
      <c r="O4598" s="5"/>
      <c r="P4598" s="5"/>
      <c r="Q4598" s="5"/>
      <c r="R4598" s="8"/>
      <c r="S4598" s="8"/>
      <c r="T4598" s="3"/>
    </row>
    <row r="4599" spans="14:20" x14ac:dyDescent="0.3">
      <c r="N4599" s="5"/>
      <c r="O4599" s="5"/>
      <c r="P4599" s="5"/>
      <c r="Q4599" s="5"/>
      <c r="R4599" s="8"/>
      <c r="S4599" s="8"/>
      <c r="T4599" s="3"/>
    </row>
    <row r="4600" spans="14:20" x14ac:dyDescent="0.3">
      <c r="N4600" s="5"/>
      <c r="O4600" s="5"/>
      <c r="P4600" s="5"/>
      <c r="Q4600" s="5"/>
      <c r="R4600" s="8"/>
      <c r="S4600" s="8"/>
      <c r="T4600" s="3"/>
    </row>
    <row r="4601" spans="14:20" x14ac:dyDescent="0.3">
      <c r="N4601" s="5"/>
      <c r="O4601" s="5"/>
      <c r="P4601" s="5"/>
      <c r="Q4601" s="5"/>
      <c r="R4601" s="8"/>
      <c r="S4601" s="8"/>
      <c r="T4601" s="3"/>
    </row>
    <row r="4602" spans="14:20" x14ac:dyDescent="0.3">
      <c r="N4602" s="5"/>
      <c r="O4602" s="5"/>
      <c r="P4602" s="5"/>
      <c r="Q4602" s="5"/>
      <c r="R4602" s="8"/>
      <c r="S4602" s="8"/>
      <c r="T4602" s="3"/>
    </row>
    <row r="4603" spans="14:20" x14ac:dyDescent="0.3">
      <c r="N4603" s="5"/>
      <c r="O4603" s="5"/>
      <c r="P4603" s="5"/>
      <c r="Q4603" s="5"/>
      <c r="R4603" s="8"/>
      <c r="S4603" s="8"/>
      <c r="T4603" s="3"/>
    </row>
    <row r="4604" spans="14:20" x14ac:dyDescent="0.3">
      <c r="N4604" s="5"/>
      <c r="O4604" s="5"/>
      <c r="P4604" s="5"/>
      <c r="Q4604" s="5"/>
      <c r="R4604" s="8"/>
      <c r="S4604" s="8"/>
      <c r="T4604" s="3"/>
    </row>
    <row r="4605" spans="14:20" x14ac:dyDescent="0.3">
      <c r="N4605" s="5"/>
      <c r="O4605" s="5"/>
      <c r="P4605" s="5"/>
      <c r="Q4605" s="5"/>
      <c r="R4605" s="8"/>
      <c r="S4605" s="8"/>
      <c r="T4605" s="3"/>
    </row>
    <row r="4606" spans="14:20" x14ac:dyDescent="0.3">
      <c r="N4606" s="5"/>
      <c r="O4606" s="5"/>
      <c r="P4606" s="5"/>
      <c r="Q4606" s="5"/>
      <c r="R4606" s="8"/>
      <c r="S4606" s="8"/>
      <c r="T4606" s="3"/>
    </row>
    <row r="4607" spans="14:20" x14ac:dyDescent="0.3">
      <c r="N4607" s="5"/>
      <c r="O4607" s="5"/>
      <c r="P4607" s="5"/>
      <c r="Q4607" s="5"/>
      <c r="R4607" s="8"/>
      <c r="S4607" s="8"/>
      <c r="T4607" s="3"/>
    </row>
    <row r="4608" spans="14:20" x14ac:dyDescent="0.3">
      <c r="N4608" s="5"/>
      <c r="O4608" s="5"/>
      <c r="P4608" s="5"/>
      <c r="Q4608" s="5"/>
      <c r="R4608" s="8"/>
      <c r="S4608" s="8"/>
      <c r="T4608" s="3"/>
    </row>
    <row r="4609" spans="14:20" x14ac:dyDescent="0.3">
      <c r="N4609" s="5"/>
      <c r="O4609" s="5"/>
      <c r="P4609" s="5"/>
      <c r="Q4609" s="5"/>
      <c r="R4609" s="8"/>
      <c r="S4609" s="8"/>
      <c r="T4609" s="3"/>
    </row>
    <row r="4610" spans="14:20" x14ac:dyDescent="0.3">
      <c r="N4610" s="5"/>
      <c r="O4610" s="5"/>
      <c r="P4610" s="5"/>
      <c r="Q4610" s="5"/>
      <c r="R4610" s="8"/>
      <c r="S4610" s="8"/>
      <c r="T4610" s="3"/>
    </row>
    <row r="4611" spans="14:20" x14ac:dyDescent="0.3">
      <c r="N4611" s="5"/>
      <c r="O4611" s="5"/>
      <c r="P4611" s="5"/>
      <c r="Q4611" s="5"/>
      <c r="R4611" s="8"/>
      <c r="S4611" s="8"/>
      <c r="T4611" s="3"/>
    </row>
    <row r="4612" spans="14:20" x14ac:dyDescent="0.3">
      <c r="N4612" s="5"/>
      <c r="O4612" s="5"/>
      <c r="P4612" s="5"/>
      <c r="Q4612" s="5"/>
      <c r="R4612" s="8"/>
      <c r="S4612" s="8"/>
      <c r="T4612" s="3"/>
    </row>
    <row r="4613" spans="14:20" x14ac:dyDescent="0.3">
      <c r="N4613" s="5"/>
      <c r="O4613" s="5"/>
      <c r="P4613" s="5"/>
      <c r="Q4613" s="5"/>
      <c r="R4613" s="8"/>
      <c r="S4613" s="8"/>
      <c r="T4613" s="3"/>
    </row>
    <row r="4614" spans="14:20" x14ac:dyDescent="0.3">
      <c r="N4614" s="5"/>
      <c r="O4614" s="5"/>
      <c r="P4614" s="5"/>
      <c r="Q4614" s="5"/>
      <c r="R4614" s="8"/>
      <c r="S4614" s="8"/>
      <c r="T4614" s="3"/>
    </row>
    <row r="4615" spans="14:20" x14ac:dyDescent="0.3">
      <c r="N4615" s="5"/>
      <c r="O4615" s="5"/>
      <c r="P4615" s="5"/>
      <c r="Q4615" s="5"/>
      <c r="R4615" s="8"/>
      <c r="S4615" s="8"/>
      <c r="T4615" s="3"/>
    </row>
    <row r="4616" spans="14:20" x14ac:dyDescent="0.3">
      <c r="N4616" s="5"/>
      <c r="O4616" s="5"/>
      <c r="P4616" s="5"/>
      <c r="Q4616" s="5"/>
      <c r="R4616" s="8"/>
      <c r="S4616" s="8"/>
      <c r="T4616" s="3"/>
    </row>
    <row r="4617" spans="14:20" x14ac:dyDescent="0.3">
      <c r="N4617" s="5"/>
      <c r="O4617" s="5"/>
      <c r="P4617" s="5"/>
      <c r="Q4617" s="5"/>
      <c r="R4617" s="8"/>
      <c r="S4617" s="8"/>
      <c r="T4617" s="3"/>
    </row>
    <row r="4618" spans="14:20" x14ac:dyDescent="0.3">
      <c r="N4618" s="5"/>
      <c r="O4618" s="5"/>
      <c r="P4618" s="5"/>
      <c r="Q4618" s="5"/>
      <c r="R4618" s="8"/>
      <c r="S4618" s="8"/>
      <c r="T4618" s="3"/>
    </row>
    <row r="4619" spans="14:20" x14ac:dyDescent="0.3">
      <c r="N4619" s="5"/>
      <c r="O4619" s="5"/>
      <c r="P4619" s="5"/>
      <c r="Q4619" s="5"/>
      <c r="R4619" s="8"/>
      <c r="S4619" s="8"/>
      <c r="T4619" s="3"/>
    </row>
    <row r="4620" spans="14:20" x14ac:dyDescent="0.3">
      <c r="N4620" s="5"/>
      <c r="O4620" s="5"/>
      <c r="P4620" s="5"/>
      <c r="Q4620" s="5"/>
      <c r="R4620" s="8"/>
      <c r="S4620" s="8"/>
      <c r="T4620" s="3"/>
    </row>
    <row r="4621" spans="14:20" x14ac:dyDescent="0.3">
      <c r="N4621" s="5"/>
      <c r="O4621" s="5"/>
      <c r="P4621" s="5"/>
      <c r="Q4621" s="5"/>
      <c r="R4621" s="8"/>
      <c r="S4621" s="8"/>
      <c r="T4621" s="3"/>
    </row>
    <row r="4622" spans="14:20" x14ac:dyDescent="0.3">
      <c r="N4622" s="5"/>
      <c r="O4622" s="5"/>
      <c r="P4622" s="5"/>
      <c r="Q4622" s="5"/>
      <c r="R4622" s="8"/>
      <c r="S4622" s="8"/>
      <c r="T4622" s="3"/>
    </row>
    <row r="4623" spans="14:20" x14ac:dyDescent="0.3">
      <c r="N4623" s="5"/>
      <c r="O4623" s="5"/>
      <c r="P4623" s="5"/>
      <c r="Q4623" s="5"/>
      <c r="R4623" s="8"/>
      <c r="S4623" s="8"/>
      <c r="T4623" s="3"/>
    </row>
    <row r="4624" spans="14:20" x14ac:dyDescent="0.3">
      <c r="N4624" s="5"/>
      <c r="O4624" s="5"/>
      <c r="P4624" s="5"/>
      <c r="Q4624" s="5"/>
      <c r="R4624" s="8"/>
      <c r="S4624" s="8"/>
      <c r="T4624" s="3"/>
    </row>
    <row r="4625" spans="14:20" x14ac:dyDescent="0.3">
      <c r="N4625" s="5"/>
      <c r="O4625" s="5"/>
      <c r="P4625" s="5"/>
      <c r="Q4625" s="5"/>
      <c r="R4625" s="8"/>
      <c r="S4625" s="8"/>
      <c r="T4625" s="3"/>
    </row>
    <row r="4626" spans="14:20" x14ac:dyDescent="0.3">
      <c r="N4626" s="5"/>
      <c r="O4626" s="5"/>
      <c r="P4626" s="5"/>
      <c r="Q4626" s="5"/>
      <c r="R4626" s="8"/>
      <c r="S4626" s="8"/>
      <c r="T4626" s="3"/>
    </row>
    <row r="4627" spans="14:20" x14ac:dyDescent="0.3">
      <c r="N4627" s="5"/>
      <c r="O4627" s="5"/>
      <c r="P4627" s="5"/>
      <c r="Q4627" s="5"/>
      <c r="R4627" s="8"/>
      <c r="S4627" s="8"/>
      <c r="T4627" s="3"/>
    </row>
    <row r="4628" spans="14:20" x14ac:dyDescent="0.3">
      <c r="N4628" s="5"/>
      <c r="O4628" s="5"/>
      <c r="P4628" s="5"/>
      <c r="Q4628" s="5"/>
      <c r="R4628" s="8"/>
      <c r="S4628" s="8"/>
      <c r="T4628" s="3"/>
    </row>
    <row r="4629" spans="14:20" x14ac:dyDescent="0.3">
      <c r="N4629" s="5"/>
      <c r="O4629" s="5"/>
      <c r="P4629" s="5"/>
      <c r="Q4629" s="5"/>
      <c r="R4629" s="8"/>
      <c r="S4629" s="8"/>
      <c r="T4629" s="3"/>
    </row>
    <row r="4630" spans="14:20" x14ac:dyDescent="0.3">
      <c r="N4630" s="5"/>
      <c r="O4630" s="5"/>
      <c r="P4630" s="5"/>
      <c r="Q4630" s="5"/>
      <c r="R4630" s="8"/>
      <c r="S4630" s="8"/>
      <c r="T4630" s="3"/>
    </row>
    <row r="4631" spans="14:20" x14ac:dyDescent="0.3">
      <c r="N4631" s="5"/>
      <c r="O4631" s="5"/>
      <c r="P4631" s="5"/>
      <c r="Q4631" s="5"/>
      <c r="R4631" s="8"/>
      <c r="S4631" s="8"/>
      <c r="T4631" s="3"/>
    </row>
    <row r="4632" spans="14:20" x14ac:dyDescent="0.3">
      <c r="N4632" s="5"/>
      <c r="O4632" s="5"/>
      <c r="P4632" s="5"/>
      <c r="Q4632" s="5"/>
      <c r="R4632" s="8"/>
      <c r="S4632" s="8"/>
      <c r="T4632" s="3"/>
    </row>
    <row r="4633" spans="14:20" x14ac:dyDescent="0.3">
      <c r="N4633" s="5"/>
      <c r="O4633" s="5"/>
      <c r="P4633" s="5"/>
      <c r="Q4633" s="5"/>
      <c r="R4633" s="8"/>
      <c r="S4633" s="8"/>
      <c r="T4633" s="3"/>
    </row>
    <row r="4634" spans="14:20" x14ac:dyDescent="0.3">
      <c r="N4634" s="5"/>
      <c r="O4634" s="5"/>
      <c r="P4634" s="5"/>
      <c r="Q4634" s="5"/>
      <c r="R4634" s="8"/>
      <c r="S4634" s="8"/>
      <c r="T4634" s="3"/>
    </row>
    <row r="4635" spans="14:20" x14ac:dyDescent="0.3">
      <c r="N4635" s="5"/>
      <c r="O4635" s="5"/>
      <c r="P4635" s="5"/>
      <c r="Q4635" s="5"/>
      <c r="R4635" s="8"/>
      <c r="S4635" s="8"/>
      <c r="T4635" s="3"/>
    </row>
    <row r="4636" spans="14:20" x14ac:dyDescent="0.3">
      <c r="N4636" s="5"/>
      <c r="O4636" s="5"/>
      <c r="P4636" s="5"/>
      <c r="Q4636" s="5"/>
      <c r="R4636" s="8"/>
      <c r="S4636" s="8"/>
      <c r="T4636" s="3"/>
    </row>
    <row r="4637" spans="14:20" x14ac:dyDescent="0.3">
      <c r="N4637" s="5"/>
      <c r="O4637" s="5"/>
      <c r="P4637" s="5"/>
      <c r="Q4637" s="5"/>
      <c r="R4637" s="8"/>
      <c r="S4637" s="8"/>
      <c r="T4637" s="3"/>
    </row>
    <row r="4638" spans="14:20" x14ac:dyDescent="0.3">
      <c r="N4638" s="5"/>
      <c r="O4638" s="5"/>
      <c r="P4638" s="5"/>
      <c r="Q4638" s="5"/>
      <c r="R4638" s="8"/>
      <c r="S4638" s="8"/>
      <c r="T4638" s="3"/>
    </row>
    <row r="4639" spans="14:20" x14ac:dyDescent="0.3">
      <c r="N4639" s="5"/>
      <c r="O4639" s="5"/>
      <c r="P4639" s="5"/>
      <c r="Q4639" s="5"/>
      <c r="R4639" s="8"/>
      <c r="S4639" s="8"/>
      <c r="T4639" s="3"/>
    </row>
    <row r="4640" spans="14:20" x14ac:dyDescent="0.3">
      <c r="N4640" s="5"/>
      <c r="O4640" s="5"/>
      <c r="P4640" s="5"/>
      <c r="Q4640" s="5"/>
      <c r="R4640" s="8"/>
      <c r="S4640" s="8"/>
      <c r="T4640" s="3"/>
    </row>
    <row r="4641" spans="14:20" x14ac:dyDescent="0.3">
      <c r="N4641" s="5"/>
      <c r="O4641" s="5"/>
      <c r="P4641" s="5"/>
      <c r="Q4641" s="5"/>
      <c r="R4641" s="8"/>
      <c r="S4641" s="8"/>
      <c r="T4641" s="3"/>
    </row>
    <row r="4642" spans="14:20" x14ac:dyDescent="0.3">
      <c r="N4642" s="5"/>
      <c r="O4642" s="5"/>
      <c r="P4642" s="5"/>
      <c r="Q4642" s="5"/>
      <c r="R4642" s="8"/>
      <c r="S4642" s="8"/>
      <c r="T4642" s="3"/>
    </row>
    <row r="4643" spans="14:20" x14ac:dyDescent="0.3">
      <c r="N4643" s="5"/>
      <c r="O4643" s="5"/>
      <c r="P4643" s="5"/>
      <c r="Q4643" s="5"/>
      <c r="R4643" s="8"/>
      <c r="S4643" s="8"/>
      <c r="T4643" s="3"/>
    </row>
    <row r="4644" spans="14:20" x14ac:dyDescent="0.3">
      <c r="N4644" s="5"/>
      <c r="O4644" s="5"/>
      <c r="P4644" s="5"/>
      <c r="Q4644" s="5"/>
      <c r="R4644" s="8"/>
      <c r="S4644" s="8"/>
      <c r="T4644" s="3"/>
    </row>
    <row r="4645" spans="14:20" x14ac:dyDescent="0.3">
      <c r="N4645" s="5"/>
      <c r="O4645" s="5"/>
      <c r="P4645" s="5"/>
      <c r="Q4645" s="5"/>
      <c r="R4645" s="8"/>
      <c r="S4645" s="8"/>
      <c r="T4645" s="3"/>
    </row>
    <row r="4646" spans="14:20" x14ac:dyDescent="0.3">
      <c r="N4646" s="5"/>
      <c r="O4646" s="5"/>
      <c r="P4646" s="5"/>
      <c r="Q4646" s="5"/>
      <c r="R4646" s="8"/>
      <c r="S4646" s="8"/>
      <c r="T4646" s="3"/>
    </row>
    <row r="4647" spans="14:20" x14ac:dyDescent="0.3">
      <c r="N4647" s="5"/>
      <c r="O4647" s="5"/>
      <c r="P4647" s="5"/>
      <c r="Q4647" s="5"/>
      <c r="R4647" s="8"/>
      <c r="S4647" s="8"/>
      <c r="T4647" s="3"/>
    </row>
    <row r="4648" spans="14:20" x14ac:dyDescent="0.3">
      <c r="N4648" s="5"/>
      <c r="O4648" s="5"/>
      <c r="P4648" s="5"/>
      <c r="Q4648" s="5"/>
      <c r="R4648" s="8"/>
      <c r="S4648" s="8"/>
      <c r="T4648" s="3"/>
    </row>
    <row r="4649" spans="14:20" x14ac:dyDescent="0.3">
      <c r="N4649" s="5"/>
      <c r="O4649" s="5"/>
      <c r="P4649" s="5"/>
      <c r="Q4649" s="5"/>
      <c r="R4649" s="8"/>
      <c r="S4649" s="8"/>
      <c r="T4649" s="3"/>
    </row>
    <row r="4650" spans="14:20" x14ac:dyDescent="0.3">
      <c r="N4650" s="5"/>
      <c r="O4650" s="5"/>
      <c r="P4650" s="5"/>
      <c r="Q4650" s="5"/>
      <c r="R4650" s="8"/>
      <c r="S4650" s="8"/>
      <c r="T4650" s="3"/>
    </row>
    <row r="4651" spans="14:20" x14ac:dyDescent="0.3">
      <c r="N4651" s="5"/>
      <c r="O4651" s="5"/>
      <c r="P4651" s="5"/>
      <c r="Q4651" s="5"/>
      <c r="R4651" s="8"/>
      <c r="S4651" s="8"/>
      <c r="T4651" s="3"/>
    </row>
    <row r="4652" spans="14:20" x14ac:dyDescent="0.3">
      <c r="N4652" s="5"/>
      <c r="O4652" s="5"/>
      <c r="P4652" s="5"/>
      <c r="Q4652" s="5"/>
      <c r="R4652" s="8"/>
      <c r="S4652" s="8"/>
      <c r="T4652" s="3"/>
    </row>
    <row r="4653" spans="14:20" x14ac:dyDescent="0.3">
      <c r="N4653" s="5"/>
      <c r="O4653" s="5"/>
      <c r="P4653" s="5"/>
      <c r="Q4653" s="5"/>
      <c r="R4653" s="8"/>
      <c r="S4653" s="8"/>
      <c r="T4653" s="3"/>
    </row>
    <row r="4654" spans="14:20" x14ac:dyDescent="0.3">
      <c r="N4654" s="5"/>
      <c r="O4654" s="5"/>
      <c r="P4654" s="5"/>
      <c r="Q4654" s="5"/>
      <c r="R4654" s="8"/>
      <c r="S4654" s="8"/>
      <c r="T4654" s="3"/>
    </row>
    <row r="4655" spans="14:20" x14ac:dyDescent="0.3">
      <c r="N4655" s="5"/>
      <c r="O4655" s="5"/>
      <c r="P4655" s="5"/>
      <c r="Q4655" s="5"/>
      <c r="R4655" s="8"/>
      <c r="S4655" s="8"/>
      <c r="T4655" s="3"/>
    </row>
    <row r="4656" spans="14:20" x14ac:dyDescent="0.3">
      <c r="N4656" s="5"/>
      <c r="O4656" s="5"/>
      <c r="P4656" s="5"/>
      <c r="Q4656" s="5"/>
      <c r="R4656" s="8"/>
      <c r="S4656" s="8"/>
      <c r="T4656" s="3"/>
    </row>
    <row r="4657" spans="14:20" x14ac:dyDescent="0.3">
      <c r="N4657" s="5"/>
      <c r="O4657" s="5"/>
      <c r="P4657" s="5"/>
      <c r="Q4657" s="5"/>
      <c r="R4657" s="8"/>
      <c r="S4657" s="8"/>
      <c r="T4657" s="3"/>
    </row>
    <row r="4658" spans="14:20" x14ac:dyDescent="0.3">
      <c r="N4658" s="5"/>
      <c r="O4658" s="5"/>
      <c r="P4658" s="5"/>
      <c r="Q4658" s="5"/>
      <c r="R4658" s="8"/>
      <c r="S4658" s="8"/>
      <c r="T4658" s="3"/>
    </row>
    <row r="4659" spans="14:20" x14ac:dyDescent="0.3">
      <c r="N4659" s="5"/>
      <c r="O4659" s="5"/>
      <c r="P4659" s="5"/>
      <c r="Q4659" s="5"/>
      <c r="R4659" s="8"/>
      <c r="S4659" s="8"/>
      <c r="T4659" s="3"/>
    </row>
    <row r="4660" spans="14:20" x14ac:dyDescent="0.3">
      <c r="N4660" s="5"/>
      <c r="O4660" s="5"/>
      <c r="P4660" s="5"/>
      <c r="Q4660" s="5"/>
      <c r="R4660" s="8"/>
      <c r="S4660" s="8"/>
      <c r="T4660" s="3"/>
    </row>
    <row r="4661" spans="14:20" x14ac:dyDescent="0.3">
      <c r="N4661" s="5"/>
      <c r="O4661" s="5"/>
      <c r="P4661" s="5"/>
      <c r="Q4661" s="5"/>
      <c r="R4661" s="8"/>
      <c r="S4661" s="8"/>
      <c r="T4661" s="3"/>
    </row>
    <row r="4662" spans="14:20" x14ac:dyDescent="0.3">
      <c r="N4662" s="5"/>
      <c r="O4662" s="5"/>
      <c r="P4662" s="5"/>
      <c r="Q4662" s="5"/>
      <c r="R4662" s="8"/>
      <c r="S4662" s="8"/>
      <c r="T4662" s="3"/>
    </row>
    <row r="4663" spans="14:20" x14ac:dyDescent="0.3">
      <c r="N4663" s="5"/>
      <c r="O4663" s="5"/>
      <c r="P4663" s="5"/>
      <c r="Q4663" s="5"/>
      <c r="R4663" s="8"/>
      <c r="S4663" s="8"/>
      <c r="T4663" s="3"/>
    </row>
    <row r="4664" spans="14:20" x14ac:dyDescent="0.3">
      <c r="N4664" s="5"/>
      <c r="O4664" s="5"/>
      <c r="P4664" s="5"/>
      <c r="Q4664" s="5"/>
      <c r="R4664" s="8"/>
      <c r="S4664" s="8"/>
      <c r="T4664" s="3"/>
    </row>
    <row r="4665" spans="14:20" x14ac:dyDescent="0.3">
      <c r="N4665" s="5"/>
      <c r="O4665" s="5"/>
      <c r="P4665" s="5"/>
      <c r="Q4665" s="5"/>
      <c r="R4665" s="8"/>
      <c r="S4665" s="8"/>
      <c r="T4665" s="3"/>
    </row>
    <row r="4666" spans="14:20" x14ac:dyDescent="0.3">
      <c r="N4666" s="5"/>
      <c r="O4666" s="5"/>
      <c r="P4666" s="5"/>
      <c r="Q4666" s="5"/>
      <c r="R4666" s="8"/>
      <c r="S4666" s="8"/>
      <c r="T4666" s="3"/>
    </row>
    <row r="4667" spans="14:20" x14ac:dyDescent="0.3">
      <c r="N4667" s="5"/>
      <c r="O4667" s="5"/>
      <c r="P4667" s="5"/>
      <c r="Q4667" s="5"/>
      <c r="R4667" s="8"/>
      <c r="S4667" s="8"/>
      <c r="T4667" s="3"/>
    </row>
    <row r="4668" spans="14:20" x14ac:dyDescent="0.3">
      <c r="N4668" s="5"/>
      <c r="O4668" s="5"/>
      <c r="P4668" s="5"/>
      <c r="Q4668" s="5"/>
      <c r="R4668" s="8"/>
      <c r="S4668" s="8"/>
      <c r="T4668" s="3"/>
    </row>
    <row r="4669" spans="14:20" x14ac:dyDescent="0.3">
      <c r="N4669" s="5"/>
      <c r="O4669" s="5"/>
      <c r="P4669" s="5"/>
      <c r="Q4669" s="5"/>
      <c r="R4669" s="8"/>
      <c r="S4669" s="8"/>
      <c r="T4669" s="3"/>
    </row>
    <row r="4670" spans="14:20" x14ac:dyDescent="0.3">
      <c r="N4670" s="5"/>
      <c r="O4670" s="5"/>
      <c r="P4670" s="5"/>
      <c r="Q4670" s="5"/>
      <c r="R4670" s="8"/>
      <c r="S4670" s="8"/>
      <c r="T4670" s="3"/>
    </row>
    <row r="4671" spans="14:20" x14ac:dyDescent="0.3">
      <c r="N4671" s="5"/>
      <c r="O4671" s="5"/>
      <c r="P4671" s="5"/>
      <c r="Q4671" s="5"/>
      <c r="R4671" s="8"/>
      <c r="S4671" s="8"/>
      <c r="T4671" s="3"/>
    </row>
    <row r="4672" spans="14:20" x14ac:dyDescent="0.3">
      <c r="N4672" s="5"/>
      <c r="O4672" s="5"/>
      <c r="P4672" s="5"/>
      <c r="Q4672" s="5"/>
      <c r="R4672" s="8"/>
      <c r="S4672" s="8"/>
      <c r="T4672" s="3"/>
    </row>
    <row r="4673" spans="14:20" x14ac:dyDescent="0.3">
      <c r="N4673" s="5"/>
      <c r="O4673" s="5"/>
      <c r="P4673" s="5"/>
      <c r="Q4673" s="5"/>
      <c r="R4673" s="8"/>
      <c r="S4673" s="8"/>
      <c r="T4673" s="3"/>
    </row>
    <row r="4674" spans="14:20" x14ac:dyDescent="0.3">
      <c r="N4674" s="5"/>
      <c r="O4674" s="5"/>
      <c r="P4674" s="5"/>
      <c r="Q4674" s="5"/>
      <c r="R4674" s="8"/>
      <c r="S4674" s="8"/>
      <c r="T4674" s="3"/>
    </row>
    <row r="4675" spans="14:20" x14ac:dyDescent="0.3">
      <c r="N4675" s="5"/>
      <c r="O4675" s="5"/>
      <c r="P4675" s="5"/>
      <c r="Q4675" s="5"/>
      <c r="R4675" s="8"/>
      <c r="S4675" s="8"/>
      <c r="T4675" s="3"/>
    </row>
    <row r="4676" spans="14:20" x14ac:dyDescent="0.3">
      <c r="N4676" s="5"/>
      <c r="O4676" s="5"/>
      <c r="P4676" s="5"/>
      <c r="Q4676" s="5"/>
      <c r="R4676" s="8"/>
      <c r="S4676" s="8"/>
      <c r="T4676" s="3"/>
    </row>
    <row r="4677" spans="14:20" x14ac:dyDescent="0.3">
      <c r="N4677" s="5"/>
      <c r="O4677" s="5"/>
      <c r="P4677" s="5"/>
      <c r="Q4677" s="5"/>
      <c r="R4677" s="8"/>
      <c r="S4677" s="8"/>
      <c r="T4677" s="3"/>
    </row>
    <row r="4678" spans="14:20" x14ac:dyDescent="0.3">
      <c r="N4678" s="5"/>
      <c r="O4678" s="5"/>
      <c r="P4678" s="5"/>
      <c r="Q4678" s="5"/>
      <c r="R4678" s="8"/>
      <c r="S4678" s="8"/>
      <c r="T4678" s="3"/>
    </row>
    <row r="4679" spans="14:20" x14ac:dyDescent="0.3">
      <c r="N4679" s="5"/>
      <c r="O4679" s="5"/>
      <c r="P4679" s="5"/>
      <c r="Q4679" s="5"/>
      <c r="R4679" s="8"/>
      <c r="S4679" s="8"/>
      <c r="T4679" s="3"/>
    </row>
    <row r="4680" spans="14:20" x14ac:dyDescent="0.3">
      <c r="N4680" s="5"/>
      <c r="O4680" s="5"/>
      <c r="P4680" s="5"/>
      <c r="Q4680" s="5"/>
      <c r="R4680" s="8"/>
      <c r="S4680" s="8"/>
      <c r="T4680" s="3"/>
    </row>
    <row r="4681" spans="14:20" x14ac:dyDescent="0.3">
      <c r="N4681" s="5"/>
      <c r="O4681" s="5"/>
      <c r="P4681" s="5"/>
      <c r="Q4681" s="5"/>
      <c r="R4681" s="8"/>
      <c r="S4681" s="8"/>
      <c r="T4681" s="3"/>
    </row>
    <row r="4682" spans="14:20" x14ac:dyDescent="0.3">
      <c r="N4682" s="5"/>
      <c r="O4682" s="5"/>
      <c r="P4682" s="5"/>
      <c r="Q4682" s="5"/>
      <c r="R4682" s="8"/>
      <c r="S4682" s="8"/>
      <c r="T4682" s="3"/>
    </row>
    <row r="4683" spans="14:20" x14ac:dyDescent="0.3">
      <c r="N4683" s="5"/>
      <c r="O4683" s="5"/>
      <c r="P4683" s="5"/>
      <c r="Q4683" s="5"/>
      <c r="R4683" s="8"/>
      <c r="S4683" s="8"/>
      <c r="T4683" s="3"/>
    </row>
    <row r="4684" spans="14:20" x14ac:dyDescent="0.3">
      <c r="N4684" s="5"/>
      <c r="O4684" s="5"/>
      <c r="P4684" s="5"/>
      <c r="Q4684" s="5"/>
      <c r="R4684" s="8"/>
      <c r="S4684" s="8"/>
      <c r="T4684" s="3"/>
    </row>
    <row r="4685" spans="14:20" x14ac:dyDescent="0.3">
      <c r="N4685" s="5"/>
      <c r="O4685" s="5"/>
      <c r="P4685" s="5"/>
      <c r="Q4685" s="5"/>
      <c r="R4685" s="8"/>
      <c r="S4685" s="8"/>
      <c r="T4685" s="3"/>
    </row>
    <row r="4686" spans="14:20" x14ac:dyDescent="0.3">
      <c r="N4686" s="5"/>
      <c r="O4686" s="5"/>
      <c r="P4686" s="5"/>
      <c r="Q4686" s="5"/>
      <c r="R4686" s="8"/>
      <c r="S4686" s="8"/>
      <c r="T4686" s="3"/>
    </row>
    <row r="4687" spans="14:20" x14ac:dyDescent="0.3">
      <c r="N4687" s="5"/>
      <c r="O4687" s="5"/>
      <c r="P4687" s="5"/>
      <c r="Q4687" s="5"/>
      <c r="R4687" s="8"/>
      <c r="S4687" s="8"/>
      <c r="T4687" s="3"/>
    </row>
    <row r="4688" spans="14:20" x14ac:dyDescent="0.3">
      <c r="N4688" s="5"/>
      <c r="O4688" s="5"/>
      <c r="P4688" s="5"/>
      <c r="Q4688" s="5"/>
      <c r="R4688" s="8"/>
      <c r="S4688" s="8"/>
      <c r="T4688" s="3"/>
    </row>
    <row r="4689" spans="14:20" x14ac:dyDescent="0.3">
      <c r="N4689" s="5"/>
      <c r="O4689" s="5"/>
      <c r="P4689" s="5"/>
      <c r="Q4689" s="5"/>
      <c r="R4689" s="8"/>
      <c r="S4689" s="8"/>
      <c r="T4689" s="3"/>
    </row>
    <row r="4690" spans="14:20" x14ac:dyDescent="0.3">
      <c r="N4690" s="5"/>
      <c r="O4690" s="5"/>
      <c r="P4690" s="5"/>
      <c r="Q4690" s="5"/>
      <c r="R4690" s="8"/>
      <c r="S4690" s="8"/>
      <c r="T4690" s="3"/>
    </row>
    <row r="4691" spans="14:20" x14ac:dyDescent="0.3">
      <c r="N4691" s="5"/>
      <c r="O4691" s="5"/>
      <c r="P4691" s="5"/>
      <c r="Q4691" s="5"/>
      <c r="R4691" s="8"/>
      <c r="S4691" s="8"/>
      <c r="T4691" s="3"/>
    </row>
    <row r="4692" spans="14:20" x14ac:dyDescent="0.3">
      <c r="N4692" s="5"/>
      <c r="O4692" s="5"/>
      <c r="P4692" s="5"/>
      <c r="Q4692" s="5"/>
      <c r="R4692" s="8"/>
      <c r="S4692" s="8"/>
      <c r="T4692" s="3"/>
    </row>
    <row r="4693" spans="14:20" x14ac:dyDescent="0.3">
      <c r="N4693" s="5"/>
      <c r="O4693" s="5"/>
      <c r="P4693" s="5"/>
      <c r="Q4693" s="5"/>
      <c r="R4693" s="8"/>
      <c r="S4693" s="8"/>
      <c r="T4693" s="3"/>
    </row>
    <row r="4694" spans="14:20" x14ac:dyDescent="0.3">
      <c r="N4694" s="5"/>
      <c r="O4694" s="5"/>
      <c r="P4694" s="5"/>
      <c r="Q4694" s="5"/>
      <c r="R4694" s="8"/>
      <c r="S4694" s="8"/>
      <c r="T4694" s="3"/>
    </row>
    <row r="4695" spans="14:20" x14ac:dyDescent="0.3">
      <c r="N4695" s="5"/>
      <c r="O4695" s="5"/>
      <c r="P4695" s="5"/>
      <c r="Q4695" s="5"/>
      <c r="R4695" s="8"/>
      <c r="S4695" s="8"/>
      <c r="T4695" s="3"/>
    </row>
    <row r="4696" spans="14:20" x14ac:dyDescent="0.3">
      <c r="N4696" s="5"/>
      <c r="O4696" s="5"/>
      <c r="P4696" s="5"/>
      <c r="Q4696" s="5"/>
      <c r="R4696" s="8"/>
      <c r="S4696" s="8"/>
      <c r="T4696" s="3"/>
    </row>
    <row r="4697" spans="14:20" x14ac:dyDescent="0.3">
      <c r="N4697" s="5"/>
      <c r="O4697" s="5"/>
      <c r="P4697" s="5"/>
      <c r="Q4697" s="5"/>
      <c r="R4697" s="8"/>
      <c r="S4697" s="8"/>
      <c r="T4697" s="3"/>
    </row>
    <row r="4698" spans="14:20" x14ac:dyDescent="0.3">
      <c r="N4698" s="5"/>
      <c r="O4698" s="5"/>
      <c r="P4698" s="5"/>
      <c r="Q4698" s="5"/>
      <c r="R4698" s="8"/>
      <c r="S4698" s="8"/>
      <c r="T4698" s="3"/>
    </row>
    <row r="4699" spans="14:20" x14ac:dyDescent="0.3">
      <c r="N4699" s="5"/>
      <c r="O4699" s="5"/>
      <c r="P4699" s="5"/>
      <c r="Q4699" s="5"/>
      <c r="R4699" s="8"/>
      <c r="S4699" s="8"/>
      <c r="T4699" s="3"/>
    </row>
    <row r="4700" spans="14:20" x14ac:dyDescent="0.3">
      <c r="N4700" s="5"/>
      <c r="O4700" s="5"/>
      <c r="P4700" s="5"/>
      <c r="Q4700" s="5"/>
      <c r="R4700" s="8"/>
      <c r="S4700" s="8"/>
      <c r="T4700" s="3"/>
    </row>
    <row r="4701" spans="14:20" x14ac:dyDescent="0.3">
      <c r="N4701" s="5"/>
      <c r="O4701" s="5"/>
      <c r="P4701" s="5"/>
      <c r="Q4701" s="5"/>
      <c r="R4701" s="8"/>
      <c r="S4701" s="8"/>
      <c r="T4701" s="3"/>
    </row>
    <row r="4702" spans="14:20" x14ac:dyDescent="0.3">
      <c r="N4702" s="5"/>
      <c r="O4702" s="5"/>
      <c r="P4702" s="5"/>
      <c r="Q4702" s="5"/>
      <c r="R4702" s="8"/>
      <c r="S4702" s="8"/>
      <c r="T4702" s="3"/>
    </row>
    <row r="4703" spans="14:20" x14ac:dyDescent="0.3">
      <c r="N4703" s="5"/>
      <c r="O4703" s="5"/>
      <c r="P4703" s="5"/>
      <c r="Q4703" s="5"/>
      <c r="R4703" s="8"/>
      <c r="S4703" s="8"/>
      <c r="T4703" s="3"/>
    </row>
    <row r="4704" spans="14:20" x14ac:dyDescent="0.3">
      <c r="N4704" s="5"/>
      <c r="O4704" s="5"/>
      <c r="P4704" s="5"/>
      <c r="Q4704" s="5"/>
      <c r="R4704" s="8"/>
      <c r="S4704" s="8"/>
      <c r="T4704" s="3"/>
    </row>
    <row r="4705" spans="14:20" x14ac:dyDescent="0.3">
      <c r="N4705" s="5"/>
      <c r="O4705" s="5"/>
      <c r="P4705" s="5"/>
      <c r="Q4705" s="5"/>
      <c r="R4705" s="8"/>
      <c r="S4705" s="8"/>
      <c r="T4705" s="3"/>
    </row>
    <row r="4706" spans="14:20" x14ac:dyDescent="0.3">
      <c r="N4706" s="5"/>
      <c r="O4706" s="5"/>
      <c r="P4706" s="5"/>
      <c r="Q4706" s="5"/>
      <c r="R4706" s="8"/>
      <c r="S4706" s="8"/>
      <c r="T4706" s="3"/>
    </row>
    <row r="4707" spans="14:20" x14ac:dyDescent="0.3">
      <c r="N4707" s="5"/>
      <c r="O4707" s="5"/>
      <c r="P4707" s="5"/>
      <c r="Q4707" s="5"/>
      <c r="R4707" s="8"/>
      <c r="S4707" s="8"/>
      <c r="T4707" s="3"/>
    </row>
    <row r="4708" spans="14:20" x14ac:dyDescent="0.3">
      <c r="N4708" s="5"/>
      <c r="O4708" s="5"/>
      <c r="P4708" s="5"/>
      <c r="Q4708" s="5"/>
      <c r="R4708" s="8"/>
      <c r="S4708" s="8"/>
      <c r="T4708" s="3"/>
    </row>
    <row r="4709" spans="14:20" x14ac:dyDescent="0.3">
      <c r="N4709" s="5"/>
      <c r="O4709" s="5"/>
      <c r="P4709" s="5"/>
      <c r="Q4709" s="5"/>
      <c r="R4709" s="8"/>
      <c r="S4709" s="8"/>
      <c r="T4709" s="3"/>
    </row>
    <row r="4710" spans="14:20" x14ac:dyDescent="0.3">
      <c r="N4710" s="5"/>
      <c r="O4710" s="5"/>
      <c r="P4710" s="5"/>
      <c r="Q4710" s="5"/>
      <c r="R4710" s="8"/>
      <c r="S4710" s="8"/>
      <c r="T4710" s="3"/>
    </row>
    <row r="4711" spans="14:20" x14ac:dyDescent="0.3">
      <c r="N4711" s="5"/>
      <c r="O4711" s="5"/>
      <c r="P4711" s="5"/>
      <c r="Q4711" s="5"/>
      <c r="R4711" s="8"/>
      <c r="S4711" s="8"/>
      <c r="T4711" s="3"/>
    </row>
    <row r="4712" spans="14:20" x14ac:dyDescent="0.3">
      <c r="N4712" s="5"/>
      <c r="O4712" s="5"/>
      <c r="P4712" s="5"/>
      <c r="Q4712" s="5"/>
      <c r="R4712" s="8"/>
      <c r="S4712" s="8"/>
      <c r="T4712" s="3"/>
    </row>
    <row r="4713" spans="14:20" x14ac:dyDescent="0.3">
      <c r="N4713" s="5"/>
      <c r="O4713" s="5"/>
      <c r="P4713" s="5"/>
      <c r="Q4713" s="5"/>
      <c r="R4713" s="8"/>
      <c r="S4713" s="8"/>
      <c r="T4713" s="3"/>
    </row>
    <row r="4714" spans="14:20" x14ac:dyDescent="0.3">
      <c r="N4714" s="5"/>
      <c r="O4714" s="5"/>
      <c r="P4714" s="5"/>
      <c r="Q4714" s="5"/>
      <c r="R4714" s="8"/>
      <c r="S4714" s="8"/>
      <c r="T4714" s="3"/>
    </row>
    <row r="4715" spans="14:20" x14ac:dyDescent="0.3">
      <c r="N4715" s="5"/>
      <c r="O4715" s="5"/>
      <c r="P4715" s="5"/>
      <c r="Q4715" s="5"/>
      <c r="R4715" s="8"/>
      <c r="S4715" s="8"/>
      <c r="T4715" s="3"/>
    </row>
    <row r="4716" spans="14:20" x14ac:dyDescent="0.3">
      <c r="N4716" s="5"/>
      <c r="O4716" s="5"/>
      <c r="P4716" s="5"/>
      <c r="Q4716" s="5"/>
      <c r="R4716" s="8"/>
      <c r="S4716" s="8"/>
      <c r="T4716" s="3"/>
    </row>
    <row r="4717" spans="14:20" x14ac:dyDescent="0.3">
      <c r="N4717" s="5"/>
      <c r="O4717" s="5"/>
      <c r="P4717" s="5"/>
      <c r="Q4717" s="5"/>
      <c r="R4717" s="8"/>
      <c r="S4717" s="8"/>
      <c r="T4717" s="3"/>
    </row>
    <row r="4718" spans="14:20" x14ac:dyDescent="0.3">
      <c r="N4718" s="5"/>
      <c r="O4718" s="5"/>
      <c r="P4718" s="5"/>
      <c r="Q4718" s="5"/>
      <c r="R4718" s="8"/>
      <c r="S4718" s="8"/>
      <c r="T4718" s="3"/>
    </row>
    <row r="4719" spans="14:20" x14ac:dyDescent="0.3">
      <c r="N4719" s="5"/>
      <c r="O4719" s="5"/>
      <c r="P4719" s="5"/>
      <c r="Q4719" s="5"/>
      <c r="R4719" s="8"/>
      <c r="S4719" s="8"/>
      <c r="T4719" s="3"/>
    </row>
    <row r="4720" spans="14:20" x14ac:dyDescent="0.3">
      <c r="N4720" s="5"/>
      <c r="O4720" s="5"/>
      <c r="P4720" s="5"/>
      <c r="Q4720" s="5"/>
      <c r="R4720" s="8"/>
      <c r="S4720" s="8"/>
      <c r="T4720" s="3"/>
    </row>
    <row r="4721" spans="14:20" x14ac:dyDescent="0.3">
      <c r="N4721" s="5"/>
      <c r="O4721" s="5"/>
      <c r="P4721" s="5"/>
      <c r="Q4721" s="5"/>
      <c r="R4721" s="8"/>
      <c r="S4721" s="8"/>
      <c r="T4721" s="3"/>
    </row>
    <row r="4722" spans="14:20" x14ac:dyDescent="0.3">
      <c r="N4722" s="5"/>
      <c r="O4722" s="5"/>
      <c r="P4722" s="5"/>
      <c r="Q4722" s="5"/>
      <c r="R4722" s="8"/>
      <c r="S4722" s="8"/>
      <c r="T4722" s="3"/>
    </row>
    <row r="4723" spans="14:20" x14ac:dyDescent="0.3">
      <c r="N4723" s="5"/>
      <c r="O4723" s="5"/>
      <c r="P4723" s="5"/>
      <c r="Q4723" s="5"/>
      <c r="R4723" s="8"/>
      <c r="S4723" s="8"/>
      <c r="T4723" s="3"/>
    </row>
    <row r="4724" spans="14:20" x14ac:dyDescent="0.3">
      <c r="N4724" s="5"/>
      <c r="O4724" s="5"/>
      <c r="P4724" s="5"/>
      <c r="Q4724" s="5"/>
      <c r="R4724" s="8"/>
      <c r="S4724" s="8"/>
      <c r="T4724" s="3"/>
    </row>
    <row r="4725" spans="14:20" x14ac:dyDescent="0.3">
      <c r="N4725" s="5"/>
      <c r="O4725" s="5"/>
      <c r="P4725" s="5"/>
      <c r="Q4725" s="5"/>
      <c r="R4725" s="8"/>
      <c r="S4725" s="8"/>
      <c r="T4725" s="3"/>
    </row>
    <row r="4726" spans="14:20" x14ac:dyDescent="0.3">
      <c r="N4726" s="5"/>
      <c r="O4726" s="5"/>
      <c r="P4726" s="5"/>
      <c r="Q4726" s="5"/>
      <c r="R4726" s="8"/>
      <c r="S4726" s="8"/>
      <c r="T4726" s="3"/>
    </row>
    <row r="4727" spans="14:20" x14ac:dyDescent="0.3">
      <c r="N4727" s="5"/>
      <c r="O4727" s="5"/>
      <c r="P4727" s="5"/>
      <c r="Q4727" s="5"/>
      <c r="R4727" s="8"/>
      <c r="S4727" s="8"/>
      <c r="T4727" s="3"/>
    </row>
    <row r="4728" spans="14:20" x14ac:dyDescent="0.3">
      <c r="N4728" s="5"/>
      <c r="O4728" s="5"/>
      <c r="P4728" s="5"/>
      <c r="Q4728" s="5"/>
      <c r="R4728" s="8"/>
      <c r="S4728" s="8"/>
      <c r="T4728" s="3"/>
    </row>
    <row r="4729" spans="14:20" x14ac:dyDescent="0.3">
      <c r="N4729" s="5"/>
      <c r="O4729" s="5"/>
      <c r="P4729" s="5"/>
      <c r="Q4729" s="5"/>
      <c r="R4729" s="8"/>
      <c r="S4729" s="8"/>
      <c r="T4729" s="3"/>
    </row>
    <row r="4730" spans="14:20" x14ac:dyDescent="0.3">
      <c r="N4730" s="5"/>
      <c r="O4730" s="5"/>
      <c r="P4730" s="5"/>
      <c r="Q4730" s="5"/>
      <c r="R4730" s="8"/>
      <c r="S4730" s="8"/>
      <c r="T4730" s="3"/>
    </row>
    <row r="4731" spans="14:20" x14ac:dyDescent="0.3">
      <c r="N4731" s="5"/>
      <c r="O4731" s="5"/>
      <c r="P4731" s="5"/>
      <c r="Q4731" s="5"/>
      <c r="R4731" s="8"/>
      <c r="S4731" s="8"/>
      <c r="T4731" s="3"/>
    </row>
    <row r="4732" spans="14:20" x14ac:dyDescent="0.3">
      <c r="N4732" s="5"/>
      <c r="O4732" s="5"/>
      <c r="P4732" s="5"/>
      <c r="Q4732" s="5"/>
      <c r="R4732" s="8"/>
      <c r="S4732" s="8"/>
      <c r="T4732" s="3"/>
    </row>
    <row r="4733" spans="14:20" x14ac:dyDescent="0.3">
      <c r="N4733" s="5"/>
      <c r="O4733" s="5"/>
      <c r="P4733" s="5"/>
      <c r="Q4733" s="5"/>
      <c r="R4733" s="8"/>
      <c r="S4733" s="8"/>
      <c r="T4733" s="3"/>
    </row>
    <row r="4734" spans="14:20" x14ac:dyDescent="0.3">
      <c r="N4734" s="5"/>
      <c r="O4734" s="5"/>
      <c r="P4734" s="5"/>
      <c r="Q4734" s="5"/>
      <c r="R4734" s="8"/>
      <c r="S4734" s="8"/>
      <c r="T4734" s="3"/>
    </row>
    <row r="4735" spans="14:20" x14ac:dyDescent="0.3">
      <c r="N4735" s="5"/>
      <c r="O4735" s="5"/>
      <c r="P4735" s="5"/>
      <c r="Q4735" s="5"/>
      <c r="R4735" s="8"/>
      <c r="S4735" s="8"/>
      <c r="T4735" s="3"/>
    </row>
    <row r="4736" spans="14:20" x14ac:dyDescent="0.3">
      <c r="N4736" s="5"/>
      <c r="O4736" s="5"/>
      <c r="P4736" s="5"/>
      <c r="Q4736" s="5"/>
      <c r="R4736" s="8"/>
      <c r="S4736" s="8"/>
      <c r="T4736" s="3"/>
    </row>
    <row r="4737" spans="14:20" x14ac:dyDescent="0.3">
      <c r="N4737" s="5"/>
      <c r="O4737" s="5"/>
      <c r="P4737" s="5"/>
      <c r="Q4737" s="5"/>
      <c r="R4737" s="8"/>
      <c r="S4737" s="8"/>
      <c r="T4737" s="3"/>
    </row>
    <row r="4738" spans="14:20" x14ac:dyDescent="0.3">
      <c r="N4738" s="5"/>
      <c r="O4738" s="5"/>
      <c r="P4738" s="5"/>
      <c r="Q4738" s="5"/>
      <c r="R4738" s="8"/>
      <c r="S4738" s="8"/>
      <c r="T4738" s="3"/>
    </row>
    <row r="4739" spans="14:20" x14ac:dyDescent="0.3">
      <c r="N4739" s="5"/>
      <c r="O4739" s="5"/>
      <c r="P4739" s="5"/>
      <c r="Q4739" s="5"/>
      <c r="R4739" s="8"/>
      <c r="S4739" s="8"/>
      <c r="T4739" s="3"/>
    </row>
    <row r="4740" spans="14:20" x14ac:dyDescent="0.3">
      <c r="N4740" s="5"/>
      <c r="O4740" s="5"/>
      <c r="P4740" s="5"/>
      <c r="Q4740" s="5"/>
      <c r="R4740" s="8"/>
      <c r="S4740" s="8"/>
      <c r="T4740" s="3"/>
    </row>
    <row r="4741" spans="14:20" x14ac:dyDescent="0.3">
      <c r="N4741" s="5"/>
      <c r="O4741" s="5"/>
      <c r="P4741" s="5"/>
      <c r="Q4741" s="5"/>
      <c r="R4741" s="8"/>
      <c r="S4741" s="8"/>
      <c r="T4741" s="3"/>
    </row>
    <row r="4742" spans="14:20" x14ac:dyDescent="0.3">
      <c r="N4742" s="5"/>
      <c r="O4742" s="5"/>
      <c r="P4742" s="5"/>
      <c r="Q4742" s="5"/>
      <c r="R4742" s="8"/>
      <c r="S4742" s="8"/>
      <c r="T4742" s="3"/>
    </row>
    <row r="4743" spans="14:20" x14ac:dyDescent="0.3">
      <c r="N4743" s="5"/>
      <c r="O4743" s="5"/>
      <c r="P4743" s="5"/>
      <c r="Q4743" s="5"/>
      <c r="R4743" s="8"/>
      <c r="S4743" s="8"/>
      <c r="T4743" s="3"/>
    </row>
    <row r="4744" spans="14:20" x14ac:dyDescent="0.3">
      <c r="N4744" s="5"/>
      <c r="O4744" s="5"/>
      <c r="P4744" s="5"/>
      <c r="Q4744" s="5"/>
      <c r="R4744" s="8"/>
      <c r="S4744" s="8"/>
      <c r="T4744" s="3"/>
    </row>
    <row r="4745" spans="14:20" x14ac:dyDescent="0.3">
      <c r="N4745" s="5"/>
      <c r="O4745" s="5"/>
      <c r="P4745" s="5"/>
      <c r="Q4745" s="5"/>
      <c r="R4745" s="8"/>
      <c r="S4745" s="8"/>
      <c r="T4745" s="3"/>
    </row>
    <row r="4746" spans="14:20" x14ac:dyDescent="0.3">
      <c r="N4746" s="5"/>
      <c r="O4746" s="5"/>
      <c r="P4746" s="5"/>
      <c r="Q4746" s="5"/>
      <c r="R4746" s="8"/>
      <c r="S4746" s="8"/>
      <c r="T4746" s="3"/>
    </row>
    <row r="4747" spans="14:20" x14ac:dyDescent="0.3">
      <c r="N4747" s="5"/>
      <c r="O4747" s="5"/>
      <c r="P4747" s="5"/>
      <c r="Q4747" s="5"/>
      <c r="R4747" s="8"/>
      <c r="S4747" s="8"/>
      <c r="T4747" s="3"/>
    </row>
    <row r="4748" spans="14:20" x14ac:dyDescent="0.3">
      <c r="N4748" s="5"/>
      <c r="O4748" s="5"/>
      <c r="P4748" s="5"/>
      <c r="Q4748" s="5"/>
      <c r="R4748" s="8"/>
      <c r="S4748" s="8"/>
      <c r="T4748" s="3"/>
    </row>
    <row r="4749" spans="14:20" x14ac:dyDescent="0.3">
      <c r="N4749" s="5"/>
      <c r="O4749" s="5"/>
      <c r="P4749" s="5"/>
      <c r="Q4749" s="5"/>
      <c r="R4749" s="8"/>
      <c r="S4749" s="8"/>
      <c r="T4749" s="3"/>
    </row>
    <row r="4750" spans="14:20" x14ac:dyDescent="0.3">
      <c r="N4750" s="5"/>
      <c r="O4750" s="5"/>
      <c r="P4750" s="5"/>
      <c r="Q4750" s="5"/>
      <c r="R4750" s="8"/>
      <c r="S4750" s="8"/>
      <c r="T4750" s="3"/>
    </row>
    <row r="4751" spans="14:20" x14ac:dyDescent="0.3">
      <c r="N4751" s="5"/>
      <c r="O4751" s="5"/>
      <c r="P4751" s="5"/>
      <c r="Q4751" s="5"/>
      <c r="R4751" s="8"/>
      <c r="S4751" s="8"/>
      <c r="T4751" s="3"/>
    </row>
    <row r="4752" spans="14:20" x14ac:dyDescent="0.3">
      <c r="N4752" s="5"/>
      <c r="O4752" s="5"/>
      <c r="P4752" s="5"/>
      <c r="Q4752" s="5"/>
      <c r="R4752" s="8"/>
      <c r="S4752" s="8"/>
      <c r="T4752" s="3"/>
    </row>
    <row r="4753" spans="14:20" x14ac:dyDescent="0.3">
      <c r="N4753" s="5"/>
      <c r="O4753" s="5"/>
      <c r="P4753" s="5"/>
      <c r="Q4753" s="5"/>
      <c r="R4753" s="8"/>
      <c r="S4753" s="8"/>
      <c r="T4753" s="3"/>
    </row>
    <row r="4754" spans="14:20" x14ac:dyDescent="0.3">
      <c r="N4754" s="5"/>
      <c r="O4754" s="5"/>
      <c r="P4754" s="5"/>
      <c r="Q4754" s="5"/>
      <c r="R4754" s="8"/>
      <c r="S4754" s="8"/>
      <c r="T4754" s="3"/>
    </row>
    <row r="4755" spans="14:20" x14ac:dyDescent="0.3">
      <c r="N4755" s="5"/>
      <c r="O4755" s="5"/>
      <c r="P4755" s="5"/>
      <c r="Q4755" s="5"/>
      <c r="R4755" s="8"/>
      <c r="S4755" s="8"/>
      <c r="T4755" s="3"/>
    </row>
    <row r="4756" spans="14:20" x14ac:dyDescent="0.3">
      <c r="N4756" s="5"/>
      <c r="O4756" s="5"/>
      <c r="P4756" s="5"/>
      <c r="Q4756" s="5"/>
      <c r="R4756" s="8"/>
      <c r="S4756" s="8"/>
      <c r="T4756" s="3"/>
    </row>
    <row r="4757" spans="14:20" x14ac:dyDescent="0.3">
      <c r="N4757" s="5"/>
      <c r="O4757" s="5"/>
      <c r="P4757" s="5"/>
      <c r="Q4757" s="5"/>
      <c r="R4757" s="8"/>
      <c r="S4757" s="8"/>
      <c r="T4757" s="3"/>
    </row>
    <row r="4758" spans="14:20" x14ac:dyDescent="0.3">
      <c r="N4758" s="5"/>
      <c r="O4758" s="5"/>
      <c r="P4758" s="5"/>
      <c r="Q4758" s="5"/>
      <c r="R4758" s="8"/>
      <c r="S4758" s="8"/>
      <c r="T4758" s="3"/>
    </row>
    <row r="4759" spans="14:20" x14ac:dyDescent="0.3">
      <c r="N4759" s="5"/>
      <c r="O4759" s="5"/>
      <c r="P4759" s="5"/>
      <c r="Q4759" s="5"/>
      <c r="R4759" s="8"/>
      <c r="S4759" s="8"/>
      <c r="T4759" s="3"/>
    </row>
    <row r="4760" spans="14:20" x14ac:dyDescent="0.3">
      <c r="N4760" s="5"/>
      <c r="O4760" s="5"/>
      <c r="P4760" s="5"/>
      <c r="Q4760" s="5"/>
      <c r="R4760" s="8"/>
      <c r="S4760" s="8"/>
      <c r="T4760" s="3"/>
    </row>
    <row r="4761" spans="14:20" x14ac:dyDescent="0.3">
      <c r="N4761" s="5"/>
      <c r="O4761" s="5"/>
      <c r="P4761" s="5"/>
      <c r="Q4761" s="5"/>
      <c r="R4761" s="8"/>
      <c r="S4761" s="8"/>
      <c r="T4761" s="3"/>
    </row>
  </sheetData>
  <autoFilter ref="A4:F4" xr:uid="{DCA88540-DD1D-4BB3-AFE0-B9DD89657BDE}">
    <sortState xmlns:xlrd2="http://schemas.microsoft.com/office/spreadsheetml/2017/richdata2" ref="A5:F34">
      <sortCondition descending="1" ref="A4"/>
    </sortState>
  </autoFilter>
  <conditionalFormatting sqref="C1:D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 E1:E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 F1:F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R1:S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5:A3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8A26-E2ED-4F58-9868-620651525D3F}">
  <sheetPr codeName="Planilha3"/>
  <dimension ref="A4:V4761"/>
  <sheetViews>
    <sheetView topLeftCell="G1226" zoomScale="98" zoomScaleNormal="98" workbookViewId="0">
      <selection activeCell="J1236" sqref="J1236"/>
    </sheetView>
  </sheetViews>
  <sheetFormatPr defaultRowHeight="14.4" x14ac:dyDescent="0.3"/>
  <cols>
    <col min="1" max="1" width="4.44140625" style="1" bestFit="1" customWidth="1"/>
    <col min="2" max="2" width="21.77734375" style="3" bestFit="1" customWidth="1"/>
    <col min="3" max="3" width="24.21875" style="3" bestFit="1" customWidth="1"/>
    <col min="4" max="4" width="22.77734375" style="3" bestFit="1" customWidth="1"/>
    <col min="5" max="5" width="24" style="4" bestFit="1" customWidth="1"/>
    <col min="6" max="6" width="22.5546875" style="4" bestFit="1" customWidth="1"/>
    <col min="7" max="7" width="8.88671875" style="4"/>
    <col min="8" max="8" width="10.5546875" style="2" bestFit="1" customWidth="1"/>
    <col min="9" max="9" width="6.5546875" style="3" bestFit="1" customWidth="1"/>
    <col min="10" max="10" width="21.77734375" style="3" bestFit="1" customWidth="1"/>
    <col min="11" max="11" width="9.5546875" style="3" bestFit="1" customWidth="1"/>
    <col min="12" max="12" width="21.77734375" style="3" bestFit="1" customWidth="1"/>
    <col min="13" max="13" width="9.21875" style="3" bestFit="1" customWidth="1"/>
    <col min="14" max="14" width="10.5546875" style="6" bestFit="1" customWidth="1"/>
    <col min="15" max="15" width="10.109375" style="6" bestFit="1" customWidth="1"/>
    <col min="16" max="16" width="15.21875" style="6" bestFit="1" customWidth="1"/>
    <col min="17" max="17" width="15.5546875" style="6" bestFit="1" customWidth="1"/>
    <col min="18" max="18" width="13.77734375" style="9" bestFit="1" customWidth="1"/>
    <col min="19" max="19" width="14.109375" style="9" bestFit="1" customWidth="1"/>
    <col min="20" max="20" width="10.44140625" style="4" bestFit="1" customWidth="1"/>
    <col min="21" max="21" width="11.44140625" style="4" bestFit="1" customWidth="1"/>
    <col min="22" max="16384" width="8.88671875" style="1"/>
  </cols>
  <sheetData>
    <row r="4" spans="1:22" x14ac:dyDescent="0.3">
      <c r="A4" s="1" t="s">
        <v>67</v>
      </c>
      <c r="B4" s="3" t="s">
        <v>55</v>
      </c>
      <c r="C4" s="3" t="s">
        <v>59</v>
      </c>
      <c r="D4" s="3" t="s">
        <v>60</v>
      </c>
      <c r="E4" s="3" t="s">
        <v>61</v>
      </c>
      <c r="F4" s="3" t="s">
        <v>62</v>
      </c>
      <c r="H4" s="10" t="str">
        <f>IF(Planilha1!B1="","",Planilha1!B1)</f>
        <v>Time</v>
      </c>
      <c r="I4" s="10" t="str">
        <f>IF(Planilha1!C1="","",Planilha1!C1)</f>
        <v>Visitor</v>
      </c>
      <c r="J4" s="10" t="str">
        <f>IF(Planilha1!D1="","",Planilha1!D1)</f>
        <v>PTS Visitor</v>
      </c>
      <c r="K4" s="10" t="str">
        <f>IF(Planilha1!E1="","",Planilha1!E1)</f>
        <v>Home</v>
      </c>
      <c r="L4" s="10" t="str">
        <f>IF(Planilha1!F1="","",Planilha1!F1)</f>
        <v>PTS Home</v>
      </c>
      <c r="M4" s="10" t="str">
        <f>IF(Planilha1!G1="","",Planilha1!G1)</f>
        <v>PTS Home</v>
      </c>
      <c r="N4" s="5" t="s">
        <v>64</v>
      </c>
      <c r="O4" s="5" t="s">
        <v>63</v>
      </c>
      <c r="P4" s="5" t="s">
        <v>65</v>
      </c>
      <c r="Q4" s="5" t="s">
        <v>66</v>
      </c>
      <c r="R4" s="8" t="s">
        <v>56</v>
      </c>
      <c r="S4" s="8" t="s">
        <v>57</v>
      </c>
      <c r="T4" s="3" t="s">
        <v>58</v>
      </c>
      <c r="U4" s="3">
        <f>SUM(T:T)</f>
        <v>685</v>
      </c>
      <c r="V4" s="1" t="e">
        <f>(1-AVERAGE(V5:V1235)*100%)</f>
        <v>#DIV/0!</v>
      </c>
    </row>
    <row r="5" spans="1:22" x14ac:dyDescent="0.3">
      <c r="A5" s="8" t="e">
        <f t="shared" ref="A5:A34" si="0">((SUMIF($L:$L,B5,$P:$P)+SUMIF($J:$J,B5,$Q:$Q))/((COUNTIF($J:$J,B5)+COUNTIF($L:$L,B5))*2))</f>
        <v>#DIV/0!</v>
      </c>
      <c r="B5" s="3" t="s">
        <v>15</v>
      </c>
      <c r="C5" s="3">
        <v>-3.2128712554010626E-2</v>
      </c>
      <c r="D5" s="3">
        <v>0.38494025284342631</v>
      </c>
      <c r="E5" s="4">
        <v>-0.13298314431201771</v>
      </c>
      <c r="F5" s="4">
        <v>0.78017160589516832</v>
      </c>
      <c r="H5" s="10" t="str">
        <f>IF(Planilha1!B2="","",Planilha1!B2)</f>
        <v>7:30p</v>
      </c>
      <c r="I5" s="10" t="str">
        <f>IF(Planilha1!C2="","",Planilha1!C2)</f>
        <v>Los Angeles Lakers</v>
      </c>
      <c r="J5" s="10">
        <f>IF(Planilha1!D2="","",Planilha1!D2)</f>
        <v>107</v>
      </c>
      <c r="K5" s="10" t="str">
        <f>IF(Planilha1!E2="","",IF(Planilha1!E2=0,"",Planilha1!E2))</f>
        <v>Denver Nuggets</v>
      </c>
      <c r="L5" s="10">
        <f>IF(Planilha1!F2="","",Planilha1!F2)</f>
        <v>119</v>
      </c>
      <c r="M5" s="10">
        <f>IF(Planilha1!G2="","",IF(Planilha1!G2=0,"",Planilha1!G2))</f>
        <v>119</v>
      </c>
      <c r="N5" s="5">
        <f>IF(K5="","",IF(K5&gt;M5,100%,0%))</f>
        <v>1</v>
      </c>
      <c r="O5" s="5">
        <f>IF(K5="","",IF(K5&lt;M5,100%,0%))</f>
        <v>0</v>
      </c>
      <c r="P5" s="5">
        <f>IF(M5="",IF(R5&gt;S5,2,0),IF(K5&lt;M5,2,0))</f>
        <v>0</v>
      </c>
      <c r="Q5" s="5">
        <f t="shared" ref="Q5:Q68" si="1">IF(M5="",IF(R5&gt;S5,0,2),IF(K5&gt;M5,2,0))</f>
        <v>2</v>
      </c>
      <c r="R5" s="7">
        <f t="shared" ref="R5:R68" si="2">SUMIF($B:$B,J5,$C:$C)+(SUMIF($B:$B,L5,$F:$F))</f>
        <v>0</v>
      </c>
      <c r="S5" s="7">
        <f t="shared" ref="S5:S68" si="3">SUMIF($B:$B,L5,$E:$E)+(SUMIF($B:$B,J5,$D:$D))</f>
        <v>0</v>
      </c>
      <c r="T5" s="3">
        <f t="shared" ref="T5:T68" si="4">IF(M5="","",(N5-S5)^2+(O5-R5)^2)</f>
        <v>1</v>
      </c>
      <c r="V5" s="1" t="e">
        <f t="shared" ref="V5:V68" si="5">IF(O5="","",1/((O5-N5)/(R5-S5)))</f>
        <v>#DIV/0!</v>
      </c>
    </row>
    <row r="6" spans="1:22" x14ac:dyDescent="0.3">
      <c r="A6" s="8" t="e">
        <f t="shared" si="0"/>
        <v>#DIV/0!</v>
      </c>
      <c r="B6" s="3" t="s">
        <v>30</v>
      </c>
      <c r="C6" s="3">
        <v>-6.8541504779800033E-2</v>
      </c>
      <c r="D6" s="3">
        <v>0.42135304441731714</v>
      </c>
      <c r="E6" s="4">
        <v>4.2172211875585973E-2</v>
      </c>
      <c r="F6" s="4">
        <v>0.60501624966962753</v>
      </c>
      <c r="H6" s="10" t="str">
        <f>IF(Planilha1!B3="","",Planilha1!B3)</f>
        <v>10:00p</v>
      </c>
      <c r="I6" s="10" t="str">
        <f>IF(Planilha1!C3="","",Planilha1!C3)</f>
        <v>Phoenix Suns</v>
      </c>
      <c r="J6" s="10">
        <f>IF(Planilha1!D3="","",Planilha1!D3)</f>
        <v>108</v>
      </c>
      <c r="K6" s="10" t="str">
        <f>IF(Planilha1!E3="","",IF(Planilha1!E3=0,"",Planilha1!E3))</f>
        <v>Golden State Warriors</v>
      </c>
      <c r="L6" s="10">
        <f>IF(Planilha1!F3="","",Planilha1!F3)</f>
        <v>104</v>
      </c>
      <c r="M6" s="10">
        <f>IF(Planilha1!G3="","",IF(Planilha1!G3=0,"",Planilha1!G3))</f>
        <v>104</v>
      </c>
      <c r="N6" s="5">
        <f t="shared" ref="N6:N69" si="6">IF(K6="","",IF(K6&gt;M6,100%,0%))</f>
        <v>1</v>
      </c>
      <c r="O6" s="5">
        <f t="shared" ref="O6:O69" si="7">IF(K6="","",IF(K6&lt;M6,100%,0%))</f>
        <v>0</v>
      </c>
      <c r="P6" s="5">
        <f t="shared" ref="P6:P68" si="8">IF(M6="",IF(R6&gt;S6,2,0),IF(K6&lt;M6,2,0))</f>
        <v>0</v>
      </c>
      <c r="Q6" s="5">
        <f t="shared" si="1"/>
        <v>2</v>
      </c>
      <c r="R6" s="7">
        <f t="shared" si="2"/>
        <v>0</v>
      </c>
      <c r="S6" s="7">
        <f t="shared" si="3"/>
        <v>0</v>
      </c>
      <c r="T6" s="3">
        <f t="shared" si="4"/>
        <v>1</v>
      </c>
      <c r="V6" s="1" t="e">
        <f t="shared" si="5"/>
        <v>#DIV/0!</v>
      </c>
    </row>
    <row r="7" spans="1:22" x14ac:dyDescent="0.3">
      <c r="A7" s="8" t="e">
        <f t="shared" si="0"/>
        <v>#DIV/0!</v>
      </c>
      <c r="B7" s="3" t="s">
        <v>23</v>
      </c>
      <c r="C7" s="3">
        <v>3.236396025198484E-2</v>
      </c>
      <c r="D7" s="3">
        <v>0.32044757859663697</v>
      </c>
      <c r="E7" s="4">
        <v>-4.2621371227871754E-2</v>
      </c>
      <c r="F7" s="4">
        <v>0.68980983248138883</v>
      </c>
      <c r="H7" s="10" t="str">
        <f>IF(Planilha1!B4="","",Planilha1!B4)</f>
        <v>7:00p</v>
      </c>
      <c r="I7" s="10" t="str">
        <f>IF(Planilha1!C4="","",Planilha1!C4)</f>
        <v>Houston Rockets</v>
      </c>
      <c r="J7" s="10">
        <f>IF(Planilha1!D4="","",Planilha1!D4)</f>
        <v>86</v>
      </c>
      <c r="K7" s="10" t="str">
        <f>IF(Planilha1!E4="","",IF(Planilha1!E4=0,"",Planilha1!E4))</f>
        <v>Orlando Magic</v>
      </c>
      <c r="L7" s="10">
        <f>IF(Planilha1!F4="","",Planilha1!F4)</f>
        <v>116</v>
      </c>
      <c r="M7" s="10">
        <f>IF(Planilha1!G4="","",IF(Planilha1!G4=0,"",Planilha1!G4))</f>
        <v>116</v>
      </c>
      <c r="N7" s="5">
        <f t="shared" si="6"/>
        <v>1</v>
      </c>
      <c r="O7" s="5">
        <f t="shared" si="7"/>
        <v>0</v>
      </c>
      <c r="P7" s="5">
        <f t="shared" si="8"/>
        <v>0</v>
      </c>
      <c r="Q7" s="5">
        <f t="shared" si="1"/>
        <v>2</v>
      </c>
      <c r="R7" s="7">
        <f t="shared" si="2"/>
        <v>0</v>
      </c>
      <c r="S7" s="7">
        <f t="shared" si="3"/>
        <v>0</v>
      </c>
      <c r="T7" s="3">
        <f t="shared" si="4"/>
        <v>1</v>
      </c>
      <c r="V7" s="1" t="e">
        <f t="shared" si="5"/>
        <v>#DIV/0!</v>
      </c>
    </row>
    <row r="8" spans="1:22" x14ac:dyDescent="0.3">
      <c r="A8" s="8" t="e">
        <f t="shared" si="0"/>
        <v>#DIV/0!</v>
      </c>
      <c r="B8" s="3" t="s">
        <v>8</v>
      </c>
      <c r="C8" s="3">
        <v>1.4597773795682278E-2</v>
      </c>
      <c r="D8" s="3">
        <v>0.33821376654109531</v>
      </c>
      <c r="E8" s="4">
        <v>9.4269193929746847E-3</v>
      </c>
      <c r="F8" s="4">
        <v>0.63776154184118428</v>
      </c>
      <c r="H8" s="10" t="str">
        <f>IF(Planilha1!B5="","",Planilha1!B5)</f>
        <v>7:00p</v>
      </c>
      <c r="I8" s="10" t="str">
        <f>IF(Planilha1!C5="","",Planilha1!C5)</f>
        <v>Boston Celtics</v>
      </c>
      <c r="J8" s="10">
        <f>IF(Planilha1!D5="","",Planilha1!D5)</f>
        <v>108</v>
      </c>
      <c r="K8" s="10" t="str">
        <f>IF(Planilha1!E5="","",IF(Planilha1!E5=0,"",Planilha1!E5))</f>
        <v>New York Knicks</v>
      </c>
      <c r="L8" s="10">
        <f>IF(Planilha1!F5="","",Planilha1!F5)</f>
        <v>104</v>
      </c>
      <c r="M8" s="10">
        <f>IF(Planilha1!G5="","",IF(Planilha1!G5=0,"",Planilha1!G5))</f>
        <v>104</v>
      </c>
      <c r="N8" s="5">
        <f t="shared" si="6"/>
        <v>1</v>
      </c>
      <c r="O8" s="5">
        <f t="shared" si="7"/>
        <v>0</v>
      </c>
      <c r="P8" s="5">
        <f t="shared" si="8"/>
        <v>0</v>
      </c>
      <c r="Q8" s="5">
        <f t="shared" si="1"/>
        <v>2</v>
      </c>
      <c r="R8" s="7">
        <f t="shared" si="2"/>
        <v>0</v>
      </c>
      <c r="S8" s="7">
        <f t="shared" si="3"/>
        <v>0</v>
      </c>
      <c r="T8" s="3">
        <f t="shared" si="4"/>
        <v>1</v>
      </c>
      <c r="V8" s="1" t="e">
        <f t="shared" si="5"/>
        <v>#DIV/0!</v>
      </c>
    </row>
    <row r="9" spans="1:22" x14ac:dyDescent="0.3">
      <c r="A9" s="8" t="e">
        <f t="shared" si="0"/>
        <v>#DIV/0!</v>
      </c>
      <c r="B9" s="3" t="s">
        <v>41</v>
      </c>
      <c r="C9" s="3">
        <v>4.828129689238813E-2</v>
      </c>
      <c r="D9" s="3">
        <v>0.30453024356601582</v>
      </c>
      <c r="E9" s="4">
        <v>0.10693425233428562</v>
      </c>
      <c r="F9" s="4">
        <v>0.54025420901284504</v>
      </c>
      <c r="H9" s="10" t="str">
        <f>IF(Planilha1!B6="","",Planilha1!B6)</f>
        <v>7:00p</v>
      </c>
      <c r="I9" s="10" t="str">
        <f>IF(Planilha1!C6="","",Planilha1!C6)</f>
        <v>Washington Wizards</v>
      </c>
      <c r="J9" s="10">
        <f>IF(Planilha1!D6="","",Planilha1!D6)</f>
        <v>120</v>
      </c>
      <c r="K9" s="10" t="str">
        <f>IF(Planilha1!E6="","",IF(Planilha1!E6=0,"",Planilha1!E6))</f>
        <v>Indiana Pacers</v>
      </c>
      <c r="L9" s="10">
        <f>IF(Planilha1!F6="","",Planilha1!F6)</f>
        <v>143</v>
      </c>
      <c r="M9" s="10">
        <f>IF(Planilha1!G6="","",IF(Planilha1!G6=0,"",Planilha1!G6))</f>
        <v>143</v>
      </c>
      <c r="N9" s="5">
        <f t="shared" si="6"/>
        <v>1</v>
      </c>
      <c r="O9" s="5">
        <f t="shared" si="7"/>
        <v>0</v>
      </c>
      <c r="P9" s="5">
        <f t="shared" si="8"/>
        <v>0</v>
      </c>
      <c r="Q9" s="5">
        <f t="shared" si="1"/>
        <v>2</v>
      </c>
      <c r="R9" s="7">
        <f t="shared" si="2"/>
        <v>0</v>
      </c>
      <c r="S9" s="7">
        <f t="shared" si="3"/>
        <v>0</v>
      </c>
      <c r="T9" s="3">
        <f t="shared" si="4"/>
        <v>1</v>
      </c>
      <c r="V9" s="1" t="e">
        <f t="shared" si="5"/>
        <v>#DIV/0!</v>
      </c>
    </row>
    <row r="10" spans="1:22" x14ac:dyDescent="0.3">
      <c r="A10" s="8" t="e">
        <f t="shared" si="0"/>
        <v>#DIV/0!</v>
      </c>
      <c r="B10" s="3" t="s">
        <v>40</v>
      </c>
      <c r="C10" s="3">
        <v>0.10060194711223458</v>
      </c>
      <c r="D10" s="3">
        <v>0.25220959296728562</v>
      </c>
      <c r="E10" s="4">
        <v>-3.9184463942135539E-2</v>
      </c>
      <c r="F10" s="4">
        <v>0.68637292393021609</v>
      </c>
      <c r="H10" s="10" t="str">
        <f>IF(Planilha1!B7="","",Planilha1!B7)</f>
        <v>7:00p</v>
      </c>
      <c r="I10" s="10" t="str">
        <f>IF(Planilha1!C7="","",Planilha1!C7)</f>
        <v>Atlanta Hawks</v>
      </c>
      <c r="J10" s="10">
        <f>IF(Planilha1!D7="","",Planilha1!D7)</f>
        <v>110</v>
      </c>
      <c r="K10" s="10" t="str">
        <f>IF(Planilha1!E7="","",IF(Planilha1!E7=0,"",Planilha1!E7))</f>
        <v>Charlotte Hornets</v>
      </c>
      <c r="L10" s="10">
        <f>IF(Planilha1!F7="","",Planilha1!F7)</f>
        <v>116</v>
      </c>
      <c r="M10" s="10">
        <f>IF(Planilha1!G7="","",IF(Planilha1!G7=0,"",Planilha1!G7))</f>
        <v>116</v>
      </c>
      <c r="N10" s="5">
        <f t="shared" si="6"/>
        <v>1</v>
      </c>
      <c r="O10" s="5">
        <f t="shared" si="7"/>
        <v>0</v>
      </c>
      <c r="P10" s="5">
        <f t="shared" si="8"/>
        <v>0</v>
      </c>
      <c r="Q10" s="5">
        <f t="shared" si="1"/>
        <v>2</v>
      </c>
      <c r="R10" s="7">
        <f t="shared" si="2"/>
        <v>0</v>
      </c>
      <c r="S10" s="7">
        <f t="shared" si="3"/>
        <v>0</v>
      </c>
      <c r="T10" s="3">
        <f t="shared" si="4"/>
        <v>1</v>
      </c>
      <c r="V10" s="1" t="e">
        <f t="shared" si="5"/>
        <v>#DIV/0!</v>
      </c>
    </row>
    <row r="11" spans="1:22" x14ac:dyDescent="0.3">
      <c r="A11" s="8" t="e">
        <f t="shared" si="0"/>
        <v>#DIV/0!</v>
      </c>
      <c r="B11" s="3" t="s">
        <v>42</v>
      </c>
      <c r="C11" s="3">
        <v>0.12337797572292779</v>
      </c>
      <c r="D11" s="3">
        <v>0.22943356288164113</v>
      </c>
      <c r="E11" s="4">
        <v>1.1386060060970585E-3</v>
      </c>
      <c r="F11" s="4">
        <v>0.64604985480369315</v>
      </c>
      <c r="H11" s="10" t="str">
        <f>IF(Planilha1!B8="","",Planilha1!B8)</f>
        <v>7:30p</v>
      </c>
      <c r="I11" s="10" t="str">
        <f>IF(Planilha1!C8="","",Planilha1!C8)</f>
        <v>Detroit Pistons</v>
      </c>
      <c r="J11" s="10">
        <f>IF(Planilha1!D8="","",Planilha1!D8)</f>
        <v>102</v>
      </c>
      <c r="K11" s="10" t="str">
        <f>IF(Planilha1!E8="","",IF(Planilha1!E8=0,"",Planilha1!E8))</f>
        <v>Miami Heat</v>
      </c>
      <c r="L11" s="10">
        <f>IF(Planilha1!F8="","",Planilha1!F8)</f>
        <v>103</v>
      </c>
      <c r="M11" s="10">
        <f>IF(Planilha1!G8="","",IF(Planilha1!G8=0,"",Planilha1!G8))</f>
        <v>103</v>
      </c>
      <c r="N11" s="5">
        <f t="shared" si="6"/>
        <v>1</v>
      </c>
      <c r="O11" s="5">
        <f t="shared" si="7"/>
        <v>0</v>
      </c>
      <c r="P11" s="5">
        <f t="shared" si="8"/>
        <v>0</v>
      </c>
      <c r="Q11" s="5">
        <f t="shared" si="1"/>
        <v>2</v>
      </c>
      <c r="R11" s="7">
        <f t="shared" si="2"/>
        <v>0</v>
      </c>
      <c r="S11" s="7">
        <f t="shared" si="3"/>
        <v>0</v>
      </c>
      <c r="T11" s="3">
        <f t="shared" si="4"/>
        <v>1</v>
      </c>
      <c r="V11" s="1" t="e">
        <f t="shared" si="5"/>
        <v>#DIV/0!</v>
      </c>
    </row>
    <row r="12" spans="1:22" x14ac:dyDescent="0.3">
      <c r="A12" s="8" t="e">
        <f t="shared" si="0"/>
        <v>#DIV/0!</v>
      </c>
      <c r="B12" s="3" t="s">
        <v>16</v>
      </c>
      <c r="C12" s="3">
        <v>5.2736635937682207E-2</v>
      </c>
      <c r="D12" s="3">
        <v>0.30007490474470044</v>
      </c>
      <c r="E12" s="4">
        <v>0.10278242426181909</v>
      </c>
      <c r="F12" s="4">
        <v>0.54440603662890885</v>
      </c>
      <c r="H12" s="10" t="str">
        <f>IF(Planilha1!B9="","",Planilha1!B9)</f>
        <v>7:30p</v>
      </c>
      <c r="I12" s="10" t="str">
        <f>IF(Planilha1!C9="","",Planilha1!C9)</f>
        <v>Minnesota Timberwolves</v>
      </c>
      <c r="J12" s="10">
        <f>IF(Planilha1!D9="","",Planilha1!D9)</f>
        <v>94</v>
      </c>
      <c r="K12" s="10" t="str">
        <f>IF(Planilha1!E9="","",IF(Planilha1!E9=0,"",Planilha1!E9))</f>
        <v>Toronto Raptors</v>
      </c>
      <c r="L12" s="10">
        <f>IF(Planilha1!F9="","",Planilha1!F9)</f>
        <v>97</v>
      </c>
      <c r="M12" s="10">
        <f>IF(Planilha1!G9="","",IF(Planilha1!G9=0,"",Planilha1!G9))</f>
        <v>97</v>
      </c>
      <c r="N12" s="5">
        <f t="shared" si="6"/>
        <v>1</v>
      </c>
      <c r="O12" s="5">
        <f t="shared" si="7"/>
        <v>0</v>
      </c>
      <c r="P12" s="5">
        <f t="shared" si="8"/>
        <v>0</v>
      </c>
      <c r="Q12" s="5">
        <f t="shared" si="1"/>
        <v>2</v>
      </c>
      <c r="R12" s="7">
        <f t="shared" si="2"/>
        <v>0</v>
      </c>
      <c r="S12" s="7">
        <f t="shared" si="3"/>
        <v>0</v>
      </c>
      <c r="T12" s="3">
        <f t="shared" si="4"/>
        <v>1</v>
      </c>
      <c r="V12" s="1" t="e">
        <f t="shared" si="5"/>
        <v>#DIV/0!</v>
      </c>
    </row>
    <row r="13" spans="1:22" x14ac:dyDescent="0.3">
      <c r="A13" s="8" t="e">
        <f t="shared" si="0"/>
        <v>#DIV/0!</v>
      </c>
      <c r="B13" s="3" t="s">
        <v>28</v>
      </c>
      <c r="C13" s="3">
        <v>-2.0739618217295499E-2</v>
      </c>
      <c r="D13" s="3">
        <v>0.37355115844093251</v>
      </c>
      <c r="E13" s="4">
        <v>0.19638547011364924</v>
      </c>
      <c r="F13" s="4">
        <v>0.45080299136074142</v>
      </c>
      <c r="H13" s="10" t="str">
        <f>IF(Planilha1!B10="","",Planilha1!B10)</f>
        <v>7:30p</v>
      </c>
      <c r="I13" s="10" t="str">
        <f>IF(Planilha1!C10="","",Planilha1!C10)</f>
        <v>Cleveland Cavaliers</v>
      </c>
      <c r="J13" s="10">
        <f>IF(Planilha1!D10="","",Planilha1!D10)</f>
        <v>114</v>
      </c>
      <c r="K13" s="10" t="str">
        <f>IF(Planilha1!E10="","",IF(Planilha1!E10=0,"",Planilha1!E10))</f>
        <v>Brooklyn Nets</v>
      </c>
      <c r="L13" s="10">
        <f>IF(Planilha1!F10="","",Planilha1!F10)</f>
        <v>113</v>
      </c>
      <c r="M13" s="10">
        <f>IF(Planilha1!G10="","",IF(Planilha1!G10=0,"",Planilha1!G10))</f>
        <v>113</v>
      </c>
      <c r="N13" s="5">
        <f t="shared" si="6"/>
        <v>1</v>
      </c>
      <c r="O13" s="5">
        <f t="shared" si="7"/>
        <v>0</v>
      </c>
      <c r="P13" s="5">
        <f t="shared" si="8"/>
        <v>0</v>
      </c>
      <c r="Q13" s="5">
        <f t="shared" si="1"/>
        <v>2</v>
      </c>
      <c r="R13" s="7">
        <f t="shared" si="2"/>
        <v>0</v>
      </c>
      <c r="S13" s="7">
        <f t="shared" si="3"/>
        <v>0</v>
      </c>
      <c r="T13" s="3">
        <f t="shared" si="4"/>
        <v>1</v>
      </c>
      <c r="V13" s="1" t="e">
        <f t="shared" si="5"/>
        <v>#DIV/0!</v>
      </c>
    </row>
    <row r="14" spans="1:22" x14ac:dyDescent="0.3">
      <c r="A14" s="8" t="e">
        <f t="shared" si="0"/>
        <v>#DIV/0!</v>
      </c>
      <c r="B14" s="3" t="s">
        <v>14</v>
      </c>
      <c r="C14" s="3">
        <v>0.14849968660840968</v>
      </c>
      <c r="D14" s="3">
        <v>0.2043118533681301</v>
      </c>
      <c r="E14" s="4">
        <v>0.1495236761897972</v>
      </c>
      <c r="F14" s="4">
        <v>0.49766478458841273</v>
      </c>
      <c r="H14" s="10" t="str">
        <f>IF(Planilha1!B11="","",Planilha1!B11)</f>
        <v>8:00p</v>
      </c>
      <c r="I14" s="10" t="str">
        <f>IF(Planilha1!C11="","",Planilha1!C11)</f>
        <v>New Orleans Pelicans</v>
      </c>
      <c r="J14" s="10">
        <f>IF(Planilha1!D11="","",Planilha1!D11)</f>
        <v>111</v>
      </c>
      <c r="K14" s="10" t="str">
        <f>IF(Planilha1!E11="","",IF(Planilha1!E11=0,"",Planilha1!E11))</f>
        <v>Memphis Grizzlies</v>
      </c>
      <c r="L14" s="10">
        <f>IF(Planilha1!F11="","",Planilha1!F11)</f>
        <v>104</v>
      </c>
      <c r="M14" s="10">
        <f>IF(Planilha1!G11="","",IF(Planilha1!G11=0,"",Planilha1!G11))</f>
        <v>104</v>
      </c>
      <c r="N14" s="5">
        <f t="shared" si="6"/>
        <v>1</v>
      </c>
      <c r="O14" s="5">
        <f t="shared" si="7"/>
        <v>0</v>
      </c>
      <c r="P14" s="5">
        <f t="shared" si="8"/>
        <v>0</v>
      </c>
      <c r="Q14" s="5">
        <f t="shared" si="1"/>
        <v>2</v>
      </c>
      <c r="R14" s="7">
        <f t="shared" si="2"/>
        <v>0</v>
      </c>
      <c r="S14" s="7">
        <f t="shared" si="3"/>
        <v>0</v>
      </c>
      <c r="T14" s="3">
        <f t="shared" si="4"/>
        <v>1</v>
      </c>
      <c r="V14" s="1" t="e">
        <f t="shared" si="5"/>
        <v>#DIV/0!</v>
      </c>
    </row>
    <row r="15" spans="1:22" x14ac:dyDescent="0.3">
      <c r="A15" s="8" t="e">
        <f t="shared" si="0"/>
        <v>#DIV/0!</v>
      </c>
      <c r="B15" s="3" t="s">
        <v>25</v>
      </c>
      <c r="C15" s="3">
        <v>-1.8138263896558652E-2</v>
      </c>
      <c r="D15" s="3">
        <v>0.37094980345438799</v>
      </c>
      <c r="E15" s="4">
        <v>0.20906702458672677</v>
      </c>
      <c r="F15" s="4">
        <v>0.43812143577669321</v>
      </c>
      <c r="H15" s="10" t="str">
        <f>IF(Planilha1!B12="","",Planilha1!B12)</f>
        <v>8:00p</v>
      </c>
      <c r="I15" s="10" t="str">
        <f>IF(Planilha1!C12="","",Planilha1!C12)</f>
        <v>Oklahoma City Thunder</v>
      </c>
      <c r="J15" s="10">
        <f>IF(Planilha1!D12="","",Planilha1!D12)</f>
        <v>124</v>
      </c>
      <c r="K15" s="10" t="str">
        <f>IF(Planilha1!E12="","",IF(Planilha1!E12=0,"",Planilha1!E12))</f>
        <v>Chicago Bulls</v>
      </c>
      <c r="L15" s="10">
        <f>IF(Planilha1!F12="","",Planilha1!F12)</f>
        <v>104</v>
      </c>
      <c r="M15" s="10">
        <f>IF(Planilha1!G12="","",IF(Planilha1!G12=0,"",Planilha1!G12))</f>
        <v>104</v>
      </c>
      <c r="N15" s="5">
        <f t="shared" si="6"/>
        <v>1</v>
      </c>
      <c r="O15" s="5">
        <f t="shared" si="7"/>
        <v>0</v>
      </c>
      <c r="P15" s="5">
        <f t="shared" si="8"/>
        <v>0</v>
      </c>
      <c r="Q15" s="5">
        <f t="shared" si="1"/>
        <v>2</v>
      </c>
      <c r="R15" s="7">
        <f t="shared" si="2"/>
        <v>0</v>
      </c>
      <c r="S15" s="7">
        <f t="shared" si="3"/>
        <v>0</v>
      </c>
      <c r="T15" s="3">
        <f t="shared" si="4"/>
        <v>1</v>
      </c>
      <c r="V15" s="1" t="e">
        <f t="shared" si="5"/>
        <v>#DIV/0!</v>
      </c>
    </row>
    <row r="16" spans="1:22" x14ac:dyDescent="0.3">
      <c r="A16" s="8" t="e">
        <f t="shared" si="0"/>
        <v>#DIV/0!</v>
      </c>
      <c r="B16" s="3" t="s">
        <v>18</v>
      </c>
      <c r="C16" s="3">
        <v>8.6059490847207196E-2</v>
      </c>
      <c r="D16" s="3">
        <v>0.26675204877930164</v>
      </c>
      <c r="E16" s="4">
        <v>0.23580170262986744</v>
      </c>
      <c r="F16" s="4">
        <v>0.41138675764730021</v>
      </c>
      <c r="H16" s="10" t="str">
        <f>IF(Planilha1!B13="","",Planilha1!B13)</f>
        <v>9:00p</v>
      </c>
      <c r="I16" s="10" t="str">
        <f>IF(Planilha1!C13="","",Planilha1!C13)</f>
        <v>Sacramento Kings</v>
      </c>
      <c r="J16" s="10">
        <f>IF(Planilha1!D13="","",Planilha1!D13)</f>
        <v>130</v>
      </c>
      <c r="K16" s="10" t="str">
        <f>IF(Planilha1!E13="","",IF(Planilha1!E13=0,"",Planilha1!E13))</f>
        <v>Utah Jazz</v>
      </c>
      <c r="L16" s="10">
        <f>IF(Planilha1!F13="","",Planilha1!F13)</f>
        <v>114</v>
      </c>
      <c r="M16" s="10">
        <f>IF(Planilha1!G13="","",IF(Planilha1!G13=0,"",Planilha1!G13))</f>
        <v>114</v>
      </c>
      <c r="N16" s="5">
        <f t="shared" si="6"/>
        <v>1</v>
      </c>
      <c r="O16" s="5">
        <f t="shared" si="7"/>
        <v>0</v>
      </c>
      <c r="P16" s="5">
        <f t="shared" si="8"/>
        <v>0</v>
      </c>
      <c r="Q16" s="5">
        <f t="shared" si="1"/>
        <v>2</v>
      </c>
      <c r="R16" s="7">
        <f t="shared" si="2"/>
        <v>0</v>
      </c>
      <c r="S16" s="7">
        <f t="shared" si="3"/>
        <v>0</v>
      </c>
      <c r="T16" s="3">
        <f t="shared" si="4"/>
        <v>1</v>
      </c>
      <c r="V16" s="1" t="e">
        <f t="shared" si="5"/>
        <v>#DIV/0!</v>
      </c>
    </row>
    <row r="17" spans="1:22" x14ac:dyDescent="0.3">
      <c r="A17" s="8" t="e">
        <f t="shared" si="0"/>
        <v>#DIV/0!</v>
      </c>
      <c r="B17" s="3" t="s">
        <v>22</v>
      </c>
      <c r="C17" s="3">
        <v>7.7452548837782798E-2</v>
      </c>
      <c r="D17" s="3">
        <v>0.27535899104875766</v>
      </c>
      <c r="E17" s="4">
        <v>0.29761408908384634</v>
      </c>
      <c r="F17" s="4">
        <v>0.34957437138876624</v>
      </c>
      <c r="H17" s="10" t="str">
        <f>IF(Planilha1!B14="","",Planilha1!B14)</f>
        <v>9:30p</v>
      </c>
      <c r="I17" s="10" t="str">
        <f>IF(Planilha1!C14="","",Planilha1!C14)</f>
        <v>Dallas Mavericks</v>
      </c>
      <c r="J17" s="10">
        <f>IF(Planilha1!D14="","",Planilha1!D14)</f>
        <v>126</v>
      </c>
      <c r="K17" s="10" t="str">
        <f>IF(Planilha1!E14="","",IF(Planilha1!E14=0,"",Planilha1!E14))</f>
        <v>San Antonio Spurs</v>
      </c>
      <c r="L17" s="10">
        <f>IF(Planilha1!F14="","",Planilha1!F14)</f>
        <v>119</v>
      </c>
      <c r="M17" s="10">
        <f>IF(Planilha1!G14="","",IF(Planilha1!G14=0,"",Planilha1!G14))</f>
        <v>119</v>
      </c>
      <c r="N17" s="5">
        <f t="shared" si="6"/>
        <v>1</v>
      </c>
      <c r="O17" s="5">
        <f t="shared" si="7"/>
        <v>0</v>
      </c>
      <c r="P17" s="5">
        <f t="shared" si="8"/>
        <v>0</v>
      </c>
      <c r="Q17" s="5">
        <f t="shared" si="1"/>
        <v>2</v>
      </c>
      <c r="R17" s="7">
        <f t="shared" si="2"/>
        <v>0</v>
      </c>
      <c r="S17" s="7">
        <f t="shared" si="3"/>
        <v>0</v>
      </c>
      <c r="T17" s="3">
        <f t="shared" si="4"/>
        <v>1</v>
      </c>
      <c r="V17" s="1" t="e">
        <f t="shared" si="5"/>
        <v>#DIV/0!</v>
      </c>
    </row>
    <row r="18" spans="1:22" x14ac:dyDescent="0.3">
      <c r="A18" s="8" t="e">
        <f t="shared" si="0"/>
        <v>#DIV/0!</v>
      </c>
      <c r="B18" s="3" t="s">
        <v>36</v>
      </c>
      <c r="C18" s="3">
        <v>3.3816483016314597E-2</v>
      </c>
      <c r="D18" s="3">
        <v>0.31899505709263115</v>
      </c>
      <c r="E18" s="4">
        <v>0.24820006382377824</v>
      </c>
      <c r="F18" s="4">
        <v>0.39898839683715293</v>
      </c>
      <c r="H18" s="10" t="str">
        <f>IF(Planilha1!B15="","",Planilha1!B15)</f>
        <v>10:30p</v>
      </c>
      <c r="I18" s="10" t="str">
        <f>IF(Planilha1!C15="","",Planilha1!C15)</f>
        <v>Portland Trail Blazers</v>
      </c>
      <c r="J18" s="10">
        <f>IF(Planilha1!D15="","",Planilha1!D15)</f>
        <v>111</v>
      </c>
      <c r="K18" s="10" t="str">
        <f>IF(Planilha1!E15="","",IF(Planilha1!E15=0,"",Planilha1!E15))</f>
        <v>Los Angeles Clippers</v>
      </c>
      <c r="L18" s="10">
        <f>IF(Planilha1!F15="","",Planilha1!F15)</f>
        <v>123</v>
      </c>
      <c r="M18" s="10">
        <f>IF(Planilha1!G15="","",IF(Planilha1!G15=0,"",Planilha1!G15))</f>
        <v>123</v>
      </c>
      <c r="N18" s="5">
        <f t="shared" si="6"/>
        <v>1</v>
      </c>
      <c r="O18" s="5">
        <f t="shared" si="7"/>
        <v>0</v>
      </c>
      <c r="P18" s="5">
        <f t="shared" si="8"/>
        <v>0</v>
      </c>
      <c r="Q18" s="5">
        <f t="shared" si="1"/>
        <v>2</v>
      </c>
      <c r="R18" s="7">
        <f t="shared" si="2"/>
        <v>0</v>
      </c>
      <c r="S18" s="7">
        <f t="shared" si="3"/>
        <v>0</v>
      </c>
      <c r="T18" s="3">
        <f t="shared" si="4"/>
        <v>1</v>
      </c>
      <c r="V18" s="1" t="e">
        <f t="shared" si="5"/>
        <v>#DIV/0!</v>
      </c>
    </row>
    <row r="19" spans="1:22" x14ac:dyDescent="0.3">
      <c r="A19" s="8" t="e">
        <f t="shared" si="0"/>
        <v>#DIV/0!</v>
      </c>
      <c r="B19" s="3" t="s">
        <v>10</v>
      </c>
      <c r="C19" s="3">
        <v>-5.8465160228540411E-2</v>
      </c>
      <c r="D19" s="3">
        <v>0.41127669962421132</v>
      </c>
      <c r="E19" s="4">
        <v>0.26216501137484716</v>
      </c>
      <c r="F19" s="4">
        <v>0.38502344874162914</v>
      </c>
      <c r="H19" s="10" t="str">
        <f>IF(Planilha1!B16="","",Planilha1!B16)</f>
        <v>7:30p</v>
      </c>
      <c r="I19" s="10" t="str">
        <f>IF(Planilha1!C16="","",Planilha1!C16)</f>
        <v>Philadelphia 76ers</v>
      </c>
      <c r="J19" s="10">
        <f>IF(Planilha1!D16="","",Planilha1!D16)</f>
        <v>117</v>
      </c>
      <c r="K19" s="10" t="str">
        <f>IF(Planilha1!E16="","",IF(Planilha1!E16=0,"",Planilha1!E16))</f>
        <v>Milwaukee Bucks</v>
      </c>
      <c r="L19" s="10">
        <f>IF(Planilha1!F16="","",Planilha1!F16)</f>
        <v>118</v>
      </c>
      <c r="M19" s="10">
        <f>IF(Planilha1!G16="","",IF(Planilha1!G16=0,"",Planilha1!G16))</f>
        <v>118</v>
      </c>
      <c r="N19" s="5">
        <f t="shared" si="6"/>
        <v>1</v>
      </c>
      <c r="O19" s="5">
        <f t="shared" si="7"/>
        <v>0</v>
      </c>
      <c r="P19" s="5">
        <f t="shared" si="8"/>
        <v>0</v>
      </c>
      <c r="Q19" s="5">
        <f t="shared" si="1"/>
        <v>2</v>
      </c>
      <c r="R19" s="7">
        <f t="shared" si="2"/>
        <v>0</v>
      </c>
      <c r="S19" s="7">
        <f t="shared" si="3"/>
        <v>0</v>
      </c>
      <c r="T19" s="3">
        <f t="shared" si="4"/>
        <v>1</v>
      </c>
      <c r="V19" s="1" t="e">
        <f t="shared" si="5"/>
        <v>#DIV/0!</v>
      </c>
    </row>
    <row r="20" spans="1:22" x14ac:dyDescent="0.3">
      <c r="A20" s="8" t="e">
        <f t="shared" si="0"/>
        <v>#DIV/0!</v>
      </c>
      <c r="B20" s="3" t="s">
        <v>33</v>
      </c>
      <c r="C20" s="3">
        <v>8.6963896182408629E-2</v>
      </c>
      <c r="D20" s="3">
        <v>0.2658476430462372</v>
      </c>
      <c r="E20" s="4">
        <v>0.14108006749795055</v>
      </c>
      <c r="F20" s="4">
        <v>0.5061083935289924</v>
      </c>
      <c r="H20" s="10" t="str">
        <f>IF(Planilha1!B17="","",Planilha1!B17)</f>
        <v>10:00p</v>
      </c>
      <c r="I20" s="10" t="str">
        <f>IF(Planilha1!C17="","",Planilha1!C17)</f>
        <v>Phoenix Suns</v>
      </c>
      <c r="J20" s="10">
        <f>IF(Planilha1!D17="","",Planilha1!D17)</f>
        <v>95</v>
      </c>
      <c r="K20" s="10" t="str">
        <f>IF(Planilha1!E17="","",IF(Planilha1!E17=0,"",Planilha1!E17))</f>
        <v>Los Angeles Lakers</v>
      </c>
      <c r="L20" s="10">
        <f>IF(Planilha1!F17="","",Planilha1!F17)</f>
        <v>100</v>
      </c>
      <c r="M20" s="10">
        <f>IF(Planilha1!G17="","",IF(Planilha1!G17=0,"",Planilha1!G17))</f>
        <v>100</v>
      </c>
      <c r="N20" s="5">
        <f t="shared" si="6"/>
        <v>1</v>
      </c>
      <c r="O20" s="5">
        <f t="shared" si="7"/>
        <v>0</v>
      </c>
      <c r="P20" s="5">
        <f t="shared" si="8"/>
        <v>0</v>
      </c>
      <c r="Q20" s="5">
        <f t="shared" si="1"/>
        <v>2</v>
      </c>
      <c r="R20" s="7">
        <f t="shared" si="2"/>
        <v>0</v>
      </c>
      <c r="S20" s="7">
        <f t="shared" si="3"/>
        <v>0</v>
      </c>
      <c r="T20" s="3">
        <f t="shared" si="4"/>
        <v>1</v>
      </c>
      <c r="V20" s="1" t="e">
        <f t="shared" si="5"/>
        <v>#DIV/0!</v>
      </c>
    </row>
    <row r="21" spans="1:22" x14ac:dyDescent="0.3">
      <c r="A21" s="8" t="e">
        <f t="shared" si="0"/>
        <v>#DIV/0!</v>
      </c>
      <c r="B21" s="3" t="s">
        <v>34</v>
      </c>
      <c r="C21" s="3">
        <v>0.27939748837861206</v>
      </c>
      <c r="D21" s="3">
        <v>7.3414051060996285E-2</v>
      </c>
      <c r="E21" s="4">
        <v>4.8793885584945129E-2</v>
      </c>
      <c r="F21" s="4">
        <v>0.59839457500767534</v>
      </c>
      <c r="H21" s="10" t="str">
        <f>IF(Planilha1!B18="","",Planilha1!B18)</f>
        <v>7:00p</v>
      </c>
      <c r="I21" s="10" t="str">
        <f>IF(Planilha1!C18="","",Planilha1!C18)</f>
        <v>Denver Nuggets</v>
      </c>
      <c r="J21" s="10">
        <f>IF(Planilha1!D18="","",Planilha1!D18)</f>
        <v>108</v>
      </c>
      <c r="K21" s="10" t="str">
        <f>IF(Planilha1!E18="","",IF(Planilha1!E18=0,"",Planilha1!E18))</f>
        <v>Memphis Grizzlies</v>
      </c>
      <c r="L21" s="10">
        <f>IF(Planilha1!F18="","",Planilha1!F18)</f>
        <v>104</v>
      </c>
      <c r="M21" s="10">
        <f>IF(Planilha1!G18="","",IF(Planilha1!G18=0,"",Planilha1!G18))</f>
        <v>104</v>
      </c>
      <c r="N21" s="5">
        <f t="shared" si="6"/>
        <v>1</v>
      </c>
      <c r="O21" s="5">
        <f t="shared" si="7"/>
        <v>0</v>
      </c>
      <c r="P21" s="5">
        <f t="shared" si="8"/>
        <v>0</v>
      </c>
      <c r="Q21" s="5">
        <f t="shared" si="1"/>
        <v>2</v>
      </c>
      <c r="R21" s="7">
        <f t="shared" si="2"/>
        <v>0</v>
      </c>
      <c r="S21" s="7">
        <f t="shared" si="3"/>
        <v>0</v>
      </c>
      <c r="T21" s="3">
        <f t="shared" si="4"/>
        <v>1</v>
      </c>
      <c r="V21" s="1" t="e">
        <f t="shared" si="5"/>
        <v>#DIV/0!</v>
      </c>
    </row>
    <row r="22" spans="1:22" x14ac:dyDescent="0.3">
      <c r="A22" s="8" t="e">
        <f t="shared" si="0"/>
        <v>#DIV/0!</v>
      </c>
      <c r="B22" s="3" t="s">
        <v>7</v>
      </c>
      <c r="C22" s="3">
        <v>0.27712256957747983</v>
      </c>
      <c r="D22" s="3">
        <v>7.5688970814707573E-2</v>
      </c>
      <c r="E22" s="4">
        <v>8.3229763155671863E-2</v>
      </c>
      <c r="F22" s="4">
        <v>0.56395869809151611</v>
      </c>
      <c r="H22" s="10" t="str">
        <f>IF(Planilha1!B19="","",Planilha1!B19)</f>
        <v>7:00p</v>
      </c>
      <c r="I22" s="10" t="str">
        <f>IF(Planilha1!C19="","",Planilha1!C19)</f>
        <v>Detroit Pistons</v>
      </c>
      <c r="J22" s="10">
        <f>IF(Planilha1!D19="","",Planilha1!D19)</f>
        <v>111</v>
      </c>
      <c r="K22" s="10" t="str">
        <f>IF(Planilha1!E19="","",IF(Planilha1!E19=0,"",Planilha1!E19))</f>
        <v>Charlotte Hornets</v>
      </c>
      <c r="L22" s="10">
        <f>IF(Planilha1!F19="","",Planilha1!F19)</f>
        <v>99</v>
      </c>
      <c r="M22" s="10">
        <f>IF(Planilha1!G19="","",IF(Planilha1!G19=0,"",Planilha1!G19))</f>
        <v>99</v>
      </c>
      <c r="N22" s="5">
        <f t="shared" si="6"/>
        <v>1</v>
      </c>
      <c r="O22" s="5">
        <f t="shared" si="7"/>
        <v>0</v>
      </c>
      <c r="P22" s="5">
        <f t="shared" si="8"/>
        <v>0</v>
      </c>
      <c r="Q22" s="5">
        <f t="shared" si="1"/>
        <v>2</v>
      </c>
      <c r="R22" s="7">
        <f t="shared" si="2"/>
        <v>0</v>
      </c>
      <c r="S22" s="7">
        <f t="shared" si="3"/>
        <v>0</v>
      </c>
      <c r="T22" s="3">
        <f t="shared" si="4"/>
        <v>1</v>
      </c>
      <c r="V22" s="1" t="e">
        <f t="shared" si="5"/>
        <v>#DIV/0!</v>
      </c>
    </row>
    <row r="23" spans="1:22" x14ac:dyDescent="0.3">
      <c r="A23" s="8" t="e">
        <f t="shared" si="0"/>
        <v>#DIV/0!</v>
      </c>
      <c r="B23" s="3" t="s">
        <v>13</v>
      </c>
      <c r="C23" s="3">
        <v>0.33967557567252848</v>
      </c>
      <c r="D23" s="3">
        <v>1.3135964986346985E-2</v>
      </c>
      <c r="E23" s="4">
        <v>0.11274909465985271</v>
      </c>
      <c r="F23" s="4">
        <v>0.53443936621180865</v>
      </c>
      <c r="H23" s="10" t="str">
        <f>IF(Planilha1!B20="","",Planilha1!B20)</f>
        <v>7:30p</v>
      </c>
      <c r="I23" s="10" t="str">
        <f>IF(Planilha1!C20="","",Planilha1!C20)</f>
        <v>New York Knicks</v>
      </c>
      <c r="J23" s="10">
        <f>IF(Planilha1!D20="","",Planilha1!D20)</f>
        <v>126</v>
      </c>
      <c r="K23" s="10" t="str">
        <f>IF(Planilha1!E20="","",IF(Planilha1!E20=0,"",Planilha1!E20))</f>
        <v>Atlanta Hawks</v>
      </c>
      <c r="L23" s="10">
        <f>IF(Planilha1!F20="","",Planilha1!F20)</f>
        <v>120</v>
      </c>
      <c r="M23" s="10">
        <f>IF(Planilha1!G20="","",IF(Planilha1!G20=0,"",Planilha1!G20))</f>
        <v>120</v>
      </c>
      <c r="N23" s="5">
        <f t="shared" si="6"/>
        <v>1</v>
      </c>
      <c r="O23" s="5">
        <f t="shared" si="7"/>
        <v>0</v>
      </c>
      <c r="P23" s="5">
        <f t="shared" si="8"/>
        <v>0</v>
      </c>
      <c r="Q23" s="5">
        <f t="shared" si="1"/>
        <v>2</v>
      </c>
      <c r="R23" s="7">
        <f t="shared" si="2"/>
        <v>0</v>
      </c>
      <c r="S23" s="7">
        <f t="shared" si="3"/>
        <v>0</v>
      </c>
      <c r="T23" s="3">
        <f t="shared" si="4"/>
        <v>1</v>
      </c>
      <c r="V23" s="1" t="e">
        <f t="shared" si="5"/>
        <v>#DIV/0!</v>
      </c>
    </row>
    <row r="24" spans="1:22" x14ac:dyDescent="0.3">
      <c r="A24" s="8" t="e">
        <f t="shared" si="0"/>
        <v>#DIV/0!</v>
      </c>
      <c r="B24" s="3" t="s">
        <v>11</v>
      </c>
      <c r="C24" s="3">
        <v>0.14516958632477586</v>
      </c>
      <c r="D24" s="3">
        <v>0.2076419523833864</v>
      </c>
      <c r="E24" s="4">
        <v>0.28702247773033035</v>
      </c>
      <c r="F24" s="4">
        <v>0.36016598309713554</v>
      </c>
      <c r="H24" s="10" t="str">
        <f>IF(Planilha1!B21="","",Planilha1!B21)</f>
        <v>7:30p</v>
      </c>
      <c r="I24" s="10" t="str">
        <f>IF(Planilha1!C21="","",Planilha1!C21)</f>
        <v>Oklahoma City Thunder</v>
      </c>
      <c r="J24" s="10">
        <f>IF(Planilha1!D21="","",Planilha1!D21)</f>
        <v>108</v>
      </c>
      <c r="K24" s="10" t="str">
        <f>IF(Planilha1!E21="","",IF(Planilha1!E21=0,"",Planilha1!E21))</f>
        <v>Cleveland Cavaliers</v>
      </c>
      <c r="L24" s="10">
        <f>IF(Planilha1!F21="","",Planilha1!F21)</f>
        <v>105</v>
      </c>
      <c r="M24" s="10">
        <f>IF(Planilha1!G21="","",IF(Planilha1!G21=0,"",Planilha1!G21))</f>
        <v>105</v>
      </c>
      <c r="N24" s="5">
        <f t="shared" si="6"/>
        <v>1</v>
      </c>
      <c r="O24" s="5">
        <f t="shared" si="7"/>
        <v>0</v>
      </c>
      <c r="P24" s="5">
        <f t="shared" si="8"/>
        <v>0</v>
      </c>
      <c r="Q24" s="5">
        <f t="shared" si="1"/>
        <v>2</v>
      </c>
      <c r="R24" s="7">
        <f t="shared" si="2"/>
        <v>0</v>
      </c>
      <c r="S24" s="7">
        <f t="shared" si="3"/>
        <v>0</v>
      </c>
      <c r="T24" s="3">
        <f t="shared" si="4"/>
        <v>1</v>
      </c>
      <c r="V24" s="1" t="e">
        <f t="shared" si="5"/>
        <v>#DIV/0!</v>
      </c>
    </row>
    <row r="25" spans="1:22" x14ac:dyDescent="0.3">
      <c r="A25" s="8" t="e">
        <f t="shared" si="0"/>
        <v>#DIV/0!</v>
      </c>
      <c r="B25" s="3" t="s">
        <v>31</v>
      </c>
      <c r="C25" s="3">
        <v>0.28370769024626735</v>
      </c>
      <c r="D25" s="3">
        <v>6.9103848698065809E-2</v>
      </c>
      <c r="E25" s="4">
        <v>0.2334972365693308</v>
      </c>
      <c r="F25" s="4">
        <v>0.41369122417575305</v>
      </c>
      <c r="H25" s="10" t="str">
        <f>IF(Planilha1!B22="","",Planilha1!B22)</f>
        <v>7:30p</v>
      </c>
      <c r="I25" s="10" t="str">
        <f>IF(Planilha1!C22="","",Planilha1!C22)</f>
        <v>Miami Heat</v>
      </c>
      <c r="J25" s="10">
        <f>IF(Planilha1!D22="","",Planilha1!D22)</f>
        <v>111</v>
      </c>
      <c r="K25" s="10" t="str">
        <f>IF(Planilha1!E22="","",IF(Planilha1!E22=0,"",Planilha1!E22))</f>
        <v>Boston Celtics</v>
      </c>
      <c r="L25" s="10">
        <f>IF(Planilha1!F22="","",Planilha1!F22)</f>
        <v>119</v>
      </c>
      <c r="M25" s="10">
        <f>IF(Planilha1!G22="","",IF(Planilha1!G22=0,"",Planilha1!G22))</f>
        <v>119</v>
      </c>
      <c r="N25" s="5">
        <f t="shared" si="6"/>
        <v>1</v>
      </c>
      <c r="O25" s="5">
        <f t="shared" si="7"/>
        <v>0</v>
      </c>
      <c r="P25" s="5">
        <f t="shared" si="8"/>
        <v>0</v>
      </c>
      <c r="Q25" s="5">
        <f t="shared" si="1"/>
        <v>2</v>
      </c>
      <c r="R25" s="7">
        <f t="shared" si="2"/>
        <v>0</v>
      </c>
      <c r="S25" s="7">
        <f t="shared" si="3"/>
        <v>0</v>
      </c>
      <c r="T25" s="3">
        <f t="shared" si="4"/>
        <v>1</v>
      </c>
      <c r="V25" s="1" t="e">
        <f t="shared" si="5"/>
        <v>#DIV/0!</v>
      </c>
    </row>
    <row r="26" spans="1:22" x14ac:dyDescent="0.3">
      <c r="A26" s="8" t="e">
        <f t="shared" si="0"/>
        <v>#DIV/0!</v>
      </c>
      <c r="B26" s="3" t="s">
        <v>19</v>
      </c>
      <c r="C26" s="3">
        <v>0.20438039294702637</v>
      </c>
      <c r="D26" s="3">
        <v>0.14843114780205494</v>
      </c>
      <c r="E26" s="4">
        <v>0.3999796024841874</v>
      </c>
      <c r="F26" s="4">
        <v>0.24720885765891323</v>
      </c>
      <c r="H26" s="10" t="str">
        <f>IF(Planilha1!B23="","",Planilha1!B23)</f>
        <v>8:00p</v>
      </c>
      <c r="I26" s="10" t="str">
        <f>IF(Planilha1!C23="","",Planilha1!C23)</f>
        <v>Toronto Raptors</v>
      </c>
      <c r="J26" s="10">
        <f>IF(Planilha1!D23="","",Planilha1!D23)</f>
        <v>103</v>
      </c>
      <c r="K26" s="10" t="str">
        <f>IF(Planilha1!E23="","",IF(Planilha1!E23=0,"",Planilha1!E23))</f>
        <v>Chicago Bulls</v>
      </c>
      <c r="L26" s="10">
        <f>IF(Planilha1!F23="","",Planilha1!F23)</f>
        <v>104</v>
      </c>
      <c r="M26" s="10">
        <f>IF(Planilha1!G23="","",IF(Planilha1!G23=0,"",Planilha1!G23))</f>
        <v>104</v>
      </c>
      <c r="N26" s="5">
        <f t="shared" si="6"/>
        <v>1</v>
      </c>
      <c r="O26" s="5">
        <f t="shared" si="7"/>
        <v>0</v>
      </c>
      <c r="P26" s="5">
        <f t="shared" si="8"/>
        <v>0</v>
      </c>
      <c r="Q26" s="5">
        <f t="shared" si="1"/>
        <v>2</v>
      </c>
      <c r="R26" s="7">
        <f t="shared" si="2"/>
        <v>0</v>
      </c>
      <c r="S26" s="7">
        <f t="shared" si="3"/>
        <v>0</v>
      </c>
      <c r="T26" s="3">
        <f t="shared" si="4"/>
        <v>1</v>
      </c>
      <c r="V26" s="1" t="e">
        <f t="shared" si="5"/>
        <v>#DIV/0!</v>
      </c>
    </row>
    <row r="27" spans="1:22" x14ac:dyDescent="0.3">
      <c r="A27" s="8" t="e">
        <f t="shared" si="0"/>
        <v>#DIV/0!</v>
      </c>
      <c r="B27" s="3" t="s">
        <v>26</v>
      </c>
      <c r="C27" s="3">
        <v>0.28164503819425279</v>
      </c>
      <c r="D27" s="3">
        <v>7.1166501648702724E-2</v>
      </c>
      <c r="E27" s="4">
        <v>0.35292895119223977</v>
      </c>
      <c r="F27" s="4">
        <v>0.29425950747068591</v>
      </c>
      <c r="H27" s="10" t="str">
        <f>IF(Planilha1!B24="","",Planilha1!B24)</f>
        <v>8:00p</v>
      </c>
      <c r="I27" s="10" t="str">
        <f>IF(Planilha1!C24="","",Planilha1!C24)</f>
        <v>Houston Rockets</v>
      </c>
      <c r="J27" s="10">
        <f>IF(Planilha1!D24="","",Planilha1!D24)</f>
        <v>122</v>
      </c>
      <c r="K27" s="10" t="str">
        <f>IF(Planilha1!E24="","",IF(Planilha1!E24=0,"",Planilha1!E24))</f>
        <v>San Antonio Spurs</v>
      </c>
      <c r="L27" s="10">
        <f>IF(Planilha1!F24="","",Planilha1!F24)</f>
        <v>126</v>
      </c>
      <c r="M27" s="10">
        <f>IF(Planilha1!G24="","",IF(Planilha1!G24=0,"",Planilha1!G24))</f>
        <v>126</v>
      </c>
      <c r="N27" s="5">
        <f t="shared" si="6"/>
        <v>1</v>
      </c>
      <c r="O27" s="5">
        <f t="shared" si="7"/>
        <v>0</v>
      </c>
      <c r="P27" s="5">
        <f t="shared" si="8"/>
        <v>0</v>
      </c>
      <c r="Q27" s="5">
        <f t="shared" si="1"/>
        <v>2</v>
      </c>
      <c r="R27" s="7">
        <f t="shared" si="2"/>
        <v>0</v>
      </c>
      <c r="S27" s="7">
        <f t="shared" si="3"/>
        <v>0</v>
      </c>
      <c r="T27" s="3">
        <f t="shared" si="4"/>
        <v>1</v>
      </c>
      <c r="V27" s="1" t="e">
        <f t="shared" si="5"/>
        <v>#DIV/0!</v>
      </c>
    </row>
    <row r="28" spans="1:22" x14ac:dyDescent="0.3">
      <c r="A28" s="8" t="e">
        <f t="shared" si="0"/>
        <v>#DIV/0!</v>
      </c>
      <c r="B28" s="3" t="s">
        <v>29</v>
      </c>
      <c r="C28" s="3">
        <v>6.949361788293093E-2</v>
      </c>
      <c r="D28" s="3">
        <v>0.28331792297054753</v>
      </c>
      <c r="E28" s="4">
        <v>0.55176955551189055</v>
      </c>
      <c r="F28" s="4">
        <v>9.5418906004220205E-2</v>
      </c>
      <c r="H28" s="10" t="str">
        <f>IF(Planilha1!B25="","",Planilha1!B25)</f>
        <v>8:30p</v>
      </c>
      <c r="I28" s="10" t="str">
        <f>IF(Planilha1!C25="","",Planilha1!C25)</f>
        <v>Brooklyn Nets</v>
      </c>
      <c r="J28" s="10">
        <f>IF(Planilha1!D25="","",Planilha1!D25)</f>
        <v>120</v>
      </c>
      <c r="K28" s="10" t="str">
        <f>IF(Planilha1!E25="","",IF(Planilha1!E25=0,"",Planilha1!E25))</f>
        <v>Dallas Mavericks</v>
      </c>
      <c r="L28" s="10">
        <f>IF(Planilha1!F25="","",Planilha1!F25)</f>
        <v>125</v>
      </c>
      <c r="M28" s="10">
        <f>IF(Planilha1!G25="","",IF(Planilha1!G25=0,"",Planilha1!G25))</f>
        <v>125</v>
      </c>
      <c r="N28" s="5">
        <f t="shared" si="6"/>
        <v>1</v>
      </c>
      <c r="O28" s="5">
        <f t="shared" si="7"/>
        <v>0</v>
      </c>
      <c r="P28" s="5">
        <f t="shared" si="8"/>
        <v>0</v>
      </c>
      <c r="Q28" s="5">
        <f t="shared" si="1"/>
        <v>2</v>
      </c>
      <c r="R28" s="7">
        <f t="shared" si="2"/>
        <v>0</v>
      </c>
      <c r="S28" s="7">
        <f t="shared" si="3"/>
        <v>0</v>
      </c>
      <c r="T28" s="3">
        <f t="shared" si="4"/>
        <v>1</v>
      </c>
      <c r="V28" s="1" t="e">
        <f t="shared" si="5"/>
        <v>#DIV/0!</v>
      </c>
    </row>
    <row r="29" spans="1:22" x14ac:dyDescent="0.3">
      <c r="A29" s="8" t="e">
        <f t="shared" si="0"/>
        <v>#DIV/0!</v>
      </c>
      <c r="B29" s="3" t="s">
        <v>24</v>
      </c>
      <c r="C29" s="3">
        <v>0.3173363627797347</v>
      </c>
      <c r="D29" s="3">
        <v>3.547517635945345E-2</v>
      </c>
      <c r="E29" s="4">
        <v>0.34320560844291331</v>
      </c>
      <c r="F29" s="4">
        <v>0.30398285160255678</v>
      </c>
      <c r="H29" s="10" t="str">
        <f>IF(Planilha1!B26="","",Planilha1!B26)</f>
        <v>9:30p</v>
      </c>
      <c r="I29" s="10" t="str">
        <f>IF(Planilha1!C26="","",Planilha1!C26)</f>
        <v>Los Angeles Clippers</v>
      </c>
      <c r="J29" s="10">
        <f>IF(Planilha1!D26="","",Planilha1!D26)</f>
        <v>118</v>
      </c>
      <c r="K29" s="10" t="str">
        <f>IF(Planilha1!E26="","",IF(Planilha1!E26=0,"",Planilha1!E26))</f>
        <v>Utah Jazz</v>
      </c>
      <c r="L29" s="10">
        <f>IF(Planilha1!F26="","",Planilha1!F26)</f>
        <v>120</v>
      </c>
      <c r="M29" s="10">
        <f>IF(Planilha1!G26="","",IF(Planilha1!G26=0,"",Planilha1!G26))</f>
        <v>120</v>
      </c>
      <c r="N29" s="5">
        <f t="shared" si="6"/>
        <v>1</v>
      </c>
      <c r="O29" s="5">
        <f t="shared" si="7"/>
        <v>0</v>
      </c>
      <c r="P29" s="5">
        <f t="shared" si="8"/>
        <v>0</v>
      </c>
      <c r="Q29" s="5">
        <f t="shared" si="1"/>
        <v>2</v>
      </c>
      <c r="R29" s="7">
        <f t="shared" si="2"/>
        <v>0</v>
      </c>
      <c r="S29" s="7">
        <f t="shared" si="3"/>
        <v>0</v>
      </c>
      <c r="T29" s="3">
        <f t="shared" si="4"/>
        <v>1</v>
      </c>
      <c r="V29" s="1" t="e">
        <f t="shared" si="5"/>
        <v>#DIV/0!</v>
      </c>
    </row>
    <row r="30" spans="1:22" x14ac:dyDescent="0.3">
      <c r="A30" s="8" t="e">
        <f t="shared" si="0"/>
        <v>#DIV/0!</v>
      </c>
      <c r="B30" s="3" t="s">
        <v>39</v>
      </c>
      <c r="C30" s="3">
        <v>0.27788626366333319</v>
      </c>
      <c r="D30" s="3">
        <v>7.4925274323698887E-2</v>
      </c>
      <c r="E30" s="4">
        <v>0.42750757667932832</v>
      </c>
      <c r="F30" s="4">
        <v>0.21968088342055747</v>
      </c>
      <c r="H30" s="10" t="str">
        <f>IF(Planilha1!B27="","",Planilha1!B27)</f>
        <v>10:00p</v>
      </c>
      <c r="I30" s="10" t="str">
        <f>IF(Planilha1!C27="","",Planilha1!C27)</f>
        <v>Orlando Magic</v>
      </c>
      <c r="J30" s="10">
        <f>IF(Planilha1!D27="","",Planilha1!D27)</f>
        <v>102</v>
      </c>
      <c r="K30" s="10" t="str">
        <f>IF(Planilha1!E27="","",IF(Planilha1!E27=0,"",Planilha1!E27))</f>
        <v>Portland Trail Blazers</v>
      </c>
      <c r="L30" s="10">
        <f>IF(Planilha1!F27="","",Planilha1!F27)</f>
        <v>97</v>
      </c>
      <c r="M30" s="10">
        <f>IF(Planilha1!G27="","",IF(Planilha1!G27=0,"",Planilha1!G27))</f>
        <v>97</v>
      </c>
      <c r="N30" s="5">
        <f t="shared" si="6"/>
        <v>1</v>
      </c>
      <c r="O30" s="5">
        <f t="shared" si="7"/>
        <v>0</v>
      </c>
      <c r="P30" s="5">
        <f t="shared" si="8"/>
        <v>0</v>
      </c>
      <c r="Q30" s="5">
        <f t="shared" si="1"/>
        <v>2</v>
      </c>
      <c r="R30" s="7">
        <f t="shared" si="2"/>
        <v>0</v>
      </c>
      <c r="S30" s="7">
        <f t="shared" si="3"/>
        <v>0</v>
      </c>
      <c r="T30" s="3">
        <f t="shared" si="4"/>
        <v>1</v>
      </c>
      <c r="V30" s="1" t="e">
        <f t="shared" si="5"/>
        <v>#DIV/0!</v>
      </c>
    </row>
    <row r="31" spans="1:22" x14ac:dyDescent="0.3">
      <c r="A31" s="8" t="e">
        <f t="shared" si="0"/>
        <v>#DIV/0!</v>
      </c>
      <c r="B31" s="3" t="s">
        <v>20</v>
      </c>
      <c r="C31" s="3">
        <v>0.37713142526219973</v>
      </c>
      <c r="D31" s="3">
        <v>-2.4319885216365855E-2</v>
      </c>
      <c r="E31" s="4">
        <v>0.56147227038425584</v>
      </c>
      <c r="F31" s="4">
        <v>8.571619116129485E-2</v>
      </c>
      <c r="H31" s="10" t="str">
        <f>IF(Planilha1!B28="","",Planilha1!B28)</f>
        <v>10:00p</v>
      </c>
      <c r="I31" s="10" t="str">
        <f>IF(Planilha1!C28="","",Planilha1!C28)</f>
        <v>Golden State Warriors</v>
      </c>
      <c r="J31" s="10">
        <f>IF(Planilha1!D28="","",Planilha1!D28)</f>
        <v>122</v>
      </c>
      <c r="K31" s="10" t="str">
        <f>IF(Planilha1!E28="","",IF(Planilha1!E28=0,"",Planilha1!E28))</f>
        <v>Sacramento Kings</v>
      </c>
      <c r="L31" s="10">
        <f>IF(Planilha1!F28="","",Planilha1!F28)</f>
        <v>114</v>
      </c>
      <c r="M31" s="10">
        <f>IF(Planilha1!G28="","",IF(Planilha1!G28=0,"",Planilha1!G28))</f>
        <v>114</v>
      </c>
      <c r="N31" s="5">
        <f t="shared" si="6"/>
        <v>1</v>
      </c>
      <c r="O31" s="5">
        <f t="shared" si="7"/>
        <v>0</v>
      </c>
      <c r="P31" s="5">
        <f t="shared" si="8"/>
        <v>0</v>
      </c>
      <c r="Q31" s="5">
        <f t="shared" si="1"/>
        <v>2</v>
      </c>
      <c r="R31" s="7">
        <f t="shared" si="2"/>
        <v>0</v>
      </c>
      <c r="S31" s="7">
        <f t="shared" si="3"/>
        <v>0</v>
      </c>
      <c r="T31" s="3">
        <f t="shared" si="4"/>
        <v>1</v>
      </c>
      <c r="V31" s="1" t="e">
        <f t="shared" si="5"/>
        <v>#DIV/0!</v>
      </c>
    </row>
    <row r="32" spans="1:22" x14ac:dyDescent="0.3">
      <c r="A32" s="8" t="e">
        <f t="shared" si="0"/>
        <v>#DIV/0!</v>
      </c>
      <c r="B32" s="3" t="s">
        <v>37</v>
      </c>
      <c r="C32" s="3">
        <v>0.38662419660939829</v>
      </c>
      <c r="D32" s="3">
        <v>-3.3812656392812432E-2</v>
      </c>
      <c r="E32" s="4">
        <v>0.65433056509659682</v>
      </c>
      <c r="F32" s="4">
        <v>-7.1421039373883834E-3</v>
      </c>
      <c r="H32" s="10" t="str">
        <f>IF(Planilha1!B29="","",Planilha1!B29)</f>
        <v>7:00p</v>
      </c>
      <c r="I32" s="10" t="str">
        <f>IF(Planilha1!C29="","",Planilha1!C29)</f>
        <v>Chicago Bulls</v>
      </c>
      <c r="J32" s="10">
        <f>IF(Planilha1!D29="","",Planilha1!D29)</f>
        <v>102</v>
      </c>
      <c r="K32" s="10" t="str">
        <f>IF(Planilha1!E29="","",IF(Planilha1!E29=0,"",Planilha1!E29))</f>
        <v>Detroit Pistons</v>
      </c>
      <c r="L32" s="10">
        <f>IF(Planilha1!F29="","",Planilha1!F29)</f>
        <v>118</v>
      </c>
      <c r="M32" s="10">
        <f>IF(Planilha1!G29="","",IF(Planilha1!G29=0,"",Planilha1!G29))</f>
        <v>118</v>
      </c>
      <c r="N32" s="5">
        <f t="shared" si="6"/>
        <v>1</v>
      </c>
      <c r="O32" s="5">
        <f t="shared" si="7"/>
        <v>0</v>
      </c>
      <c r="P32" s="5">
        <f t="shared" si="8"/>
        <v>0</v>
      </c>
      <c r="Q32" s="5">
        <f t="shared" si="1"/>
        <v>2</v>
      </c>
      <c r="R32" s="7">
        <f t="shared" si="2"/>
        <v>0</v>
      </c>
      <c r="S32" s="7">
        <f t="shared" si="3"/>
        <v>0</v>
      </c>
      <c r="T32" s="3">
        <f t="shared" si="4"/>
        <v>1</v>
      </c>
      <c r="V32" s="1" t="e">
        <f t="shared" si="5"/>
        <v>#DIV/0!</v>
      </c>
    </row>
    <row r="33" spans="1:22" x14ac:dyDescent="0.3">
      <c r="A33" s="8" t="e">
        <f t="shared" si="0"/>
        <v>#DIV/0!</v>
      </c>
      <c r="B33" s="3" t="s">
        <v>17</v>
      </c>
      <c r="C33" s="3">
        <v>0.4655478566391788</v>
      </c>
      <c r="D33" s="3">
        <v>-0.11273631573364039</v>
      </c>
      <c r="E33" s="4">
        <v>0.64954140924474257</v>
      </c>
      <c r="F33" s="4">
        <v>-2.3529481794299424E-3</v>
      </c>
      <c r="H33" s="10" t="str">
        <f>IF(Planilha1!B30="","",Planilha1!B30)</f>
        <v>7:00p</v>
      </c>
      <c r="I33" s="10" t="str">
        <f>IF(Planilha1!C30="","",Planilha1!C30)</f>
        <v>Memphis Grizzlies</v>
      </c>
      <c r="J33" s="10">
        <f>IF(Planilha1!D30="","",Planilha1!D30)</f>
        <v>106</v>
      </c>
      <c r="K33" s="10" t="str">
        <f>IF(Planilha1!E30="","",IF(Planilha1!E30=0,"",Planilha1!E30))</f>
        <v>Washington Wizards</v>
      </c>
      <c r="L33" s="10">
        <f>IF(Planilha1!F30="","",Planilha1!F30)</f>
        <v>113</v>
      </c>
      <c r="M33" s="10">
        <f>IF(Planilha1!G30="","",IF(Planilha1!G30=0,"",Planilha1!G30))</f>
        <v>113</v>
      </c>
      <c r="N33" s="5">
        <f t="shared" si="6"/>
        <v>1</v>
      </c>
      <c r="O33" s="5">
        <f t="shared" si="7"/>
        <v>0</v>
      </c>
      <c r="P33" s="5">
        <f t="shared" si="8"/>
        <v>0</v>
      </c>
      <c r="Q33" s="5">
        <f t="shared" si="1"/>
        <v>2</v>
      </c>
      <c r="R33" s="7">
        <f t="shared" si="2"/>
        <v>0</v>
      </c>
      <c r="S33" s="7">
        <f t="shared" si="3"/>
        <v>0</v>
      </c>
      <c r="T33" s="3">
        <f t="shared" si="4"/>
        <v>1</v>
      </c>
      <c r="V33" s="1" t="e">
        <f t="shared" si="5"/>
        <v>#DIV/0!</v>
      </c>
    </row>
    <row r="34" spans="1:22" x14ac:dyDescent="0.3">
      <c r="A34" s="8" t="e">
        <f t="shared" si="0"/>
        <v>#DIV/0!</v>
      </c>
      <c r="B34" s="3" t="s">
        <v>21</v>
      </c>
      <c r="C34" s="3">
        <v>0.45796353294851633</v>
      </c>
      <c r="D34" s="3">
        <v>-0.10515199326507013</v>
      </c>
      <c r="E34" s="4">
        <v>0.69900673931839996</v>
      </c>
      <c r="F34" s="4">
        <v>-5.1818279281052246E-2</v>
      </c>
      <c r="H34" s="10" t="str">
        <f>IF(Planilha1!B31="","",Planilha1!B31)</f>
        <v>7:00p</v>
      </c>
      <c r="I34" s="10" t="str">
        <f>IF(Planilha1!C31="","",Planilha1!C31)</f>
        <v>New York Knicks</v>
      </c>
      <c r="J34" s="10">
        <f>IF(Planilha1!D31="","",Planilha1!D31)</f>
        <v>87</v>
      </c>
      <c r="K34" s="10" t="str">
        <f>IF(Planilha1!E31="","",IF(Planilha1!E31=0,"",Planilha1!E31))</f>
        <v>New Orleans Pelicans</v>
      </c>
      <c r="L34" s="10">
        <f>IF(Planilha1!F31="","",Planilha1!F31)</f>
        <v>96</v>
      </c>
      <c r="M34" s="10">
        <f>IF(Planilha1!G31="","",IF(Planilha1!G31=0,"",Planilha1!G31))</f>
        <v>96</v>
      </c>
      <c r="N34" s="5">
        <f t="shared" si="6"/>
        <v>1</v>
      </c>
      <c r="O34" s="5">
        <f t="shared" si="7"/>
        <v>0</v>
      </c>
      <c r="P34" s="5">
        <f t="shared" si="8"/>
        <v>0</v>
      </c>
      <c r="Q34" s="5">
        <f t="shared" si="1"/>
        <v>2</v>
      </c>
      <c r="R34" s="7">
        <f t="shared" si="2"/>
        <v>0</v>
      </c>
      <c r="S34" s="7">
        <f t="shared" si="3"/>
        <v>0</v>
      </c>
      <c r="T34" s="3">
        <f t="shared" si="4"/>
        <v>1</v>
      </c>
      <c r="V34" s="1" t="e">
        <f t="shared" si="5"/>
        <v>#DIV/0!</v>
      </c>
    </row>
    <row r="35" spans="1:22" x14ac:dyDescent="0.3">
      <c r="H35" s="10" t="str">
        <f>IF(Planilha1!B32="","",Planilha1!B32)</f>
        <v>7:30p</v>
      </c>
      <c r="I35" s="10" t="str">
        <f>IF(Planilha1!C32="","",Planilha1!C32)</f>
        <v>Indiana Pacers</v>
      </c>
      <c r="J35" s="10">
        <f>IF(Planilha1!D32="","",Planilha1!D32)</f>
        <v>125</v>
      </c>
      <c r="K35" s="10" t="str">
        <f>IF(Planilha1!E32="","",IF(Planilha1!E32=0,"",Planilha1!E32))</f>
        <v>Cleveland Cavaliers</v>
      </c>
      <c r="L35" s="10">
        <f>IF(Planilha1!F32="","",Planilha1!F32)</f>
        <v>113</v>
      </c>
      <c r="M35" s="10">
        <f>IF(Planilha1!G32="","",IF(Planilha1!G32=0,"",Planilha1!G32))</f>
        <v>113</v>
      </c>
      <c r="N35" s="5">
        <f t="shared" si="6"/>
        <v>1</v>
      </c>
      <c r="O35" s="5">
        <f t="shared" si="7"/>
        <v>0</v>
      </c>
      <c r="P35" s="5">
        <f t="shared" si="8"/>
        <v>0</v>
      </c>
      <c r="Q35" s="5">
        <f t="shared" si="1"/>
        <v>2</v>
      </c>
      <c r="R35" s="7">
        <f t="shared" si="2"/>
        <v>0</v>
      </c>
      <c r="S35" s="7">
        <f t="shared" si="3"/>
        <v>0</v>
      </c>
      <c r="T35" s="3">
        <f t="shared" si="4"/>
        <v>1</v>
      </c>
      <c r="V35" s="1" t="e">
        <f t="shared" si="5"/>
        <v>#DIV/0!</v>
      </c>
    </row>
    <row r="36" spans="1:22" x14ac:dyDescent="0.3">
      <c r="H36" s="10" t="str">
        <f>IF(Planilha1!B33="","",Planilha1!B33)</f>
        <v>7:30p</v>
      </c>
      <c r="I36" s="10" t="str">
        <f>IF(Planilha1!C33="","",Planilha1!C33)</f>
        <v>Philadelphia 76ers</v>
      </c>
      <c r="J36" s="10">
        <f>IF(Planilha1!D33="","",Planilha1!D33)</f>
        <v>114</v>
      </c>
      <c r="K36" s="10" t="str">
        <f>IF(Planilha1!E33="","",IF(Planilha1!E33=0,"",Planilha1!E33))</f>
        <v>Toronto Raptors</v>
      </c>
      <c r="L36" s="10">
        <f>IF(Planilha1!F33="","",Planilha1!F33)</f>
        <v>107</v>
      </c>
      <c r="M36" s="10">
        <f>IF(Planilha1!G33="","",IF(Planilha1!G33=0,"",Planilha1!G33))</f>
        <v>107</v>
      </c>
      <c r="N36" s="5">
        <f t="shared" si="6"/>
        <v>1</v>
      </c>
      <c r="O36" s="5">
        <f t="shared" si="7"/>
        <v>0</v>
      </c>
      <c r="P36" s="5">
        <f t="shared" si="8"/>
        <v>0</v>
      </c>
      <c r="Q36" s="5">
        <f t="shared" si="1"/>
        <v>2</v>
      </c>
      <c r="R36" s="7">
        <f t="shared" si="2"/>
        <v>0</v>
      </c>
      <c r="S36" s="7">
        <f t="shared" si="3"/>
        <v>0</v>
      </c>
      <c r="T36" s="3">
        <f t="shared" si="4"/>
        <v>1</v>
      </c>
      <c r="V36" s="1" t="e">
        <f t="shared" si="5"/>
        <v>#DIV/0!</v>
      </c>
    </row>
    <row r="37" spans="1:22" x14ac:dyDescent="0.3">
      <c r="H37" s="10" t="str">
        <f>IF(Planilha1!B34="","",Planilha1!B34)</f>
        <v>8:00p</v>
      </c>
      <c r="I37" s="10" t="str">
        <f>IF(Planilha1!C34="","",Planilha1!C34)</f>
        <v>Miami Heat</v>
      </c>
      <c r="J37" s="10">
        <f>IF(Planilha1!D34="","",Planilha1!D34)</f>
        <v>90</v>
      </c>
      <c r="K37" s="10" t="str">
        <f>IF(Planilha1!E34="","",IF(Planilha1!E34=0,"",Planilha1!E34))</f>
        <v>Minnesota Timberwolves</v>
      </c>
      <c r="L37" s="10">
        <f>IF(Planilha1!F34="","",Planilha1!F34)</f>
        <v>106</v>
      </c>
      <c r="M37" s="10">
        <f>IF(Planilha1!G34="","",IF(Planilha1!G34=0,"",Planilha1!G34))</f>
        <v>106</v>
      </c>
      <c r="N37" s="5">
        <f t="shared" si="6"/>
        <v>1</v>
      </c>
      <c r="O37" s="5">
        <f t="shared" si="7"/>
        <v>0</v>
      </c>
      <c r="P37" s="5">
        <f t="shared" si="8"/>
        <v>0</v>
      </c>
      <c r="Q37" s="5">
        <f t="shared" si="1"/>
        <v>2</v>
      </c>
      <c r="R37" s="7">
        <f t="shared" si="2"/>
        <v>0</v>
      </c>
      <c r="S37" s="7">
        <f t="shared" si="3"/>
        <v>0</v>
      </c>
      <c r="T37" s="3">
        <f t="shared" si="4"/>
        <v>1</v>
      </c>
      <c r="V37" s="1" t="e">
        <f t="shared" si="5"/>
        <v>#DIV/0!</v>
      </c>
    </row>
    <row r="38" spans="1:22" x14ac:dyDescent="0.3">
      <c r="H38" s="10" t="str">
        <f>IF(Planilha1!B35="","",Planilha1!B35)</f>
        <v>10:00p</v>
      </c>
      <c r="I38" s="10" t="str">
        <f>IF(Planilha1!C35="","",Planilha1!C35)</f>
        <v>Utah Jazz</v>
      </c>
      <c r="J38" s="10">
        <f>IF(Planilha1!D35="","",Planilha1!D35)</f>
        <v>104</v>
      </c>
      <c r="K38" s="10" t="str">
        <f>IF(Planilha1!E35="","",IF(Planilha1!E35=0,"",Planilha1!E35))</f>
        <v>Phoenix Suns</v>
      </c>
      <c r="L38" s="10">
        <f>IF(Planilha1!F35="","",Planilha1!F35)</f>
        <v>126</v>
      </c>
      <c r="M38" s="10">
        <f>IF(Planilha1!G35="","",IF(Planilha1!G35=0,"",Planilha1!G35))</f>
        <v>126</v>
      </c>
      <c r="N38" s="5">
        <f t="shared" si="6"/>
        <v>1</v>
      </c>
      <c r="O38" s="5">
        <f t="shared" si="7"/>
        <v>0</v>
      </c>
      <c r="P38" s="5">
        <f t="shared" si="8"/>
        <v>0</v>
      </c>
      <c r="Q38" s="5">
        <f t="shared" si="1"/>
        <v>2</v>
      </c>
      <c r="R38" s="7">
        <f t="shared" si="2"/>
        <v>0</v>
      </c>
      <c r="S38" s="7">
        <f t="shared" si="3"/>
        <v>0</v>
      </c>
      <c r="T38" s="3">
        <f t="shared" si="4"/>
        <v>1</v>
      </c>
      <c r="V38" s="1" t="e">
        <f t="shared" si="5"/>
        <v>#DIV/0!</v>
      </c>
    </row>
    <row r="39" spans="1:22" x14ac:dyDescent="0.3">
      <c r="H39" s="10" t="str">
        <f>IF(Planilha1!B36="","",Planilha1!B36)</f>
        <v>3:30p</v>
      </c>
      <c r="I39" s="10" t="str">
        <f>IF(Planilha1!C36="","",Planilha1!C36)</f>
        <v>Denver Nuggets</v>
      </c>
      <c r="J39" s="10">
        <f>IF(Planilha1!D36="","",Planilha1!D36)</f>
        <v>128</v>
      </c>
      <c r="K39" s="10" t="str">
        <f>IF(Planilha1!E36="","",IF(Planilha1!E36=0,"",Planilha1!E36))</f>
        <v>Oklahoma City Thunder</v>
      </c>
      <c r="L39" s="10">
        <f>IF(Planilha1!F36="","",Planilha1!F36)</f>
        <v>95</v>
      </c>
      <c r="M39" s="10">
        <f>IF(Planilha1!G36="","",IF(Planilha1!G36=0,"",Planilha1!G36))</f>
        <v>95</v>
      </c>
      <c r="N39" s="5">
        <f t="shared" si="6"/>
        <v>1</v>
      </c>
      <c r="O39" s="5">
        <f t="shared" si="7"/>
        <v>0</v>
      </c>
      <c r="P39" s="5">
        <f t="shared" si="8"/>
        <v>0</v>
      </c>
      <c r="Q39" s="5">
        <f t="shared" si="1"/>
        <v>2</v>
      </c>
      <c r="R39" s="7">
        <f t="shared" si="2"/>
        <v>0</v>
      </c>
      <c r="S39" s="7">
        <f t="shared" si="3"/>
        <v>0</v>
      </c>
      <c r="T39" s="3">
        <f t="shared" si="4"/>
        <v>1</v>
      </c>
      <c r="V39" s="1" t="e">
        <f t="shared" si="5"/>
        <v>#DIV/0!</v>
      </c>
    </row>
    <row r="40" spans="1:22" x14ac:dyDescent="0.3">
      <c r="H40" s="10" t="str">
        <f>IF(Planilha1!B37="","",Planilha1!B37)</f>
        <v>7:00p</v>
      </c>
      <c r="I40" s="10" t="str">
        <f>IF(Planilha1!C37="","",Planilha1!C37)</f>
        <v>Golden State Warriors</v>
      </c>
      <c r="J40" s="10">
        <f>IF(Planilha1!D37="","",Planilha1!D37)</f>
        <v>106</v>
      </c>
      <c r="K40" s="10" t="str">
        <f>IF(Planilha1!E37="","",IF(Planilha1!E37=0,"",Planilha1!E37))</f>
        <v>Houston Rockets</v>
      </c>
      <c r="L40" s="10">
        <f>IF(Planilha1!F37="","",Planilha1!F37)</f>
        <v>95</v>
      </c>
      <c r="M40" s="10">
        <f>IF(Planilha1!G37="","",IF(Planilha1!G37=0,"",Planilha1!G37))</f>
        <v>95</v>
      </c>
      <c r="N40" s="5">
        <f t="shared" si="6"/>
        <v>1</v>
      </c>
      <c r="O40" s="5">
        <f t="shared" si="7"/>
        <v>0</v>
      </c>
      <c r="P40" s="5">
        <f t="shared" si="8"/>
        <v>0</v>
      </c>
      <c r="Q40" s="5">
        <f t="shared" si="1"/>
        <v>2</v>
      </c>
      <c r="R40" s="7">
        <f t="shared" si="2"/>
        <v>0</v>
      </c>
      <c r="S40" s="7">
        <f t="shared" si="3"/>
        <v>0</v>
      </c>
      <c r="T40" s="3">
        <f t="shared" si="4"/>
        <v>1</v>
      </c>
      <c r="V40" s="1" t="e">
        <f t="shared" si="5"/>
        <v>#DIV/0!</v>
      </c>
    </row>
    <row r="41" spans="1:22" x14ac:dyDescent="0.3">
      <c r="H41" s="10" t="str">
        <f>IF(Planilha1!B38="","",Planilha1!B38)</f>
        <v>7:00p</v>
      </c>
      <c r="I41" s="10" t="str">
        <f>IF(Planilha1!C38="","",Planilha1!C38)</f>
        <v>Atlanta Hawks</v>
      </c>
      <c r="J41" s="10">
        <f>IF(Planilha1!D38="","",Planilha1!D38)</f>
        <v>127</v>
      </c>
      <c r="K41" s="10" t="str">
        <f>IF(Planilha1!E38="","",IF(Planilha1!E38=0,"",Planilha1!E38))</f>
        <v>Milwaukee Bucks</v>
      </c>
      <c r="L41" s="10">
        <f>IF(Planilha1!F38="","",Planilha1!F38)</f>
        <v>110</v>
      </c>
      <c r="M41" s="10">
        <f>IF(Planilha1!G38="","",IF(Planilha1!G38=0,"",Planilha1!G38))</f>
        <v>110</v>
      </c>
      <c r="N41" s="5">
        <f t="shared" si="6"/>
        <v>1</v>
      </c>
      <c r="O41" s="5">
        <f t="shared" si="7"/>
        <v>0</v>
      </c>
      <c r="P41" s="5">
        <f t="shared" si="8"/>
        <v>0</v>
      </c>
      <c r="Q41" s="5">
        <f t="shared" si="1"/>
        <v>2</v>
      </c>
      <c r="R41" s="7">
        <f t="shared" si="2"/>
        <v>0</v>
      </c>
      <c r="S41" s="7">
        <f t="shared" si="3"/>
        <v>0</v>
      </c>
      <c r="T41" s="3">
        <f t="shared" si="4"/>
        <v>1</v>
      </c>
      <c r="V41" s="1" t="e">
        <f t="shared" si="5"/>
        <v>#DIV/0!</v>
      </c>
    </row>
    <row r="42" spans="1:22" x14ac:dyDescent="0.3">
      <c r="H42" s="10" t="str">
        <f>IF(Planilha1!B39="","",Planilha1!B39)</f>
        <v>7:30p</v>
      </c>
      <c r="I42" s="10" t="str">
        <f>IF(Planilha1!C39="","",Planilha1!C39)</f>
        <v>Portland Trail Blazers</v>
      </c>
      <c r="J42" s="10">
        <f>IF(Planilha1!D39="","",Planilha1!D39)</f>
        <v>98</v>
      </c>
      <c r="K42" s="10" t="str">
        <f>IF(Planilha1!E39="","",IF(Planilha1!E39=0,"",Planilha1!E39))</f>
        <v>Philadelphia 76ers</v>
      </c>
      <c r="L42" s="10">
        <f>IF(Planilha1!F39="","",Planilha1!F39)</f>
        <v>126</v>
      </c>
      <c r="M42" s="10">
        <f>IF(Planilha1!G39="","",IF(Planilha1!G39=0,"",Planilha1!G39))</f>
        <v>126</v>
      </c>
      <c r="N42" s="5">
        <f t="shared" si="6"/>
        <v>1</v>
      </c>
      <c r="O42" s="5">
        <f t="shared" si="7"/>
        <v>0</v>
      </c>
      <c r="P42" s="5">
        <f t="shared" si="8"/>
        <v>0</v>
      </c>
      <c r="Q42" s="5">
        <f t="shared" si="1"/>
        <v>2</v>
      </c>
      <c r="R42" s="7">
        <f t="shared" si="2"/>
        <v>0</v>
      </c>
      <c r="S42" s="7">
        <f t="shared" si="3"/>
        <v>0</v>
      </c>
      <c r="T42" s="3">
        <f t="shared" si="4"/>
        <v>1</v>
      </c>
      <c r="V42" s="1" t="e">
        <f t="shared" si="5"/>
        <v>#DIV/0!</v>
      </c>
    </row>
    <row r="43" spans="1:22" x14ac:dyDescent="0.3">
      <c r="H43" s="10" t="str">
        <f>IF(Planilha1!B40="","",Planilha1!B40)</f>
        <v>9:00p</v>
      </c>
      <c r="I43" s="10" t="str">
        <f>IF(Planilha1!C40="","",Planilha1!C40)</f>
        <v>San Antonio Spurs</v>
      </c>
      <c r="J43" s="10">
        <f>IF(Planilha1!D40="","",Planilha1!D40)</f>
        <v>83</v>
      </c>
      <c r="K43" s="10" t="str">
        <f>IF(Planilha1!E40="","",IF(Planilha1!E40=0,"",Planilha1!E40))</f>
        <v>Los Angeles Clippers</v>
      </c>
      <c r="L43" s="10">
        <f>IF(Planilha1!F40="","",Planilha1!F40)</f>
        <v>123</v>
      </c>
      <c r="M43" s="10">
        <f>IF(Planilha1!G40="","",IF(Planilha1!G40=0,"",Planilha1!G40))</f>
        <v>123</v>
      </c>
      <c r="N43" s="5">
        <f t="shared" si="6"/>
        <v>1</v>
      </c>
      <c r="O43" s="5">
        <f t="shared" si="7"/>
        <v>0</v>
      </c>
      <c r="P43" s="5">
        <f t="shared" si="8"/>
        <v>0</v>
      </c>
      <c r="Q43" s="5">
        <f t="shared" si="1"/>
        <v>2</v>
      </c>
      <c r="R43" s="7">
        <f t="shared" si="2"/>
        <v>0</v>
      </c>
      <c r="S43" s="7">
        <f t="shared" si="3"/>
        <v>0</v>
      </c>
      <c r="T43" s="3">
        <f t="shared" si="4"/>
        <v>1</v>
      </c>
      <c r="V43" s="1" t="e">
        <f t="shared" si="5"/>
        <v>#DIV/0!</v>
      </c>
    </row>
    <row r="44" spans="1:22" x14ac:dyDescent="0.3">
      <c r="H44" s="10" t="str">
        <f>IF(Planilha1!B41="","",Planilha1!B41)</f>
        <v>9:00p</v>
      </c>
      <c r="I44" s="10" t="str">
        <f>IF(Planilha1!C41="","",Planilha1!C41)</f>
        <v>Los Angeles Lakers</v>
      </c>
      <c r="J44" s="10">
        <f>IF(Planilha1!D41="","",Planilha1!D41)</f>
        <v>127</v>
      </c>
      <c r="K44" s="10" t="str">
        <f>IF(Planilha1!E41="","",IF(Planilha1!E41=0,"",Planilha1!E41))</f>
        <v>Sacramento Kings</v>
      </c>
      <c r="L44" s="10">
        <f>IF(Planilha1!F41="","",Planilha1!F41)</f>
        <v>132</v>
      </c>
      <c r="M44" s="10">
        <f>IF(Planilha1!G41="","",IF(Planilha1!G41=0,"",Planilha1!G41))</f>
        <v>132</v>
      </c>
      <c r="N44" s="5">
        <f t="shared" si="6"/>
        <v>1</v>
      </c>
      <c r="O44" s="5">
        <f t="shared" si="7"/>
        <v>0</v>
      </c>
      <c r="P44" s="5">
        <f t="shared" si="8"/>
        <v>0</v>
      </c>
      <c r="Q44" s="5">
        <f t="shared" si="1"/>
        <v>2</v>
      </c>
      <c r="R44" s="7">
        <f t="shared" si="2"/>
        <v>0</v>
      </c>
      <c r="S44" s="7">
        <f t="shared" si="3"/>
        <v>0</v>
      </c>
      <c r="T44" s="3">
        <f t="shared" si="4"/>
        <v>1</v>
      </c>
      <c r="V44" s="1" t="e">
        <f t="shared" si="5"/>
        <v>#DIV/0!</v>
      </c>
    </row>
    <row r="45" spans="1:22" x14ac:dyDescent="0.3">
      <c r="H45" s="10" t="str">
        <f>IF(Planilha1!B42="","",Planilha1!B42)</f>
        <v>7:00p</v>
      </c>
      <c r="I45" s="10" t="str">
        <f>IF(Planilha1!C42="","",Planilha1!C42)</f>
        <v>Chicago Bulls</v>
      </c>
      <c r="J45" s="10">
        <f>IF(Planilha1!D42="","",Planilha1!D42)</f>
        <v>112</v>
      </c>
      <c r="K45" s="10" t="str">
        <f>IF(Planilha1!E42="","",IF(Planilha1!E42=0,"",Planilha1!E42))</f>
        <v>Indiana Pacers</v>
      </c>
      <c r="L45" s="10">
        <f>IF(Planilha1!F42="","",Planilha1!F42)</f>
        <v>105</v>
      </c>
      <c r="M45" s="10">
        <f>IF(Planilha1!G42="","",IF(Planilha1!G42=0,"",Planilha1!G42))</f>
        <v>105</v>
      </c>
      <c r="N45" s="5">
        <f t="shared" si="6"/>
        <v>1</v>
      </c>
      <c r="O45" s="5">
        <f t="shared" si="7"/>
        <v>0</v>
      </c>
      <c r="P45" s="5">
        <f t="shared" si="8"/>
        <v>0</v>
      </c>
      <c r="Q45" s="5">
        <f t="shared" si="1"/>
        <v>2</v>
      </c>
      <c r="R45" s="7">
        <f t="shared" si="2"/>
        <v>0</v>
      </c>
      <c r="S45" s="7">
        <f t="shared" si="3"/>
        <v>0</v>
      </c>
      <c r="T45" s="3">
        <f t="shared" si="4"/>
        <v>1</v>
      </c>
      <c r="V45" s="1" t="e">
        <f t="shared" si="5"/>
        <v>#DIV/0!</v>
      </c>
    </row>
    <row r="46" spans="1:22" x14ac:dyDescent="0.3">
      <c r="H46" s="10" t="str">
        <f>IF(Planilha1!B43="","",Planilha1!B43)</f>
        <v>7:00p</v>
      </c>
      <c r="I46" s="10" t="str">
        <f>IF(Planilha1!C43="","",Planilha1!C43)</f>
        <v>Boston Celtics</v>
      </c>
      <c r="J46" s="10">
        <f>IF(Planilha1!D43="","",Planilha1!D43)</f>
        <v>126</v>
      </c>
      <c r="K46" s="10" t="str">
        <f>IF(Planilha1!E43="","",IF(Planilha1!E43=0,"",Planilha1!E43))</f>
        <v>Washington Wizards</v>
      </c>
      <c r="L46" s="10">
        <f>IF(Planilha1!F43="","",Planilha1!F43)</f>
        <v>107</v>
      </c>
      <c r="M46" s="10">
        <f>IF(Planilha1!G43="","",IF(Planilha1!G43=0,"",Planilha1!G43))</f>
        <v>107</v>
      </c>
      <c r="N46" s="5">
        <f t="shared" si="6"/>
        <v>1</v>
      </c>
      <c r="O46" s="5">
        <f t="shared" si="7"/>
        <v>0</v>
      </c>
      <c r="P46" s="5">
        <f t="shared" si="8"/>
        <v>0</v>
      </c>
      <c r="Q46" s="5">
        <f t="shared" si="1"/>
        <v>2</v>
      </c>
      <c r="R46" s="7">
        <f t="shared" si="2"/>
        <v>0</v>
      </c>
      <c r="S46" s="7">
        <f t="shared" si="3"/>
        <v>0</v>
      </c>
      <c r="T46" s="3">
        <f t="shared" si="4"/>
        <v>1</v>
      </c>
      <c r="V46" s="1" t="e">
        <f t="shared" si="5"/>
        <v>#DIV/0!</v>
      </c>
    </row>
    <row r="47" spans="1:22" x14ac:dyDescent="0.3">
      <c r="H47" s="10" t="str">
        <f>IF(Planilha1!B44="","",Planilha1!B44)</f>
        <v>7:00p</v>
      </c>
      <c r="I47" s="10" t="str">
        <f>IF(Planilha1!C44="","",Planilha1!C44)</f>
        <v>Brooklyn Nets</v>
      </c>
      <c r="J47" s="10">
        <f>IF(Planilha1!D44="","",Planilha1!D44)</f>
        <v>133</v>
      </c>
      <c r="K47" s="10" t="str">
        <f>IF(Planilha1!E44="","",IF(Planilha1!E44=0,"",Planilha1!E44))</f>
        <v>Charlotte Hornets</v>
      </c>
      <c r="L47" s="10">
        <f>IF(Planilha1!F44="","",Planilha1!F44)</f>
        <v>121</v>
      </c>
      <c r="M47" s="10">
        <f>IF(Planilha1!G44="","",IF(Planilha1!G44=0,"",Planilha1!G44))</f>
        <v>121</v>
      </c>
      <c r="N47" s="5">
        <f t="shared" si="6"/>
        <v>1</v>
      </c>
      <c r="O47" s="5">
        <f t="shared" si="7"/>
        <v>0</v>
      </c>
      <c r="P47" s="5">
        <f t="shared" si="8"/>
        <v>0</v>
      </c>
      <c r="Q47" s="5">
        <f t="shared" si="1"/>
        <v>2</v>
      </c>
      <c r="R47" s="7">
        <f t="shared" si="2"/>
        <v>0</v>
      </c>
      <c r="S47" s="7">
        <f t="shared" si="3"/>
        <v>0</v>
      </c>
      <c r="T47" s="3">
        <f t="shared" si="4"/>
        <v>1</v>
      </c>
      <c r="V47" s="1" t="e">
        <f t="shared" si="5"/>
        <v>#DIV/0!</v>
      </c>
    </row>
    <row r="48" spans="1:22" x14ac:dyDescent="0.3">
      <c r="H48" s="10" t="str">
        <f>IF(Planilha1!B45="","",Planilha1!B45)</f>
        <v>7:30p</v>
      </c>
      <c r="I48" s="10" t="str">
        <f>IF(Planilha1!C45="","",Planilha1!C45)</f>
        <v>Portland Trail Blazers</v>
      </c>
      <c r="J48" s="10">
        <f>IF(Planilha1!D45="","",Planilha1!D45)</f>
        <v>99</v>
      </c>
      <c r="K48" s="10" t="str">
        <f>IF(Planilha1!E45="","",IF(Planilha1!E45=0,"",Planilha1!E45))</f>
        <v>Toronto Raptors</v>
      </c>
      <c r="L48" s="10">
        <f>IF(Planilha1!F45="","",Planilha1!F45)</f>
        <v>91</v>
      </c>
      <c r="M48" s="10">
        <f>IF(Planilha1!G45="","",IF(Planilha1!G45=0,"",Planilha1!G45))</f>
        <v>91</v>
      </c>
      <c r="N48" s="5">
        <f t="shared" si="6"/>
        <v>1</v>
      </c>
      <c r="O48" s="5">
        <f t="shared" si="7"/>
        <v>0</v>
      </c>
      <c r="P48" s="5">
        <f t="shared" si="8"/>
        <v>0</v>
      </c>
      <c r="Q48" s="5">
        <f t="shared" si="1"/>
        <v>2</v>
      </c>
      <c r="R48" s="7">
        <f t="shared" si="2"/>
        <v>0</v>
      </c>
      <c r="S48" s="7">
        <f t="shared" si="3"/>
        <v>0</v>
      </c>
      <c r="T48" s="3">
        <f t="shared" si="4"/>
        <v>1</v>
      </c>
      <c r="V48" s="1" t="e">
        <f t="shared" si="5"/>
        <v>#DIV/0!</v>
      </c>
    </row>
    <row r="49" spans="8:22" x14ac:dyDescent="0.3">
      <c r="H49" s="10" t="str">
        <f>IF(Planilha1!B46="","",Planilha1!B46)</f>
        <v>7:30p</v>
      </c>
      <c r="I49" s="10" t="str">
        <f>IF(Planilha1!C46="","",Planilha1!C46)</f>
        <v>Minnesota Timberwolves</v>
      </c>
      <c r="J49" s="10">
        <f>IF(Planilha1!D46="","",Planilha1!D46)</f>
        <v>113</v>
      </c>
      <c r="K49" s="10" t="str">
        <f>IF(Planilha1!E46="","",IF(Planilha1!E46=0,"",Planilha1!E46))</f>
        <v>Atlanta Hawks</v>
      </c>
      <c r="L49" s="10">
        <f>IF(Planilha1!F46="","",Planilha1!F46)</f>
        <v>127</v>
      </c>
      <c r="M49" s="10">
        <f>IF(Planilha1!G46="","",IF(Planilha1!G46=0,"",Planilha1!G46))</f>
        <v>127</v>
      </c>
      <c r="N49" s="5">
        <f t="shared" si="6"/>
        <v>1</v>
      </c>
      <c r="O49" s="5">
        <f t="shared" si="7"/>
        <v>0</v>
      </c>
      <c r="P49" s="5">
        <f t="shared" si="8"/>
        <v>0</v>
      </c>
      <c r="Q49" s="5">
        <f t="shared" si="1"/>
        <v>2</v>
      </c>
      <c r="R49" s="7">
        <f t="shared" si="2"/>
        <v>0</v>
      </c>
      <c r="S49" s="7">
        <f t="shared" si="3"/>
        <v>0</v>
      </c>
      <c r="T49" s="3">
        <f t="shared" si="4"/>
        <v>1</v>
      </c>
      <c r="V49" s="1" t="e">
        <f t="shared" si="5"/>
        <v>#DIV/0!</v>
      </c>
    </row>
    <row r="50" spans="8:22" x14ac:dyDescent="0.3">
      <c r="H50" s="10" t="str">
        <f>IF(Planilha1!B47="","",Planilha1!B47)</f>
        <v>8:00p</v>
      </c>
      <c r="I50" s="10" t="str">
        <f>IF(Planilha1!C47="","",Planilha1!C47)</f>
        <v>Dallas Mavericks</v>
      </c>
      <c r="J50" s="10">
        <f>IF(Planilha1!D47="","",Planilha1!D47)</f>
        <v>125</v>
      </c>
      <c r="K50" s="10" t="str">
        <f>IF(Planilha1!E47="","",IF(Planilha1!E47=0,"",Planilha1!E47))</f>
        <v>Memphis Grizzlies</v>
      </c>
      <c r="L50" s="10">
        <f>IF(Planilha1!F47="","",Planilha1!F47)</f>
        <v>110</v>
      </c>
      <c r="M50" s="10">
        <f>IF(Planilha1!G47="","",IF(Planilha1!G47=0,"",Planilha1!G47))</f>
        <v>110</v>
      </c>
      <c r="N50" s="5">
        <f t="shared" si="6"/>
        <v>1</v>
      </c>
      <c r="O50" s="5">
        <f t="shared" si="7"/>
        <v>0</v>
      </c>
      <c r="P50" s="5">
        <f t="shared" si="8"/>
        <v>0</v>
      </c>
      <c r="Q50" s="5">
        <f t="shared" si="1"/>
        <v>2</v>
      </c>
      <c r="R50" s="7">
        <f t="shared" si="2"/>
        <v>0</v>
      </c>
      <c r="S50" s="7">
        <f t="shared" si="3"/>
        <v>0</v>
      </c>
      <c r="T50" s="3">
        <f t="shared" si="4"/>
        <v>1</v>
      </c>
      <c r="V50" s="1" t="e">
        <f t="shared" si="5"/>
        <v>#DIV/0!</v>
      </c>
    </row>
    <row r="51" spans="8:22" x14ac:dyDescent="0.3">
      <c r="H51" s="10" t="str">
        <f>IF(Planilha1!B48="","",Planilha1!B48)</f>
        <v>8:00p</v>
      </c>
      <c r="I51" s="10" t="str">
        <f>IF(Planilha1!C48="","",Planilha1!C48)</f>
        <v>Miami Heat</v>
      </c>
      <c r="J51" s="10">
        <f>IF(Planilha1!D48="","",Planilha1!D48)</f>
        <v>114</v>
      </c>
      <c r="K51" s="10" t="str">
        <f>IF(Planilha1!E48="","",IF(Planilha1!E48=0,"",Planilha1!E48))</f>
        <v>Milwaukee Bucks</v>
      </c>
      <c r="L51" s="10">
        <f>IF(Planilha1!F48="","",Planilha1!F48)</f>
        <v>122</v>
      </c>
      <c r="M51" s="10">
        <f>IF(Planilha1!G48="","",IF(Planilha1!G48=0,"",Planilha1!G48))</f>
        <v>122</v>
      </c>
      <c r="N51" s="5">
        <f t="shared" si="6"/>
        <v>1</v>
      </c>
      <c r="O51" s="5">
        <f t="shared" si="7"/>
        <v>0</v>
      </c>
      <c r="P51" s="5">
        <f t="shared" si="8"/>
        <v>0</v>
      </c>
      <c r="Q51" s="5">
        <f t="shared" si="1"/>
        <v>2</v>
      </c>
      <c r="R51" s="7">
        <f t="shared" si="2"/>
        <v>0</v>
      </c>
      <c r="S51" s="7">
        <f t="shared" si="3"/>
        <v>0</v>
      </c>
      <c r="T51" s="3">
        <f t="shared" si="4"/>
        <v>1</v>
      </c>
      <c r="V51" s="1" t="e">
        <f t="shared" si="5"/>
        <v>#DIV/0!</v>
      </c>
    </row>
    <row r="52" spans="8:22" x14ac:dyDescent="0.3">
      <c r="H52" s="10" t="str">
        <f>IF(Planilha1!B49="","",Planilha1!B49)</f>
        <v>8:00p</v>
      </c>
      <c r="I52" s="10" t="str">
        <f>IF(Planilha1!C49="","",Planilha1!C49)</f>
        <v>Golden State Warriors</v>
      </c>
      <c r="J52" s="10">
        <f>IF(Planilha1!D49="","",Planilha1!D49)</f>
        <v>130</v>
      </c>
      <c r="K52" s="10" t="str">
        <f>IF(Planilha1!E49="","",IF(Planilha1!E49=0,"",Planilha1!E49))</f>
        <v>New Orleans Pelicans</v>
      </c>
      <c r="L52" s="10">
        <f>IF(Planilha1!F49="","",Planilha1!F49)</f>
        <v>102</v>
      </c>
      <c r="M52" s="10">
        <f>IF(Planilha1!G49="","",IF(Planilha1!G49=0,"",Planilha1!G49))</f>
        <v>102</v>
      </c>
      <c r="N52" s="5">
        <f t="shared" si="6"/>
        <v>1</v>
      </c>
      <c r="O52" s="5">
        <f t="shared" si="7"/>
        <v>0</v>
      </c>
      <c r="P52" s="5">
        <f t="shared" si="8"/>
        <v>0</v>
      </c>
      <c r="Q52" s="5">
        <f t="shared" si="1"/>
        <v>2</v>
      </c>
      <c r="R52" s="7">
        <f t="shared" si="2"/>
        <v>0</v>
      </c>
      <c r="S52" s="7">
        <f t="shared" si="3"/>
        <v>0</v>
      </c>
      <c r="T52" s="3">
        <f t="shared" si="4"/>
        <v>1</v>
      </c>
      <c r="V52" s="1" t="e">
        <f t="shared" si="5"/>
        <v>#DIV/0!</v>
      </c>
    </row>
    <row r="53" spans="8:22" x14ac:dyDescent="0.3">
      <c r="H53" s="10" t="str">
        <f>IF(Planilha1!B50="","",Planilha1!B50)</f>
        <v>8:00p</v>
      </c>
      <c r="I53" s="10" t="str">
        <f>IF(Planilha1!C50="","",Planilha1!C50)</f>
        <v>Detroit Pistons</v>
      </c>
      <c r="J53" s="10">
        <f>IF(Planilha1!D50="","",Planilha1!D50)</f>
        <v>112</v>
      </c>
      <c r="K53" s="10" t="str">
        <f>IF(Planilha1!E50="","",IF(Planilha1!E50=0,"",Planilha1!E50))</f>
        <v>Oklahoma City Thunder</v>
      </c>
      <c r="L53" s="10">
        <f>IF(Planilha1!F50="","",Planilha1!F50)</f>
        <v>124</v>
      </c>
      <c r="M53" s="10">
        <f>IF(Planilha1!G50="","",IF(Planilha1!G50=0,"",Planilha1!G50))</f>
        <v>124</v>
      </c>
      <c r="N53" s="5">
        <f t="shared" si="6"/>
        <v>1</v>
      </c>
      <c r="O53" s="5">
        <f t="shared" si="7"/>
        <v>0</v>
      </c>
      <c r="P53" s="5">
        <f t="shared" si="8"/>
        <v>0</v>
      </c>
      <c r="Q53" s="5">
        <f t="shared" si="1"/>
        <v>2</v>
      </c>
      <c r="R53" s="7">
        <f t="shared" si="2"/>
        <v>0</v>
      </c>
      <c r="S53" s="7">
        <f t="shared" si="3"/>
        <v>0</v>
      </c>
      <c r="T53" s="3">
        <f t="shared" si="4"/>
        <v>1</v>
      </c>
      <c r="V53" s="1" t="e">
        <f t="shared" si="5"/>
        <v>#DIV/0!</v>
      </c>
    </row>
    <row r="54" spans="8:22" x14ac:dyDescent="0.3">
      <c r="H54" s="10" t="str">
        <f>IF(Planilha1!B51="","",Planilha1!B51)</f>
        <v>9:00p</v>
      </c>
      <c r="I54" s="10" t="str">
        <f>IF(Planilha1!C51="","",Planilha1!C51)</f>
        <v>Utah Jazz</v>
      </c>
      <c r="J54" s="10">
        <f>IF(Planilha1!D51="","",Planilha1!D51)</f>
        <v>102</v>
      </c>
      <c r="K54" s="10" t="str">
        <f>IF(Planilha1!E51="","",IF(Planilha1!E51=0,"",Planilha1!E51))</f>
        <v>Denver Nuggets</v>
      </c>
      <c r="L54" s="10">
        <f>IF(Planilha1!F51="","",Planilha1!F51)</f>
        <v>110</v>
      </c>
      <c r="M54" s="10">
        <f>IF(Planilha1!G51="","",IF(Planilha1!G51=0,"",Planilha1!G51))</f>
        <v>110</v>
      </c>
      <c r="N54" s="5">
        <f t="shared" si="6"/>
        <v>1</v>
      </c>
      <c r="O54" s="5">
        <f t="shared" si="7"/>
        <v>0</v>
      </c>
      <c r="P54" s="5">
        <f t="shared" si="8"/>
        <v>0</v>
      </c>
      <c r="Q54" s="5">
        <f t="shared" si="1"/>
        <v>2</v>
      </c>
      <c r="R54" s="7">
        <f t="shared" si="2"/>
        <v>0</v>
      </c>
      <c r="S54" s="7">
        <f t="shared" si="3"/>
        <v>0</v>
      </c>
      <c r="T54" s="3">
        <f t="shared" si="4"/>
        <v>1</v>
      </c>
      <c r="V54" s="1" t="e">
        <f t="shared" si="5"/>
        <v>#DIV/0!</v>
      </c>
    </row>
    <row r="55" spans="8:22" x14ac:dyDescent="0.3">
      <c r="H55" s="10" t="str">
        <f>IF(Planilha1!B52="","",Planilha1!B52)</f>
        <v>10:30p</v>
      </c>
      <c r="I55" s="10" t="str">
        <f>IF(Planilha1!C52="","",Planilha1!C52)</f>
        <v>Orlando Magic</v>
      </c>
      <c r="J55" s="10">
        <f>IF(Planilha1!D52="","",Planilha1!D52)</f>
        <v>103</v>
      </c>
      <c r="K55" s="10" t="str">
        <f>IF(Planilha1!E52="","",IF(Planilha1!E52=0,"",Planilha1!E52))</f>
        <v>Los Angeles Lakers</v>
      </c>
      <c r="L55" s="10">
        <f>IF(Planilha1!F52="","",Planilha1!F52)</f>
        <v>106</v>
      </c>
      <c r="M55" s="10">
        <f>IF(Planilha1!G52="","",IF(Planilha1!G52=0,"",Planilha1!G52))</f>
        <v>106</v>
      </c>
      <c r="N55" s="5">
        <f t="shared" si="6"/>
        <v>1</v>
      </c>
      <c r="O55" s="5">
        <f t="shared" si="7"/>
        <v>0</v>
      </c>
      <c r="P55" s="5">
        <f t="shared" si="8"/>
        <v>0</v>
      </c>
      <c r="Q55" s="5">
        <f t="shared" si="1"/>
        <v>2</v>
      </c>
      <c r="R55" s="7">
        <f t="shared" si="2"/>
        <v>0</v>
      </c>
      <c r="S55" s="7">
        <f t="shared" si="3"/>
        <v>0</v>
      </c>
      <c r="T55" s="3">
        <f t="shared" si="4"/>
        <v>1</v>
      </c>
      <c r="V55" s="1" t="e">
        <f t="shared" si="5"/>
        <v>#DIV/0!</v>
      </c>
    </row>
    <row r="56" spans="8:22" x14ac:dyDescent="0.3">
      <c r="H56" s="10" t="str">
        <f>IF(Planilha1!B53="","",Planilha1!B53)</f>
        <v>7:30p</v>
      </c>
      <c r="I56" s="10" t="str">
        <f>IF(Planilha1!C53="","",Planilha1!C53)</f>
        <v>New York Knicks</v>
      </c>
      <c r="J56" s="10">
        <f>IF(Planilha1!D53="","",Planilha1!D53)</f>
        <v>109</v>
      </c>
      <c r="K56" s="10" t="str">
        <f>IF(Planilha1!E53="","",IF(Planilha1!E53=0,"",Planilha1!E53))</f>
        <v>Cleveland Cavaliers</v>
      </c>
      <c r="L56" s="10">
        <f>IF(Planilha1!F53="","",Planilha1!F53)</f>
        <v>91</v>
      </c>
      <c r="M56" s="10">
        <f>IF(Planilha1!G53="","",IF(Planilha1!G53=0,"",Planilha1!G53))</f>
        <v>91</v>
      </c>
      <c r="N56" s="5">
        <f t="shared" si="6"/>
        <v>1</v>
      </c>
      <c r="O56" s="5">
        <f t="shared" si="7"/>
        <v>0</v>
      </c>
      <c r="P56" s="5">
        <f t="shared" si="8"/>
        <v>0</v>
      </c>
      <c r="Q56" s="5">
        <f t="shared" si="1"/>
        <v>2</v>
      </c>
      <c r="R56" s="7">
        <f t="shared" si="2"/>
        <v>0</v>
      </c>
      <c r="S56" s="7">
        <f t="shared" si="3"/>
        <v>0</v>
      </c>
      <c r="T56" s="3">
        <f t="shared" si="4"/>
        <v>1</v>
      </c>
      <c r="V56" s="1" t="e">
        <f t="shared" si="5"/>
        <v>#DIV/0!</v>
      </c>
    </row>
    <row r="57" spans="8:22" x14ac:dyDescent="0.3">
      <c r="H57" s="10" t="str">
        <f>IF(Planilha1!B54="","",Planilha1!B54)</f>
        <v>10:00p</v>
      </c>
      <c r="I57" s="10" t="str">
        <f>IF(Planilha1!C54="","",Planilha1!C54)</f>
        <v>San Antonio Spurs</v>
      </c>
      <c r="J57" s="10">
        <f>IF(Planilha1!D54="","",Planilha1!D54)</f>
        <v>115</v>
      </c>
      <c r="K57" s="10" t="str">
        <f>IF(Planilha1!E54="","",IF(Planilha1!E54=0,"",Planilha1!E54))</f>
        <v>Phoenix Suns</v>
      </c>
      <c r="L57" s="10">
        <f>IF(Planilha1!F54="","",Planilha1!F54)</f>
        <v>114</v>
      </c>
      <c r="M57" s="10">
        <f>IF(Planilha1!G54="","",IF(Planilha1!G54=0,"",Planilha1!G54))</f>
        <v>114</v>
      </c>
      <c r="N57" s="5">
        <f t="shared" si="6"/>
        <v>1</v>
      </c>
      <c r="O57" s="5">
        <f t="shared" si="7"/>
        <v>0</v>
      </c>
      <c r="P57" s="5">
        <f t="shared" si="8"/>
        <v>0</v>
      </c>
      <c r="Q57" s="5">
        <f t="shared" si="1"/>
        <v>2</v>
      </c>
      <c r="R57" s="7">
        <f t="shared" si="2"/>
        <v>0</v>
      </c>
      <c r="S57" s="7">
        <f t="shared" si="3"/>
        <v>0</v>
      </c>
      <c r="T57" s="3">
        <f t="shared" si="4"/>
        <v>1</v>
      </c>
      <c r="V57" s="1" t="e">
        <f t="shared" si="5"/>
        <v>#DIV/0!</v>
      </c>
    </row>
    <row r="58" spans="8:22" x14ac:dyDescent="0.3">
      <c r="H58" s="10" t="str">
        <f>IF(Planilha1!B55="","",Planilha1!B55)</f>
        <v>10:30p</v>
      </c>
      <c r="I58" s="10" t="str">
        <f>IF(Planilha1!C55="","",Planilha1!C55)</f>
        <v>Orlando Magic</v>
      </c>
      <c r="J58" s="10">
        <f>IF(Planilha1!D55="","",Planilha1!D55)</f>
        <v>102</v>
      </c>
      <c r="K58" s="10" t="str">
        <f>IF(Planilha1!E55="","",IF(Planilha1!E55=0,"",Planilha1!E55))</f>
        <v>Los Angeles Clippers</v>
      </c>
      <c r="L58" s="10">
        <f>IF(Planilha1!F55="","",Planilha1!F55)</f>
        <v>118</v>
      </c>
      <c r="M58" s="10">
        <f>IF(Planilha1!G55="","",IF(Planilha1!G55=0,"",Planilha1!G55))</f>
        <v>118</v>
      </c>
      <c r="N58" s="5">
        <f t="shared" si="6"/>
        <v>1</v>
      </c>
      <c r="O58" s="5">
        <f t="shared" si="7"/>
        <v>0</v>
      </c>
      <c r="P58" s="5">
        <f t="shared" si="8"/>
        <v>0</v>
      </c>
      <c r="Q58" s="5">
        <f t="shared" si="1"/>
        <v>2</v>
      </c>
      <c r="R58" s="7">
        <f t="shared" si="2"/>
        <v>0</v>
      </c>
      <c r="S58" s="7">
        <f t="shared" si="3"/>
        <v>0</v>
      </c>
      <c r="T58" s="3">
        <f t="shared" si="4"/>
        <v>1</v>
      </c>
      <c r="V58" s="1" t="e">
        <f t="shared" si="5"/>
        <v>#DIV/0!</v>
      </c>
    </row>
    <row r="59" spans="8:22" x14ac:dyDescent="0.3">
      <c r="H59" s="10" t="str">
        <f>IF(Planilha1!B56="","",Planilha1!B56)</f>
        <v>7:00p</v>
      </c>
      <c r="I59" s="10" t="str">
        <f>IF(Planilha1!C56="","",Planilha1!C56)</f>
        <v>Portland Trail Blazers</v>
      </c>
      <c r="J59" s="10">
        <f>IF(Planilha1!D56="","",Planilha1!D56)</f>
        <v>110</v>
      </c>
      <c r="K59" s="10" t="str">
        <f>IF(Planilha1!E56="","",IF(Planilha1!E56=0,"",Planilha1!E56))</f>
        <v>Detroit Pistons</v>
      </c>
      <c r="L59" s="10">
        <f>IF(Planilha1!F56="","",Planilha1!F56)</f>
        <v>101</v>
      </c>
      <c r="M59" s="10">
        <f>IF(Planilha1!G56="","",IF(Planilha1!G56=0,"",Planilha1!G56))</f>
        <v>101</v>
      </c>
      <c r="N59" s="5">
        <f t="shared" si="6"/>
        <v>1</v>
      </c>
      <c r="O59" s="5">
        <f t="shared" si="7"/>
        <v>0</v>
      </c>
      <c r="P59" s="5">
        <f t="shared" si="8"/>
        <v>0</v>
      </c>
      <c r="Q59" s="5">
        <f t="shared" si="1"/>
        <v>2</v>
      </c>
      <c r="R59" s="7">
        <f t="shared" si="2"/>
        <v>0</v>
      </c>
      <c r="S59" s="7">
        <f t="shared" si="3"/>
        <v>0</v>
      </c>
      <c r="T59" s="3">
        <f t="shared" si="4"/>
        <v>1</v>
      </c>
      <c r="V59" s="1" t="e">
        <f t="shared" si="5"/>
        <v>#DIV/0!</v>
      </c>
    </row>
    <row r="60" spans="8:22" x14ac:dyDescent="0.3">
      <c r="H60" s="10" t="str">
        <f>IF(Planilha1!B57="","",Planilha1!B57)</f>
        <v>7:00p</v>
      </c>
      <c r="I60" s="10" t="str">
        <f>IF(Planilha1!C57="","",Planilha1!C57)</f>
        <v>Milwaukee Bucks</v>
      </c>
      <c r="J60" s="10">
        <f>IF(Planilha1!D57="","",Planilha1!D57)</f>
        <v>111</v>
      </c>
      <c r="K60" s="10" t="str">
        <f>IF(Planilha1!E57="","",IF(Planilha1!E57=0,"",Planilha1!E57))</f>
        <v>Toronto Raptors</v>
      </c>
      <c r="L60" s="10">
        <f>IF(Planilha1!F57="","",Planilha1!F57)</f>
        <v>130</v>
      </c>
      <c r="M60" s="10">
        <f>IF(Planilha1!G57="","",IF(Planilha1!G57=0,"",Planilha1!G57))</f>
        <v>130</v>
      </c>
      <c r="N60" s="5">
        <f t="shared" si="6"/>
        <v>1</v>
      </c>
      <c r="O60" s="5">
        <f t="shared" si="7"/>
        <v>0</v>
      </c>
      <c r="P60" s="5">
        <f t="shared" si="8"/>
        <v>0</v>
      </c>
      <c r="Q60" s="5">
        <f t="shared" si="1"/>
        <v>2</v>
      </c>
      <c r="R60" s="7">
        <f t="shared" si="2"/>
        <v>0</v>
      </c>
      <c r="S60" s="7">
        <f t="shared" si="3"/>
        <v>0</v>
      </c>
      <c r="T60" s="3">
        <f t="shared" si="4"/>
        <v>1</v>
      </c>
      <c r="V60" s="1" t="e">
        <f t="shared" si="5"/>
        <v>#DIV/0!</v>
      </c>
    </row>
    <row r="61" spans="8:22" x14ac:dyDescent="0.3">
      <c r="H61" s="10" t="str">
        <f>IF(Planilha1!B58="","",Planilha1!B58)</f>
        <v>7:30p</v>
      </c>
      <c r="I61" s="10" t="str">
        <f>IF(Planilha1!C58="","",Planilha1!C58)</f>
        <v>Washington Wizards</v>
      </c>
      <c r="J61" s="10">
        <f>IF(Planilha1!D58="","",Planilha1!D58)</f>
        <v>121</v>
      </c>
      <c r="K61" s="10" t="str">
        <f>IF(Planilha1!E58="","",IF(Planilha1!E58=0,"",Planilha1!E58))</f>
        <v>Atlanta Hawks</v>
      </c>
      <c r="L61" s="10">
        <f>IF(Planilha1!F58="","",Planilha1!F58)</f>
        <v>130</v>
      </c>
      <c r="M61" s="10">
        <f>IF(Planilha1!G58="","",IF(Planilha1!G58=0,"",Planilha1!G58))</f>
        <v>130</v>
      </c>
      <c r="N61" s="5">
        <f t="shared" si="6"/>
        <v>1</v>
      </c>
      <c r="O61" s="5">
        <f t="shared" si="7"/>
        <v>0</v>
      </c>
      <c r="P61" s="5">
        <f t="shared" si="8"/>
        <v>0</v>
      </c>
      <c r="Q61" s="5">
        <f t="shared" si="1"/>
        <v>2</v>
      </c>
      <c r="R61" s="7">
        <f t="shared" si="2"/>
        <v>0</v>
      </c>
      <c r="S61" s="7">
        <f t="shared" si="3"/>
        <v>0</v>
      </c>
      <c r="T61" s="3">
        <f t="shared" si="4"/>
        <v>1</v>
      </c>
      <c r="V61" s="1" t="e">
        <f t="shared" si="5"/>
        <v>#DIV/0!</v>
      </c>
    </row>
    <row r="62" spans="8:22" x14ac:dyDescent="0.3">
      <c r="H62" s="10" t="str">
        <f>IF(Planilha1!B59="","",Planilha1!B59)</f>
        <v>7:30p</v>
      </c>
      <c r="I62" s="10" t="str">
        <f>IF(Planilha1!C59="","",Planilha1!C59)</f>
        <v>Indiana Pacers</v>
      </c>
      <c r="J62" s="10">
        <f>IF(Planilha1!D59="","",Planilha1!D59)</f>
        <v>104</v>
      </c>
      <c r="K62" s="10" t="str">
        <f>IF(Planilha1!E59="","",IF(Planilha1!E59=0,"",Planilha1!E59))</f>
        <v>Boston Celtics</v>
      </c>
      <c r="L62" s="10">
        <f>IF(Planilha1!F59="","",Planilha1!F59)</f>
        <v>155</v>
      </c>
      <c r="M62" s="10">
        <f>IF(Planilha1!G59="","",IF(Planilha1!G59=0,"",Planilha1!G59))</f>
        <v>155</v>
      </c>
      <c r="N62" s="5">
        <f t="shared" si="6"/>
        <v>1</v>
      </c>
      <c r="O62" s="5">
        <f t="shared" si="7"/>
        <v>0</v>
      </c>
      <c r="P62" s="5">
        <f t="shared" si="8"/>
        <v>0</v>
      </c>
      <c r="Q62" s="5">
        <f t="shared" si="1"/>
        <v>2</v>
      </c>
      <c r="R62" s="7">
        <f t="shared" si="2"/>
        <v>0</v>
      </c>
      <c r="S62" s="7">
        <f t="shared" si="3"/>
        <v>0</v>
      </c>
      <c r="T62" s="3">
        <f t="shared" si="4"/>
        <v>1</v>
      </c>
      <c r="V62" s="1" t="e">
        <f t="shared" si="5"/>
        <v>#DIV/0!</v>
      </c>
    </row>
    <row r="63" spans="8:22" x14ac:dyDescent="0.3">
      <c r="H63" s="10" t="str">
        <f>IF(Planilha1!B60="","",Planilha1!B60)</f>
        <v>7:30p</v>
      </c>
      <c r="I63" s="10" t="str">
        <f>IF(Planilha1!C60="","",Planilha1!C60)</f>
        <v>Brooklyn Nets</v>
      </c>
      <c r="J63" s="10">
        <f>IF(Planilha1!D60="","",Planilha1!D60)</f>
        <v>109</v>
      </c>
      <c r="K63" s="10" t="str">
        <f>IF(Planilha1!E60="","",IF(Planilha1!E60=0,"",Planilha1!E60))</f>
        <v>Miami Heat</v>
      </c>
      <c r="L63" s="10">
        <f>IF(Planilha1!F60="","",Planilha1!F60)</f>
        <v>105</v>
      </c>
      <c r="M63" s="10">
        <f>IF(Planilha1!G60="","",IF(Planilha1!G60=0,"",Planilha1!G60))</f>
        <v>105</v>
      </c>
      <c r="N63" s="5">
        <f t="shared" si="6"/>
        <v>1</v>
      </c>
      <c r="O63" s="5">
        <f t="shared" si="7"/>
        <v>0</v>
      </c>
      <c r="P63" s="5">
        <f t="shared" si="8"/>
        <v>0</v>
      </c>
      <c r="Q63" s="5">
        <f t="shared" si="1"/>
        <v>2</v>
      </c>
      <c r="R63" s="7">
        <f t="shared" si="2"/>
        <v>0</v>
      </c>
      <c r="S63" s="7">
        <f t="shared" si="3"/>
        <v>0</v>
      </c>
      <c r="T63" s="3">
        <f t="shared" si="4"/>
        <v>1</v>
      </c>
      <c r="V63" s="1" t="e">
        <f t="shared" si="5"/>
        <v>#DIV/0!</v>
      </c>
    </row>
    <row r="64" spans="8:22" x14ac:dyDescent="0.3">
      <c r="H64" s="10" t="str">
        <f>IF(Planilha1!B61="","",Planilha1!B61)</f>
        <v>7:30p</v>
      </c>
      <c r="I64" s="10" t="str">
        <f>IF(Planilha1!C61="","",Planilha1!C61)</f>
        <v>Cleveland Cavaliers</v>
      </c>
      <c r="J64" s="10">
        <f>IF(Planilha1!D61="","",Planilha1!D61)</f>
        <v>95</v>
      </c>
      <c r="K64" s="10" t="str">
        <f>IF(Planilha1!E61="","",IF(Planilha1!E61=0,"",Planilha1!E61))</f>
        <v>New York Knicks</v>
      </c>
      <c r="L64" s="10">
        <f>IF(Planilha1!F61="","",Planilha1!F61)</f>
        <v>89</v>
      </c>
      <c r="M64" s="10">
        <f>IF(Planilha1!G61="","",IF(Planilha1!G61=0,"",Planilha1!G61))</f>
        <v>89</v>
      </c>
      <c r="N64" s="5">
        <f t="shared" si="6"/>
        <v>1</v>
      </c>
      <c r="O64" s="5">
        <f t="shared" si="7"/>
        <v>0</v>
      </c>
      <c r="P64" s="5">
        <f t="shared" si="8"/>
        <v>0</v>
      </c>
      <c r="Q64" s="5">
        <f t="shared" si="1"/>
        <v>2</v>
      </c>
      <c r="R64" s="7">
        <f t="shared" si="2"/>
        <v>0</v>
      </c>
      <c r="S64" s="7">
        <f t="shared" si="3"/>
        <v>0</v>
      </c>
      <c r="T64" s="3">
        <f t="shared" si="4"/>
        <v>1</v>
      </c>
      <c r="V64" s="1" t="e">
        <f t="shared" si="5"/>
        <v>#DIV/0!</v>
      </c>
    </row>
    <row r="65" spans="8:22" x14ac:dyDescent="0.3">
      <c r="H65" s="10" t="str">
        <f>IF(Planilha1!B62="","",Planilha1!B62)</f>
        <v>7:30p</v>
      </c>
      <c r="I65" s="10" t="str">
        <f>IF(Planilha1!C62="","",Planilha1!C62)</f>
        <v>New Orleans Pelicans</v>
      </c>
      <c r="J65" s="10">
        <f>IF(Planilha1!D62="","",Planilha1!D62)</f>
        <v>110</v>
      </c>
      <c r="K65" s="10" t="str">
        <f>IF(Planilha1!E62="","",IF(Planilha1!E62=0,"",Planilha1!E62))</f>
        <v>Oklahoma City Thunder</v>
      </c>
      <c r="L65" s="10">
        <f>IF(Planilha1!F62="","",Planilha1!F62)</f>
        <v>106</v>
      </c>
      <c r="M65" s="10">
        <f>IF(Planilha1!G62="","",IF(Planilha1!G62=0,"",Planilha1!G62))</f>
        <v>106</v>
      </c>
      <c r="N65" s="5">
        <f t="shared" si="6"/>
        <v>1</v>
      </c>
      <c r="O65" s="5">
        <f t="shared" si="7"/>
        <v>0</v>
      </c>
      <c r="P65" s="5">
        <f t="shared" si="8"/>
        <v>0</v>
      </c>
      <c r="Q65" s="5">
        <f t="shared" si="1"/>
        <v>2</v>
      </c>
      <c r="R65" s="7">
        <f t="shared" si="2"/>
        <v>0</v>
      </c>
      <c r="S65" s="7">
        <f t="shared" si="3"/>
        <v>0</v>
      </c>
      <c r="T65" s="3">
        <f t="shared" si="4"/>
        <v>1</v>
      </c>
      <c r="V65" s="1" t="e">
        <f t="shared" si="5"/>
        <v>#DIV/0!</v>
      </c>
    </row>
    <row r="66" spans="8:22" x14ac:dyDescent="0.3">
      <c r="H66" s="10" t="str">
        <f>IF(Planilha1!B63="","",Planilha1!B63)</f>
        <v>8:00p</v>
      </c>
      <c r="I66" s="10" t="str">
        <f>IF(Planilha1!C63="","",Planilha1!C63)</f>
        <v>Charlotte Hornets</v>
      </c>
      <c r="J66" s="10">
        <f>IF(Planilha1!D63="","",Planilha1!D63)</f>
        <v>119</v>
      </c>
      <c r="K66" s="10" t="str">
        <f>IF(Planilha1!E63="","",IF(Planilha1!E63=0,"",Planilha1!E63))</f>
        <v>Houston Rockets</v>
      </c>
      <c r="L66" s="10">
        <f>IF(Planilha1!F63="","",Planilha1!F63)</f>
        <v>128</v>
      </c>
      <c r="M66" s="10">
        <f>IF(Planilha1!G63="","",IF(Planilha1!G63=0,"",Planilha1!G63))</f>
        <v>128</v>
      </c>
      <c r="N66" s="5">
        <f t="shared" si="6"/>
        <v>1</v>
      </c>
      <c r="O66" s="5">
        <f t="shared" si="7"/>
        <v>0</v>
      </c>
      <c r="P66" s="5">
        <f t="shared" si="8"/>
        <v>0</v>
      </c>
      <c r="Q66" s="5">
        <f t="shared" si="1"/>
        <v>2</v>
      </c>
      <c r="R66" s="7">
        <f t="shared" si="2"/>
        <v>0</v>
      </c>
      <c r="S66" s="7">
        <f t="shared" si="3"/>
        <v>0</v>
      </c>
      <c r="T66" s="3">
        <f t="shared" si="4"/>
        <v>1</v>
      </c>
      <c r="V66" s="1" t="e">
        <f t="shared" si="5"/>
        <v>#DIV/0!</v>
      </c>
    </row>
    <row r="67" spans="8:22" x14ac:dyDescent="0.3">
      <c r="H67" s="10" t="str">
        <f>IF(Planilha1!B64="","",Planilha1!B64)</f>
        <v>8:00p</v>
      </c>
      <c r="I67" s="10" t="str">
        <f>IF(Planilha1!C64="","",Planilha1!C64)</f>
        <v>Denver Nuggets</v>
      </c>
      <c r="J67" s="10">
        <f>IF(Planilha1!D64="","",Planilha1!D64)</f>
        <v>89</v>
      </c>
      <c r="K67" s="10" t="str">
        <f>IF(Planilha1!E64="","",IF(Planilha1!E64=0,"",Planilha1!E64))</f>
        <v>Minnesota Timberwolves</v>
      </c>
      <c r="L67" s="10">
        <f>IF(Planilha1!F64="","",Planilha1!F64)</f>
        <v>110</v>
      </c>
      <c r="M67" s="10">
        <f>IF(Planilha1!G64="","",IF(Planilha1!G64=0,"",Planilha1!G64))</f>
        <v>110</v>
      </c>
      <c r="N67" s="5">
        <f t="shared" si="6"/>
        <v>1</v>
      </c>
      <c r="O67" s="5">
        <f t="shared" si="7"/>
        <v>0</v>
      </c>
      <c r="P67" s="5">
        <f t="shared" si="8"/>
        <v>0</v>
      </c>
      <c r="Q67" s="5">
        <f t="shared" si="1"/>
        <v>2</v>
      </c>
      <c r="R67" s="7">
        <f t="shared" si="2"/>
        <v>0</v>
      </c>
      <c r="S67" s="7">
        <f t="shared" si="3"/>
        <v>0</v>
      </c>
      <c r="T67" s="3">
        <f t="shared" si="4"/>
        <v>1</v>
      </c>
      <c r="V67" s="1" t="e">
        <f t="shared" si="5"/>
        <v>#DIV/0!</v>
      </c>
    </row>
    <row r="68" spans="8:22" x14ac:dyDescent="0.3">
      <c r="H68" s="10" t="str">
        <f>IF(Planilha1!B65="","",Planilha1!B65)</f>
        <v>8:30p</v>
      </c>
      <c r="I68" s="10" t="str">
        <f>IF(Planilha1!C65="","",Planilha1!C65)</f>
        <v>Chicago Bulls</v>
      </c>
      <c r="J68" s="10">
        <f>IF(Planilha1!D65="","",Planilha1!D65)</f>
        <v>105</v>
      </c>
      <c r="K68" s="10" t="str">
        <f>IF(Planilha1!E65="","",IF(Planilha1!E65=0,"",Planilha1!E65))</f>
        <v>Dallas Mavericks</v>
      </c>
      <c r="L68" s="10">
        <f>IF(Planilha1!F65="","",Planilha1!F65)</f>
        <v>114</v>
      </c>
      <c r="M68" s="10">
        <f>IF(Planilha1!G65="","",IF(Planilha1!G65=0,"",Planilha1!G65))</f>
        <v>114</v>
      </c>
      <c r="N68" s="5">
        <f t="shared" si="6"/>
        <v>1</v>
      </c>
      <c r="O68" s="5">
        <f t="shared" si="7"/>
        <v>0</v>
      </c>
      <c r="P68" s="5">
        <f t="shared" si="8"/>
        <v>0</v>
      </c>
      <c r="Q68" s="5">
        <f t="shared" si="1"/>
        <v>2</v>
      </c>
      <c r="R68" s="7">
        <f t="shared" si="2"/>
        <v>0</v>
      </c>
      <c r="S68" s="7">
        <f t="shared" si="3"/>
        <v>0</v>
      </c>
      <c r="T68" s="3">
        <f t="shared" si="4"/>
        <v>1</v>
      </c>
      <c r="V68" s="1" t="e">
        <f t="shared" si="5"/>
        <v>#DIV/0!</v>
      </c>
    </row>
    <row r="69" spans="8:22" x14ac:dyDescent="0.3">
      <c r="H69" s="10" t="str">
        <f>IF(Planilha1!B66="","",Planilha1!B66)</f>
        <v>9:00p</v>
      </c>
      <c r="I69" s="10" t="str">
        <f>IF(Planilha1!C66="","",Planilha1!C66)</f>
        <v>Memphis Grizzlies</v>
      </c>
      <c r="J69" s="10">
        <f>IF(Planilha1!D66="","",Planilha1!D66)</f>
        <v>109</v>
      </c>
      <c r="K69" s="10" t="str">
        <f>IF(Planilha1!E66="","",IF(Planilha1!E66=0,"",Planilha1!E66))</f>
        <v>Utah Jazz</v>
      </c>
      <c r="L69" s="10">
        <f>IF(Planilha1!F66="","",Planilha1!F66)</f>
        <v>133</v>
      </c>
      <c r="M69" s="10">
        <f>IF(Planilha1!G66="","",IF(Planilha1!G66=0,"",Planilha1!G66))</f>
        <v>133</v>
      </c>
      <c r="N69" s="5">
        <f t="shared" si="6"/>
        <v>1</v>
      </c>
      <c r="O69" s="5">
        <f t="shared" si="7"/>
        <v>0</v>
      </c>
      <c r="P69" s="5">
        <f t="shared" ref="P69:P132" si="9">IF(M69="",IF(R69&gt;S69,2,0),IF(K69&lt;M69,2,0))</f>
        <v>0</v>
      </c>
      <c r="Q69" s="5">
        <f t="shared" ref="Q69:Q132" si="10">IF(M69="",IF(R69&gt;S69,0,2),IF(K69&gt;M69,2,0))</f>
        <v>2</v>
      </c>
      <c r="R69" s="7">
        <f t="shared" ref="R69:R132" si="11">SUMIF($B:$B,J69,$C:$C)+(SUMIF($B:$B,L69,$F:$F))</f>
        <v>0</v>
      </c>
      <c r="S69" s="7">
        <f t="shared" ref="S69:S132" si="12">SUMIF($B:$B,L69,$E:$E)+(SUMIF($B:$B,J69,$D:$D))</f>
        <v>0</v>
      </c>
      <c r="T69" s="3">
        <f t="shared" ref="T69:T132" si="13">IF(M69="","",(N69-S69)^2+(O69-R69)^2)</f>
        <v>1</v>
      </c>
      <c r="V69" s="1" t="e">
        <f t="shared" ref="V69:V132" si="14">IF(O69="","",1/((O69-N69)/(R69-S69)))</f>
        <v>#DIV/0!</v>
      </c>
    </row>
    <row r="70" spans="8:22" x14ac:dyDescent="0.3">
      <c r="H70" s="10" t="str">
        <f>IF(Planilha1!B67="","",Planilha1!B67)</f>
        <v>10:00p</v>
      </c>
      <c r="I70" s="10" t="str">
        <f>IF(Planilha1!C67="","",Planilha1!C67)</f>
        <v>Sacramento Kings</v>
      </c>
      <c r="J70" s="10">
        <f>IF(Planilha1!D67="","",Planilha1!D67)</f>
        <v>101</v>
      </c>
      <c r="K70" s="10" t="str">
        <f>IF(Planilha1!E67="","",IF(Planilha1!E67=0,"",Planilha1!E67))</f>
        <v>Golden State Warriors</v>
      </c>
      <c r="L70" s="10">
        <f>IF(Planilha1!F67="","",Planilha1!F67)</f>
        <v>102</v>
      </c>
      <c r="M70" s="10">
        <f>IF(Planilha1!G67="","",IF(Planilha1!G67=0,"",Planilha1!G67))</f>
        <v>102</v>
      </c>
      <c r="N70" s="5">
        <f t="shared" ref="N70:N133" si="15">IF(K70="","",IF(K70&gt;M70,100%,0%))</f>
        <v>1</v>
      </c>
      <c r="O70" s="5">
        <f t="shared" ref="O70:O133" si="16">IF(K70="","",IF(K70&lt;M70,100%,0%))</f>
        <v>0</v>
      </c>
      <c r="P70" s="5">
        <f t="shared" si="9"/>
        <v>0</v>
      </c>
      <c r="Q70" s="5">
        <f t="shared" si="10"/>
        <v>2</v>
      </c>
      <c r="R70" s="7">
        <f t="shared" si="11"/>
        <v>0</v>
      </c>
      <c r="S70" s="7">
        <f t="shared" si="12"/>
        <v>0</v>
      </c>
      <c r="T70" s="3">
        <f t="shared" si="13"/>
        <v>1</v>
      </c>
      <c r="V70" s="1" t="e">
        <f t="shared" si="14"/>
        <v>#DIV/0!</v>
      </c>
    </row>
    <row r="71" spans="8:22" x14ac:dyDescent="0.3">
      <c r="H71" s="10" t="str">
        <f>IF(Planilha1!B68="","",Planilha1!B68)</f>
        <v>10:00p</v>
      </c>
      <c r="I71" s="10" t="str">
        <f>IF(Planilha1!C68="","",Planilha1!C68)</f>
        <v>Los Angeles Clippers</v>
      </c>
      <c r="J71" s="10">
        <f>IF(Planilha1!D68="","",Planilha1!D68)</f>
        <v>125</v>
      </c>
      <c r="K71" s="10" t="str">
        <f>IF(Planilha1!E68="","",IF(Planilha1!E68=0,"",Planilha1!E68))</f>
        <v>Los Angeles Lakers</v>
      </c>
      <c r="L71" s="10">
        <f>IF(Planilha1!F68="","",Planilha1!F68)</f>
        <v>130</v>
      </c>
      <c r="M71" s="10">
        <f>IF(Planilha1!G68="","",IF(Planilha1!G68=0,"",Planilha1!G68))</f>
        <v>130</v>
      </c>
      <c r="N71" s="5">
        <f t="shared" si="15"/>
        <v>1</v>
      </c>
      <c r="O71" s="5">
        <f t="shared" si="16"/>
        <v>0</v>
      </c>
      <c r="P71" s="5">
        <f t="shared" si="9"/>
        <v>0</v>
      </c>
      <c r="Q71" s="5">
        <f t="shared" si="10"/>
        <v>2</v>
      </c>
      <c r="R71" s="7">
        <f t="shared" si="11"/>
        <v>0</v>
      </c>
      <c r="S71" s="7">
        <f t="shared" si="12"/>
        <v>0</v>
      </c>
      <c r="T71" s="3">
        <f t="shared" si="13"/>
        <v>1</v>
      </c>
      <c r="V71" s="1" t="e">
        <f t="shared" si="14"/>
        <v>#DIV/0!</v>
      </c>
    </row>
    <row r="72" spans="8:22" x14ac:dyDescent="0.3">
      <c r="H72" s="10" t="str">
        <f>IF(Planilha1!B69="","",Planilha1!B69)</f>
        <v>7:00p</v>
      </c>
      <c r="I72" s="10" t="str">
        <f>IF(Planilha1!C69="","",Planilha1!C69)</f>
        <v>Toronto Raptors</v>
      </c>
      <c r="J72" s="10">
        <f>IF(Planilha1!D69="","",Planilha1!D69)</f>
        <v>99</v>
      </c>
      <c r="K72" s="10" t="str">
        <f>IF(Planilha1!E69="","",IF(Planilha1!E69=0,"",Planilha1!E69))</f>
        <v>Philadelphia 76ers</v>
      </c>
      <c r="L72" s="10">
        <f>IF(Planilha1!F69="","",Planilha1!F69)</f>
        <v>114</v>
      </c>
      <c r="M72" s="10">
        <f>IF(Planilha1!G69="","",IF(Planilha1!G69=0,"",Planilha1!G69))</f>
        <v>114</v>
      </c>
      <c r="N72" s="5">
        <f t="shared" si="15"/>
        <v>1</v>
      </c>
      <c r="O72" s="5">
        <f t="shared" si="16"/>
        <v>0</v>
      </c>
      <c r="P72" s="5">
        <f t="shared" si="9"/>
        <v>0</v>
      </c>
      <c r="Q72" s="5">
        <f t="shared" si="10"/>
        <v>2</v>
      </c>
      <c r="R72" s="7">
        <f t="shared" si="11"/>
        <v>0</v>
      </c>
      <c r="S72" s="7">
        <f t="shared" si="12"/>
        <v>0</v>
      </c>
      <c r="T72" s="3">
        <f t="shared" si="13"/>
        <v>1</v>
      </c>
      <c r="V72" s="1" t="e">
        <f t="shared" si="14"/>
        <v>#DIV/0!</v>
      </c>
    </row>
    <row r="73" spans="8:22" x14ac:dyDescent="0.3">
      <c r="H73" s="10" t="str">
        <f>IF(Planilha1!B70="","",Planilha1!B70)</f>
        <v>8:00p</v>
      </c>
      <c r="I73" s="10" t="str">
        <f>IF(Planilha1!C70="","",Planilha1!C70)</f>
        <v>Detroit Pistons</v>
      </c>
      <c r="J73" s="10">
        <f>IF(Planilha1!D70="","",Planilha1!D70)</f>
        <v>116</v>
      </c>
      <c r="K73" s="10" t="str">
        <f>IF(Planilha1!E70="","",IF(Planilha1!E70=0,"",Planilha1!E70))</f>
        <v>New Orleans Pelicans</v>
      </c>
      <c r="L73" s="10">
        <f>IF(Planilha1!F70="","",Planilha1!F70)</f>
        <v>125</v>
      </c>
      <c r="M73" s="10">
        <f>IF(Planilha1!G70="","",IF(Planilha1!G70=0,"",Planilha1!G70))</f>
        <v>125</v>
      </c>
      <c r="N73" s="5">
        <f t="shared" si="15"/>
        <v>1</v>
      </c>
      <c r="O73" s="5">
        <f t="shared" si="16"/>
        <v>0</v>
      </c>
      <c r="P73" s="5">
        <f t="shared" si="9"/>
        <v>0</v>
      </c>
      <c r="Q73" s="5">
        <f t="shared" si="10"/>
        <v>2</v>
      </c>
      <c r="R73" s="7">
        <f t="shared" si="11"/>
        <v>0</v>
      </c>
      <c r="S73" s="7">
        <f t="shared" si="12"/>
        <v>0</v>
      </c>
      <c r="T73" s="3">
        <f t="shared" si="13"/>
        <v>1</v>
      </c>
      <c r="V73" s="1" t="e">
        <f t="shared" si="14"/>
        <v>#DIV/0!</v>
      </c>
    </row>
    <row r="74" spans="8:22" x14ac:dyDescent="0.3">
      <c r="H74" s="10" t="str">
        <f>IF(Planilha1!B71="","",Planilha1!B71)</f>
        <v>9:00p</v>
      </c>
      <c r="I74" s="10" t="str">
        <f>IF(Planilha1!C71="","",Planilha1!C71)</f>
        <v>Orlando Magic</v>
      </c>
      <c r="J74" s="10">
        <f>IF(Planilha1!D71="","",Planilha1!D71)</f>
        <v>115</v>
      </c>
      <c r="K74" s="10" t="str">
        <f>IF(Planilha1!E71="","",IF(Planilha1!E71=0,"",Planilha1!E71))</f>
        <v>Utah Jazz</v>
      </c>
      <c r="L74" s="10">
        <f>IF(Planilha1!F71="","",Planilha1!F71)</f>
        <v>113</v>
      </c>
      <c r="M74" s="10">
        <f>IF(Planilha1!G71="","",IF(Planilha1!G71=0,"",Planilha1!G71))</f>
        <v>113</v>
      </c>
      <c r="N74" s="5">
        <f t="shared" si="15"/>
        <v>1</v>
      </c>
      <c r="O74" s="5">
        <f t="shared" si="16"/>
        <v>0</v>
      </c>
      <c r="P74" s="5">
        <f t="shared" si="9"/>
        <v>0</v>
      </c>
      <c r="Q74" s="5">
        <f t="shared" si="10"/>
        <v>2</v>
      </c>
      <c r="R74" s="7">
        <f t="shared" si="11"/>
        <v>0</v>
      </c>
      <c r="S74" s="7">
        <f t="shared" si="12"/>
        <v>0</v>
      </c>
      <c r="T74" s="3">
        <f t="shared" si="13"/>
        <v>1</v>
      </c>
      <c r="V74" s="1" t="e">
        <f t="shared" si="14"/>
        <v>#DIV/0!</v>
      </c>
    </row>
    <row r="75" spans="8:22" x14ac:dyDescent="0.3">
      <c r="H75" s="10" t="str">
        <f>IF(Planilha1!B72="","",Planilha1!B72)</f>
        <v>10:00p</v>
      </c>
      <c r="I75" s="10" t="str">
        <f>IF(Planilha1!C72="","",Planilha1!C72)</f>
        <v>San Antonio Spurs</v>
      </c>
      <c r="J75" s="10">
        <f>IF(Planilha1!D72="","",Planilha1!D72)</f>
        <v>132</v>
      </c>
      <c r="K75" s="10" t="str">
        <f>IF(Planilha1!E72="","",IF(Planilha1!E72=0,"",Planilha1!E72))</f>
        <v>Phoenix Suns</v>
      </c>
      <c r="L75" s="10">
        <f>IF(Planilha1!F72="","",Planilha1!F72)</f>
        <v>121</v>
      </c>
      <c r="M75" s="10">
        <f>IF(Planilha1!G72="","",IF(Planilha1!G72=0,"",Planilha1!G72))</f>
        <v>121</v>
      </c>
      <c r="N75" s="5">
        <f t="shared" si="15"/>
        <v>1</v>
      </c>
      <c r="O75" s="5">
        <f t="shared" si="16"/>
        <v>0</v>
      </c>
      <c r="P75" s="5">
        <f t="shared" si="9"/>
        <v>0</v>
      </c>
      <c r="Q75" s="5">
        <f t="shared" si="10"/>
        <v>2</v>
      </c>
      <c r="R75" s="7">
        <f t="shared" si="11"/>
        <v>0</v>
      </c>
      <c r="S75" s="7">
        <f t="shared" si="12"/>
        <v>0</v>
      </c>
      <c r="T75" s="3">
        <f t="shared" si="13"/>
        <v>1</v>
      </c>
      <c r="V75" s="1" t="e">
        <f t="shared" si="14"/>
        <v>#DIV/0!</v>
      </c>
    </row>
    <row r="76" spans="8:22" x14ac:dyDescent="0.3">
      <c r="H76" s="10" t="str">
        <f>IF(Planilha1!B73="","",Planilha1!B73)</f>
        <v>7:00p</v>
      </c>
      <c r="I76" s="10" t="str">
        <f>IF(Planilha1!C73="","",Planilha1!C73)</f>
        <v>Cleveland Cavaliers</v>
      </c>
      <c r="J76" s="10">
        <f>IF(Planilha1!D73="","",Planilha1!D73)</f>
        <v>116</v>
      </c>
      <c r="K76" s="10" t="str">
        <f>IF(Planilha1!E73="","",IF(Planilha1!E73=0,"",Planilha1!E73))</f>
        <v>Indiana Pacers</v>
      </c>
      <c r="L76" s="10">
        <f>IF(Planilha1!F73="","",Planilha1!F73)</f>
        <v>121</v>
      </c>
      <c r="M76" s="10">
        <f>IF(Planilha1!G73="","",IF(Planilha1!G73=0,"",Planilha1!G73))</f>
        <v>121</v>
      </c>
      <c r="N76" s="5">
        <f t="shared" si="15"/>
        <v>1</v>
      </c>
      <c r="O76" s="5">
        <f t="shared" si="16"/>
        <v>0</v>
      </c>
      <c r="P76" s="5">
        <f t="shared" si="9"/>
        <v>0</v>
      </c>
      <c r="Q76" s="5">
        <f t="shared" si="10"/>
        <v>2</v>
      </c>
      <c r="R76" s="7">
        <f t="shared" si="11"/>
        <v>0</v>
      </c>
      <c r="S76" s="7">
        <f t="shared" si="12"/>
        <v>0</v>
      </c>
      <c r="T76" s="3">
        <f t="shared" si="13"/>
        <v>1</v>
      </c>
      <c r="V76" s="1" t="e">
        <f t="shared" si="14"/>
        <v>#DIV/0!</v>
      </c>
    </row>
    <row r="77" spans="8:22" x14ac:dyDescent="0.3">
      <c r="H77" s="10" t="str">
        <f>IF(Planilha1!B74="","",Planilha1!B74)</f>
        <v>7:30p</v>
      </c>
      <c r="I77" s="10" t="str">
        <f>IF(Planilha1!C74="","",Planilha1!C74)</f>
        <v>New York Knicks</v>
      </c>
      <c r="J77" s="10">
        <f>IF(Planilha1!D74="","",Planilha1!D74)</f>
        <v>105</v>
      </c>
      <c r="K77" s="10" t="str">
        <f>IF(Planilha1!E74="","",IF(Planilha1!E74=0,"",Planilha1!E74))</f>
        <v>Milwaukee Bucks</v>
      </c>
      <c r="L77" s="10">
        <f>IF(Planilha1!F74="","",Planilha1!F74)</f>
        <v>110</v>
      </c>
      <c r="M77" s="10">
        <f>IF(Planilha1!G74="","",IF(Planilha1!G74=0,"",Planilha1!G74))</f>
        <v>110</v>
      </c>
      <c r="N77" s="5">
        <f t="shared" si="15"/>
        <v>1</v>
      </c>
      <c r="O77" s="5">
        <f t="shared" si="16"/>
        <v>0</v>
      </c>
      <c r="P77" s="5">
        <f t="shared" si="9"/>
        <v>0</v>
      </c>
      <c r="Q77" s="5">
        <f t="shared" si="10"/>
        <v>2</v>
      </c>
      <c r="R77" s="7">
        <f t="shared" si="11"/>
        <v>0</v>
      </c>
      <c r="S77" s="7">
        <f t="shared" si="12"/>
        <v>0</v>
      </c>
      <c r="T77" s="3">
        <f t="shared" si="13"/>
        <v>1</v>
      </c>
      <c r="V77" s="1" t="e">
        <f t="shared" si="14"/>
        <v>#DIV/0!</v>
      </c>
    </row>
    <row r="78" spans="8:22" x14ac:dyDescent="0.3">
      <c r="H78" s="10" t="str">
        <f>IF(Planilha1!B75="","",Planilha1!B75)</f>
        <v>8:00p</v>
      </c>
      <c r="I78" s="10" t="str">
        <f>IF(Planilha1!C75="","",Planilha1!C75)</f>
        <v>Brooklyn Nets</v>
      </c>
      <c r="J78" s="10">
        <f>IF(Planilha1!D75="","",Planilha1!D75)</f>
        <v>109</v>
      </c>
      <c r="K78" s="10" t="str">
        <f>IF(Planilha1!E75="","",IF(Planilha1!E75=0,"",Planilha1!E75))</f>
        <v>Chicago Bulls</v>
      </c>
      <c r="L78" s="10">
        <f>IF(Planilha1!F75="","",Planilha1!F75)</f>
        <v>107</v>
      </c>
      <c r="M78" s="10">
        <f>IF(Planilha1!G75="","",IF(Planilha1!G75=0,"",Planilha1!G75))</f>
        <v>107</v>
      </c>
      <c r="N78" s="5">
        <f t="shared" si="15"/>
        <v>1</v>
      </c>
      <c r="O78" s="5">
        <f t="shared" si="16"/>
        <v>0</v>
      </c>
      <c r="P78" s="5">
        <f t="shared" si="9"/>
        <v>0</v>
      </c>
      <c r="Q78" s="5">
        <f t="shared" si="10"/>
        <v>2</v>
      </c>
      <c r="R78" s="7">
        <f t="shared" si="11"/>
        <v>0</v>
      </c>
      <c r="S78" s="7">
        <f t="shared" si="12"/>
        <v>0</v>
      </c>
      <c r="T78" s="3">
        <f t="shared" si="13"/>
        <v>1</v>
      </c>
      <c r="V78" s="1" t="e">
        <f t="shared" si="14"/>
        <v>#DIV/0!</v>
      </c>
    </row>
    <row r="79" spans="8:22" x14ac:dyDescent="0.3">
      <c r="H79" s="10" t="str">
        <f>IF(Planilha1!B76="","",Planilha1!B76)</f>
        <v>8:00p</v>
      </c>
      <c r="I79" s="10" t="str">
        <f>IF(Planilha1!C76="","",Planilha1!C76)</f>
        <v>Washington Wizards</v>
      </c>
      <c r="J79" s="10">
        <f>IF(Planilha1!D76="","",Planilha1!D76)</f>
        <v>114</v>
      </c>
      <c r="K79" s="10" t="str">
        <f>IF(Planilha1!E76="","",IF(Planilha1!E76=0,"",Planilha1!E76))</f>
        <v>Miami Heat</v>
      </c>
      <c r="L79" s="10">
        <f>IF(Planilha1!F76="","",Planilha1!F76)</f>
        <v>121</v>
      </c>
      <c r="M79" s="10">
        <f>IF(Planilha1!G76="","",IF(Planilha1!G76=0,"",Planilha1!G76))</f>
        <v>121</v>
      </c>
      <c r="N79" s="5">
        <f t="shared" si="15"/>
        <v>1</v>
      </c>
      <c r="O79" s="5">
        <f t="shared" si="16"/>
        <v>0</v>
      </c>
      <c r="P79" s="5">
        <f t="shared" si="9"/>
        <v>0</v>
      </c>
      <c r="Q79" s="5">
        <f t="shared" si="10"/>
        <v>2</v>
      </c>
      <c r="R79" s="7">
        <f t="shared" si="11"/>
        <v>0</v>
      </c>
      <c r="S79" s="7">
        <f t="shared" si="12"/>
        <v>0</v>
      </c>
      <c r="T79" s="3">
        <f t="shared" si="13"/>
        <v>1</v>
      </c>
      <c r="V79" s="1" t="e">
        <f t="shared" si="14"/>
        <v>#DIV/0!</v>
      </c>
    </row>
    <row r="80" spans="8:22" x14ac:dyDescent="0.3">
      <c r="H80" s="10" t="str">
        <f>IF(Planilha1!B77="","",Planilha1!B77)</f>
        <v>8:00p</v>
      </c>
      <c r="I80" s="10" t="str">
        <f>IF(Planilha1!C77="","",Planilha1!C77)</f>
        <v>Golden State Warriors</v>
      </c>
      <c r="J80" s="10">
        <f>IF(Planilha1!D77="","",Planilha1!D77)</f>
        <v>141</v>
      </c>
      <c r="K80" s="10" t="str">
        <f>IF(Planilha1!E77="","",IF(Planilha1!E77=0,"",Planilha1!E77))</f>
        <v>Oklahoma City Thunder</v>
      </c>
      <c r="L80" s="10">
        <f>IF(Planilha1!F77="","",Planilha1!F77)</f>
        <v>139</v>
      </c>
      <c r="M80" s="10">
        <f>IF(Planilha1!G77="","",IF(Planilha1!G77=0,"",Planilha1!G77))</f>
        <v>139</v>
      </c>
      <c r="N80" s="5">
        <f t="shared" si="15"/>
        <v>1</v>
      </c>
      <c r="O80" s="5">
        <f t="shared" si="16"/>
        <v>0</v>
      </c>
      <c r="P80" s="5">
        <f t="shared" si="9"/>
        <v>0</v>
      </c>
      <c r="Q80" s="5">
        <f t="shared" si="10"/>
        <v>2</v>
      </c>
      <c r="R80" s="7">
        <f t="shared" si="11"/>
        <v>0</v>
      </c>
      <c r="S80" s="7">
        <f t="shared" si="12"/>
        <v>0</v>
      </c>
      <c r="T80" s="3">
        <f t="shared" si="13"/>
        <v>1</v>
      </c>
      <c r="V80" s="1" t="e">
        <f t="shared" si="14"/>
        <v>#DIV/0!</v>
      </c>
    </row>
    <row r="81" spans="8:22" x14ac:dyDescent="0.3">
      <c r="H81" s="10" t="str">
        <f>IF(Planilha1!B78="","",Planilha1!B78)</f>
        <v>10:00p</v>
      </c>
      <c r="I81" s="10" t="str">
        <f>IF(Planilha1!C78="","",Planilha1!C78)</f>
        <v>Dallas Mavericks</v>
      </c>
      <c r="J81" s="10">
        <f>IF(Planilha1!D78="","",Planilha1!D78)</f>
        <v>114</v>
      </c>
      <c r="K81" s="10" t="str">
        <f>IF(Planilha1!E78="","",IF(Planilha1!E78=0,"",Planilha1!E78))</f>
        <v>Denver Nuggets</v>
      </c>
      <c r="L81" s="10">
        <f>IF(Planilha1!F78="","",Planilha1!F78)</f>
        <v>125</v>
      </c>
      <c r="M81" s="10">
        <f>IF(Planilha1!G78="","",IF(Planilha1!G78=0,"",Planilha1!G78))</f>
        <v>125</v>
      </c>
      <c r="N81" s="5">
        <f t="shared" si="15"/>
        <v>1</v>
      </c>
      <c r="O81" s="5">
        <f t="shared" si="16"/>
        <v>0</v>
      </c>
      <c r="P81" s="5">
        <f t="shared" si="9"/>
        <v>0</v>
      </c>
      <c r="Q81" s="5">
        <f t="shared" si="10"/>
        <v>2</v>
      </c>
      <c r="R81" s="7">
        <f t="shared" si="11"/>
        <v>0</v>
      </c>
      <c r="S81" s="7">
        <f t="shared" si="12"/>
        <v>0</v>
      </c>
      <c r="T81" s="3">
        <f t="shared" si="13"/>
        <v>1</v>
      </c>
      <c r="V81" s="1" t="e">
        <f t="shared" si="14"/>
        <v>#DIV/0!</v>
      </c>
    </row>
    <row r="82" spans="8:22" x14ac:dyDescent="0.3">
      <c r="H82" s="10" t="str">
        <f>IF(Planilha1!B79="","",Planilha1!B79)</f>
        <v>10:00p</v>
      </c>
      <c r="I82" s="10" t="str">
        <f>IF(Planilha1!C79="","",Planilha1!C79)</f>
        <v>Memphis Grizzlies</v>
      </c>
      <c r="J82" s="10">
        <f>IF(Planilha1!D79="","",Planilha1!D79)</f>
        <v>113</v>
      </c>
      <c r="K82" s="10" t="str">
        <f>IF(Planilha1!E79="","",IF(Planilha1!E79=0,"",Planilha1!E79))</f>
        <v>Portland Trail Blazers</v>
      </c>
      <c r="L82" s="10">
        <f>IF(Planilha1!F79="","",Planilha1!F79)</f>
        <v>115</v>
      </c>
      <c r="M82" s="10">
        <f>IF(Planilha1!G79="","",IF(Planilha1!G79=0,"",Planilha1!G79))</f>
        <v>115</v>
      </c>
      <c r="N82" s="5">
        <f t="shared" si="15"/>
        <v>1</v>
      </c>
      <c r="O82" s="5">
        <f t="shared" si="16"/>
        <v>0</v>
      </c>
      <c r="P82" s="5">
        <f t="shared" si="9"/>
        <v>0</v>
      </c>
      <c r="Q82" s="5">
        <f t="shared" si="10"/>
        <v>2</v>
      </c>
      <c r="R82" s="7">
        <f t="shared" si="11"/>
        <v>0</v>
      </c>
      <c r="S82" s="7">
        <f t="shared" si="12"/>
        <v>0</v>
      </c>
      <c r="T82" s="3">
        <f t="shared" si="13"/>
        <v>1</v>
      </c>
      <c r="V82" s="1" t="e">
        <f t="shared" si="14"/>
        <v>#DIV/0!</v>
      </c>
    </row>
    <row r="83" spans="8:22" x14ac:dyDescent="0.3">
      <c r="H83" s="10" t="str">
        <f>IF(Planilha1!B80="","",Planilha1!B80)</f>
        <v>1:00p</v>
      </c>
      <c r="I83" s="10" t="str">
        <f>IF(Planilha1!C80="","",Planilha1!C80)</f>
        <v>Phoenix Suns</v>
      </c>
      <c r="J83" s="10">
        <f>IF(Planilha1!D80="","",Planilha1!D80)</f>
        <v>100</v>
      </c>
      <c r="K83" s="10" t="str">
        <f>IF(Planilha1!E80="","",IF(Planilha1!E80=0,"",Planilha1!E80))</f>
        <v>Philadelphia 76ers</v>
      </c>
      <c r="L83" s="10">
        <f>IF(Planilha1!F80="","",Planilha1!F80)</f>
        <v>112</v>
      </c>
      <c r="M83" s="10">
        <f>IF(Planilha1!G80="","",IF(Planilha1!G80=0,"",Planilha1!G80))</f>
        <v>112</v>
      </c>
      <c r="N83" s="5">
        <f t="shared" si="15"/>
        <v>1</v>
      </c>
      <c r="O83" s="5">
        <f t="shared" si="16"/>
        <v>0</v>
      </c>
      <c r="P83" s="5">
        <f t="shared" si="9"/>
        <v>0</v>
      </c>
      <c r="Q83" s="5">
        <f t="shared" si="10"/>
        <v>2</v>
      </c>
      <c r="R83" s="7">
        <f t="shared" si="11"/>
        <v>0</v>
      </c>
      <c r="S83" s="7">
        <f t="shared" si="12"/>
        <v>0</v>
      </c>
      <c r="T83" s="3">
        <f t="shared" si="13"/>
        <v>1</v>
      </c>
      <c r="V83" s="1" t="e">
        <f t="shared" si="14"/>
        <v>#DIV/0!</v>
      </c>
    </row>
    <row r="84" spans="8:22" x14ac:dyDescent="0.3">
      <c r="H84" s="10" t="str">
        <f>IF(Planilha1!B81="","",Planilha1!B81)</f>
        <v>7:00p</v>
      </c>
      <c r="I84" s="10" t="str">
        <f>IF(Planilha1!C81="","",Planilha1!C81)</f>
        <v>Charlotte Hornets</v>
      </c>
      <c r="J84" s="10">
        <f>IF(Planilha1!D81="","",Planilha1!D81)</f>
        <v>125</v>
      </c>
      <c r="K84" s="10" t="str">
        <f>IF(Planilha1!E81="","",IF(Planilha1!E81=0,"",Planilha1!E81))</f>
        <v>Indiana Pacers</v>
      </c>
      <c r="L84" s="10">
        <f>IF(Planilha1!F81="","",Planilha1!F81)</f>
        <v>124</v>
      </c>
      <c r="M84" s="10">
        <f>IF(Planilha1!G81="","",IF(Planilha1!G81=0,"",Planilha1!G81))</f>
        <v>124</v>
      </c>
      <c r="N84" s="5">
        <f t="shared" si="15"/>
        <v>1</v>
      </c>
      <c r="O84" s="5">
        <f t="shared" si="16"/>
        <v>0</v>
      </c>
      <c r="P84" s="5">
        <f t="shared" si="9"/>
        <v>0</v>
      </c>
      <c r="Q84" s="5">
        <f t="shared" si="10"/>
        <v>2</v>
      </c>
      <c r="R84" s="7">
        <f t="shared" si="11"/>
        <v>0</v>
      </c>
      <c r="S84" s="7">
        <f t="shared" si="12"/>
        <v>0</v>
      </c>
      <c r="T84" s="3">
        <f t="shared" si="13"/>
        <v>1</v>
      </c>
      <c r="V84" s="1" t="e">
        <f t="shared" si="14"/>
        <v>#DIV/0!</v>
      </c>
    </row>
    <row r="85" spans="8:22" x14ac:dyDescent="0.3">
      <c r="H85" s="10" t="str">
        <f>IF(Planilha1!B82="","",Planilha1!B82)</f>
        <v>7:00p</v>
      </c>
      <c r="I85" s="10" t="str">
        <f>IF(Planilha1!C82="","",Planilha1!C82)</f>
        <v>Atlanta Hawks</v>
      </c>
      <c r="J85" s="10">
        <f>IF(Planilha1!D82="","",Planilha1!D82)</f>
        <v>123</v>
      </c>
      <c r="K85" s="10" t="str">
        <f>IF(Planilha1!E82="","",IF(Planilha1!E82=0,"",Planilha1!E82))</f>
        <v>New Orleans Pelicans</v>
      </c>
      <c r="L85" s="10">
        <f>IF(Planilha1!F82="","",Planilha1!F82)</f>
        <v>105</v>
      </c>
      <c r="M85" s="10">
        <f>IF(Planilha1!G82="","",IF(Planilha1!G82=0,"",Planilha1!G82))</f>
        <v>105</v>
      </c>
      <c r="N85" s="5">
        <f t="shared" si="15"/>
        <v>1</v>
      </c>
      <c r="O85" s="5">
        <f t="shared" si="16"/>
        <v>0</v>
      </c>
      <c r="P85" s="5">
        <f t="shared" si="9"/>
        <v>0</v>
      </c>
      <c r="Q85" s="5">
        <f t="shared" si="10"/>
        <v>2</v>
      </c>
      <c r="R85" s="7">
        <f t="shared" si="11"/>
        <v>0</v>
      </c>
      <c r="S85" s="7">
        <f t="shared" si="12"/>
        <v>0</v>
      </c>
      <c r="T85" s="3">
        <f t="shared" si="13"/>
        <v>1</v>
      </c>
      <c r="V85" s="1" t="e">
        <f t="shared" si="14"/>
        <v>#DIV/0!</v>
      </c>
    </row>
    <row r="86" spans="8:22" x14ac:dyDescent="0.3">
      <c r="H86" s="10" t="str">
        <f>IF(Planilha1!B83="","",Planilha1!B83)</f>
        <v>7:00p</v>
      </c>
      <c r="I86" s="10" t="str">
        <f>IF(Planilha1!C83="","",Planilha1!C83)</f>
        <v>Los Angeles Lakers</v>
      </c>
      <c r="J86" s="10">
        <f>IF(Planilha1!D83="","",Planilha1!D83)</f>
        <v>101</v>
      </c>
      <c r="K86" s="10" t="str">
        <f>IF(Planilha1!E83="","",IF(Planilha1!E83=0,"",Planilha1!E83))</f>
        <v>Orlando Magic</v>
      </c>
      <c r="L86" s="10">
        <f>IF(Planilha1!F83="","",Planilha1!F83)</f>
        <v>120</v>
      </c>
      <c r="M86" s="10">
        <f>IF(Planilha1!G83="","",IF(Planilha1!G83=0,"",Planilha1!G83))</f>
        <v>120</v>
      </c>
      <c r="N86" s="5">
        <f t="shared" si="15"/>
        <v>1</v>
      </c>
      <c r="O86" s="5">
        <f t="shared" si="16"/>
        <v>0</v>
      </c>
      <c r="P86" s="5">
        <f t="shared" si="9"/>
        <v>0</v>
      </c>
      <c r="Q86" s="5">
        <f t="shared" si="10"/>
        <v>2</v>
      </c>
      <c r="R86" s="7">
        <f t="shared" si="11"/>
        <v>0</v>
      </c>
      <c r="S86" s="7">
        <f t="shared" si="12"/>
        <v>0</v>
      </c>
      <c r="T86" s="3">
        <f t="shared" si="13"/>
        <v>1</v>
      </c>
      <c r="V86" s="1" t="e">
        <f t="shared" si="14"/>
        <v>#DIV/0!</v>
      </c>
    </row>
    <row r="87" spans="8:22" x14ac:dyDescent="0.3">
      <c r="H87" s="10" t="str">
        <f>IF(Planilha1!B84="","",Planilha1!B84)</f>
        <v>8:00p</v>
      </c>
      <c r="I87" s="10" t="str">
        <f>IF(Planilha1!C84="","",Planilha1!C84)</f>
        <v>Boston Celtics</v>
      </c>
      <c r="J87" s="10">
        <f>IF(Planilha1!D84="","",Planilha1!D84)</f>
        <v>124</v>
      </c>
      <c r="K87" s="10" t="str">
        <f>IF(Planilha1!E84="","",IF(Planilha1!E84=0,"",Planilha1!E84))</f>
        <v>Brooklyn Nets</v>
      </c>
      <c r="L87" s="10">
        <f>IF(Planilha1!F84="","",Planilha1!F84)</f>
        <v>114</v>
      </c>
      <c r="M87" s="10">
        <f>IF(Planilha1!G84="","",IF(Planilha1!G84=0,"",Planilha1!G84))</f>
        <v>114</v>
      </c>
      <c r="N87" s="5">
        <f t="shared" si="15"/>
        <v>1</v>
      </c>
      <c r="O87" s="5">
        <f t="shared" si="16"/>
        <v>0</v>
      </c>
      <c r="P87" s="5">
        <f t="shared" si="9"/>
        <v>0</v>
      </c>
      <c r="Q87" s="5">
        <f t="shared" si="10"/>
        <v>2</v>
      </c>
      <c r="R87" s="7">
        <f t="shared" si="11"/>
        <v>0</v>
      </c>
      <c r="S87" s="7">
        <f t="shared" si="12"/>
        <v>0</v>
      </c>
      <c r="T87" s="3">
        <f t="shared" si="13"/>
        <v>1</v>
      </c>
      <c r="V87" s="1" t="e">
        <f t="shared" si="14"/>
        <v>#DIV/0!</v>
      </c>
    </row>
    <row r="88" spans="8:22" x14ac:dyDescent="0.3">
      <c r="H88" s="10" t="str">
        <f>IF(Planilha1!B85="","",Planilha1!B85)</f>
        <v>8:00p</v>
      </c>
      <c r="I88" s="10" t="str">
        <f>IF(Planilha1!C85="","",Planilha1!C85)</f>
        <v>Sacramento Kings</v>
      </c>
      <c r="J88" s="10">
        <f>IF(Planilha1!D85="","",Planilha1!D85)</f>
        <v>89</v>
      </c>
      <c r="K88" s="10" t="str">
        <f>IF(Planilha1!E85="","",IF(Planilha1!E85=0,"",Planilha1!E85))</f>
        <v>Houston Rockets</v>
      </c>
      <c r="L88" s="10">
        <f>IF(Planilha1!F85="","",Planilha1!F85)</f>
        <v>107</v>
      </c>
      <c r="M88" s="10">
        <f>IF(Planilha1!G85="","",IF(Planilha1!G85=0,"",Planilha1!G85))</f>
        <v>107</v>
      </c>
      <c r="N88" s="5">
        <f t="shared" si="15"/>
        <v>1</v>
      </c>
      <c r="O88" s="5">
        <f t="shared" si="16"/>
        <v>0</v>
      </c>
      <c r="P88" s="5">
        <f t="shared" si="9"/>
        <v>0</v>
      </c>
      <c r="Q88" s="5">
        <f t="shared" si="10"/>
        <v>2</v>
      </c>
      <c r="R88" s="7">
        <f t="shared" si="11"/>
        <v>0</v>
      </c>
      <c r="S88" s="7">
        <f t="shared" si="12"/>
        <v>0</v>
      </c>
      <c r="T88" s="3">
        <f t="shared" si="13"/>
        <v>1</v>
      </c>
      <c r="V88" s="1" t="e">
        <f t="shared" si="14"/>
        <v>#DIV/0!</v>
      </c>
    </row>
    <row r="89" spans="8:22" x14ac:dyDescent="0.3">
      <c r="H89" s="10" t="str">
        <f>IF(Planilha1!B86="","",Planilha1!B86)</f>
        <v>8:00p</v>
      </c>
      <c r="I89" s="10" t="str">
        <f>IF(Planilha1!C86="","",Planilha1!C86)</f>
        <v>Utah Jazz</v>
      </c>
      <c r="J89" s="10">
        <f>IF(Planilha1!D86="","",Planilha1!D86)</f>
        <v>95</v>
      </c>
      <c r="K89" s="10" t="str">
        <f>IF(Planilha1!E86="","",IF(Planilha1!E86=0,"",Planilha1!E86))</f>
        <v>Minnesota Timberwolves</v>
      </c>
      <c r="L89" s="10">
        <f>IF(Planilha1!F86="","",Planilha1!F86)</f>
        <v>123</v>
      </c>
      <c r="M89" s="10">
        <f>IF(Planilha1!G86="","",IF(Planilha1!G86=0,"",Planilha1!G86))</f>
        <v>123</v>
      </c>
      <c r="N89" s="5">
        <f t="shared" si="15"/>
        <v>1</v>
      </c>
      <c r="O89" s="5">
        <f t="shared" si="16"/>
        <v>0</v>
      </c>
      <c r="P89" s="5">
        <f t="shared" si="9"/>
        <v>0</v>
      </c>
      <c r="Q89" s="5">
        <f t="shared" si="10"/>
        <v>2</v>
      </c>
      <c r="R89" s="7">
        <f t="shared" si="11"/>
        <v>0</v>
      </c>
      <c r="S89" s="7">
        <f t="shared" si="12"/>
        <v>0</v>
      </c>
      <c r="T89" s="3">
        <f t="shared" si="13"/>
        <v>1</v>
      </c>
      <c r="V89" s="1" t="e">
        <f t="shared" si="14"/>
        <v>#DIV/0!</v>
      </c>
    </row>
    <row r="90" spans="8:22" x14ac:dyDescent="0.3">
      <c r="H90" s="10" t="str">
        <f>IF(Planilha1!B87="","",Planilha1!B87)</f>
        <v>9:00p</v>
      </c>
      <c r="I90" s="10" t="str">
        <f>IF(Planilha1!C87="","",Planilha1!C87)</f>
        <v>Chicago Bulls</v>
      </c>
      <c r="J90" s="10">
        <f>IF(Planilha1!D87="","",Planilha1!D87)</f>
        <v>101</v>
      </c>
      <c r="K90" s="10" t="str">
        <f>IF(Planilha1!E87="","",IF(Planilha1!E87=0,"",Planilha1!E87))</f>
        <v>Denver Nuggets</v>
      </c>
      <c r="L90" s="10">
        <f>IF(Planilha1!F87="","",Planilha1!F87)</f>
        <v>123</v>
      </c>
      <c r="M90" s="10">
        <f>IF(Planilha1!G87="","",IF(Planilha1!G87=0,"",Planilha1!G87))</f>
        <v>123</v>
      </c>
      <c r="N90" s="5">
        <f t="shared" si="15"/>
        <v>1</v>
      </c>
      <c r="O90" s="5">
        <f t="shared" si="16"/>
        <v>0</v>
      </c>
      <c r="P90" s="5">
        <f t="shared" si="9"/>
        <v>0</v>
      </c>
      <c r="Q90" s="5">
        <f t="shared" si="10"/>
        <v>2</v>
      </c>
      <c r="R90" s="7">
        <f t="shared" si="11"/>
        <v>0</v>
      </c>
      <c r="S90" s="7">
        <f t="shared" si="12"/>
        <v>0</v>
      </c>
      <c r="T90" s="3">
        <f t="shared" si="13"/>
        <v>1</v>
      </c>
      <c r="V90" s="1" t="e">
        <f t="shared" si="14"/>
        <v>#DIV/0!</v>
      </c>
    </row>
    <row r="91" spans="8:22" x14ac:dyDescent="0.3">
      <c r="H91" s="10" t="str">
        <f>IF(Planilha1!B88="","",Planilha1!B88)</f>
        <v>3:00p</v>
      </c>
      <c r="I91" s="10" t="str">
        <f>IF(Planilha1!C88="","",Planilha1!C88)</f>
        <v>Phoenix Suns</v>
      </c>
      <c r="J91" s="10">
        <f>IF(Planilha1!D88="","",Planilha1!D88)</f>
        <v>120</v>
      </c>
      <c r="K91" s="10" t="str">
        <f>IF(Planilha1!E88="","",IF(Planilha1!E88=0,"",Planilha1!E88))</f>
        <v>Detroit Pistons</v>
      </c>
      <c r="L91" s="10">
        <f>IF(Planilha1!F88="","",Planilha1!F88)</f>
        <v>106</v>
      </c>
      <c r="M91" s="10">
        <f>IF(Planilha1!G88="","",IF(Planilha1!G88=0,"",Planilha1!G88))</f>
        <v>106</v>
      </c>
      <c r="N91" s="5">
        <f t="shared" si="15"/>
        <v>1</v>
      </c>
      <c r="O91" s="5">
        <f t="shared" si="16"/>
        <v>0</v>
      </c>
      <c r="P91" s="5">
        <f t="shared" si="9"/>
        <v>0</v>
      </c>
      <c r="Q91" s="5">
        <f t="shared" si="10"/>
        <v>2</v>
      </c>
      <c r="R91" s="7">
        <f t="shared" si="11"/>
        <v>0</v>
      </c>
      <c r="S91" s="7">
        <f t="shared" si="12"/>
        <v>0</v>
      </c>
      <c r="T91" s="3">
        <f t="shared" si="13"/>
        <v>1</v>
      </c>
      <c r="V91" s="1" t="e">
        <f t="shared" si="14"/>
        <v>#DIV/0!</v>
      </c>
    </row>
    <row r="92" spans="8:22" x14ac:dyDescent="0.3">
      <c r="H92" s="10" t="str">
        <f>IF(Planilha1!B89="","",Planilha1!B89)</f>
        <v>3:30p</v>
      </c>
      <c r="I92" s="10" t="str">
        <f>IF(Planilha1!C89="","",Planilha1!C89)</f>
        <v>Toronto Raptors</v>
      </c>
      <c r="J92" s="10">
        <f>IF(Planilha1!D89="","",Planilha1!D89)</f>
        <v>123</v>
      </c>
      <c r="K92" s="10" t="str">
        <f>IF(Planilha1!E89="","",IF(Planilha1!E89=0,"",Planilha1!E89))</f>
        <v>San Antonio Spurs</v>
      </c>
      <c r="L92" s="10">
        <f>IF(Planilha1!F89="","",Planilha1!F89)</f>
        <v>116</v>
      </c>
      <c r="M92" s="10">
        <f>IF(Planilha1!G89="","",IF(Planilha1!G89=0,"",Planilha1!G89))</f>
        <v>116</v>
      </c>
      <c r="N92" s="5">
        <f t="shared" si="15"/>
        <v>1</v>
      </c>
      <c r="O92" s="5">
        <f t="shared" si="16"/>
        <v>0</v>
      </c>
      <c r="P92" s="5">
        <f t="shared" si="9"/>
        <v>0</v>
      </c>
      <c r="Q92" s="5">
        <f t="shared" si="10"/>
        <v>2</v>
      </c>
      <c r="R92" s="7">
        <f t="shared" si="11"/>
        <v>0</v>
      </c>
      <c r="S92" s="7">
        <f t="shared" si="12"/>
        <v>0</v>
      </c>
      <c r="T92" s="3">
        <f t="shared" si="13"/>
        <v>1</v>
      </c>
      <c r="V92" s="1" t="e">
        <f t="shared" si="14"/>
        <v>#DIV/0!</v>
      </c>
    </row>
    <row r="93" spans="8:22" x14ac:dyDescent="0.3">
      <c r="H93" s="10" t="str">
        <f>IF(Planilha1!B90="","",Planilha1!B90)</f>
        <v>6:00p</v>
      </c>
      <c r="I93" s="10" t="str">
        <f>IF(Planilha1!C90="","",Planilha1!C90)</f>
        <v>Golden State Warriors</v>
      </c>
      <c r="J93" s="10">
        <f>IF(Planilha1!D90="","",Planilha1!D90)</f>
        <v>104</v>
      </c>
      <c r="K93" s="10" t="str">
        <f>IF(Planilha1!E90="","",IF(Planilha1!E90=0,"",Planilha1!E90))</f>
        <v>Cleveland Cavaliers</v>
      </c>
      <c r="L93" s="10">
        <f>IF(Planilha1!F90="","",Planilha1!F90)</f>
        <v>115</v>
      </c>
      <c r="M93" s="10">
        <f>IF(Planilha1!G90="","",IF(Planilha1!G90=0,"",Planilha1!G90))</f>
        <v>115</v>
      </c>
      <c r="N93" s="5">
        <f t="shared" si="15"/>
        <v>1</v>
      </c>
      <c r="O93" s="5">
        <f t="shared" si="16"/>
        <v>0</v>
      </c>
      <c r="P93" s="5">
        <f t="shared" si="9"/>
        <v>0</v>
      </c>
      <c r="Q93" s="5">
        <f t="shared" si="10"/>
        <v>2</v>
      </c>
      <c r="R93" s="7">
        <f t="shared" si="11"/>
        <v>0</v>
      </c>
      <c r="S93" s="7">
        <f t="shared" si="12"/>
        <v>0</v>
      </c>
      <c r="T93" s="3">
        <f t="shared" si="13"/>
        <v>1</v>
      </c>
      <c r="V93" s="1" t="e">
        <f t="shared" si="14"/>
        <v>#DIV/0!</v>
      </c>
    </row>
    <row r="94" spans="8:22" x14ac:dyDescent="0.3">
      <c r="H94" s="10" t="str">
        <f>IF(Planilha1!B91="","",Planilha1!B91)</f>
        <v>7:30p</v>
      </c>
      <c r="I94" s="10" t="str">
        <f>IF(Planilha1!C91="","",Planilha1!C91)</f>
        <v>Charlotte Hornets</v>
      </c>
      <c r="J94" s="10">
        <f>IF(Planilha1!D91="","",Planilha1!D91)</f>
        <v>118</v>
      </c>
      <c r="K94" s="10" t="str">
        <f>IF(Planilha1!E91="","",IF(Planilha1!E91=0,"",Planilha1!E91))</f>
        <v>Dallas Mavericks</v>
      </c>
      <c r="L94" s="10">
        <f>IF(Planilha1!F91="","",Planilha1!F91)</f>
        <v>124</v>
      </c>
      <c r="M94" s="10">
        <f>IF(Planilha1!G91="","",IF(Planilha1!G91=0,"",Planilha1!G91))</f>
        <v>124</v>
      </c>
      <c r="N94" s="5">
        <f t="shared" si="15"/>
        <v>1</v>
      </c>
      <c r="O94" s="5">
        <f t="shared" si="16"/>
        <v>0</v>
      </c>
      <c r="P94" s="5">
        <f t="shared" si="9"/>
        <v>0</v>
      </c>
      <c r="Q94" s="5">
        <f t="shared" si="10"/>
        <v>2</v>
      </c>
      <c r="R94" s="7">
        <f t="shared" si="11"/>
        <v>0</v>
      </c>
      <c r="S94" s="7">
        <f t="shared" si="12"/>
        <v>0</v>
      </c>
      <c r="T94" s="3">
        <f t="shared" si="13"/>
        <v>1</v>
      </c>
      <c r="V94" s="1" t="e">
        <f t="shared" si="14"/>
        <v>#DIV/0!</v>
      </c>
    </row>
    <row r="95" spans="8:22" x14ac:dyDescent="0.3">
      <c r="H95" s="10" t="str">
        <f>IF(Planilha1!B92="","",Planilha1!B92)</f>
        <v>9:00p</v>
      </c>
      <c r="I95" s="10" t="str">
        <f>IF(Planilha1!C92="","",Planilha1!C92)</f>
        <v>Memphis Grizzlies</v>
      </c>
      <c r="J95" s="10">
        <f>IF(Planilha1!D92="","",Planilha1!D92)</f>
        <v>112</v>
      </c>
      <c r="K95" s="10" t="str">
        <f>IF(Planilha1!E92="","",IF(Planilha1!E92=0,"",Planilha1!E92))</f>
        <v>Portland Trail Blazers</v>
      </c>
      <c r="L95" s="10">
        <f>IF(Planilha1!F92="","",Planilha1!F92)</f>
        <v>100</v>
      </c>
      <c r="M95" s="10">
        <f>IF(Planilha1!G92="","",IF(Planilha1!G92=0,"",Planilha1!G92))</f>
        <v>100</v>
      </c>
      <c r="N95" s="5">
        <f t="shared" si="15"/>
        <v>1</v>
      </c>
      <c r="O95" s="5">
        <f t="shared" si="16"/>
        <v>0</v>
      </c>
      <c r="P95" s="5">
        <f t="shared" si="9"/>
        <v>0</v>
      </c>
      <c r="Q95" s="5">
        <f t="shared" si="10"/>
        <v>2</v>
      </c>
      <c r="R95" s="7">
        <f t="shared" si="11"/>
        <v>0</v>
      </c>
      <c r="S95" s="7">
        <f t="shared" si="12"/>
        <v>0</v>
      </c>
      <c r="T95" s="3">
        <f t="shared" si="13"/>
        <v>1</v>
      </c>
      <c r="V95" s="1" t="e">
        <f t="shared" si="14"/>
        <v>#DIV/0!</v>
      </c>
    </row>
    <row r="96" spans="8:22" x14ac:dyDescent="0.3">
      <c r="H96" s="10" t="str">
        <f>IF(Planilha1!B93="","",Planilha1!B93)</f>
        <v>7:00p</v>
      </c>
      <c r="I96" s="10" t="str">
        <f>IF(Planilha1!C93="","",Planilha1!C93)</f>
        <v>Golden State Warriors</v>
      </c>
      <c r="J96" s="10">
        <f>IF(Planilha1!D93="","",Planilha1!D93)</f>
        <v>120</v>
      </c>
      <c r="K96" s="10" t="str">
        <f>IF(Planilha1!E93="","",IF(Planilha1!E93=0,"",Planilha1!E93))</f>
        <v>Detroit Pistons</v>
      </c>
      <c r="L96" s="10">
        <f>IF(Planilha1!F93="","",Planilha1!F93)</f>
        <v>109</v>
      </c>
      <c r="M96" s="10">
        <f>IF(Planilha1!G93="","",IF(Planilha1!G93=0,"",Planilha1!G93))</f>
        <v>109</v>
      </c>
      <c r="N96" s="5">
        <f t="shared" si="15"/>
        <v>1</v>
      </c>
      <c r="O96" s="5">
        <f t="shared" si="16"/>
        <v>0</v>
      </c>
      <c r="P96" s="5">
        <f t="shared" si="9"/>
        <v>0</v>
      </c>
      <c r="Q96" s="5">
        <f t="shared" si="10"/>
        <v>2</v>
      </c>
      <c r="R96" s="7">
        <f t="shared" si="11"/>
        <v>0</v>
      </c>
      <c r="S96" s="7">
        <f t="shared" si="12"/>
        <v>0</v>
      </c>
      <c r="T96" s="3">
        <f t="shared" si="13"/>
        <v>1</v>
      </c>
      <c r="V96" s="1" t="e">
        <f t="shared" si="14"/>
        <v>#DIV/0!</v>
      </c>
    </row>
    <row r="97" spans="8:22" x14ac:dyDescent="0.3">
      <c r="H97" s="10" t="str">
        <f>IF(Planilha1!B94="","",Planilha1!B94)</f>
        <v>7:00p</v>
      </c>
      <c r="I97" s="10" t="str">
        <f>IF(Planilha1!C94="","",Planilha1!C94)</f>
        <v>San Antonio Spurs</v>
      </c>
      <c r="J97" s="10">
        <f>IF(Planilha1!D94="","",Planilha1!D94)</f>
        <v>111</v>
      </c>
      <c r="K97" s="10" t="str">
        <f>IF(Planilha1!E94="","",IF(Planilha1!E94=0,"",Planilha1!E94))</f>
        <v>Indiana Pacers</v>
      </c>
      <c r="L97" s="10">
        <f>IF(Planilha1!F94="","",Planilha1!F94)</f>
        <v>152</v>
      </c>
      <c r="M97" s="10">
        <f>IF(Planilha1!G94="","",IF(Planilha1!G94=0,"",Planilha1!G94))</f>
        <v>152</v>
      </c>
      <c r="N97" s="5">
        <f t="shared" si="15"/>
        <v>1</v>
      </c>
      <c r="O97" s="5">
        <f t="shared" si="16"/>
        <v>0</v>
      </c>
      <c r="P97" s="5">
        <f t="shared" si="9"/>
        <v>0</v>
      </c>
      <c r="Q97" s="5">
        <f t="shared" si="10"/>
        <v>2</v>
      </c>
      <c r="R97" s="7">
        <f t="shared" si="11"/>
        <v>0</v>
      </c>
      <c r="S97" s="7">
        <f t="shared" si="12"/>
        <v>0</v>
      </c>
      <c r="T97" s="3">
        <f t="shared" si="13"/>
        <v>1</v>
      </c>
      <c r="V97" s="1" t="e">
        <f t="shared" si="14"/>
        <v>#DIV/0!</v>
      </c>
    </row>
    <row r="98" spans="8:22" x14ac:dyDescent="0.3">
      <c r="H98" s="10" t="str">
        <f>IF(Planilha1!B95="","",Planilha1!B95)</f>
        <v>7:00p</v>
      </c>
      <c r="I98" s="10" t="str">
        <f>IF(Planilha1!C95="","",Planilha1!C95)</f>
        <v>Dallas Mavericks</v>
      </c>
      <c r="J98" s="10">
        <f>IF(Planilha1!D95="","",Planilha1!D95)</f>
        <v>117</v>
      </c>
      <c r="K98" s="10" t="str">
        <f>IF(Planilha1!E95="","",IF(Planilha1!E95=0,"",Planilha1!E95))</f>
        <v>Orlando Magic</v>
      </c>
      <c r="L98" s="10">
        <f>IF(Planilha1!F95="","",Planilha1!F95)</f>
        <v>102</v>
      </c>
      <c r="M98" s="10">
        <f>IF(Planilha1!G95="","",IF(Planilha1!G95=0,"",Planilha1!G95))</f>
        <v>102</v>
      </c>
      <c r="N98" s="5">
        <f t="shared" si="15"/>
        <v>1</v>
      </c>
      <c r="O98" s="5">
        <f t="shared" si="16"/>
        <v>0</v>
      </c>
      <c r="P98" s="5">
        <f t="shared" si="9"/>
        <v>0</v>
      </c>
      <c r="Q98" s="5">
        <f t="shared" si="10"/>
        <v>2</v>
      </c>
      <c r="R98" s="7">
        <f t="shared" si="11"/>
        <v>0</v>
      </c>
      <c r="S98" s="7">
        <f t="shared" si="12"/>
        <v>0</v>
      </c>
      <c r="T98" s="3">
        <f t="shared" si="13"/>
        <v>1</v>
      </c>
      <c r="V98" s="1" t="e">
        <f t="shared" si="14"/>
        <v>#DIV/0!</v>
      </c>
    </row>
    <row r="99" spans="8:22" x14ac:dyDescent="0.3">
      <c r="H99" s="10" t="str">
        <f>IF(Planilha1!B96="","",Planilha1!B96)</f>
        <v>7:00p</v>
      </c>
      <c r="I99" s="10" t="str">
        <f>IF(Planilha1!C96="","",Planilha1!C96)</f>
        <v>Washington Wizards</v>
      </c>
      <c r="J99" s="10">
        <f>IF(Planilha1!D96="","",Planilha1!D96)</f>
        <v>128</v>
      </c>
      <c r="K99" s="10" t="str">
        <f>IF(Planilha1!E96="","",IF(Planilha1!E96=0,"",Planilha1!E96))</f>
        <v>Philadelphia 76ers</v>
      </c>
      <c r="L99" s="10">
        <f>IF(Planilha1!F96="","",Planilha1!F96)</f>
        <v>146</v>
      </c>
      <c r="M99" s="10">
        <f>IF(Planilha1!G96="","",IF(Planilha1!G96=0,"",Planilha1!G96))</f>
        <v>146</v>
      </c>
      <c r="N99" s="5">
        <f t="shared" si="15"/>
        <v>1</v>
      </c>
      <c r="O99" s="5">
        <f t="shared" si="16"/>
        <v>0</v>
      </c>
      <c r="P99" s="5">
        <f t="shared" si="9"/>
        <v>0</v>
      </c>
      <c r="Q99" s="5">
        <f t="shared" si="10"/>
        <v>2</v>
      </c>
      <c r="R99" s="7">
        <f t="shared" si="11"/>
        <v>0</v>
      </c>
      <c r="S99" s="7">
        <f t="shared" si="12"/>
        <v>0</v>
      </c>
      <c r="T99" s="3">
        <f t="shared" si="13"/>
        <v>1</v>
      </c>
      <c r="V99" s="1" t="e">
        <f t="shared" si="14"/>
        <v>#DIV/0!</v>
      </c>
    </row>
    <row r="100" spans="8:22" x14ac:dyDescent="0.3">
      <c r="H100" s="10" t="str">
        <f>IF(Planilha1!B97="","",Planilha1!B97)</f>
        <v>7:30p</v>
      </c>
      <c r="I100" s="10" t="str">
        <f>IF(Planilha1!C97="","",Planilha1!C97)</f>
        <v>Milwaukee Bucks</v>
      </c>
      <c r="J100" s="10">
        <f>IF(Planilha1!D97="","",Planilha1!D97)</f>
        <v>129</v>
      </c>
      <c r="K100" s="10" t="str">
        <f>IF(Planilha1!E97="","",IF(Planilha1!E97=0,"",Planilha1!E97))</f>
        <v>Brooklyn Nets</v>
      </c>
      <c r="L100" s="10">
        <f>IF(Planilha1!F97="","",Planilha1!F97)</f>
        <v>125</v>
      </c>
      <c r="M100" s="10">
        <f>IF(Planilha1!G97="","",IF(Planilha1!G97=0,"",Planilha1!G97))</f>
        <v>125</v>
      </c>
      <c r="N100" s="5">
        <f t="shared" si="15"/>
        <v>1</v>
      </c>
      <c r="O100" s="5">
        <f t="shared" si="16"/>
        <v>0</v>
      </c>
      <c r="P100" s="5">
        <f t="shared" si="9"/>
        <v>0</v>
      </c>
      <c r="Q100" s="5">
        <f t="shared" si="10"/>
        <v>2</v>
      </c>
      <c r="R100" s="7">
        <f t="shared" si="11"/>
        <v>0</v>
      </c>
      <c r="S100" s="7">
        <f t="shared" si="12"/>
        <v>0</v>
      </c>
      <c r="T100" s="3">
        <f t="shared" si="13"/>
        <v>1</v>
      </c>
      <c r="V100" s="1" t="e">
        <f t="shared" si="14"/>
        <v>#DIV/0!</v>
      </c>
    </row>
    <row r="101" spans="8:22" x14ac:dyDescent="0.3">
      <c r="H101" s="10" t="str">
        <f>IF(Planilha1!B98="","",Planilha1!B98)</f>
        <v>7:30p</v>
      </c>
      <c r="I101" s="10" t="str">
        <f>IF(Planilha1!C98="","",Planilha1!C98)</f>
        <v>Los Angeles Lakers</v>
      </c>
      <c r="J101" s="10">
        <f>IF(Planilha1!D98="","",Planilha1!D98)</f>
        <v>107</v>
      </c>
      <c r="K101" s="10" t="str">
        <f>IF(Planilha1!E98="","",IF(Planilha1!E98=0,"",Planilha1!E98))</f>
        <v>Miami Heat</v>
      </c>
      <c r="L101" s="10">
        <f>IF(Planilha1!F98="","",Planilha1!F98)</f>
        <v>108</v>
      </c>
      <c r="M101" s="10">
        <f>IF(Planilha1!G98="","",IF(Planilha1!G98=0,"",Planilha1!G98))</f>
        <v>108</v>
      </c>
      <c r="N101" s="5">
        <f t="shared" si="15"/>
        <v>1</v>
      </c>
      <c r="O101" s="5">
        <f t="shared" si="16"/>
        <v>0</v>
      </c>
      <c r="P101" s="5">
        <f t="shared" si="9"/>
        <v>0</v>
      </c>
      <c r="Q101" s="5">
        <f t="shared" si="10"/>
        <v>2</v>
      </c>
      <c r="R101" s="7">
        <f t="shared" si="11"/>
        <v>0</v>
      </c>
      <c r="S101" s="7">
        <f t="shared" si="12"/>
        <v>0</v>
      </c>
      <c r="T101" s="3">
        <f t="shared" si="13"/>
        <v>1</v>
      </c>
      <c r="V101" s="1" t="e">
        <f t="shared" si="14"/>
        <v>#DIV/0!</v>
      </c>
    </row>
    <row r="102" spans="8:22" x14ac:dyDescent="0.3">
      <c r="H102" s="10" t="str">
        <f>IF(Planilha1!B99="","",Planilha1!B99)</f>
        <v>7:30p</v>
      </c>
      <c r="I102" s="10" t="str">
        <f>IF(Planilha1!C99="","",Planilha1!C99)</f>
        <v>Los Angeles Clippers</v>
      </c>
      <c r="J102" s="10">
        <f>IF(Planilha1!D99="","",Planilha1!D99)</f>
        <v>97</v>
      </c>
      <c r="K102" s="10" t="str">
        <f>IF(Planilha1!E99="","",IF(Planilha1!E99=0,"",Planilha1!E99))</f>
        <v>New York Knicks</v>
      </c>
      <c r="L102" s="10">
        <f>IF(Planilha1!F99="","",Planilha1!F99)</f>
        <v>111</v>
      </c>
      <c r="M102" s="10">
        <f>IF(Planilha1!G99="","",IF(Planilha1!G99=0,"",Planilha1!G99))</f>
        <v>111</v>
      </c>
      <c r="N102" s="5">
        <f t="shared" si="15"/>
        <v>1</v>
      </c>
      <c r="O102" s="5">
        <f t="shared" si="16"/>
        <v>0</v>
      </c>
      <c r="P102" s="5">
        <f t="shared" si="9"/>
        <v>0</v>
      </c>
      <c r="Q102" s="5">
        <f t="shared" si="10"/>
        <v>2</v>
      </c>
      <c r="R102" s="7">
        <f t="shared" si="11"/>
        <v>0</v>
      </c>
      <c r="S102" s="7">
        <f t="shared" si="12"/>
        <v>0</v>
      </c>
      <c r="T102" s="3">
        <f t="shared" si="13"/>
        <v>1</v>
      </c>
      <c r="V102" s="1" t="e">
        <f t="shared" si="14"/>
        <v>#DIV/0!</v>
      </c>
    </row>
    <row r="103" spans="8:22" x14ac:dyDescent="0.3">
      <c r="H103" s="10" t="str">
        <f>IF(Planilha1!B100="","",Planilha1!B100)</f>
        <v>8:00p</v>
      </c>
      <c r="I103" s="10" t="str">
        <f>IF(Planilha1!C100="","",Planilha1!C100)</f>
        <v>Utah Jazz</v>
      </c>
      <c r="J103" s="10">
        <f>IF(Planilha1!D100="","",Planilha1!D100)</f>
        <v>113</v>
      </c>
      <c r="K103" s="10" t="str">
        <f>IF(Planilha1!E100="","",IF(Planilha1!E100=0,"",Planilha1!E100))</f>
        <v>Chicago Bulls</v>
      </c>
      <c r="L103" s="10">
        <f>IF(Planilha1!F100="","",Planilha1!F100)</f>
        <v>130</v>
      </c>
      <c r="M103" s="10">
        <f>IF(Planilha1!G100="","",IF(Planilha1!G100=0,"",Planilha1!G100))</f>
        <v>130</v>
      </c>
      <c r="N103" s="5">
        <f t="shared" si="15"/>
        <v>1</v>
      </c>
      <c r="O103" s="5">
        <f t="shared" si="16"/>
        <v>0</v>
      </c>
      <c r="P103" s="5">
        <f t="shared" si="9"/>
        <v>0</v>
      </c>
      <c r="Q103" s="5">
        <f t="shared" si="10"/>
        <v>2</v>
      </c>
      <c r="R103" s="7">
        <f t="shared" si="11"/>
        <v>0</v>
      </c>
      <c r="S103" s="7">
        <f t="shared" si="12"/>
        <v>0</v>
      </c>
      <c r="T103" s="3">
        <f t="shared" si="13"/>
        <v>1</v>
      </c>
      <c r="V103" s="1" t="e">
        <f t="shared" si="14"/>
        <v>#DIV/0!</v>
      </c>
    </row>
    <row r="104" spans="8:22" x14ac:dyDescent="0.3">
      <c r="H104" s="10" t="str">
        <f>IF(Planilha1!B101="","",Planilha1!B101)</f>
        <v>8:00p</v>
      </c>
      <c r="I104" s="10" t="str">
        <f>IF(Planilha1!C101="","",Planilha1!C101)</f>
        <v>Sacramento Kings</v>
      </c>
      <c r="J104" s="10">
        <f>IF(Planilha1!D101="","",Planilha1!D101)</f>
        <v>97</v>
      </c>
      <c r="K104" s="10" t="str">
        <f>IF(Planilha1!E101="","",IF(Planilha1!E101=0,"",Planilha1!E101))</f>
        <v>Houston Rockets</v>
      </c>
      <c r="L104" s="10">
        <f>IF(Planilha1!F101="","",Planilha1!F101)</f>
        <v>122</v>
      </c>
      <c r="M104" s="10">
        <f>IF(Planilha1!G101="","",IF(Planilha1!G101=0,"",Planilha1!G101))</f>
        <v>122</v>
      </c>
      <c r="N104" s="5">
        <f t="shared" si="15"/>
        <v>1</v>
      </c>
      <c r="O104" s="5">
        <f t="shared" si="16"/>
        <v>0</v>
      </c>
      <c r="P104" s="5">
        <f t="shared" si="9"/>
        <v>0</v>
      </c>
      <c r="Q104" s="5">
        <f t="shared" si="10"/>
        <v>2</v>
      </c>
      <c r="R104" s="7">
        <f t="shared" si="11"/>
        <v>0</v>
      </c>
      <c r="S104" s="7">
        <f t="shared" si="12"/>
        <v>0</v>
      </c>
      <c r="T104" s="3">
        <f t="shared" si="13"/>
        <v>1</v>
      </c>
      <c r="V104" s="1" t="e">
        <f t="shared" si="14"/>
        <v>#DIV/0!</v>
      </c>
    </row>
    <row r="105" spans="8:22" x14ac:dyDescent="0.3">
      <c r="H105" s="10" t="str">
        <f>IF(Planilha1!B102="","",Planilha1!B102)</f>
        <v>8:00p</v>
      </c>
      <c r="I105" s="10" t="str">
        <f>IF(Planilha1!C102="","",Planilha1!C102)</f>
        <v>Boston Celtics</v>
      </c>
      <c r="J105" s="10">
        <f>IF(Planilha1!D102="","",Planilha1!D102)</f>
        <v>109</v>
      </c>
      <c r="K105" s="10" t="str">
        <f>IF(Planilha1!E102="","",IF(Planilha1!E102=0,"",Planilha1!E102))</f>
        <v>Minnesota Timberwolves</v>
      </c>
      <c r="L105" s="10">
        <f>IF(Planilha1!F102="","",Planilha1!F102)</f>
        <v>114</v>
      </c>
      <c r="M105" s="10">
        <f>IF(Planilha1!G102="","",IF(Planilha1!G102=0,"",Planilha1!G102))</f>
        <v>114</v>
      </c>
      <c r="N105" s="5">
        <f t="shared" si="15"/>
        <v>1</v>
      </c>
      <c r="O105" s="5">
        <f t="shared" si="16"/>
        <v>0</v>
      </c>
      <c r="P105" s="5">
        <f t="shared" si="9"/>
        <v>0</v>
      </c>
      <c r="Q105" s="5">
        <f t="shared" si="10"/>
        <v>2</v>
      </c>
      <c r="R105" s="7">
        <f t="shared" si="11"/>
        <v>0</v>
      </c>
      <c r="S105" s="7">
        <f t="shared" si="12"/>
        <v>0</v>
      </c>
      <c r="T105" s="3">
        <f t="shared" si="13"/>
        <v>1</v>
      </c>
      <c r="V105" s="1" t="e">
        <f t="shared" si="14"/>
        <v>#DIV/0!</v>
      </c>
    </row>
    <row r="106" spans="8:22" x14ac:dyDescent="0.3">
      <c r="H106" s="10" t="str">
        <f>IF(Planilha1!B103="","",Planilha1!B103)</f>
        <v>8:00p</v>
      </c>
      <c r="I106" s="10" t="str">
        <f>IF(Planilha1!C103="","",Planilha1!C103)</f>
        <v>Atlanta Hawks</v>
      </c>
      <c r="J106" s="10">
        <f>IF(Planilha1!D103="","",Planilha1!D103)</f>
        <v>117</v>
      </c>
      <c r="K106" s="10" t="str">
        <f>IF(Planilha1!E103="","",IF(Planilha1!E103=0,"",Planilha1!E103))</f>
        <v>Oklahoma City Thunder</v>
      </c>
      <c r="L106" s="10">
        <f>IF(Planilha1!F103="","",Planilha1!F103)</f>
        <v>126</v>
      </c>
      <c r="M106" s="10">
        <f>IF(Planilha1!G103="","",IF(Planilha1!G103=0,"",Planilha1!G103))</f>
        <v>126</v>
      </c>
      <c r="N106" s="5">
        <f t="shared" si="15"/>
        <v>1</v>
      </c>
      <c r="O106" s="5">
        <f t="shared" si="16"/>
        <v>0</v>
      </c>
      <c r="P106" s="5">
        <f t="shared" si="9"/>
        <v>0</v>
      </c>
      <c r="Q106" s="5">
        <f t="shared" si="10"/>
        <v>2</v>
      </c>
      <c r="R106" s="7">
        <f t="shared" si="11"/>
        <v>0</v>
      </c>
      <c r="S106" s="7">
        <f t="shared" si="12"/>
        <v>0</v>
      </c>
      <c r="T106" s="3">
        <f t="shared" si="13"/>
        <v>1</v>
      </c>
      <c r="V106" s="1" t="e">
        <f t="shared" si="14"/>
        <v>#DIV/0!</v>
      </c>
    </row>
    <row r="107" spans="8:22" x14ac:dyDescent="0.3">
      <c r="H107" s="10" t="str">
        <f>IF(Planilha1!B104="","",Planilha1!B104)</f>
        <v>9:00p</v>
      </c>
      <c r="I107" s="10" t="str">
        <f>IF(Planilha1!C104="","",Planilha1!C104)</f>
        <v>New Orleans Pelicans</v>
      </c>
      <c r="J107" s="10">
        <f>IF(Planilha1!D104="","",Planilha1!D104)</f>
        <v>116</v>
      </c>
      <c r="K107" s="10" t="str">
        <f>IF(Planilha1!E104="","",IF(Planilha1!E104=0,"",Planilha1!E104))</f>
        <v>Denver Nuggets</v>
      </c>
      <c r="L107" s="10">
        <f>IF(Planilha1!F104="","",Planilha1!F104)</f>
        <v>134</v>
      </c>
      <c r="M107" s="10">
        <f>IF(Planilha1!G104="","",IF(Planilha1!G104=0,"",Planilha1!G104))</f>
        <v>134</v>
      </c>
      <c r="N107" s="5">
        <f t="shared" si="15"/>
        <v>1</v>
      </c>
      <c r="O107" s="5">
        <f t="shared" si="16"/>
        <v>0</v>
      </c>
      <c r="P107" s="5">
        <f t="shared" si="9"/>
        <v>0</v>
      </c>
      <c r="Q107" s="5">
        <f t="shared" si="10"/>
        <v>2</v>
      </c>
      <c r="R107" s="7">
        <f t="shared" si="11"/>
        <v>0</v>
      </c>
      <c r="S107" s="7">
        <f t="shared" si="12"/>
        <v>0</v>
      </c>
      <c r="T107" s="3">
        <f t="shared" si="13"/>
        <v>1</v>
      </c>
      <c r="V107" s="1" t="e">
        <f t="shared" si="14"/>
        <v>#DIV/0!</v>
      </c>
    </row>
    <row r="108" spans="8:22" x14ac:dyDescent="0.3">
      <c r="H108" s="10" t="str">
        <f>IF(Planilha1!B105="","",Planilha1!B105)</f>
        <v>7:00p</v>
      </c>
      <c r="I108" s="10" t="str">
        <f>IF(Planilha1!C105="","",Planilha1!C105)</f>
        <v>Washington Wizards</v>
      </c>
      <c r="J108" s="10">
        <f>IF(Planilha1!D105="","",Planilha1!D105)</f>
        <v>132</v>
      </c>
      <c r="K108" s="10" t="str">
        <f>IF(Planilha1!E105="","",IF(Planilha1!E105=0,"",Planilha1!E105))</f>
        <v>Charlotte Hornets</v>
      </c>
      <c r="L108" s="10">
        <f>IF(Planilha1!F105="","",Planilha1!F105)</f>
        <v>116</v>
      </c>
      <c r="M108" s="10">
        <f>IF(Planilha1!G105="","",IF(Planilha1!G105=0,"",Planilha1!G105))</f>
        <v>116</v>
      </c>
      <c r="N108" s="5">
        <f t="shared" si="15"/>
        <v>1</v>
      </c>
      <c r="O108" s="5">
        <f t="shared" si="16"/>
        <v>0</v>
      </c>
      <c r="P108" s="5">
        <f t="shared" si="9"/>
        <v>0</v>
      </c>
      <c r="Q108" s="5">
        <f t="shared" si="10"/>
        <v>2</v>
      </c>
      <c r="R108" s="7">
        <f t="shared" si="11"/>
        <v>0</v>
      </c>
      <c r="S108" s="7">
        <f t="shared" si="12"/>
        <v>0</v>
      </c>
      <c r="T108" s="3">
        <f t="shared" si="13"/>
        <v>1</v>
      </c>
      <c r="V108" s="1" t="e">
        <f t="shared" si="14"/>
        <v>#DIV/0!</v>
      </c>
    </row>
    <row r="109" spans="8:22" x14ac:dyDescent="0.3">
      <c r="H109" s="10" t="str">
        <f>IF(Planilha1!B106="","",Planilha1!B106)</f>
        <v>7:00p</v>
      </c>
      <c r="I109" s="10" t="str">
        <f>IF(Planilha1!C106="","",Planilha1!C106)</f>
        <v>Utah Jazz</v>
      </c>
      <c r="J109" s="10">
        <f>IF(Planilha1!D106="","",Planilha1!D106)</f>
        <v>118</v>
      </c>
      <c r="K109" s="10" t="str">
        <f>IF(Planilha1!E106="","",IF(Planilha1!E106=0,"",Planilha1!E106))</f>
        <v>Indiana Pacers</v>
      </c>
      <c r="L109" s="10">
        <f>IF(Planilha1!F106="","",Planilha1!F106)</f>
        <v>134</v>
      </c>
      <c r="M109" s="10">
        <f>IF(Planilha1!G106="","",IF(Planilha1!G106=0,"",Planilha1!G106))</f>
        <v>134</v>
      </c>
      <c r="N109" s="5">
        <f t="shared" si="15"/>
        <v>1</v>
      </c>
      <c r="O109" s="5">
        <f t="shared" si="16"/>
        <v>0</v>
      </c>
      <c r="P109" s="5">
        <f t="shared" si="9"/>
        <v>0</v>
      </c>
      <c r="Q109" s="5">
        <f t="shared" si="10"/>
        <v>2</v>
      </c>
      <c r="R109" s="7">
        <f t="shared" si="11"/>
        <v>0</v>
      </c>
      <c r="S109" s="7">
        <f t="shared" si="12"/>
        <v>0</v>
      </c>
      <c r="T109" s="3">
        <f t="shared" si="13"/>
        <v>1</v>
      </c>
      <c r="V109" s="1" t="e">
        <f t="shared" si="14"/>
        <v>#DIV/0!</v>
      </c>
    </row>
    <row r="110" spans="8:22" x14ac:dyDescent="0.3">
      <c r="H110" s="10" t="str">
        <f>IF(Planilha1!B107="","",Planilha1!B107)</f>
        <v>7:00p</v>
      </c>
      <c r="I110" s="10" t="str">
        <f>IF(Planilha1!C107="","",Planilha1!C107)</f>
        <v>Boston Celtics</v>
      </c>
      <c r="J110" s="10">
        <f>IF(Planilha1!D107="","",Planilha1!D107)</f>
        <v>103</v>
      </c>
      <c r="K110" s="10" t="str">
        <f>IF(Planilha1!E107="","",IF(Planilha1!E107=0,"",Planilha1!E107))</f>
        <v>Philadelphia 76ers</v>
      </c>
      <c r="L110" s="10">
        <f>IF(Planilha1!F107="","",Planilha1!F107)</f>
        <v>106</v>
      </c>
      <c r="M110" s="10">
        <f>IF(Planilha1!G107="","",IF(Planilha1!G107=0,"",Planilha1!G107))</f>
        <v>106</v>
      </c>
      <c r="N110" s="5">
        <f t="shared" si="15"/>
        <v>1</v>
      </c>
      <c r="O110" s="5">
        <f t="shared" si="16"/>
        <v>0</v>
      </c>
      <c r="P110" s="5">
        <f t="shared" si="9"/>
        <v>0</v>
      </c>
      <c r="Q110" s="5">
        <f t="shared" si="10"/>
        <v>2</v>
      </c>
      <c r="R110" s="7">
        <f t="shared" si="11"/>
        <v>0</v>
      </c>
      <c r="S110" s="7">
        <f t="shared" si="12"/>
        <v>0</v>
      </c>
      <c r="T110" s="3">
        <f t="shared" si="13"/>
        <v>1</v>
      </c>
      <c r="V110" s="1" t="e">
        <f t="shared" si="14"/>
        <v>#DIV/0!</v>
      </c>
    </row>
    <row r="111" spans="8:22" x14ac:dyDescent="0.3">
      <c r="H111" s="10" t="str">
        <f>IF(Planilha1!B108="","",Planilha1!B108)</f>
        <v>7:30p</v>
      </c>
      <c r="I111" s="10" t="str">
        <f>IF(Planilha1!C108="","",Planilha1!C108)</f>
        <v>Los Angeles Clippers</v>
      </c>
      <c r="J111" s="10">
        <f>IF(Planilha1!D108="","",Planilha1!D108)</f>
        <v>93</v>
      </c>
      <c r="K111" s="10" t="str">
        <f>IF(Planilha1!E108="","",IF(Planilha1!E108=0,"",Planilha1!E108))</f>
        <v>Brooklyn Nets</v>
      </c>
      <c r="L111" s="10">
        <f>IF(Planilha1!F108="","",Planilha1!F108)</f>
        <v>100</v>
      </c>
      <c r="M111" s="10">
        <f>IF(Planilha1!G108="","",IF(Planilha1!G108=0,"",Planilha1!G108))</f>
        <v>100</v>
      </c>
      <c r="N111" s="5">
        <f t="shared" si="15"/>
        <v>1</v>
      </c>
      <c r="O111" s="5">
        <f t="shared" si="16"/>
        <v>0</v>
      </c>
      <c r="P111" s="5">
        <f t="shared" si="9"/>
        <v>0</v>
      </c>
      <c r="Q111" s="5">
        <f t="shared" si="10"/>
        <v>2</v>
      </c>
      <c r="R111" s="7">
        <f t="shared" si="11"/>
        <v>0</v>
      </c>
      <c r="S111" s="7">
        <f t="shared" si="12"/>
        <v>0</v>
      </c>
      <c r="T111" s="3">
        <f t="shared" si="13"/>
        <v>1</v>
      </c>
      <c r="V111" s="1" t="e">
        <f t="shared" si="14"/>
        <v>#DIV/0!</v>
      </c>
    </row>
    <row r="112" spans="8:22" x14ac:dyDescent="0.3">
      <c r="H112" s="10" t="str">
        <f>IF(Planilha1!B109="","",Planilha1!B109)</f>
        <v>7:30p</v>
      </c>
      <c r="I112" s="10" t="str">
        <f>IF(Planilha1!C109="","",Planilha1!C109)</f>
        <v>San Antonio Spurs</v>
      </c>
      <c r="J112" s="10">
        <f>IF(Planilha1!D109="","",Planilha1!D109)</f>
        <v>105</v>
      </c>
      <c r="K112" s="10" t="str">
        <f>IF(Planilha1!E109="","",IF(Planilha1!E109=0,"",Planilha1!E109))</f>
        <v>New York Knicks</v>
      </c>
      <c r="L112" s="10">
        <f>IF(Planilha1!F109="","",Planilha1!F109)</f>
        <v>126</v>
      </c>
      <c r="M112" s="10">
        <f>IF(Planilha1!G109="","",IF(Planilha1!G109=0,"",Planilha1!G109))</f>
        <v>126</v>
      </c>
      <c r="N112" s="5">
        <f t="shared" si="15"/>
        <v>1</v>
      </c>
      <c r="O112" s="5">
        <f t="shared" si="16"/>
        <v>0</v>
      </c>
      <c r="P112" s="5">
        <f t="shared" si="9"/>
        <v>0</v>
      </c>
      <c r="Q112" s="5">
        <f t="shared" si="10"/>
        <v>2</v>
      </c>
      <c r="R112" s="7">
        <f t="shared" si="11"/>
        <v>0</v>
      </c>
      <c r="S112" s="7">
        <f t="shared" si="12"/>
        <v>0</v>
      </c>
      <c r="T112" s="3">
        <f t="shared" si="13"/>
        <v>1</v>
      </c>
      <c r="V112" s="1" t="e">
        <f t="shared" si="14"/>
        <v>#DIV/0!</v>
      </c>
    </row>
    <row r="113" spans="8:22" x14ac:dyDescent="0.3">
      <c r="H113" s="10" t="str">
        <f>IF(Planilha1!B110="","",Planilha1!B110)</f>
        <v>8:00p</v>
      </c>
      <c r="I113" s="10" t="str">
        <f>IF(Planilha1!C110="","",Planilha1!C110)</f>
        <v>Phoenix Suns</v>
      </c>
      <c r="J113" s="10">
        <f>IF(Planilha1!D110="","",Planilha1!D110)</f>
        <v>116</v>
      </c>
      <c r="K113" s="10" t="str">
        <f>IF(Planilha1!E110="","",IF(Planilha1!E110=0,"",Planilha1!E110))</f>
        <v>Chicago Bulls</v>
      </c>
      <c r="L113" s="10">
        <f>IF(Planilha1!F110="","",Planilha1!F110)</f>
        <v>115</v>
      </c>
      <c r="M113" s="10">
        <f>IF(Planilha1!G110="","",IF(Planilha1!G110=0,"",Planilha1!G110))</f>
        <v>115</v>
      </c>
      <c r="N113" s="5">
        <f t="shared" si="15"/>
        <v>1</v>
      </c>
      <c r="O113" s="5">
        <f t="shared" si="16"/>
        <v>0</v>
      </c>
      <c r="P113" s="5">
        <f t="shared" si="9"/>
        <v>0</v>
      </c>
      <c r="Q113" s="5">
        <f t="shared" si="10"/>
        <v>2</v>
      </c>
      <c r="R113" s="7">
        <f t="shared" si="11"/>
        <v>0</v>
      </c>
      <c r="S113" s="7">
        <f t="shared" si="12"/>
        <v>0</v>
      </c>
      <c r="T113" s="3">
        <f t="shared" si="13"/>
        <v>1</v>
      </c>
      <c r="V113" s="1" t="e">
        <f t="shared" si="14"/>
        <v>#DIV/0!</v>
      </c>
    </row>
    <row r="114" spans="8:22" x14ac:dyDescent="0.3">
      <c r="H114" s="10" t="str">
        <f>IF(Planilha1!B111="","",Planilha1!B111)</f>
        <v>8:00p</v>
      </c>
      <c r="I114" s="10" t="str">
        <f>IF(Planilha1!C111="","",Planilha1!C111)</f>
        <v>Los Angeles Lakers</v>
      </c>
      <c r="J114" s="10">
        <f>IF(Planilha1!D111="","",Planilha1!D111)</f>
        <v>94</v>
      </c>
      <c r="K114" s="10" t="str">
        <f>IF(Planilha1!E111="","",IF(Planilha1!E111=0,"",Planilha1!E111))</f>
        <v>Houston Rockets</v>
      </c>
      <c r="L114" s="10">
        <f>IF(Planilha1!F111="","",Planilha1!F111)</f>
        <v>128</v>
      </c>
      <c r="M114" s="10">
        <f>IF(Planilha1!G111="","",IF(Planilha1!G111=0,"",Planilha1!G111))</f>
        <v>128</v>
      </c>
      <c r="N114" s="5">
        <f t="shared" si="15"/>
        <v>1</v>
      </c>
      <c r="O114" s="5">
        <f t="shared" si="16"/>
        <v>0</v>
      </c>
      <c r="P114" s="5">
        <f t="shared" si="9"/>
        <v>0</v>
      </c>
      <c r="Q114" s="5">
        <f t="shared" si="10"/>
        <v>2</v>
      </c>
      <c r="R114" s="7">
        <f t="shared" si="11"/>
        <v>0</v>
      </c>
      <c r="S114" s="7">
        <f t="shared" si="12"/>
        <v>0</v>
      </c>
      <c r="T114" s="3">
        <f t="shared" si="13"/>
        <v>1</v>
      </c>
      <c r="V114" s="1" t="e">
        <f t="shared" si="14"/>
        <v>#DIV/0!</v>
      </c>
    </row>
    <row r="115" spans="8:22" x14ac:dyDescent="0.3">
      <c r="H115" s="10" t="str">
        <f>IF(Planilha1!B112="","",Planilha1!B112)</f>
        <v>8:00p</v>
      </c>
      <c r="I115" s="10" t="str">
        <f>IF(Planilha1!C112="","",Planilha1!C112)</f>
        <v>Miami Heat</v>
      </c>
      <c r="J115" s="10">
        <f>IF(Planilha1!D112="","",Planilha1!D112)</f>
        <v>108</v>
      </c>
      <c r="K115" s="10" t="str">
        <f>IF(Planilha1!E112="","",IF(Planilha1!E112=0,"",Planilha1!E112))</f>
        <v>Memphis Grizzlies</v>
      </c>
      <c r="L115" s="10">
        <f>IF(Planilha1!F112="","",Planilha1!F112)</f>
        <v>102</v>
      </c>
      <c r="M115" s="10">
        <f>IF(Planilha1!G112="","",IF(Planilha1!G112=0,"",Planilha1!G112))</f>
        <v>102</v>
      </c>
      <c r="N115" s="5">
        <f t="shared" si="15"/>
        <v>1</v>
      </c>
      <c r="O115" s="5">
        <f t="shared" si="16"/>
        <v>0</v>
      </c>
      <c r="P115" s="5">
        <f t="shared" si="9"/>
        <v>0</v>
      </c>
      <c r="Q115" s="5">
        <f t="shared" si="10"/>
        <v>2</v>
      </c>
      <c r="R115" s="7">
        <f t="shared" si="11"/>
        <v>0</v>
      </c>
      <c r="S115" s="7">
        <f t="shared" si="12"/>
        <v>0</v>
      </c>
      <c r="T115" s="3">
        <f t="shared" si="13"/>
        <v>1</v>
      </c>
      <c r="V115" s="1" t="e">
        <f t="shared" si="14"/>
        <v>#DIV/0!</v>
      </c>
    </row>
    <row r="116" spans="8:22" x14ac:dyDescent="0.3">
      <c r="H116" s="10" t="str">
        <f>IF(Planilha1!B113="","",Planilha1!B113)</f>
        <v>8:00p</v>
      </c>
      <c r="I116" s="10" t="str">
        <f>IF(Planilha1!C113="","",Planilha1!C113)</f>
        <v>Detroit Pistons</v>
      </c>
      <c r="J116" s="10">
        <f>IF(Planilha1!D113="","",Planilha1!D113)</f>
        <v>118</v>
      </c>
      <c r="K116" s="10" t="str">
        <f>IF(Planilha1!E113="","",IF(Planilha1!E113=0,"",Planilha1!E113))</f>
        <v>Milwaukee Bucks</v>
      </c>
      <c r="L116" s="10">
        <f>IF(Planilha1!F113="","",Planilha1!F113)</f>
        <v>120</v>
      </c>
      <c r="M116" s="10">
        <f>IF(Planilha1!G113="","",IF(Planilha1!G113=0,"",Planilha1!G113))</f>
        <v>120</v>
      </c>
      <c r="N116" s="5">
        <f t="shared" si="15"/>
        <v>1</v>
      </c>
      <c r="O116" s="5">
        <f t="shared" si="16"/>
        <v>0</v>
      </c>
      <c r="P116" s="5">
        <f t="shared" si="9"/>
        <v>0</v>
      </c>
      <c r="Q116" s="5">
        <f t="shared" si="10"/>
        <v>2</v>
      </c>
      <c r="R116" s="7">
        <f t="shared" si="11"/>
        <v>0</v>
      </c>
      <c r="S116" s="7">
        <f t="shared" si="12"/>
        <v>0</v>
      </c>
      <c r="T116" s="3">
        <f t="shared" si="13"/>
        <v>1</v>
      </c>
      <c r="V116" s="1" t="e">
        <f t="shared" si="14"/>
        <v>#DIV/0!</v>
      </c>
    </row>
    <row r="117" spans="8:22" x14ac:dyDescent="0.3">
      <c r="H117" s="10" t="str">
        <f>IF(Planilha1!B114="","",Planilha1!B114)</f>
        <v>8:00p</v>
      </c>
      <c r="I117" s="10" t="str">
        <f>IF(Planilha1!C114="","",Planilha1!C114)</f>
        <v>New Orleans Pelicans</v>
      </c>
      <c r="J117" s="10">
        <f>IF(Planilha1!D114="","",Planilha1!D114)</f>
        <v>101</v>
      </c>
      <c r="K117" s="10" t="str">
        <f>IF(Planilha1!E114="","",IF(Planilha1!E114=0,"",Planilha1!E114))</f>
        <v>Minnesota Timberwolves</v>
      </c>
      <c r="L117" s="10">
        <f>IF(Planilha1!F114="","",Planilha1!F114)</f>
        <v>122</v>
      </c>
      <c r="M117" s="10">
        <f>IF(Planilha1!G114="","",IF(Planilha1!G114=0,"",Planilha1!G114))</f>
        <v>122</v>
      </c>
      <c r="N117" s="5">
        <f t="shared" si="15"/>
        <v>1</v>
      </c>
      <c r="O117" s="5">
        <f t="shared" si="16"/>
        <v>0</v>
      </c>
      <c r="P117" s="5">
        <f t="shared" si="9"/>
        <v>0</v>
      </c>
      <c r="Q117" s="5">
        <f t="shared" si="10"/>
        <v>2</v>
      </c>
      <c r="R117" s="7">
        <f t="shared" si="11"/>
        <v>0</v>
      </c>
      <c r="S117" s="7">
        <f t="shared" si="12"/>
        <v>0</v>
      </c>
      <c r="T117" s="3">
        <f t="shared" si="13"/>
        <v>1</v>
      </c>
      <c r="V117" s="1" t="e">
        <f t="shared" si="14"/>
        <v>#DIV/0!</v>
      </c>
    </row>
    <row r="118" spans="8:22" x14ac:dyDescent="0.3">
      <c r="H118" s="10" t="str">
        <f>IF(Planilha1!B115="","",Planilha1!B115)</f>
        <v>8:00p</v>
      </c>
      <c r="I118" s="10" t="str">
        <f>IF(Planilha1!C115="","",Planilha1!C115)</f>
        <v>Cleveland Cavaliers</v>
      </c>
      <c r="J118" s="10">
        <f>IF(Planilha1!D115="","",Planilha1!D115)</f>
        <v>120</v>
      </c>
      <c r="K118" s="10" t="str">
        <f>IF(Planilha1!E115="","",IF(Planilha1!E115=0,"",Planilha1!E115))</f>
        <v>Oklahoma City Thunder</v>
      </c>
      <c r="L118" s="10">
        <f>IF(Planilha1!F115="","",Planilha1!F115)</f>
        <v>128</v>
      </c>
      <c r="M118" s="10">
        <f>IF(Planilha1!G115="","",IF(Planilha1!G115=0,"",Planilha1!G115))</f>
        <v>128</v>
      </c>
      <c r="N118" s="5">
        <f t="shared" si="15"/>
        <v>1</v>
      </c>
      <c r="O118" s="5">
        <f t="shared" si="16"/>
        <v>0</v>
      </c>
      <c r="P118" s="5">
        <f t="shared" si="9"/>
        <v>0</v>
      </c>
      <c r="Q118" s="5">
        <f t="shared" si="10"/>
        <v>2</v>
      </c>
      <c r="R118" s="7">
        <f t="shared" si="11"/>
        <v>0</v>
      </c>
      <c r="S118" s="7">
        <f t="shared" si="12"/>
        <v>0</v>
      </c>
      <c r="T118" s="3">
        <f t="shared" si="13"/>
        <v>1</v>
      </c>
      <c r="V118" s="1" t="e">
        <f t="shared" si="14"/>
        <v>#DIV/0!</v>
      </c>
    </row>
    <row r="119" spans="8:22" x14ac:dyDescent="0.3">
      <c r="H119" s="10" t="str">
        <f>IF(Planilha1!B116="","",Planilha1!B116)</f>
        <v>8:30p</v>
      </c>
      <c r="I119" s="10" t="str">
        <f>IF(Planilha1!C116="","",Planilha1!C116)</f>
        <v>Toronto Raptors</v>
      </c>
      <c r="J119" s="10">
        <f>IF(Planilha1!D116="","",Planilha1!D116)</f>
        <v>127</v>
      </c>
      <c r="K119" s="10" t="str">
        <f>IF(Planilha1!E116="","",IF(Planilha1!E116=0,"",Planilha1!E116))</f>
        <v>Dallas Mavericks</v>
      </c>
      <c r="L119" s="10">
        <f>IF(Planilha1!F116="","",Planilha1!F116)</f>
        <v>116</v>
      </c>
      <c r="M119" s="10">
        <f>IF(Planilha1!G116="","",IF(Planilha1!G116=0,"",Planilha1!G116))</f>
        <v>116</v>
      </c>
      <c r="N119" s="5">
        <f t="shared" si="15"/>
        <v>1</v>
      </c>
      <c r="O119" s="5">
        <f t="shared" si="16"/>
        <v>0</v>
      </c>
      <c r="P119" s="5">
        <f t="shared" si="9"/>
        <v>0</v>
      </c>
      <c r="Q119" s="5">
        <f t="shared" si="10"/>
        <v>2</v>
      </c>
      <c r="R119" s="7">
        <f t="shared" si="11"/>
        <v>0</v>
      </c>
      <c r="S119" s="7">
        <f t="shared" si="12"/>
        <v>0</v>
      </c>
      <c r="T119" s="3">
        <f t="shared" si="13"/>
        <v>1</v>
      </c>
      <c r="V119" s="1" t="e">
        <f t="shared" si="14"/>
        <v>#DIV/0!</v>
      </c>
    </row>
    <row r="120" spans="8:22" x14ac:dyDescent="0.3">
      <c r="H120" s="10" t="str">
        <f>IF(Planilha1!B117="","",Planilha1!B117)</f>
        <v>10:00p</v>
      </c>
      <c r="I120" s="10" t="str">
        <f>IF(Planilha1!C117="","",Planilha1!C117)</f>
        <v>Golden State Warriors</v>
      </c>
      <c r="J120" s="10">
        <f>IF(Planilha1!D117="","",Planilha1!D117)</f>
        <v>105</v>
      </c>
      <c r="K120" s="10" t="str">
        <f>IF(Planilha1!E117="","",IF(Planilha1!E117=0,"",Planilha1!E117))</f>
        <v>Denver Nuggets</v>
      </c>
      <c r="L120" s="10">
        <f>IF(Planilha1!F117="","",Planilha1!F117)</f>
        <v>108</v>
      </c>
      <c r="M120" s="10">
        <f>IF(Planilha1!G117="","",IF(Planilha1!G117=0,"",Planilha1!G117))</f>
        <v>108</v>
      </c>
      <c r="N120" s="5">
        <f t="shared" si="15"/>
        <v>1</v>
      </c>
      <c r="O120" s="5">
        <f t="shared" si="16"/>
        <v>0</v>
      </c>
      <c r="P120" s="5">
        <f t="shared" si="9"/>
        <v>0</v>
      </c>
      <c r="Q120" s="5">
        <f t="shared" si="10"/>
        <v>2</v>
      </c>
      <c r="R120" s="7">
        <f t="shared" si="11"/>
        <v>0</v>
      </c>
      <c r="S120" s="7">
        <f t="shared" si="12"/>
        <v>0</v>
      </c>
      <c r="T120" s="3">
        <f t="shared" si="13"/>
        <v>1</v>
      </c>
      <c r="V120" s="1" t="e">
        <f t="shared" si="14"/>
        <v>#DIV/0!</v>
      </c>
    </row>
    <row r="121" spans="8:22" x14ac:dyDescent="0.3">
      <c r="H121" s="10" t="str">
        <f>IF(Planilha1!B118="","",Planilha1!B118)</f>
        <v>10:00p</v>
      </c>
      <c r="I121" s="10" t="str">
        <f>IF(Planilha1!C118="","",Planilha1!C118)</f>
        <v>Portland Trail Blazers</v>
      </c>
      <c r="J121" s="10">
        <f>IF(Planilha1!D118="","",Planilha1!D118)</f>
        <v>118</v>
      </c>
      <c r="K121" s="10" t="str">
        <f>IF(Planilha1!E118="","",IF(Planilha1!E118=0,"",Planilha1!E118))</f>
        <v>Sacramento Kings</v>
      </c>
      <c r="L121" s="10">
        <f>IF(Planilha1!F118="","",Planilha1!F118)</f>
        <v>121</v>
      </c>
      <c r="M121" s="10">
        <f>IF(Planilha1!G118="","",IF(Planilha1!G118=0,"",Planilha1!G118))</f>
        <v>121</v>
      </c>
      <c r="N121" s="5">
        <f t="shared" si="15"/>
        <v>1</v>
      </c>
      <c r="O121" s="5">
        <f t="shared" si="16"/>
        <v>0</v>
      </c>
      <c r="P121" s="5">
        <f t="shared" si="9"/>
        <v>0</v>
      </c>
      <c r="Q121" s="5">
        <f t="shared" si="10"/>
        <v>2</v>
      </c>
      <c r="R121" s="7">
        <f t="shared" si="11"/>
        <v>0</v>
      </c>
      <c r="S121" s="7">
        <f t="shared" si="12"/>
        <v>0</v>
      </c>
      <c r="T121" s="3">
        <f t="shared" si="13"/>
        <v>1</v>
      </c>
      <c r="V121" s="1" t="e">
        <f t="shared" si="14"/>
        <v>#DIV/0!</v>
      </c>
    </row>
    <row r="122" spans="8:22" x14ac:dyDescent="0.3">
      <c r="H122" s="10" t="str">
        <f>IF(Planilha1!B119="","",Planilha1!B119)</f>
        <v>7:00p</v>
      </c>
      <c r="I122" s="10" t="str">
        <f>IF(Planilha1!C119="","",Planilha1!C119)</f>
        <v>Milwaukee Bucks</v>
      </c>
      <c r="J122" s="10">
        <f>IF(Planilha1!D119="","",Planilha1!D119)</f>
        <v>124</v>
      </c>
      <c r="K122" s="10" t="str">
        <f>IF(Planilha1!E119="","",IF(Planilha1!E119=0,"",Planilha1!E119))</f>
        <v>Indiana Pacers</v>
      </c>
      <c r="L122" s="10">
        <f>IF(Planilha1!F119="","",Planilha1!F119)</f>
        <v>126</v>
      </c>
      <c r="M122" s="10">
        <f>IF(Planilha1!G119="","",IF(Planilha1!G119=0,"",Planilha1!G119))</f>
        <v>126</v>
      </c>
      <c r="N122" s="5">
        <f t="shared" si="15"/>
        <v>1</v>
      </c>
      <c r="O122" s="5">
        <f t="shared" si="16"/>
        <v>0</v>
      </c>
      <c r="P122" s="5">
        <f t="shared" si="9"/>
        <v>0</v>
      </c>
      <c r="Q122" s="5">
        <f t="shared" si="10"/>
        <v>2</v>
      </c>
      <c r="R122" s="7">
        <f t="shared" si="11"/>
        <v>0</v>
      </c>
      <c r="S122" s="7">
        <f t="shared" si="12"/>
        <v>0</v>
      </c>
      <c r="T122" s="3">
        <f t="shared" si="13"/>
        <v>1</v>
      </c>
      <c r="V122" s="1" t="e">
        <f t="shared" si="14"/>
        <v>#DIV/0!</v>
      </c>
    </row>
    <row r="123" spans="8:22" x14ac:dyDescent="0.3">
      <c r="H123" s="10" t="str">
        <f>IF(Planilha1!B120="","",Planilha1!B120)</f>
        <v>9:30p</v>
      </c>
      <c r="I123" s="10" t="str">
        <f>IF(Planilha1!C120="","",Planilha1!C120)</f>
        <v>Atlanta Hawks</v>
      </c>
      <c r="J123" s="10">
        <f>IF(Planilha1!D120="","",Planilha1!D120)</f>
        <v>120</v>
      </c>
      <c r="K123" s="10" t="str">
        <f>IF(Planilha1!E120="","",IF(Planilha1!E120=0,"",Planilha1!E120))</f>
        <v>Orlando Magic</v>
      </c>
      <c r="L123" s="10">
        <f>IF(Planilha1!F120="","",Planilha1!F120)</f>
        <v>119</v>
      </c>
      <c r="M123" s="10">
        <f>IF(Planilha1!G120="","",IF(Planilha1!G120=0,"",Planilha1!G120))</f>
        <v>119</v>
      </c>
      <c r="N123" s="5">
        <f t="shared" si="15"/>
        <v>1</v>
      </c>
      <c r="O123" s="5">
        <f t="shared" si="16"/>
        <v>0</v>
      </c>
      <c r="P123" s="5">
        <f t="shared" si="9"/>
        <v>0</v>
      </c>
      <c r="Q123" s="5">
        <f t="shared" si="10"/>
        <v>2</v>
      </c>
      <c r="R123" s="7">
        <f t="shared" si="11"/>
        <v>0</v>
      </c>
      <c r="S123" s="7">
        <f t="shared" si="12"/>
        <v>0</v>
      </c>
      <c r="T123" s="3">
        <f t="shared" si="13"/>
        <v>1</v>
      </c>
      <c r="V123" s="1" t="e">
        <f t="shared" si="14"/>
        <v>#DIV/0!</v>
      </c>
    </row>
    <row r="124" spans="8:22" x14ac:dyDescent="0.3">
      <c r="H124" s="10" t="str">
        <f>IF(Planilha1!B121="","",Planilha1!B121)</f>
        <v>7:00p</v>
      </c>
      <c r="I124" s="10" t="str">
        <f>IF(Planilha1!C121="","",Planilha1!C121)</f>
        <v>Philadelphia 76ers</v>
      </c>
      <c r="J124" s="10">
        <f>IF(Planilha1!D121="","",Planilha1!D121)</f>
        <v>114</v>
      </c>
      <c r="K124" s="10" t="str">
        <f>IF(Planilha1!E121="","",IF(Planilha1!E121=0,"",Planilha1!E121))</f>
        <v>Detroit Pistons</v>
      </c>
      <c r="L124" s="10">
        <f>IF(Planilha1!F121="","",Planilha1!F121)</f>
        <v>106</v>
      </c>
      <c r="M124" s="10">
        <f>IF(Planilha1!G121="","",IF(Planilha1!G121=0,"",Planilha1!G121))</f>
        <v>106</v>
      </c>
      <c r="N124" s="5">
        <f t="shared" si="15"/>
        <v>1</v>
      </c>
      <c r="O124" s="5">
        <f t="shared" si="16"/>
        <v>0</v>
      </c>
      <c r="P124" s="5">
        <f t="shared" si="9"/>
        <v>0</v>
      </c>
      <c r="Q124" s="5">
        <f t="shared" si="10"/>
        <v>2</v>
      </c>
      <c r="R124" s="7">
        <f t="shared" si="11"/>
        <v>0</v>
      </c>
      <c r="S124" s="7">
        <f t="shared" si="12"/>
        <v>0</v>
      </c>
      <c r="T124" s="3">
        <f t="shared" si="13"/>
        <v>1</v>
      </c>
      <c r="V124" s="1" t="e">
        <f t="shared" si="14"/>
        <v>#DIV/0!</v>
      </c>
    </row>
    <row r="125" spans="8:22" x14ac:dyDescent="0.3">
      <c r="H125" s="10" t="str">
        <f>IF(Planilha1!B122="","",Planilha1!B122)</f>
        <v>7:00p</v>
      </c>
      <c r="I125" s="10" t="str">
        <f>IF(Planilha1!C122="","",Planilha1!C122)</f>
        <v>Charlotte Hornets</v>
      </c>
      <c r="J125" s="10">
        <f>IF(Planilha1!D122="","",Planilha1!D122)</f>
        <v>124</v>
      </c>
      <c r="K125" s="10" t="str">
        <f>IF(Planilha1!E122="","",IF(Planilha1!E122=0,"",Planilha1!E122))</f>
        <v>Washington Wizards</v>
      </c>
      <c r="L125" s="10">
        <f>IF(Planilha1!F122="","",Planilha1!F122)</f>
        <v>117</v>
      </c>
      <c r="M125" s="10">
        <f>IF(Planilha1!G122="","",IF(Planilha1!G122=0,"",Planilha1!G122))</f>
        <v>117</v>
      </c>
      <c r="N125" s="5">
        <f t="shared" si="15"/>
        <v>1</v>
      </c>
      <c r="O125" s="5">
        <f t="shared" si="16"/>
        <v>0</v>
      </c>
      <c r="P125" s="5">
        <f t="shared" si="9"/>
        <v>0</v>
      </c>
      <c r="Q125" s="5">
        <f t="shared" si="10"/>
        <v>2</v>
      </c>
      <c r="R125" s="7">
        <f t="shared" si="11"/>
        <v>0</v>
      </c>
      <c r="S125" s="7">
        <f t="shared" si="12"/>
        <v>0</v>
      </c>
      <c r="T125" s="3">
        <f t="shared" si="13"/>
        <v>1</v>
      </c>
      <c r="V125" s="1" t="e">
        <f t="shared" si="14"/>
        <v>#DIV/0!</v>
      </c>
    </row>
    <row r="126" spans="8:22" x14ac:dyDescent="0.3">
      <c r="H126" s="10" t="str">
        <f>IF(Planilha1!B123="","",Planilha1!B123)</f>
        <v>7:30p</v>
      </c>
      <c r="I126" s="10" t="str">
        <f>IF(Planilha1!C123="","",Planilha1!C123)</f>
        <v>Brooklyn Nets</v>
      </c>
      <c r="J126" s="10">
        <f>IF(Planilha1!D123="","",Planilha1!D123)</f>
        <v>107</v>
      </c>
      <c r="K126" s="10" t="str">
        <f>IF(Planilha1!E123="","",IF(Planilha1!E123=0,"",Planilha1!E123))</f>
        <v>Boston Celtics</v>
      </c>
      <c r="L126" s="10">
        <f>IF(Planilha1!F123="","",Planilha1!F123)</f>
        <v>121</v>
      </c>
      <c r="M126" s="10">
        <f>IF(Planilha1!G123="","",IF(Planilha1!G123=0,"",Planilha1!G123))</f>
        <v>121</v>
      </c>
      <c r="N126" s="5">
        <f t="shared" si="15"/>
        <v>1</v>
      </c>
      <c r="O126" s="5">
        <f t="shared" si="16"/>
        <v>0</v>
      </c>
      <c r="P126" s="5">
        <f t="shared" si="9"/>
        <v>0</v>
      </c>
      <c r="Q126" s="5">
        <f t="shared" si="10"/>
        <v>2</v>
      </c>
      <c r="R126" s="7">
        <f t="shared" si="11"/>
        <v>0</v>
      </c>
      <c r="S126" s="7">
        <f t="shared" si="12"/>
        <v>0</v>
      </c>
      <c r="T126" s="3">
        <f t="shared" si="13"/>
        <v>1</v>
      </c>
      <c r="V126" s="1" t="e">
        <f t="shared" si="14"/>
        <v>#DIV/0!</v>
      </c>
    </row>
    <row r="127" spans="8:22" x14ac:dyDescent="0.3">
      <c r="H127" s="10" t="str">
        <f>IF(Planilha1!B124="","",Planilha1!B124)</f>
        <v>8:00p</v>
      </c>
      <c r="I127" s="10" t="str">
        <f>IF(Planilha1!C124="","",Planilha1!C124)</f>
        <v>New Orleans Pelicans</v>
      </c>
      <c r="J127" s="10">
        <f>IF(Planilha1!D124="","",Planilha1!D124)</f>
        <v>101</v>
      </c>
      <c r="K127" s="10" t="str">
        <f>IF(Planilha1!E124="","",IF(Planilha1!E124=0,"",Planilha1!E124))</f>
        <v>Houston Rockets</v>
      </c>
      <c r="L127" s="10">
        <f>IF(Planilha1!F124="","",Planilha1!F124)</f>
        <v>104</v>
      </c>
      <c r="M127" s="10">
        <f>IF(Planilha1!G124="","",IF(Planilha1!G124=0,"",Planilha1!G124))</f>
        <v>104</v>
      </c>
      <c r="N127" s="5">
        <f t="shared" si="15"/>
        <v>1</v>
      </c>
      <c r="O127" s="5">
        <f t="shared" si="16"/>
        <v>0</v>
      </c>
      <c r="P127" s="5">
        <f t="shared" si="9"/>
        <v>0</v>
      </c>
      <c r="Q127" s="5">
        <f t="shared" si="10"/>
        <v>2</v>
      </c>
      <c r="R127" s="7">
        <f t="shared" si="11"/>
        <v>0</v>
      </c>
      <c r="S127" s="7">
        <f t="shared" si="12"/>
        <v>0</v>
      </c>
      <c r="T127" s="3">
        <f t="shared" si="13"/>
        <v>1</v>
      </c>
      <c r="V127" s="1" t="e">
        <f t="shared" si="14"/>
        <v>#DIV/0!</v>
      </c>
    </row>
    <row r="128" spans="8:22" x14ac:dyDescent="0.3">
      <c r="H128" s="10" t="str">
        <f>IF(Planilha1!B125="","",Planilha1!B125)</f>
        <v>8:00p</v>
      </c>
      <c r="I128" s="10" t="str">
        <f>IF(Planilha1!C125="","",Planilha1!C125)</f>
        <v>Utah Jazz</v>
      </c>
      <c r="J128" s="10">
        <f>IF(Planilha1!D125="","",Planilha1!D125)</f>
        <v>127</v>
      </c>
      <c r="K128" s="10" t="str">
        <f>IF(Planilha1!E125="","",IF(Planilha1!E125=0,"",Planilha1!E125))</f>
        <v>Memphis Grizzlies</v>
      </c>
      <c r="L128" s="10">
        <f>IF(Planilha1!F125="","",Planilha1!F125)</f>
        <v>121</v>
      </c>
      <c r="M128" s="10">
        <f>IF(Planilha1!G125="","",IF(Planilha1!G125=0,"",Planilha1!G125))</f>
        <v>121</v>
      </c>
      <c r="N128" s="5">
        <f t="shared" si="15"/>
        <v>1</v>
      </c>
      <c r="O128" s="5">
        <f t="shared" si="16"/>
        <v>0</v>
      </c>
      <c r="P128" s="5">
        <f t="shared" si="9"/>
        <v>0</v>
      </c>
      <c r="Q128" s="5">
        <f t="shared" si="10"/>
        <v>2</v>
      </c>
      <c r="R128" s="7">
        <f t="shared" si="11"/>
        <v>0</v>
      </c>
      <c r="S128" s="7">
        <f t="shared" si="12"/>
        <v>0</v>
      </c>
      <c r="T128" s="3">
        <f t="shared" si="13"/>
        <v>1</v>
      </c>
      <c r="V128" s="1" t="e">
        <f t="shared" si="14"/>
        <v>#DIV/0!</v>
      </c>
    </row>
    <row r="129" spans="8:22" x14ac:dyDescent="0.3">
      <c r="H129" s="10" t="str">
        <f>IF(Planilha1!B126="","",Planilha1!B126)</f>
        <v>8:00p</v>
      </c>
      <c r="I129" s="10" t="str">
        <f>IF(Planilha1!C126="","",Planilha1!C126)</f>
        <v>Minnesota Timberwolves</v>
      </c>
      <c r="J129" s="10">
        <f>IF(Planilha1!D126="","",Planilha1!D126)</f>
        <v>117</v>
      </c>
      <c r="K129" s="10" t="str">
        <f>IF(Planilha1!E126="","",IF(Planilha1!E126=0,"",Planilha1!E126))</f>
        <v>San Antonio Spurs</v>
      </c>
      <c r="L129" s="10">
        <f>IF(Planilha1!F126="","",Planilha1!F126)</f>
        <v>110</v>
      </c>
      <c r="M129" s="10">
        <f>IF(Planilha1!G126="","",IF(Planilha1!G126=0,"",Planilha1!G126))</f>
        <v>110</v>
      </c>
      <c r="N129" s="5">
        <f t="shared" si="15"/>
        <v>1</v>
      </c>
      <c r="O129" s="5">
        <f t="shared" si="16"/>
        <v>0</v>
      </c>
      <c r="P129" s="5">
        <f t="shared" si="9"/>
        <v>0</v>
      </c>
      <c r="Q129" s="5">
        <f t="shared" si="10"/>
        <v>2</v>
      </c>
      <c r="R129" s="7">
        <f t="shared" si="11"/>
        <v>0</v>
      </c>
      <c r="S129" s="7">
        <f t="shared" si="12"/>
        <v>0</v>
      </c>
      <c r="T129" s="3">
        <f t="shared" si="13"/>
        <v>1</v>
      </c>
      <c r="V129" s="1" t="e">
        <f t="shared" si="14"/>
        <v>#DIV/0!</v>
      </c>
    </row>
    <row r="130" spans="8:22" x14ac:dyDescent="0.3">
      <c r="H130" s="10" t="str">
        <f>IF(Planilha1!B127="","",Planilha1!B127)</f>
        <v>8:30p</v>
      </c>
      <c r="I130" s="10" t="str">
        <f>IF(Planilha1!C127="","",Planilha1!C127)</f>
        <v>Los Angeles Clippers</v>
      </c>
      <c r="J130" s="10">
        <f>IF(Planilha1!D127="","",Planilha1!D127)</f>
        <v>126</v>
      </c>
      <c r="K130" s="10" t="str">
        <f>IF(Planilha1!E127="","",IF(Planilha1!E127=0,"",Planilha1!E127))</f>
        <v>Dallas Mavericks</v>
      </c>
      <c r="L130" s="10">
        <f>IF(Planilha1!F127="","",Planilha1!F127)</f>
        <v>144</v>
      </c>
      <c r="M130" s="10">
        <f>IF(Planilha1!G127="","",IF(Planilha1!G127=0,"",Planilha1!G127))</f>
        <v>144</v>
      </c>
      <c r="N130" s="5">
        <f t="shared" si="15"/>
        <v>1</v>
      </c>
      <c r="O130" s="5">
        <f t="shared" si="16"/>
        <v>0</v>
      </c>
      <c r="P130" s="5">
        <f t="shared" si="9"/>
        <v>0</v>
      </c>
      <c r="Q130" s="5">
        <f t="shared" si="10"/>
        <v>2</v>
      </c>
      <c r="R130" s="7">
        <f t="shared" si="11"/>
        <v>0</v>
      </c>
      <c r="S130" s="7">
        <f t="shared" si="12"/>
        <v>0</v>
      </c>
      <c r="T130" s="3">
        <f t="shared" si="13"/>
        <v>1</v>
      </c>
      <c r="V130" s="1" t="e">
        <f t="shared" si="14"/>
        <v>#DIV/0!</v>
      </c>
    </row>
    <row r="131" spans="8:22" x14ac:dyDescent="0.3">
      <c r="H131" s="10" t="str">
        <f>IF(Planilha1!B128="","",Planilha1!B128)</f>
        <v>10:00p</v>
      </c>
      <c r="I131" s="10" t="str">
        <f>IF(Planilha1!C128="","",Planilha1!C128)</f>
        <v>Los Angeles Lakers</v>
      </c>
      <c r="J131" s="10">
        <f>IF(Planilha1!D128="","",Planilha1!D128)</f>
        <v>122</v>
      </c>
      <c r="K131" s="10" t="str">
        <f>IF(Planilha1!E128="","",IF(Planilha1!E128=0,"",Planilha1!E128))</f>
        <v>Phoenix Suns</v>
      </c>
      <c r="L131" s="10">
        <f>IF(Planilha1!F128="","",Planilha1!F128)</f>
        <v>119</v>
      </c>
      <c r="M131" s="10">
        <f>IF(Planilha1!G128="","",IF(Planilha1!G128=0,"",Planilha1!G128))</f>
        <v>119</v>
      </c>
      <c r="N131" s="5">
        <f t="shared" si="15"/>
        <v>1</v>
      </c>
      <c r="O131" s="5">
        <f t="shared" si="16"/>
        <v>0</v>
      </c>
      <c r="P131" s="5">
        <f t="shared" si="9"/>
        <v>0</v>
      </c>
      <c r="Q131" s="5">
        <f t="shared" si="10"/>
        <v>2</v>
      </c>
      <c r="R131" s="7">
        <f t="shared" si="11"/>
        <v>0</v>
      </c>
      <c r="S131" s="7">
        <f t="shared" si="12"/>
        <v>0</v>
      </c>
      <c r="T131" s="3">
        <f t="shared" si="13"/>
        <v>1</v>
      </c>
      <c r="V131" s="1" t="e">
        <f t="shared" si="14"/>
        <v>#DIV/0!</v>
      </c>
    </row>
    <row r="132" spans="8:22" x14ac:dyDescent="0.3">
      <c r="H132" s="10" t="str">
        <f>IF(Planilha1!B129="","",Planilha1!B129)</f>
        <v>10:00p</v>
      </c>
      <c r="I132" s="10" t="str">
        <f>IF(Planilha1!C129="","",Planilha1!C129)</f>
        <v>Oklahoma City Thunder</v>
      </c>
      <c r="J132" s="10">
        <f>IF(Planilha1!D129="","",Planilha1!D129)</f>
        <v>98</v>
      </c>
      <c r="K132" s="10" t="str">
        <f>IF(Planilha1!E129="","",IF(Planilha1!E129=0,"",Planilha1!E129))</f>
        <v>Sacramento Kings</v>
      </c>
      <c r="L132" s="10">
        <f>IF(Planilha1!F129="","",Planilha1!F129)</f>
        <v>105</v>
      </c>
      <c r="M132" s="10">
        <f>IF(Planilha1!G129="","",IF(Planilha1!G129=0,"",Planilha1!G129))</f>
        <v>105</v>
      </c>
      <c r="N132" s="5">
        <f t="shared" si="15"/>
        <v>1</v>
      </c>
      <c r="O132" s="5">
        <f t="shared" si="16"/>
        <v>0</v>
      </c>
      <c r="P132" s="5">
        <f t="shared" si="9"/>
        <v>0</v>
      </c>
      <c r="Q132" s="5">
        <f t="shared" si="10"/>
        <v>2</v>
      </c>
      <c r="R132" s="7">
        <f t="shared" si="11"/>
        <v>0</v>
      </c>
      <c r="S132" s="7">
        <f t="shared" si="12"/>
        <v>0</v>
      </c>
      <c r="T132" s="3">
        <f t="shared" si="13"/>
        <v>1</v>
      </c>
      <c r="V132" s="1" t="e">
        <f t="shared" si="14"/>
        <v>#DIV/0!</v>
      </c>
    </row>
    <row r="133" spans="8:22" x14ac:dyDescent="0.3">
      <c r="H133" s="10" t="str">
        <f>IF(Planilha1!B130="","",Planilha1!B130)</f>
        <v>6:00p</v>
      </c>
      <c r="I133" s="10" t="str">
        <f>IF(Planilha1!C130="","",Planilha1!C130)</f>
        <v>Milwaukee Bucks</v>
      </c>
      <c r="J133" s="10">
        <f>IF(Planilha1!D130="","",Planilha1!D130)</f>
        <v>97</v>
      </c>
      <c r="K133" s="10" t="str">
        <f>IF(Planilha1!E130="","",IF(Planilha1!E130=0,"",Planilha1!E130))</f>
        <v>Orlando Magic</v>
      </c>
      <c r="L133" s="10">
        <f>IF(Planilha1!F130="","",Planilha1!F130)</f>
        <v>112</v>
      </c>
      <c r="M133" s="10">
        <f>IF(Planilha1!G130="","",IF(Planilha1!G130=0,"",Planilha1!G130))</f>
        <v>112</v>
      </c>
      <c r="N133" s="5">
        <f t="shared" si="15"/>
        <v>1</v>
      </c>
      <c r="O133" s="5">
        <f t="shared" si="16"/>
        <v>0</v>
      </c>
      <c r="P133" s="5">
        <f t="shared" ref="P133:P196" si="17">IF(M133="",IF(R133&gt;S133,2,0),IF(K133&lt;M133,2,0))</f>
        <v>0</v>
      </c>
      <c r="Q133" s="5">
        <f t="shared" ref="Q133:Q196" si="18">IF(M133="",IF(R133&gt;S133,0,2),IF(K133&gt;M133,2,0))</f>
        <v>2</v>
      </c>
      <c r="R133" s="7">
        <f t="shared" ref="R133:R196" si="19">SUMIF($B:$B,J133,$C:$C)+(SUMIF($B:$B,L133,$F:$F))</f>
        <v>0</v>
      </c>
      <c r="S133" s="7">
        <f t="shared" ref="S133:S196" si="20">SUMIF($B:$B,L133,$E:$E)+(SUMIF($B:$B,J133,$D:$D))</f>
        <v>0</v>
      </c>
      <c r="T133" s="3">
        <f t="shared" ref="T133:T196" si="21">IF(M133="","",(N133-S133)^2+(O133-R133)^2)</f>
        <v>1</v>
      </c>
      <c r="V133" s="1" t="e">
        <f t="shared" ref="V133:V196" si="22">IF(O133="","",1/((O133-N133)/(R133-S133)))</f>
        <v>#DIV/0!</v>
      </c>
    </row>
    <row r="134" spans="8:22" x14ac:dyDescent="0.3">
      <c r="H134" s="10" t="str">
        <f>IF(Planilha1!B131="","",Planilha1!B131)</f>
        <v>7:00p</v>
      </c>
      <c r="I134" s="10" t="str">
        <f>IF(Planilha1!C131="","",Planilha1!C131)</f>
        <v>Toronto Raptors</v>
      </c>
      <c r="J134" s="10">
        <f>IF(Planilha1!D131="","",Planilha1!D131)</f>
        <v>94</v>
      </c>
      <c r="K134" s="10" t="str">
        <f>IF(Planilha1!E131="","",IF(Planilha1!E131=0,"",Planilha1!E131))</f>
        <v>Boston Celtics</v>
      </c>
      <c r="L134" s="10">
        <f>IF(Planilha1!F131="","",Planilha1!F131)</f>
        <v>117</v>
      </c>
      <c r="M134" s="10">
        <f>IF(Planilha1!G131="","",IF(Planilha1!G131=0,"",Planilha1!G131))</f>
        <v>117</v>
      </c>
      <c r="N134" s="5">
        <f t="shared" ref="N134:N197" si="23">IF(K134="","",IF(K134&gt;M134,100%,0%))</f>
        <v>1</v>
      </c>
      <c r="O134" s="5">
        <f t="shared" ref="O134:O197" si="24">IF(K134="","",IF(K134&lt;M134,100%,0%))</f>
        <v>0</v>
      </c>
      <c r="P134" s="5">
        <f t="shared" si="17"/>
        <v>0</v>
      </c>
      <c r="Q134" s="5">
        <f t="shared" si="18"/>
        <v>2</v>
      </c>
      <c r="R134" s="7">
        <f t="shared" si="19"/>
        <v>0</v>
      </c>
      <c r="S134" s="7">
        <f t="shared" si="20"/>
        <v>0</v>
      </c>
      <c r="T134" s="3">
        <f t="shared" si="21"/>
        <v>1</v>
      </c>
      <c r="V134" s="1" t="e">
        <f t="shared" si="22"/>
        <v>#DIV/0!</v>
      </c>
    </row>
    <row r="135" spans="8:22" x14ac:dyDescent="0.3">
      <c r="H135" s="10" t="str">
        <f>IF(Planilha1!B132="","",Planilha1!B132)</f>
        <v>7:30p</v>
      </c>
      <c r="I135" s="10" t="str">
        <f>IF(Planilha1!C132="","",Planilha1!C132)</f>
        <v>Miami Heat</v>
      </c>
      <c r="J135" s="10">
        <f>IF(Planilha1!D132="","",Planilha1!D132)</f>
        <v>117</v>
      </c>
      <c r="K135" s="10" t="str">
        <f>IF(Planilha1!E132="","",IF(Planilha1!E132=0,"",Planilha1!E132))</f>
        <v>Atlanta Hawks</v>
      </c>
      <c r="L135" s="10">
        <f>IF(Planilha1!F132="","",Planilha1!F132)</f>
        <v>109</v>
      </c>
      <c r="M135" s="10">
        <f>IF(Planilha1!G132="","",IF(Planilha1!G132=0,"",Planilha1!G132))</f>
        <v>109</v>
      </c>
      <c r="N135" s="5">
        <f t="shared" si="23"/>
        <v>1</v>
      </c>
      <c r="O135" s="5">
        <f t="shared" si="24"/>
        <v>0</v>
      </c>
      <c r="P135" s="5">
        <f t="shared" si="17"/>
        <v>0</v>
      </c>
      <c r="Q135" s="5">
        <f t="shared" si="18"/>
        <v>2</v>
      </c>
      <c r="R135" s="7">
        <f t="shared" si="19"/>
        <v>0</v>
      </c>
      <c r="S135" s="7">
        <f t="shared" si="20"/>
        <v>0</v>
      </c>
      <c r="T135" s="3">
        <f t="shared" si="21"/>
        <v>1</v>
      </c>
      <c r="V135" s="1" t="e">
        <f t="shared" si="22"/>
        <v>#DIV/0!</v>
      </c>
    </row>
    <row r="136" spans="8:22" x14ac:dyDescent="0.3">
      <c r="H136" s="10" t="str">
        <f>IF(Planilha1!B133="","",Planilha1!B133)</f>
        <v>8:30p</v>
      </c>
      <c r="I136" s="10" t="str">
        <f>IF(Planilha1!C133="","",Planilha1!C133)</f>
        <v>Cleveland Cavaliers</v>
      </c>
      <c r="J136" s="10">
        <f>IF(Planilha1!D133="","",Planilha1!D133)</f>
        <v>118</v>
      </c>
      <c r="K136" s="10" t="str">
        <f>IF(Planilha1!E133="","",IF(Planilha1!E133=0,"",Planilha1!E133))</f>
        <v>Golden State Warriors</v>
      </c>
      <c r="L136" s="10">
        <f>IF(Planilha1!F133="","",Planilha1!F133)</f>
        <v>110</v>
      </c>
      <c r="M136" s="10">
        <f>IF(Planilha1!G133="","",IF(Planilha1!G133=0,"",Planilha1!G133))</f>
        <v>110</v>
      </c>
      <c r="N136" s="5">
        <f t="shared" si="23"/>
        <v>1</v>
      </c>
      <c r="O136" s="5">
        <f t="shared" si="24"/>
        <v>0</v>
      </c>
      <c r="P136" s="5">
        <f t="shared" si="17"/>
        <v>0</v>
      </c>
      <c r="Q136" s="5">
        <f t="shared" si="18"/>
        <v>2</v>
      </c>
      <c r="R136" s="7">
        <f t="shared" si="19"/>
        <v>0</v>
      </c>
      <c r="S136" s="7">
        <f t="shared" si="20"/>
        <v>0</v>
      </c>
      <c r="T136" s="3">
        <f t="shared" si="21"/>
        <v>1</v>
      </c>
      <c r="V136" s="1" t="e">
        <f t="shared" si="22"/>
        <v>#DIV/0!</v>
      </c>
    </row>
    <row r="137" spans="8:22" x14ac:dyDescent="0.3">
      <c r="H137" s="10" t="str">
        <f>IF(Planilha1!B134="","",Planilha1!B134)</f>
        <v>12:00p</v>
      </c>
      <c r="I137" s="10" t="str">
        <f>IF(Planilha1!C134="","",Planilha1!C134)</f>
        <v>Charlotte Hornets</v>
      </c>
      <c r="J137" s="10">
        <f>IF(Planilha1!D134="","",Planilha1!D134)</f>
        <v>107</v>
      </c>
      <c r="K137" s="10" t="str">
        <f>IF(Planilha1!E134="","",IF(Planilha1!E134=0,"",Planilha1!E134))</f>
        <v>New York Knicks</v>
      </c>
      <c r="L137" s="10">
        <f>IF(Planilha1!F134="","",Planilha1!F134)</f>
        <v>129</v>
      </c>
      <c r="M137" s="10">
        <f>IF(Planilha1!G134="","",IF(Planilha1!G134=0,"",Planilha1!G134))</f>
        <v>129</v>
      </c>
      <c r="N137" s="5">
        <f t="shared" si="23"/>
        <v>1</v>
      </c>
      <c r="O137" s="5">
        <f t="shared" si="24"/>
        <v>0</v>
      </c>
      <c r="P137" s="5">
        <f t="shared" si="17"/>
        <v>0</v>
      </c>
      <c r="Q137" s="5">
        <f t="shared" si="18"/>
        <v>2</v>
      </c>
      <c r="R137" s="7">
        <f t="shared" si="19"/>
        <v>0</v>
      </c>
      <c r="S137" s="7">
        <f t="shared" si="20"/>
        <v>0</v>
      </c>
      <c r="T137" s="3">
        <f t="shared" si="21"/>
        <v>1</v>
      </c>
      <c r="V137" s="1" t="e">
        <f t="shared" si="22"/>
        <v>#DIV/0!</v>
      </c>
    </row>
    <row r="138" spans="8:22" x14ac:dyDescent="0.3">
      <c r="H138" s="10" t="str">
        <f>IF(Planilha1!B135="","",Planilha1!B135)</f>
        <v>3:00p</v>
      </c>
      <c r="I138" s="10" t="str">
        <f>IF(Planilha1!C135="","",Planilha1!C135)</f>
        <v>Washington Wizards</v>
      </c>
      <c r="J138" s="10">
        <f>IF(Planilha1!D135="","",Planilha1!D135)</f>
        <v>94</v>
      </c>
      <c r="K138" s="10" t="str">
        <f>IF(Planilha1!E135="","",IF(Planilha1!E135=0,"",Planilha1!E135))</f>
        <v>Brooklyn Nets</v>
      </c>
      <c r="L138" s="10">
        <f>IF(Planilha1!F135="","",Planilha1!F135)</f>
        <v>102</v>
      </c>
      <c r="M138" s="10">
        <f>IF(Planilha1!G135="","",IF(Planilha1!G135=0,"",Planilha1!G135))</f>
        <v>102</v>
      </c>
      <c r="N138" s="5">
        <f t="shared" si="23"/>
        <v>1</v>
      </c>
      <c r="O138" s="5">
        <f t="shared" si="24"/>
        <v>0</v>
      </c>
      <c r="P138" s="5">
        <f t="shared" si="17"/>
        <v>0</v>
      </c>
      <c r="Q138" s="5">
        <f t="shared" si="18"/>
        <v>2</v>
      </c>
      <c r="R138" s="7">
        <f t="shared" si="19"/>
        <v>0</v>
      </c>
      <c r="S138" s="7">
        <f t="shared" si="20"/>
        <v>0</v>
      </c>
      <c r="T138" s="3">
        <f t="shared" si="21"/>
        <v>1</v>
      </c>
      <c r="V138" s="1" t="e">
        <f t="shared" si="22"/>
        <v>#DIV/0!</v>
      </c>
    </row>
    <row r="139" spans="8:22" x14ac:dyDescent="0.3">
      <c r="H139" s="10" t="str">
        <f>IF(Planilha1!B136="","",Planilha1!B136)</f>
        <v>3:30p</v>
      </c>
      <c r="I139" s="10" t="str">
        <f>IF(Planilha1!C136="","",Planilha1!C136)</f>
        <v>Memphis Grizzlies</v>
      </c>
      <c r="J139" s="10">
        <f>IF(Planilha1!D136="","",Planilha1!D136)</f>
        <v>105</v>
      </c>
      <c r="K139" s="10" t="str">
        <f>IF(Planilha1!E136="","",IF(Planilha1!E136=0,"",Planilha1!E136))</f>
        <v>Los Angeles Clippers</v>
      </c>
      <c r="L139" s="10">
        <f>IF(Planilha1!F136="","",Planilha1!F136)</f>
        <v>101</v>
      </c>
      <c r="M139" s="10">
        <f>IF(Planilha1!G136="","",IF(Planilha1!G136=0,"",Planilha1!G136))</f>
        <v>101</v>
      </c>
      <c r="N139" s="5">
        <f t="shared" si="23"/>
        <v>1</v>
      </c>
      <c r="O139" s="5">
        <f t="shared" si="24"/>
        <v>0</v>
      </c>
      <c r="P139" s="5">
        <f t="shared" si="17"/>
        <v>0</v>
      </c>
      <c r="Q139" s="5">
        <f t="shared" si="18"/>
        <v>2</v>
      </c>
      <c r="R139" s="7">
        <f t="shared" si="19"/>
        <v>0</v>
      </c>
      <c r="S139" s="7">
        <f t="shared" si="20"/>
        <v>0</v>
      </c>
      <c r="T139" s="3">
        <f t="shared" si="21"/>
        <v>1</v>
      </c>
      <c r="V139" s="1" t="e">
        <f t="shared" si="22"/>
        <v>#DIV/0!</v>
      </c>
    </row>
    <row r="140" spans="8:22" x14ac:dyDescent="0.3">
      <c r="H140" s="10" t="str">
        <f>IF(Planilha1!B137="","",Planilha1!B137)</f>
        <v>6:00p</v>
      </c>
      <c r="I140" s="10" t="str">
        <f>IF(Planilha1!C137="","",Planilha1!C137)</f>
        <v>Indiana Pacers</v>
      </c>
      <c r="J140" s="10">
        <f>IF(Planilha1!D137="","",Planilha1!D137)</f>
        <v>126</v>
      </c>
      <c r="K140" s="10" t="str">
        <f>IF(Planilha1!E137="","",IF(Planilha1!E137=0,"",Planilha1!E137))</f>
        <v>Philadelphia 76ers</v>
      </c>
      <c r="L140" s="10">
        <f>IF(Planilha1!F137="","",Planilha1!F137)</f>
        <v>137</v>
      </c>
      <c r="M140" s="10">
        <f>IF(Planilha1!G137="","",IF(Planilha1!G137=0,"",Planilha1!G137))</f>
        <v>137</v>
      </c>
      <c r="N140" s="5">
        <f t="shared" si="23"/>
        <v>1</v>
      </c>
      <c r="O140" s="5">
        <f t="shared" si="24"/>
        <v>0</v>
      </c>
      <c r="P140" s="5">
        <f t="shared" si="17"/>
        <v>0</v>
      </c>
      <c r="Q140" s="5">
        <f t="shared" si="18"/>
        <v>2</v>
      </c>
      <c r="R140" s="7">
        <f t="shared" si="19"/>
        <v>0</v>
      </c>
      <c r="S140" s="7">
        <f t="shared" si="20"/>
        <v>0</v>
      </c>
      <c r="T140" s="3">
        <f t="shared" si="21"/>
        <v>1</v>
      </c>
      <c r="V140" s="1" t="e">
        <f t="shared" si="22"/>
        <v>#DIV/0!</v>
      </c>
    </row>
    <row r="141" spans="8:22" x14ac:dyDescent="0.3">
      <c r="H141" s="10" t="str">
        <f>IF(Planilha1!B138="","",Planilha1!B138)</f>
        <v>7:00p</v>
      </c>
      <c r="I141" s="10" t="str">
        <f>IF(Planilha1!C138="","",Planilha1!C138)</f>
        <v>Detroit Pistons</v>
      </c>
      <c r="J141" s="10">
        <f>IF(Planilha1!D138="","",Planilha1!D138)</f>
        <v>108</v>
      </c>
      <c r="K141" s="10" t="str">
        <f>IF(Planilha1!E138="","",IF(Planilha1!E138=0,"",Planilha1!E138))</f>
        <v>Chicago Bulls</v>
      </c>
      <c r="L141" s="10">
        <f>IF(Planilha1!F138="","",Planilha1!F138)</f>
        <v>119</v>
      </c>
      <c r="M141" s="10">
        <f>IF(Planilha1!G138="","",IF(Planilha1!G138=0,"",Planilha1!G138))</f>
        <v>119</v>
      </c>
      <c r="N141" s="5">
        <f t="shared" si="23"/>
        <v>1</v>
      </c>
      <c r="O141" s="5">
        <f t="shared" si="24"/>
        <v>0</v>
      </c>
      <c r="P141" s="5">
        <f t="shared" si="17"/>
        <v>0</v>
      </c>
      <c r="Q141" s="5">
        <f t="shared" si="18"/>
        <v>2</v>
      </c>
      <c r="R141" s="7">
        <f t="shared" si="19"/>
        <v>0</v>
      </c>
      <c r="S141" s="7">
        <f t="shared" si="20"/>
        <v>0</v>
      </c>
      <c r="T141" s="3">
        <f t="shared" si="21"/>
        <v>1</v>
      </c>
      <c r="V141" s="1" t="e">
        <f t="shared" si="22"/>
        <v>#DIV/0!</v>
      </c>
    </row>
    <row r="142" spans="8:22" x14ac:dyDescent="0.3">
      <c r="H142" s="10" t="str">
        <f>IF(Planilha1!B139="","",Planilha1!B139)</f>
        <v>7:00p</v>
      </c>
      <c r="I142" s="10" t="str">
        <f>IF(Planilha1!C139="","",Planilha1!C139)</f>
        <v>Denver Nuggets</v>
      </c>
      <c r="J142" s="10">
        <f>IF(Planilha1!D139="","",Planilha1!D139)</f>
        <v>104</v>
      </c>
      <c r="K142" s="10" t="str">
        <f>IF(Planilha1!E139="","",IF(Planilha1!E139=0,"",Planilha1!E139))</f>
        <v>Houston Rockets</v>
      </c>
      <c r="L142" s="10">
        <f>IF(Planilha1!F139="","",Planilha1!F139)</f>
        <v>107</v>
      </c>
      <c r="M142" s="10">
        <f>IF(Planilha1!G139="","",IF(Planilha1!G139=0,"",Planilha1!G139))</f>
        <v>107</v>
      </c>
      <c r="N142" s="5">
        <f t="shared" si="23"/>
        <v>1</v>
      </c>
      <c r="O142" s="5">
        <f t="shared" si="24"/>
        <v>0</v>
      </c>
      <c r="P142" s="5">
        <f t="shared" si="17"/>
        <v>0</v>
      </c>
      <c r="Q142" s="5">
        <f t="shared" si="18"/>
        <v>2</v>
      </c>
      <c r="R142" s="7">
        <f t="shared" si="19"/>
        <v>0</v>
      </c>
      <c r="S142" s="7">
        <f t="shared" si="20"/>
        <v>0</v>
      </c>
      <c r="T142" s="3">
        <f t="shared" si="21"/>
        <v>1</v>
      </c>
      <c r="V142" s="1" t="e">
        <f t="shared" si="22"/>
        <v>#DIV/0!</v>
      </c>
    </row>
    <row r="143" spans="8:22" x14ac:dyDescent="0.3">
      <c r="H143" s="10" t="str">
        <f>IF(Planilha1!B140="","",Planilha1!B140)</f>
        <v>7:00p</v>
      </c>
      <c r="I143" s="10" t="str">
        <f>IF(Planilha1!C140="","",Planilha1!C140)</f>
        <v>Dallas Mavericks</v>
      </c>
      <c r="J143" s="10">
        <f>IF(Planilha1!D140="","",Planilha1!D140)</f>
        <v>136</v>
      </c>
      <c r="K143" s="10" t="str">
        <f>IF(Planilha1!E140="","",IF(Planilha1!E140=0,"",Planilha1!E140))</f>
        <v>New Orleans Pelicans</v>
      </c>
      <c r="L143" s="10">
        <f>IF(Planilha1!F140="","",Planilha1!F140)</f>
        <v>124</v>
      </c>
      <c r="M143" s="10">
        <f>IF(Planilha1!G140="","",IF(Planilha1!G140=0,"",Planilha1!G140))</f>
        <v>124</v>
      </c>
      <c r="N143" s="5">
        <f t="shared" si="23"/>
        <v>1</v>
      </c>
      <c r="O143" s="5">
        <f t="shared" si="24"/>
        <v>0</v>
      </c>
      <c r="P143" s="5">
        <f t="shared" si="17"/>
        <v>0</v>
      </c>
      <c r="Q143" s="5">
        <f t="shared" si="18"/>
        <v>2</v>
      </c>
      <c r="R143" s="7">
        <f t="shared" si="19"/>
        <v>0</v>
      </c>
      <c r="S143" s="7">
        <f t="shared" si="20"/>
        <v>0</v>
      </c>
      <c r="T143" s="3">
        <f t="shared" si="21"/>
        <v>1</v>
      </c>
      <c r="V143" s="1" t="e">
        <f t="shared" si="22"/>
        <v>#DIV/0!</v>
      </c>
    </row>
    <row r="144" spans="8:22" x14ac:dyDescent="0.3">
      <c r="H144" s="10" t="str">
        <f>IF(Planilha1!B141="","",Planilha1!B141)</f>
        <v>7:00p</v>
      </c>
      <c r="I144" s="10" t="str">
        <f>IF(Planilha1!C141="","",Planilha1!C141)</f>
        <v>Miami Heat</v>
      </c>
      <c r="J144" s="10">
        <f>IF(Planilha1!D141="","",Planilha1!D141)</f>
        <v>118</v>
      </c>
      <c r="K144" s="10" t="str">
        <f>IF(Planilha1!E141="","",IF(Planilha1!E141=0,"",Planilha1!E141))</f>
        <v>San Antonio Spurs</v>
      </c>
      <c r="L144" s="10">
        <f>IF(Planilha1!F141="","",Planilha1!F141)</f>
        <v>113</v>
      </c>
      <c r="M144" s="10">
        <f>IF(Planilha1!G141="","",IF(Planilha1!G141=0,"",Planilha1!G141))</f>
        <v>113</v>
      </c>
      <c r="N144" s="5">
        <f t="shared" si="23"/>
        <v>1</v>
      </c>
      <c r="O144" s="5">
        <f t="shared" si="24"/>
        <v>0</v>
      </c>
      <c r="P144" s="5">
        <f t="shared" si="17"/>
        <v>0</v>
      </c>
      <c r="Q144" s="5">
        <f t="shared" si="18"/>
        <v>2</v>
      </c>
      <c r="R144" s="7">
        <f t="shared" si="19"/>
        <v>0</v>
      </c>
      <c r="S144" s="7">
        <f t="shared" si="20"/>
        <v>0</v>
      </c>
      <c r="T144" s="3">
        <f t="shared" si="21"/>
        <v>1</v>
      </c>
      <c r="V144" s="1" t="e">
        <f t="shared" si="22"/>
        <v>#DIV/0!</v>
      </c>
    </row>
    <row r="145" spans="8:22" x14ac:dyDescent="0.3">
      <c r="H145" s="10" t="str">
        <f>IF(Planilha1!B142="","",Planilha1!B142)</f>
        <v>8:00p</v>
      </c>
      <c r="I145" s="10" t="str">
        <f>IF(Planilha1!C142="","",Planilha1!C142)</f>
        <v>Oklahoma City Thunder</v>
      </c>
      <c r="J145" s="10">
        <f>IF(Planilha1!D142="","",Planilha1!D142)</f>
        <v>111</v>
      </c>
      <c r="K145" s="10" t="str">
        <f>IF(Planilha1!E142="","",IF(Planilha1!E142=0,"",Planilha1!E142))</f>
        <v>Phoenix Suns</v>
      </c>
      <c r="L145" s="10">
        <f>IF(Planilha1!F142="","",Planilha1!F142)</f>
        <v>99</v>
      </c>
      <c r="M145" s="10">
        <f>IF(Planilha1!G142="","",IF(Planilha1!G142=0,"",Planilha1!G142))</f>
        <v>99</v>
      </c>
      <c r="N145" s="5">
        <f t="shared" si="23"/>
        <v>1</v>
      </c>
      <c r="O145" s="5">
        <f t="shared" si="24"/>
        <v>0</v>
      </c>
      <c r="P145" s="5">
        <f t="shared" si="17"/>
        <v>0</v>
      </c>
      <c r="Q145" s="5">
        <f t="shared" si="18"/>
        <v>2</v>
      </c>
      <c r="R145" s="7">
        <f t="shared" si="19"/>
        <v>0</v>
      </c>
      <c r="S145" s="7">
        <f t="shared" si="20"/>
        <v>0</v>
      </c>
      <c r="T145" s="3">
        <f t="shared" si="21"/>
        <v>1</v>
      </c>
      <c r="V145" s="1" t="e">
        <f t="shared" si="22"/>
        <v>#DIV/0!</v>
      </c>
    </row>
    <row r="146" spans="8:22" x14ac:dyDescent="0.3">
      <c r="H146" s="10" t="str">
        <f>IF(Planilha1!B143="","",Planilha1!B143)</f>
        <v>8:30p</v>
      </c>
      <c r="I146" s="10" t="str">
        <f>IF(Planilha1!C143="","",Planilha1!C143)</f>
        <v>Minnesota Timberwolves</v>
      </c>
      <c r="J146" s="10">
        <f>IF(Planilha1!D143="","",Planilha1!D143)</f>
        <v>116</v>
      </c>
      <c r="K146" s="10" t="str">
        <f>IF(Planilha1!E143="","",IF(Planilha1!E143=0,"",Planilha1!E143))</f>
        <v>Golden State Warriors</v>
      </c>
      <c r="L146" s="10">
        <f>IF(Planilha1!F143="","",Planilha1!F143)</f>
        <v>110</v>
      </c>
      <c r="M146" s="10">
        <f>IF(Planilha1!G143="","",IF(Planilha1!G143=0,"",Planilha1!G143))</f>
        <v>110</v>
      </c>
      <c r="N146" s="5">
        <f t="shared" si="23"/>
        <v>1</v>
      </c>
      <c r="O146" s="5">
        <f t="shared" si="24"/>
        <v>0</v>
      </c>
      <c r="P146" s="5">
        <f t="shared" si="17"/>
        <v>0</v>
      </c>
      <c r="Q146" s="5">
        <f t="shared" si="18"/>
        <v>2</v>
      </c>
      <c r="R146" s="7">
        <f t="shared" si="19"/>
        <v>0</v>
      </c>
      <c r="S146" s="7">
        <f t="shared" si="20"/>
        <v>0</v>
      </c>
      <c r="T146" s="3">
        <f t="shared" si="21"/>
        <v>1</v>
      </c>
      <c r="V146" s="1" t="e">
        <f t="shared" si="22"/>
        <v>#DIV/0!</v>
      </c>
    </row>
    <row r="147" spans="8:22" x14ac:dyDescent="0.3">
      <c r="H147" s="10" t="str">
        <f>IF(Planilha1!B144="","",Planilha1!B144)</f>
        <v>10:00p</v>
      </c>
      <c r="I147" s="10" t="str">
        <f>IF(Planilha1!C144="","",Planilha1!C144)</f>
        <v>Portland Trail Blazers</v>
      </c>
      <c r="J147" s="10">
        <f>IF(Planilha1!D144="","",Planilha1!D144)</f>
        <v>110</v>
      </c>
      <c r="K147" s="10" t="str">
        <f>IF(Planilha1!E144="","",IF(Planilha1!E144=0,"",Planilha1!E144))</f>
        <v>Los Angeles Lakers</v>
      </c>
      <c r="L147" s="10">
        <f>IF(Planilha1!F144="","",Planilha1!F144)</f>
        <v>116</v>
      </c>
      <c r="M147" s="10">
        <f>IF(Planilha1!G144="","",IF(Planilha1!G144=0,"",Planilha1!G144))</f>
        <v>116</v>
      </c>
      <c r="N147" s="5">
        <f t="shared" si="23"/>
        <v>1</v>
      </c>
      <c r="O147" s="5">
        <f t="shared" si="24"/>
        <v>0</v>
      </c>
      <c r="P147" s="5">
        <f t="shared" si="17"/>
        <v>0</v>
      </c>
      <c r="Q147" s="5">
        <f t="shared" si="18"/>
        <v>2</v>
      </c>
      <c r="R147" s="7">
        <f t="shared" si="19"/>
        <v>0</v>
      </c>
      <c r="S147" s="7">
        <f t="shared" si="20"/>
        <v>0</v>
      </c>
      <c r="T147" s="3">
        <f t="shared" si="21"/>
        <v>1</v>
      </c>
      <c r="V147" s="1" t="e">
        <f t="shared" si="22"/>
        <v>#DIV/0!</v>
      </c>
    </row>
    <row r="148" spans="8:22" x14ac:dyDescent="0.3">
      <c r="H148" s="10" t="str">
        <f>IF(Planilha1!B145="","",Planilha1!B145)</f>
        <v>7:30p</v>
      </c>
      <c r="I148" s="10" t="str">
        <f>IF(Planilha1!C145="","",Planilha1!C145)</f>
        <v>New York Knicks</v>
      </c>
      <c r="J148" s="10">
        <f>IF(Planilha1!D145="","",Planilha1!D145)</f>
        <v>98</v>
      </c>
      <c r="K148" s="10" t="str">
        <f>IF(Planilha1!E145="","",IF(Planilha1!E145=0,"",Planilha1!E145))</f>
        <v>Boston Celtics</v>
      </c>
      <c r="L148" s="10">
        <f>IF(Planilha1!F145="","",Planilha1!F145)</f>
        <v>114</v>
      </c>
      <c r="M148" s="10">
        <f>IF(Planilha1!G145="","",IF(Planilha1!G145=0,"",Planilha1!G145))</f>
        <v>114</v>
      </c>
      <c r="N148" s="5">
        <f t="shared" si="23"/>
        <v>1</v>
      </c>
      <c r="O148" s="5">
        <f t="shared" si="24"/>
        <v>0</v>
      </c>
      <c r="P148" s="5">
        <f t="shared" si="17"/>
        <v>0</v>
      </c>
      <c r="Q148" s="5">
        <f t="shared" si="18"/>
        <v>2</v>
      </c>
      <c r="R148" s="7">
        <f t="shared" si="19"/>
        <v>0</v>
      </c>
      <c r="S148" s="7">
        <f t="shared" si="20"/>
        <v>0</v>
      </c>
      <c r="T148" s="3">
        <f t="shared" si="21"/>
        <v>1</v>
      </c>
      <c r="V148" s="1" t="e">
        <f t="shared" si="22"/>
        <v>#DIV/0!</v>
      </c>
    </row>
    <row r="149" spans="8:22" x14ac:dyDescent="0.3">
      <c r="H149" s="10" t="str">
        <f>IF(Planilha1!B146="","",Planilha1!B146)</f>
        <v>7:30p</v>
      </c>
      <c r="I149" s="10" t="str">
        <f>IF(Planilha1!C146="","",Planilha1!C146)</f>
        <v>Washington Wizards</v>
      </c>
      <c r="J149" s="10">
        <f>IF(Planilha1!D146="","",Planilha1!D146)</f>
        <v>107</v>
      </c>
      <c r="K149" s="10" t="str">
        <f>IF(Planilha1!E146="","",IF(Planilha1!E146=0,"",Planilha1!E146))</f>
        <v>Toronto Raptors</v>
      </c>
      <c r="L149" s="10">
        <f>IF(Planilha1!F146="","",Planilha1!F146)</f>
        <v>111</v>
      </c>
      <c r="M149" s="10">
        <f>IF(Planilha1!G146="","",IF(Planilha1!G146=0,"",Planilha1!G146))</f>
        <v>111</v>
      </c>
      <c r="N149" s="5">
        <f t="shared" si="23"/>
        <v>1</v>
      </c>
      <c r="O149" s="5">
        <f t="shared" si="24"/>
        <v>0</v>
      </c>
      <c r="P149" s="5">
        <f t="shared" si="17"/>
        <v>0</v>
      </c>
      <c r="Q149" s="5">
        <f t="shared" si="18"/>
        <v>2</v>
      </c>
      <c r="R149" s="7">
        <f t="shared" si="19"/>
        <v>0</v>
      </c>
      <c r="S149" s="7">
        <f t="shared" si="20"/>
        <v>0</v>
      </c>
      <c r="T149" s="3">
        <f t="shared" si="21"/>
        <v>1</v>
      </c>
      <c r="V149" s="1" t="e">
        <f t="shared" si="22"/>
        <v>#DIV/0!</v>
      </c>
    </row>
    <row r="150" spans="8:22" x14ac:dyDescent="0.3">
      <c r="H150" s="10" t="str">
        <f>IF(Planilha1!B147="","",Planilha1!B147)</f>
        <v>8:00p</v>
      </c>
      <c r="I150" s="10" t="str">
        <f>IF(Planilha1!C147="","",Planilha1!C147)</f>
        <v>Chicago Bulls</v>
      </c>
      <c r="J150" s="10">
        <f>IF(Planilha1!D147="","",Planilha1!D147)</f>
        <v>109</v>
      </c>
      <c r="K150" s="10" t="str">
        <f>IF(Planilha1!E147="","",IF(Planilha1!E147=0,"",Planilha1!E147))</f>
        <v>Milwaukee Bucks</v>
      </c>
      <c r="L150" s="10">
        <f>IF(Planilha1!F147="","",Planilha1!F147)</f>
        <v>118</v>
      </c>
      <c r="M150" s="10">
        <f>IF(Planilha1!G147="","",IF(Planilha1!G147=0,"",Planilha1!G147))</f>
        <v>118</v>
      </c>
      <c r="N150" s="5">
        <f t="shared" si="23"/>
        <v>1</v>
      </c>
      <c r="O150" s="5">
        <f t="shared" si="24"/>
        <v>0</v>
      </c>
      <c r="P150" s="5">
        <f t="shared" si="17"/>
        <v>0</v>
      </c>
      <c r="Q150" s="5">
        <f t="shared" si="18"/>
        <v>2</v>
      </c>
      <c r="R150" s="7">
        <f t="shared" si="19"/>
        <v>0</v>
      </c>
      <c r="S150" s="7">
        <f t="shared" si="20"/>
        <v>0</v>
      </c>
      <c r="T150" s="3">
        <f t="shared" si="21"/>
        <v>1</v>
      </c>
      <c r="V150" s="1" t="e">
        <f t="shared" si="22"/>
        <v>#DIV/0!</v>
      </c>
    </row>
    <row r="151" spans="8:22" x14ac:dyDescent="0.3">
      <c r="H151" s="10" t="str">
        <f>IF(Planilha1!B148="","",Planilha1!B148)</f>
        <v>10:00p</v>
      </c>
      <c r="I151" s="10" t="str">
        <f>IF(Planilha1!C148="","",Planilha1!C148)</f>
        <v>Cleveland Cavaliers</v>
      </c>
      <c r="J151" s="10">
        <f>IF(Planilha1!D148="","",Planilha1!D148)</f>
        <v>120</v>
      </c>
      <c r="K151" s="10" t="str">
        <f>IF(Planilha1!E148="","",IF(Planilha1!E148=0,"",Planilha1!E148))</f>
        <v>Sacramento Kings</v>
      </c>
      <c r="L151" s="10">
        <f>IF(Planilha1!F148="","",Planilha1!F148)</f>
        <v>132</v>
      </c>
      <c r="M151" s="10">
        <f>IF(Planilha1!G148="","",IF(Planilha1!G148=0,"",Planilha1!G148))</f>
        <v>132</v>
      </c>
      <c r="N151" s="5">
        <f t="shared" si="23"/>
        <v>1</v>
      </c>
      <c r="O151" s="5">
        <f t="shared" si="24"/>
        <v>0</v>
      </c>
      <c r="P151" s="5">
        <f t="shared" si="17"/>
        <v>0</v>
      </c>
      <c r="Q151" s="5">
        <f t="shared" si="18"/>
        <v>2</v>
      </c>
      <c r="R151" s="7">
        <f t="shared" si="19"/>
        <v>0</v>
      </c>
      <c r="S151" s="7">
        <f t="shared" si="20"/>
        <v>0</v>
      </c>
      <c r="T151" s="3">
        <f t="shared" si="21"/>
        <v>1</v>
      </c>
      <c r="V151" s="1" t="e">
        <f t="shared" si="22"/>
        <v>#DIV/0!</v>
      </c>
    </row>
    <row r="152" spans="8:22" x14ac:dyDescent="0.3">
      <c r="H152" s="10" t="str">
        <f>IF(Planilha1!B149="","",Planilha1!B149)</f>
        <v>7:00p</v>
      </c>
      <c r="I152" s="10" t="str">
        <f>IF(Planilha1!C149="","",Planilha1!C149)</f>
        <v>Miami Heat</v>
      </c>
      <c r="J152" s="10">
        <f>IF(Planilha1!D149="","",Planilha1!D149)</f>
        <v>111</v>
      </c>
      <c r="K152" s="10" t="str">
        <f>IF(Planilha1!E149="","",IF(Planilha1!E149=0,"",Planilha1!E149))</f>
        <v>Charlotte Hornets</v>
      </c>
      <c r="L152" s="10">
        <f>IF(Planilha1!F149="","",Planilha1!F149)</f>
        <v>105</v>
      </c>
      <c r="M152" s="10">
        <f>IF(Planilha1!G149="","",IF(Planilha1!G149=0,"",Planilha1!G149))</f>
        <v>105</v>
      </c>
      <c r="N152" s="5">
        <f t="shared" si="23"/>
        <v>1</v>
      </c>
      <c r="O152" s="5">
        <f t="shared" si="24"/>
        <v>0</v>
      </c>
      <c r="P152" s="5">
        <f t="shared" si="17"/>
        <v>0</v>
      </c>
      <c r="Q152" s="5">
        <f t="shared" si="18"/>
        <v>2</v>
      </c>
      <c r="R152" s="7">
        <f t="shared" si="19"/>
        <v>0</v>
      </c>
      <c r="S152" s="7">
        <f t="shared" si="20"/>
        <v>0</v>
      </c>
      <c r="T152" s="3">
        <f t="shared" si="21"/>
        <v>1</v>
      </c>
      <c r="V152" s="1" t="e">
        <f t="shared" si="22"/>
        <v>#DIV/0!</v>
      </c>
    </row>
    <row r="153" spans="8:22" x14ac:dyDescent="0.3">
      <c r="H153" s="10" t="str">
        <f>IF(Planilha1!B150="","",Planilha1!B150)</f>
        <v>7:00p</v>
      </c>
      <c r="I153" s="10" t="str">
        <f>IF(Planilha1!C150="","",Planilha1!C150)</f>
        <v>Atlanta Hawks</v>
      </c>
      <c r="J153" s="10">
        <f>IF(Planilha1!D150="","",Planilha1!D150)</f>
        <v>126</v>
      </c>
      <c r="K153" s="10" t="str">
        <f>IF(Planilha1!E150="","",IF(Planilha1!E150=0,"",Planilha1!E150))</f>
        <v>Detroit Pistons</v>
      </c>
      <c r="L153" s="10">
        <f>IF(Planilha1!F150="","",Planilha1!F150)</f>
        <v>120</v>
      </c>
      <c r="M153" s="10">
        <f>IF(Planilha1!G150="","",IF(Planilha1!G150=0,"",Planilha1!G150))</f>
        <v>120</v>
      </c>
      <c r="N153" s="5">
        <f t="shared" si="23"/>
        <v>1</v>
      </c>
      <c r="O153" s="5">
        <f t="shared" si="24"/>
        <v>0</v>
      </c>
      <c r="P153" s="5">
        <f t="shared" si="17"/>
        <v>0</v>
      </c>
      <c r="Q153" s="5">
        <f t="shared" si="18"/>
        <v>2</v>
      </c>
      <c r="R153" s="7">
        <f t="shared" si="19"/>
        <v>0</v>
      </c>
      <c r="S153" s="7">
        <f t="shared" si="20"/>
        <v>0</v>
      </c>
      <c r="T153" s="3">
        <f t="shared" si="21"/>
        <v>1</v>
      </c>
      <c r="V153" s="1" t="e">
        <f t="shared" si="22"/>
        <v>#DIV/0!</v>
      </c>
    </row>
    <row r="154" spans="8:22" x14ac:dyDescent="0.3">
      <c r="H154" s="10" t="str">
        <f>IF(Planilha1!B151="","",Planilha1!B151)</f>
        <v>7:00p</v>
      </c>
      <c r="I154" s="10" t="str">
        <f>IF(Planilha1!C151="","",Planilha1!C151)</f>
        <v>Indiana Pacers</v>
      </c>
      <c r="J154" s="10">
        <f>IF(Planilha1!D151="","",Planilha1!D151)</f>
        <v>132</v>
      </c>
      <c r="K154" s="10" t="str">
        <f>IF(Planilha1!E151="","",IF(Planilha1!E151=0,"",Planilha1!E151))</f>
        <v>Philadelphia 76ers</v>
      </c>
      <c r="L154" s="10">
        <f>IF(Planilha1!F151="","",Planilha1!F151)</f>
        <v>126</v>
      </c>
      <c r="M154" s="10">
        <f>IF(Planilha1!G151="","",IF(Planilha1!G151=0,"",Planilha1!G151))</f>
        <v>126</v>
      </c>
      <c r="N154" s="5">
        <f t="shared" si="23"/>
        <v>1</v>
      </c>
      <c r="O154" s="5">
        <f t="shared" si="24"/>
        <v>0</v>
      </c>
      <c r="P154" s="5">
        <f t="shared" si="17"/>
        <v>0</v>
      </c>
      <c r="Q154" s="5">
        <f t="shared" si="18"/>
        <v>2</v>
      </c>
      <c r="R154" s="7">
        <f t="shared" si="19"/>
        <v>0</v>
      </c>
      <c r="S154" s="7">
        <f t="shared" si="20"/>
        <v>0</v>
      </c>
      <c r="T154" s="3">
        <f t="shared" si="21"/>
        <v>1</v>
      </c>
      <c r="V154" s="1" t="e">
        <f t="shared" si="22"/>
        <v>#DIV/0!</v>
      </c>
    </row>
    <row r="155" spans="8:22" x14ac:dyDescent="0.3">
      <c r="H155" s="10" t="str">
        <f>IF(Planilha1!B152="","",Planilha1!B152)</f>
        <v>7:30p</v>
      </c>
      <c r="I155" s="10" t="str">
        <f>IF(Planilha1!C152="","",Planilha1!C152)</f>
        <v>Orlando Magic</v>
      </c>
      <c r="J155" s="10">
        <f>IF(Planilha1!D152="","",Planilha1!D152)</f>
        <v>104</v>
      </c>
      <c r="K155" s="10" t="str">
        <f>IF(Planilha1!E152="","",IF(Planilha1!E152=0,"",Planilha1!E152))</f>
        <v>Brooklyn Nets</v>
      </c>
      <c r="L155" s="10">
        <f>IF(Planilha1!F152="","",Planilha1!F152)</f>
        <v>124</v>
      </c>
      <c r="M155" s="10">
        <f>IF(Planilha1!G152="","",IF(Planilha1!G152=0,"",Planilha1!G152))</f>
        <v>124</v>
      </c>
      <c r="N155" s="5">
        <f t="shared" si="23"/>
        <v>1</v>
      </c>
      <c r="O155" s="5">
        <f t="shared" si="24"/>
        <v>0</v>
      </c>
      <c r="P155" s="5">
        <f t="shared" si="17"/>
        <v>0</v>
      </c>
      <c r="Q155" s="5">
        <f t="shared" si="18"/>
        <v>2</v>
      </c>
      <c r="R155" s="7">
        <f t="shared" si="19"/>
        <v>0</v>
      </c>
      <c r="S155" s="7">
        <f t="shared" si="20"/>
        <v>0</v>
      </c>
      <c r="T155" s="3">
        <f t="shared" si="21"/>
        <v>1</v>
      </c>
      <c r="V155" s="1" t="e">
        <f t="shared" si="22"/>
        <v>#DIV/0!</v>
      </c>
    </row>
    <row r="156" spans="8:22" x14ac:dyDescent="0.3">
      <c r="H156" s="10" t="str">
        <f>IF(Planilha1!B153="","",Planilha1!B153)</f>
        <v>7:30p</v>
      </c>
      <c r="I156" s="10" t="str">
        <f>IF(Planilha1!C153="","",Planilha1!C153)</f>
        <v>San Antonio Spurs</v>
      </c>
      <c r="J156" s="10">
        <f>IF(Planilha1!D153="","",Planilha1!D153)</f>
        <v>87</v>
      </c>
      <c r="K156" s="10" t="str">
        <f>IF(Planilha1!E153="","",IF(Planilha1!E153=0,"",Planilha1!E153))</f>
        <v>Oklahoma City Thunder</v>
      </c>
      <c r="L156" s="10">
        <f>IF(Planilha1!F153="","",Planilha1!F153)</f>
        <v>123</v>
      </c>
      <c r="M156" s="10">
        <f>IF(Planilha1!G153="","",IF(Planilha1!G153=0,"",Planilha1!G153))</f>
        <v>123</v>
      </c>
      <c r="N156" s="5">
        <f t="shared" si="23"/>
        <v>1</v>
      </c>
      <c r="O156" s="5">
        <f t="shared" si="24"/>
        <v>0</v>
      </c>
      <c r="P156" s="5">
        <f t="shared" si="17"/>
        <v>0</v>
      </c>
      <c r="Q156" s="5">
        <f t="shared" si="18"/>
        <v>2</v>
      </c>
      <c r="R156" s="7">
        <f t="shared" si="19"/>
        <v>0</v>
      </c>
      <c r="S156" s="7">
        <f t="shared" si="20"/>
        <v>0</v>
      </c>
      <c r="T156" s="3">
        <f t="shared" si="21"/>
        <v>1</v>
      </c>
      <c r="V156" s="1" t="e">
        <f t="shared" si="22"/>
        <v>#DIV/0!</v>
      </c>
    </row>
    <row r="157" spans="8:22" x14ac:dyDescent="0.3">
      <c r="H157" s="10" t="str">
        <f>IF(Planilha1!B154="","",Planilha1!B154)</f>
        <v>8:00p</v>
      </c>
      <c r="I157" s="10" t="str">
        <f>IF(Planilha1!C154="","",Planilha1!C154)</f>
        <v>Dallas Mavericks</v>
      </c>
      <c r="J157" s="10">
        <f>IF(Planilha1!D154="","",Planilha1!D154)</f>
        <v>110</v>
      </c>
      <c r="K157" s="10" t="str">
        <f>IF(Planilha1!E154="","",IF(Planilha1!E154=0,"",Planilha1!E154))</f>
        <v>New Orleans Pelicans</v>
      </c>
      <c r="L157" s="10">
        <f>IF(Planilha1!F154="","",Planilha1!F154)</f>
        <v>131</v>
      </c>
      <c r="M157" s="10">
        <f>IF(Planilha1!G154="","",IF(Planilha1!G154=0,"",Planilha1!G154))</f>
        <v>131</v>
      </c>
      <c r="N157" s="5">
        <f t="shared" si="23"/>
        <v>1</v>
      </c>
      <c r="O157" s="5">
        <f t="shared" si="24"/>
        <v>0</v>
      </c>
      <c r="P157" s="5">
        <f t="shared" si="17"/>
        <v>0</v>
      </c>
      <c r="Q157" s="5">
        <f t="shared" si="18"/>
        <v>2</v>
      </c>
      <c r="R157" s="7">
        <f t="shared" si="19"/>
        <v>0</v>
      </c>
      <c r="S157" s="7">
        <f t="shared" si="20"/>
        <v>0</v>
      </c>
      <c r="T157" s="3">
        <f t="shared" si="21"/>
        <v>1</v>
      </c>
      <c r="V157" s="1" t="e">
        <f t="shared" si="22"/>
        <v>#DIV/0!</v>
      </c>
    </row>
    <row r="158" spans="8:22" x14ac:dyDescent="0.3">
      <c r="H158" s="10" t="str">
        <f>IF(Planilha1!B155="","",Planilha1!B155)</f>
        <v>9:00p</v>
      </c>
      <c r="I158" s="10" t="str">
        <f>IF(Planilha1!C155="","",Planilha1!C155)</f>
        <v>Portland Trail Blazers</v>
      </c>
      <c r="J158" s="10">
        <f>IF(Planilha1!D155="","",Planilha1!D155)</f>
        <v>99</v>
      </c>
      <c r="K158" s="10" t="str">
        <f>IF(Planilha1!E155="","",IF(Planilha1!E155=0,"",Planilha1!E155))</f>
        <v>Utah Jazz</v>
      </c>
      <c r="L158" s="10">
        <f>IF(Planilha1!F155="","",Planilha1!F155)</f>
        <v>115</v>
      </c>
      <c r="M158" s="10">
        <f>IF(Planilha1!G155="","",IF(Planilha1!G155=0,"",Planilha1!G155))</f>
        <v>115</v>
      </c>
      <c r="N158" s="5">
        <f t="shared" si="23"/>
        <v>1</v>
      </c>
      <c r="O158" s="5">
        <f t="shared" si="24"/>
        <v>0</v>
      </c>
      <c r="P158" s="5">
        <f t="shared" si="17"/>
        <v>0</v>
      </c>
      <c r="Q158" s="5">
        <f t="shared" si="18"/>
        <v>2</v>
      </c>
      <c r="R158" s="7">
        <f t="shared" si="19"/>
        <v>0</v>
      </c>
      <c r="S158" s="7">
        <f t="shared" si="20"/>
        <v>0</v>
      </c>
      <c r="T158" s="3">
        <f t="shared" si="21"/>
        <v>1</v>
      </c>
      <c r="V158" s="1" t="e">
        <f t="shared" si="22"/>
        <v>#DIV/0!</v>
      </c>
    </row>
    <row r="159" spans="8:22" x14ac:dyDescent="0.3">
      <c r="H159" s="10" t="str">
        <f>IF(Planilha1!B156="","",Planilha1!B156)</f>
        <v>10:00p</v>
      </c>
      <c r="I159" s="10" t="str">
        <f>IF(Planilha1!C156="","",Planilha1!C156)</f>
        <v>Los Angeles Clippers</v>
      </c>
      <c r="J159" s="10">
        <f>IF(Planilha1!D156="","",Planilha1!D156)</f>
        <v>108</v>
      </c>
      <c r="K159" s="10" t="str">
        <f>IF(Planilha1!E156="","",IF(Planilha1!E156=0,"",Planilha1!E156))</f>
        <v>Denver Nuggets</v>
      </c>
      <c r="L159" s="10">
        <f>IF(Planilha1!F156="","",Planilha1!F156)</f>
        <v>111</v>
      </c>
      <c r="M159" s="10">
        <f>IF(Planilha1!G156="","",IF(Planilha1!G156=0,"",Planilha1!G156))</f>
        <v>111</v>
      </c>
      <c r="N159" s="5">
        <f t="shared" si="23"/>
        <v>1</v>
      </c>
      <c r="O159" s="5">
        <f t="shared" si="24"/>
        <v>0</v>
      </c>
      <c r="P159" s="5">
        <f t="shared" si="17"/>
        <v>0</v>
      </c>
      <c r="Q159" s="5">
        <f t="shared" si="18"/>
        <v>2</v>
      </c>
      <c r="R159" s="7">
        <f t="shared" si="19"/>
        <v>0</v>
      </c>
      <c r="S159" s="7">
        <f t="shared" si="20"/>
        <v>0</v>
      </c>
      <c r="T159" s="3">
        <f t="shared" si="21"/>
        <v>1</v>
      </c>
      <c r="V159" s="1" t="e">
        <f t="shared" si="22"/>
        <v>#DIV/0!</v>
      </c>
    </row>
    <row r="160" spans="8:22" x14ac:dyDescent="0.3">
      <c r="H160" s="10" t="str">
        <f>IF(Planilha1!B157="","",Planilha1!B157)</f>
        <v>10:00p</v>
      </c>
      <c r="I160" s="10" t="str">
        <f>IF(Planilha1!C157="","",Planilha1!C157)</f>
        <v>Minnesota Timberwolves</v>
      </c>
      <c r="J160" s="10">
        <f>IF(Planilha1!D157="","",Planilha1!D157)</f>
        <v>104</v>
      </c>
      <c r="K160" s="10" t="str">
        <f>IF(Planilha1!E157="","",IF(Planilha1!E157=0,"",Planilha1!E157))</f>
        <v>Golden State Warriors</v>
      </c>
      <c r="L160" s="10">
        <f>IF(Planilha1!F157="","",Planilha1!F157)</f>
        <v>101</v>
      </c>
      <c r="M160" s="10">
        <f>IF(Planilha1!G157="","",IF(Planilha1!G157=0,"",Planilha1!G157))</f>
        <v>101</v>
      </c>
      <c r="N160" s="5">
        <f t="shared" si="23"/>
        <v>1</v>
      </c>
      <c r="O160" s="5">
        <f t="shared" si="24"/>
        <v>0</v>
      </c>
      <c r="P160" s="5">
        <f t="shared" si="17"/>
        <v>0</v>
      </c>
      <c r="Q160" s="5">
        <f t="shared" si="18"/>
        <v>2</v>
      </c>
      <c r="R160" s="7">
        <f t="shared" si="19"/>
        <v>0</v>
      </c>
      <c r="S160" s="7">
        <f t="shared" si="20"/>
        <v>0</v>
      </c>
      <c r="T160" s="3">
        <f t="shared" si="21"/>
        <v>1</v>
      </c>
      <c r="V160" s="1" t="e">
        <f t="shared" si="22"/>
        <v>#DIV/0!</v>
      </c>
    </row>
    <row r="161" spans="8:22" x14ac:dyDescent="0.3">
      <c r="H161" s="10" t="str">
        <f>IF(Planilha1!B158="","",Planilha1!B158)</f>
        <v>10:30p</v>
      </c>
      <c r="I161" s="10" t="str">
        <f>IF(Planilha1!C158="","",Planilha1!C158)</f>
        <v>Memphis Grizzlies</v>
      </c>
      <c r="J161" s="10">
        <f>IF(Planilha1!D158="","",Planilha1!D158)</f>
        <v>107</v>
      </c>
      <c r="K161" s="10" t="str">
        <f>IF(Planilha1!E158="","",IF(Planilha1!E158=0,"",Planilha1!E158))</f>
        <v>Los Angeles Lakers</v>
      </c>
      <c r="L161" s="10">
        <f>IF(Planilha1!F158="","",Planilha1!F158)</f>
        <v>134</v>
      </c>
      <c r="M161" s="10">
        <f>IF(Planilha1!G158="","",IF(Planilha1!G158=0,"",Planilha1!G158))</f>
        <v>134</v>
      </c>
      <c r="N161" s="5">
        <f t="shared" si="23"/>
        <v>1</v>
      </c>
      <c r="O161" s="5">
        <f t="shared" si="24"/>
        <v>0</v>
      </c>
      <c r="P161" s="5">
        <f t="shared" si="17"/>
        <v>0</v>
      </c>
      <c r="Q161" s="5">
        <f t="shared" si="18"/>
        <v>2</v>
      </c>
      <c r="R161" s="7">
        <f t="shared" si="19"/>
        <v>0</v>
      </c>
      <c r="S161" s="7">
        <f t="shared" si="20"/>
        <v>0</v>
      </c>
      <c r="T161" s="3">
        <f t="shared" si="21"/>
        <v>1</v>
      </c>
      <c r="V161" s="1" t="e">
        <f t="shared" si="22"/>
        <v>#DIV/0!</v>
      </c>
    </row>
    <row r="162" spans="8:22" x14ac:dyDescent="0.3">
      <c r="H162" s="10" t="str">
        <f>IF(Planilha1!B159="","",Planilha1!B159)</f>
        <v>7:00p</v>
      </c>
      <c r="I162" s="10" t="str">
        <f>IF(Planilha1!C159="","",Planilha1!C159)</f>
        <v>Dallas Mavericks</v>
      </c>
      <c r="J162" s="10">
        <f>IF(Planilha1!D159="","",Planilha1!D159)</f>
        <v>130</v>
      </c>
      <c r="K162" s="10" t="str">
        <f>IF(Planilha1!E159="","",IF(Planilha1!E159=0,"",Planilha1!E159))</f>
        <v>Washington Wizards</v>
      </c>
      <c r="L162" s="10">
        <f>IF(Planilha1!F159="","",Planilha1!F159)</f>
        <v>117</v>
      </c>
      <c r="M162" s="10">
        <f>IF(Planilha1!G159="","",IF(Planilha1!G159=0,"",Planilha1!G159))</f>
        <v>117</v>
      </c>
      <c r="N162" s="5">
        <f t="shared" si="23"/>
        <v>1</v>
      </c>
      <c r="O162" s="5">
        <f t="shared" si="24"/>
        <v>0</v>
      </c>
      <c r="P162" s="5">
        <f t="shared" si="17"/>
        <v>0</v>
      </c>
      <c r="Q162" s="5">
        <f t="shared" si="18"/>
        <v>2</v>
      </c>
      <c r="R162" s="7">
        <f t="shared" si="19"/>
        <v>0</v>
      </c>
      <c r="S162" s="7">
        <f t="shared" si="20"/>
        <v>0</v>
      </c>
      <c r="T162" s="3">
        <f t="shared" si="21"/>
        <v>1</v>
      </c>
      <c r="V162" s="1" t="e">
        <f t="shared" si="22"/>
        <v>#DIV/0!</v>
      </c>
    </row>
    <row r="163" spans="8:22" x14ac:dyDescent="0.3">
      <c r="H163" s="10" t="str">
        <f>IF(Planilha1!B160="","",Planilha1!B160)</f>
        <v>7:30p</v>
      </c>
      <c r="I163" s="10" t="str">
        <f>IF(Planilha1!C160="","",Planilha1!C160)</f>
        <v>New York Knicks</v>
      </c>
      <c r="J163" s="10">
        <f>IF(Planilha1!D160="","",Planilha1!D160)</f>
        <v>116</v>
      </c>
      <c r="K163" s="10" t="str">
        <f>IF(Planilha1!E160="","",IF(Planilha1!E160=0,"",Planilha1!E160))</f>
        <v>Atlanta Hawks</v>
      </c>
      <c r="L163" s="10">
        <f>IF(Planilha1!F160="","",Planilha1!F160)</f>
        <v>114</v>
      </c>
      <c r="M163" s="10">
        <f>IF(Planilha1!G160="","",IF(Planilha1!G160=0,"",Planilha1!G160))</f>
        <v>114</v>
      </c>
      <c r="N163" s="5">
        <f t="shared" si="23"/>
        <v>1</v>
      </c>
      <c r="O163" s="5">
        <f t="shared" si="24"/>
        <v>0</v>
      </c>
      <c r="P163" s="5">
        <f t="shared" si="17"/>
        <v>0</v>
      </c>
      <c r="Q163" s="5">
        <f t="shared" si="18"/>
        <v>2</v>
      </c>
      <c r="R163" s="7">
        <f t="shared" si="19"/>
        <v>0</v>
      </c>
      <c r="S163" s="7">
        <f t="shared" si="20"/>
        <v>0</v>
      </c>
      <c r="T163" s="3">
        <f t="shared" si="21"/>
        <v>1</v>
      </c>
      <c r="V163" s="1" t="e">
        <f t="shared" si="22"/>
        <v>#DIV/0!</v>
      </c>
    </row>
    <row r="164" spans="8:22" x14ac:dyDescent="0.3">
      <c r="H164" s="10" t="str">
        <f>IF(Planilha1!B161="","",Planilha1!B161)</f>
        <v>7:30p</v>
      </c>
      <c r="I164" s="10" t="str">
        <f>IF(Planilha1!C161="","",Planilha1!C161)</f>
        <v>Boston Celtics</v>
      </c>
      <c r="J164" s="10">
        <f>IF(Planilha1!D161="","",Planilha1!D161)</f>
        <v>117</v>
      </c>
      <c r="K164" s="10" t="str">
        <f>IF(Planilha1!E161="","",IF(Planilha1!E161=0,"",Planilha1!E161))</f>
        <v>Philadelphia 76ers</v>
      </c>
      <c r="L164" s="10">
        <f>IF(Planilha1!F161="","",Planilha1!F161)</f>
        <v>107</v>
      </c>
      <c r="M164" s="10">
        <f>IF(Planilha1!G161="","",IF(Planilha1!G161=0,"",Planilha1!G161))</f>
        <v>107</v>
      </c>
      <c r="N164" s="5">
        <f t="shared" si="23"/>
        <v>1</v>
      </c>
      <c r="O164" s="5">
        <f t="shared" si="24"/>
        <v>0</v>
      </c>
      <c r="P164" s="5">
        <f t="shared" si="17"/>
        <v>0</v>
      </c>
      <c r="Q164" s="5">
        <f t="shared" si="18"/>
        <v>2</v>
      </c>
      <c r="R164" s="7">
        <f t="shared" si="19"/>
        <v>0</v>
      </c>
      <c r="S164" s="7">
        <f t="shared" si="20"/>
        <v>0</v>
      </c>
      <c r="T164" s="3">
        <f t="shared" si="21"/>
        <v>1</v>
      </c>
      <c r="V164" s="1" t="e">
        <f t="shared" si="22"/>
        <v>#DIV/0!</v>
      </c>
    </row>
    <row r="165" spans="8:22" x14ac:dyDescent="0.3">
      <c r="H165" s="10" t="str">
        <f>IF(Planilha1!B162="","",Planilha1!B162)</f>
        <v>7:30p</v>
      </c>
      <c r="I165" s="10" t="str">
        <f>IF(Planilha1!C162="","",Planilha1!C162)</f>
        <v>Milwaukee Bucks</v>
      </c>
      <c r="J165" s="10">
        <f>IF(Planilha1!D162="","",Planilha1!D162)</f>
        <v>128</v>
      </c>
      <c r="K165" s="10" t="str">
        <f>IF(Planilha1!E162="","",IF(Planilha1!E162=0,"",Planilha1!E162))</f>
        <v>Toronto Raptors</v>
      </c>
      <c r="L165" s="10">
        <f>IF(Planilha1!F162="","",Planilha1!F162)</f>
        <v>112</v>
      </c>
      <c r="M165" s="10">
        <f>IF(Planilha1!G162="","",IF(Planilha1!G162=0,"",Planilha1!G162))</f>
        <v>112</v>
      </c>
      <c r="N165" s="5">
        <f t="shared" si="23"/>
        <v>1</v>
      </c>
      <c r="O165" s="5">
        <f t="shared" si="24"/>
        <v>0</v>
      </c>
      <c r="P165" s="5">
        <f t="shared" si="17"/>
        <v>0</v>
      </c>
      <c r="Q165" s="5">
        <f t="shared" si="18"/>
        <v>2</v>
      </c>
      <c r="R165" s="7">
        <f t="shared" si="19"/>
        <v>0</v>
      </c>
      <c r="S165" s="7">
        <f t="shared" si="20"/>
        <v>0</v>
      </c>
      <c r="T165" s="3">
        <f t="shared" si="21"/>
        <v>1</v>
      </c>
      <c r="V165" s="1" t="e">
        <f t="shared" si="22"/>
        <v>#DIV/0!</v>
      </c>
    </row>
    <row r="166" spans="8:22" x14ac:dyDescent="0.3">
      <c r="H166" s="10" t="str">
        <f>IF(Planilha1!B163="","",Planilha1!B163)</f>
        <v>8:00p</v>
      </c>
      <c r="I166" s="10" t="str">
        <f>IF(Planilha1!C163="","",Planilha1!C163)</f>
        <v>Orlando Magic</v>
      </c>
      <c r="J166" s="10">
        <f>IF(Planilha1!D163="","",Planilha1!D163)</f>
        <v>96</v>
      </c>
      <c r="K166" s="10" t="str">
        <f>IF(Planilha1!E163="","",IF(Planilha1!E163=0,"",Planilha1!E163))</f>
        <v>Chicago Bulls</v>
      </c>
      <c r="L166" s="10">
        <f>IF(Planilha1!F163="","",Planilha1!F163)</f>
        <v>94</v>
      </c>
      <c r="M166" s="10">
        <f>IF(Planilha1!G163="","",IF(Planilha1!G163=0,"",Planilha1!G163))</f>
        <v>94</v>
      </c>
      <c r="N166" s="5">
        <f t="shared" si="23"/>
        <v>1</v>
      </c>
      <c r="O166" s="5">
        <f t="shared" si="24"/>
        <v>0</v>
      </c>
      <c r="P166" s="5">
        <f t="shared" si="17"/>
        <v>0</v>
      </c>
      <c r="Q166" s="5">
        <f t="shared" si="18"/>
        <v>2</v>
      </c>
      <c r="R166" s="7">
        <f t="shared" si="19"/>
        <v>0</v>
      </c>
      <c r="S166" s="7">
        <f t="shared" si="20"/>
        <v>0</v>
      </c>
      <c r="T166" s="3">
        <f t="shared" si="21"/>
        <v>1</v>
      </c>
      <c r="V166" s="1" t="e">
        <f t="shared" si="22"/>
        <v>#DIV/0!</v>
      </c>
    </row>
    <row r="167" spans="8:22" x14ac:dyDescent="0.3">
      <c r="H167" s="10" t="str">
        <f>IF(Planilha1!B164="","",Planilha1!B164)</f>
        <v>9:00p</v>
      </c>
      <c r="I167" s="10" t="str">
        <f>IF(Planilha1!C164="","",Planilha1!C164)</f>
        <v>Minnesota Timberwolves</v>
      </c>
      <c r="J167" s="10">
        <f>IF(Planilha1!D164="","",Planilha1!D164)</f>
        <v>115</v>
      </c>
      <c r="K167" s="10" t="str">
        <f>IF(Planilha1!E164="","",IF(Planilha1!E164=0,"",Planilha1!E164))</f>
        <v>Phoenix Suns</v>
      </c>
      <c r="L167" s="10">
        <f>IF(Planilha1!F164="","",Planilha1!F164)</f>
        <v>133</v>
      </c>
      <c r="M167" s="10">
        <f>IF(Planilha1!G164="","",IF(Planilha1!G164=0,"",Planilha1!G164))</f>
        <v>133</v>
      </c>
      <c r="N167" s="5">
        <f t="shared" si="23"/>
        <v>1</v>
      </c>
      <c r="O167" s="5">
        <f t="shared" si="24"/>
        <v>0</v>
      </c>
      <c r="P167" s="5">
        <f t="shared" si="17"/>
        <v>0</v>
      </c>
      <c r="Q167" s="5">
        <f t="shared" si="18"/>
        <v>2</v>
      </c>
      <c r="R167" s="7">
        <f t="shared" si="19"/>
        <v>0</v>
      </c>
      <c r="S167" s="7">
        <f t="shared" si="20"/>
        <v>0</v>
      </c>
      <c r="T167" s="3">
        <f t="shared" si="21"/>
        <v>1</v>
      </c>
      <c r="V167" s="1" t="e">
        <f t="shared" si="22"/>
        <v>#DIV/0!</v>
      </c>
    </row>
    <row r="168" spans="8:22" x14ac:dyDescent="0.3">
      <c r="H168" s="10" t="str">
        <f>IF(Planilha1!B165="","",Planilha1!B165)</f>
        <v>10:00p</v>
      </c>
      <c r="I168" s="10" t="str">
        <f>IF(Planilha1!C165="","",Planilha1!C165)</f>
        <v>Sacramento Kings</v>
      </c>
      <c r="J168" s="10">
        <f>IF(Planilha1!D165="","",Planilha1!D165)</f>
        <v>125</v>
      </c>
      <c r="K168" s="10" t="str">
        <f>IF(Planilha1!E165="","",IF(Planilha1!E165=0,"",Planilha1!E165))</f>
        <v>Los Angeles Lakers</v>
      </c>
      <c r="L168" s="10">
        <f>IF(Planilha1!F165="","",Planilha1!F165)</f>
        <v>110</v>
      </c>
      <c r="M168" s="10">
        <f>IF(Planilha1!G165="","",IF(Planilha1!G165=0,"",Planilha1!G165))</f>
        <v>110</v>
      </c>
      <c r="N168" s="5">
        <f t="shared" si="23"/>
        <v>1</v>
      </c>
      <c r="O168" s="5">
        <f t="shared" si="24"/>
        <v>0</v>
      </c>
      <c r="P168" s="5">
        <f t="shared" si="17"/>
        <v>0</v>
      </c>
      <c r="Q168" s="5">
        <f t="shared" si="18"/>
        <v>2</v>
      </c>
      <c r="R168" s="7">
        <f t="shared" si="19"/>
        <v>0</v>
      </c>
      <c r="S168" s="7">
        <f t="shared" si="20"/>
        <v>0</v>
      </c>
      <c r="T168" s="3">
        <f t="shared" si="21"/>
        <v>1</v>
      </c>
      <c r="V168" s="1" t="e">
        <f t="shared" si="22"/>
        <v>#DIV/0!</v>
      </c>
    </row>
    <row r="169" spans="8:22" x14ac:dyDescent="0.3">
      <c r="H169" s="10" t="str">
        <f>IF(Planilha1!B166="","",Planilha1!B166)</f>
        <v>10:00p</v>
      </c>
      <c r="I169" s="10" t="str">
        <f>IF(Planilha1!C166="","",Planilha1!C166)</f>
        <v>Cleveland Cavaliers</v>
      </c>
      <c r="J169" s="10">
        <f>IF(Planilha1!D166="","",Planilha1!D166)</f>
        <v>109</v>
      </c>
      <c r="K169" s="10" t="str">
        <f>IF(Planilha1!E166="","",IF(Planilha1!E166=0,"",Planilha1!E166))</f>
        <v>Portland Trail Blazers</v>
      </c>
      <c r="L169" s="10">
        <f>IF(Planilha1!F166="","",Planilha1!F166)</f>
        <v>95</v>
      </c>
      <c r="M169" s="10">
        <f>IF(Planilha1!G166="","",IF(Planilha1!G166=0,"",Planilha1!G166))</f>
        <v>95</v>
      </c>
      <c r="N169" s="5">
        <f t="shared" si="23"/>
        <v>1</v>
      </c>
      <c r="O169" s="5">
        <f t="shared" si="24"/>
        <v>0</v>
      </c>
      <c r="P169" s="5">
        <f t="shared" si="17"/>
        <v>0</v>
      </c>
      <c r="Q169" s="5">
        <f t="shared" si="18"/>
        <v>2</v>
      </c>
      <c r="R169" s="7">
        <f t="shared" si="19"/>
        <v>0</v>
      </c>
      <c r="S169" s="7">
        <f t="shared" si="20"/>
        <v>0</v>
      </c>
      <c r="T169" s="3">
        <f t="shared" si="21"/>
        <v>1</v>
      </c>
      <c r="V169" s="1" t="e">
        <f t="shared" si="22"/>
        <v>#DIV/0!</v>
      </c>
    </row>
    <row r="170" spans="8:22" x14ac:dyDescent="0.3">
      <c r="H170" s="10" t="str">
        <f>IF(Planilha1!B167="","",Planilha1!B167)</f>
        <v>7:30p</v>
      </c>
      <c r="I170" s="10" t="str">
        <f>IF(Planilha1!C167="","",Planilha1!C167)</f>
        <v>Brooklyn Nets</v>
      </c>
      <c r="J170" s="10">
        <f>IF(Planilha1!D167="","",Planilha1!D167)</f>
        <v>115</v>
      </c>
      <c r="K170" s="10" t="str">
        <f>IF(Planilha1!E167="","",IF(Planilha1!E167=0,"",Planilha1!E167))</f>
        <v>Miami Heat</v>
      </c>
      <c r="L170" s="10">
        <f>IF(Planilha1!F167="","",Planilha1!F167)</f>
        <v>122</v>
      </c>
      <c r="M170" s="10">
        <f>IF(Planilha1!G167="","",IF(Planilha1!G167=0,"",Planilha1!G167))</f>
        <v>122</v>
      </c>
      <c r="N170" s="5">
        <f t="shared" si="23"/>
        <v>1</v>
      </c>
      <c r="O170" s="5">
        <f t="shared" si="24"/>
        <v>0</v>
      </c>
      <c r="P170" s="5">
        <f t="shared" si="17"/>
        <v>0</v>
      </c>
      <c r="Q170" s="5">
        <f t="shared" si="18"/>
        <v>2</v>
      </c>
      <c r="R170" s="7">
        <f t="shared" si="19"/>
        <v>0</v>
      </c>
      <c r="S170" s="7">
        <f t="shared" si="20"/>
        <v>0</v>
      </c>
      <c r="T170" s="3">
        <f t="shared" si="21"/>
        <v>1</v>
      </c>
      <c r="V170" s="1" t="e">
        <f t="shared" si="22"/>
        <v>#DIV/0!</v>
      </c>
    </row>
    <row r="171" spans="8:22" x14ac:dyDescent="0.3">
      <c r="H171" s="10" t="str">
        <f>IF(Planilha1!B168="","",Planilha1!B168)</f>
        <v>10:00p</v>
      </c>
      <c r="I171" s="10" t="str">
        <f>IF(Planilha1!C168="","",Planilha1!C168)</f>
        <v>Oklahoma City Thunder</v>
      </c>
      <c r="J171" s="10">
        <f>IF(Planilha1!D168="","",Planilha1!D168)</f>
        <v>128</v>
      </c>
      <c r="K171" s="10" t="str">
        <f>IF(Planilha1!E168="","",IF(Planilha1!E168=0,"",Planilha1!E168))</f>
        <v>Golden State Warriors</v>
      </c>
      <c r="L171" s="10">
        <f>IF(Planilha1!F168="","",Planilha1!F168)</f>
        <v>109</v>
      </c>
      <c r="M171" s="10">
        <f>IF(Planilha1!G168="","",IF(Planilha1!G168=0,"",Planilha1!G168))</f>
        <v>109</v>
      </c>
      <c r="N171" s="5">
        <f t="shared" si="23"/>
        <v>1</v>
      </c>
      <c r="O171" s="5">
        <f t="shared" si="24"/>
        <v>0</v>
      </c>
      <c r="P171" s="5">
        <f t="shared" si="17"/>
        <v>0</v>
      </c>
      <c r="Q171" s="5">
        <f t="shared" si="18"/>
        <v>2</v>
      </c>
      <c r="R171" s="7">
        <f t="shared" si="19"/>
        <v>0</v>
      </c>
      <c r="S171" s="7">
        <f t="shared" si="20"/>
        <v>0</v>
      </c>
      <c r="T171" s="3">
        <f t="shared" si="21"/>
        <v>1</v>
      </c>
      <c r="V171" s="1" t="e">
        <f t="shared" si="22"/>
        <v>#DIV/0!</v>
      </c>
    </row>
    <row r="172" spans="8:22" x14ac:dyDescent="0.3">
      <c r="H172" s="10" t="str">
        <f>IF(Planilha1!B169="","",Planilha1!B169)</f>
        <v>7:00p</v>
      </c>
      <c r="I172" s="10" t="str">
        <f>IF(Planilha1!C169="","",Planilha1!C169)</f>
        <v>Milwaukee Bucks</v>
      </c>
      <c r="J172" s="10">
        <f>IF(Planilha1!D169="","",Planilha1!D169)</f>
        <v>130</v>
      </c>
      <c r="K172" s="10" t="str">
        <f>IF(Planilha1!E169="","",IF(Planilha1!E169=0,"",Planilha1!E169))</f>
        <v>Charlotte Hornets</v>
      </c>
      <c r="L172" s="10">
        <f>IF(Planilha1!F169="","",Planilha1!F169)</f>
        <v>99</v>
      </c>
      <c r="M172" s="10">
        <f>IF(Planilha1!G169="","",IF(Planilha1!G169=0,"",Planilha1!G169))</f>
        <v>99</v>
      </c>
      <c r="N172" s="5">
        <f t="shared" si="23"/>
        <v>1</v>
      </c>
      <c r="O172" s="5">
        <f t="shared" si="24"/>
        <v>0</v>
      </c>
      <c r="P172" s="5">
        <f t="shared" si="17"/>
        <v>0</v>
      </c>
      <c r="Q172" s="5">
        <f t="shared" si="18"/>
        <v>2</v>
      </c>
      <c r="R172" s="7">
        <f t="shared" si="19"/>
        <v>0</v>
      </c>
      <c r="S172" s="7">
        <f t="shared" si="20"/>
        <v>0</v>
      </c>
      <c r="T172" s="3">
        <f t="shared" si="21"/>
        <v>1</v>
      </c>
      <c r="V172" s="1" t="e">
        <f t="shared" si="22"/>
        <v>#DIV/0!</v>
      </c>
    </row>
    <row r="173" spans="8:22" x14ac:dyDescent="0.3">
      <c r="H173" s="10" t="str">
        <f>IF(Planilha1!B170="","",Planilha1!B170)</f>
        <v>7:00p</v>
      </c>
      <c r="I173" s="10" t="str">
        <f>IF(Planilha1!C170="","",Planilha1!C170)</f>
        <v>New York Knicks</v>
      </c>
      <c r="J173" s="10">
        <f>IF(Planilha1!D170="","",Planilha1!D170)</f>
        <v>120</v>
      </c>
      <c r="K173" s="10" t="str">
        <f>IF(Planilha1!E170="","",IF(Planilha1!E170=0,"",Planilha1!E170))</f>
        <v>Washington Wizards</v>
      </c>
      <c r="L173" s="10">
        <f>IF(Planilha1!F170="","",Planilha1!F170)</f>
        <v>99</v>
      </c>
      <c r="M173" s="10">
        <f>IF(Planilha1!G170="","",IF(Planilha1!G170=0,"",Planilha1!G170))</f>
        <v>99</v>
      </c>
      <c r="N173" s="5">
        <f t="shared" si="23"/>
        <v>1</v>
      </c>
      <c r="O173" s="5">
        <f t="shared" si="24"/>
        <v>0</v>
      </c>
      <c r="P173" s="5">
        <f t="shared" si="17"/>
        <v>0</v>
      </c>
      <c r="Q173" s="5">
        <f t="shared" si="18"/>
        <v>2</v>
      </c>
      <c r="R173" s="7">
        <f t="shared" si="19"/>
        <v>0</v>
      </c>
      <c r="S173" s="7">
        <f t="shared" si="20"/>
        <v>0</v>
      </c>
      <c r="T173" s="3">
        <f t="shared" si="21"/>
        <v>1</v>
      </c>
      <c r="V173" s="1" t="e">
        <f t="shared" si="22"/>
        <v>#DIV/0!</v>
      </c>
    </row>
    <row r="174" spans="8:22" x14ac:dyDescent="0.3">
      <c r="H174" s="10" t="str">
        <f>IF(Planilha1!B171="","",Planilha1!B171)</f>
        <v>7:30p</v>
      </c>
      <c r="I174" s="10" t="str">
        <f>IF(Planilha1!C171="","",Planilha1!C171)</f>
        <v>Philadelphia 76ers</v>
      </c>
      <c r="J174" s="10">
        <f>IF(Planilha1!D171="","",Planilha1!D171)</f>
        <v>126</v>
      </c>
      <c r="K174" s="10" t="str">
        <f>IF(Planilha1!E171="","",IF(Planilha1!E171=0,"",Planilha1!E171))</f>
        <v>Atlanta Hawks</v>
      </c>
      <c r="L174" s="10">
        <f>IF(Planilha1!F171="","",Planilha1!F171)</f>
        <v>116</v>
      </c>
      <c r="M174" s="10">
        <f>IF(Planilha1!G171="","",IF(Planilha1!G171=0,"",Planilha1!G171))</f>
        <v>116</v>
      </c>
      <c r="N174" s="5">
        <f t="shared" si="23"/>
        <v>1</v>
      </c>
      <c r="O174" s="5">
        <f t="shared" si="24"/>
        <v>0</v>
      </c>
      <c r="P174" s="5">
        <f t="shared" si="17"/>
        <v>0</v>
      </c>
      <c r="Q174" s="5">
        <f t="shared" si="18"/>
        <v>2</v>
      </c>
      <c r="R174" s="7">
        <f t="shared" si="19"/>
        <v>0</v>
      </c>
      <c r="S174" s="7">
        <f t="shared" si="20"/>
        <v>0</v>
      </c>
      <c r="T174" s="3">
        <f t="shared" si="21"/>
        <v>1</v>
      </c>
      <c r="V174" s="1" t="e">
        <f t="shared" si="22"/>
        <v>#DIV/0!</v>
      </c>
    </row>
    <row r="175" spans="8:22" x14ac:dyDescent="0.3">
      <c r="H175" s="10" t="str">
        <f>IF(Planilha1!B172="","",Planilha1!B172)</f>
        <v>7:30p</v>
      </c>
      <c r="I175" s="10" t="str">
        <f>IF(Planilha1!C172="","",Planilha1!C172)</f>
        <v>Detroit Pistons</v>
      </c>
      <c r="J175" s="10">
        <f>IF(Planilha1!D172="","",Planilha1!D172)</f>
        <v>100</v>
      </c>
      <c r="K175" s="10" t="str">
        <f>IF(Planilha1!E172="","",IF(Planilha1!E172=0,"",Planilha1!E172))</f>
        <v>Cleveland Cavaliers</v>
      </c>
      <c r="L175" s="10">
        <f>IF(Planilha1!F172="","",Planilha1!F172)</f>
        <v>108</v>
      </c>
      <c r="M175" s="10">
        <f>IF(Planilha1!G172="","",IF(Planilha1!G172=0,"",Planilha1!G172))</f>
        <v>108</v>
      </c>
      <c r="N175" s="5">
        <f t="shared" si="23"/>
        <v>1</v>
      </c>
      <c r="O175" s="5">
        <f t="shared" si="24"/>
        <v>0</v>
      </c>
      <c r="P175" s="5">
        <f t="shared" si="17"/>
        <v>0</v>
      </c>
      <c r="Q175" s="5">
        <f t="shared" si="18"/>
        <v>2</v>
      </c>
      <c r="R175" s="7">
        <f t="shared" si="19"/>
        <v>0</v>
      </c>
      <c r="S175" s="7">
        <f t="shared" si="20"/>
        <v>0</v>
      </c>
      <c r="T175" s="3">
        <f t="shared" si="21"/>
        <v>1</v>
      </c>
      <c r="V175" s="1" t="e">
        <f t="shared" si="22"/>
        <v>#DIV/0!</v>
      </c>
    </row>
    <row r="176" spans="8:22" x14ac:dyDescent="0.3">
      <c r="H176" s="10" t="str">
        <f>IF(Planilha1!B173="","",Planilha1!B173)</f>
        <v>7:30p</v>
      </c>
      <c r="I176" s="10" t="str">
        <f>IF(Planilha1!C173="","",Planilha1!C173)</f>
        <v>Sacramento Kings</v>
      </c>
      <c r="J176" s="10">
        <f>IF(Planilha1!D173="","",Planilha1!D173)</f>
        <v>129</v>
      </c>
      <c r="K176" s="10" t="str">
        <f>IF(Planilha1!E173="","",IF(Planilha1!E173=0,"",Planilha1!E173))</f>
        <v>San Antonio Spurs</v>
      </c>
      <c r="L176" s="10">
        <f>IF(Planilha1!F173="","",Planilha1!F173)</f>
        <v>120</v>
      </c>
      <c r="M176" s="10">
        <f>IF(Planilha1!G173="","",IF(Planilha1!G173=0,"",Planilha1!G173))</f>
        <v>120</v>
      </c>
      <c r="N176" s="5">
        <f t="shared" si="23"/>
        <v>1</v>
      </c>
      <c r="O176" s="5">
        <f t="shared" si="24"/>
        <v>0</v>
      </c>
      <c r="P176" s="5">
        <f t="shared" si="17"/>
        <v>0</v>
      </c>
      <c r="Q176" s="5">
        <f t="shared" si="18"/>
        <v>2</v>
      </c>
      <c r="R176" s="7">
        <f t="shared" si="19"/>
        <v>0</v>
      </c>
      <c r="S176" s="7">
        <f t="shared" si="20"/>
        <v>0</v>
      </c>
      <c r="T176" s="3">
        <f t="shared" si="21"/>
        <v>1</v>
      </c>
      <c r="V176" s="1" t="e">
        <f t="shared" si="22"/>
        <v>#DIV/0!</v>
      </c>
    </row>
    <row r="177" spans="8:22" x14ac:dyDescent="0.3">
      <c r="H177" s="10" t="str">
        <f>IF(Planilha1!B174="","",Planilha1!B174)</f>
        <v>7:30p</v>
      </c>
      <c r="I177" s="10" t="str">
        <f>IF(Planilha1!C174="","",Planilha1!C174)</f>
        <v>Boston Celtics</v>
      </c>
      <c r="J177" s="10">
        <f>IF(Planilha1!D174="","",Planilha1!D174)</f>
        <v>108</v>
      </c>
      <c r="K177" s="10" t="str">
        <f>IF(Planilha1!E174="","",IF(Planilha1!E174=0,"",Planilha1!E174))</f>
        <v>Toronto Raptors</v>
      </c>
      <c r="L177" s="10">
        <f>IF(Planilha1!F174="","",Planilha1!F174)</f>
        <v>105</v>
      </c>
      <c r="M177" s="10">
        <f>IF(Planilha1!G174="","",IF(Planilha1!G174=0,"",Planilha1!G174))</f>
        <v>105</v>
      </c>
      <c r="N177" s="5">
        <f t="shared" si="23"/>
        <v>1</v>
      </c>
      <c r="O177" s="5">
        <f t="shared" si="24"/>
        <v>0</v>
      </c>
      <c r="P177" s="5">
        <f t="shared" si="17"/>
        <v>0</v>
      </c>
      <c r="Q177" s="5">
        <f t="shared" si="18"/>
        <v>2</v>
      </c>
      <c r="R177" s="7">
        <f t="shared" si="19"/>
        <v>0</v>
      </c>
      <c r="S177" s="7">
        <f t="shared" si="20"/>
        <v>0</v>
      </c>
      <c r="T177" s="3">
        <f t="shared" si="21"/>
        <v>1</v>
      </c>
      <c r="V177" s="1" t="e">
        <f t="shared" si="22"/>
        <v>#DIV/0!</v>
      </c>
    </row>
    <row r="178" spans="8:22" x14ac:dyDescent="0.3">
      <c r="H178" s="10" t="str">
        <f>IF(Planilha1!B175="","",Planilha1!B175)</f>
        <v>8:00p</v>
      </c>
      <c r="I178" s="10" t="str">
        <f>IF(Planilha1!C175="","",Planilha1!C175)</f>
        <v>Orlando Magic</v>
      </c>
      <c r="J178" s="10">
        <f>IF(Planilha1!D175="","",Planilha1!D175)</f>
        <v>103</v>
      </c>
      <c r="K178" s="10" t="str">
        <f>IF(Planilha1!E175="","",IF(Planilha1!E175=0,"",Planilha1!E175))</f>
        <v>Chicago Bulls</v>
      </c>
      <c r="L178" s="10">
        <f>IF(Planilha1!F175="","",Planilha1!F175)</f>
        <v>97</v>
      </c>
      <c r="M178" s="10">
        <f>IF(Planilha1!G175="","",IF(Planilha1!G175=0,"",Planilha1!G175))</f>
        <v>97</v>
      </c>
      <c r="N178" s="5">
        <f t="shared" si="23"/>
        <v>1</v>
      </c>
      <c r="O178" s="5">
        <f t="shared" si="24"/>
        <v>0</v>
      </c>
      <c r="P178" s="5">
        <f t="shared" si="17"/>
        <v>0</v>
      </c>
      <c r="Q178" s="5">
        <f t="shared" si="18"/>
        <v>2</v>
      </c>
      <c r="R178" s="7">
        <f t="shared" si="19"/>
        <v>0</v>
      </c>
      <c r="S178" s="7">
        <f t="shared" si="20"/>
        <v>0</v>
      </c>
      <c r="T178" s="3">
        <f t="shared" si="21"/>
        <v>1</v>
      </c>
      <c r="V178" s="1" t="e">
        <f t="shared" si="22"/>
        <v>#DIV/0!</v>
      </c>
    </row>
    <row r="179" spans="8:22" x14ac:dyDescent="0.3">
      <c r="H179" s="10" t="str">
        <f>IF(Planilha1!B176="","",Planilha1!B176)</f>
        <v>8:00p</v>
      </c>
      <c r="I179" s="10" t="str">
        <f>IF(Planilha1!C176="","",Planilha1!C176)</f>
        <v>Denver Nuggets</v>
      </c>
      <c r="J179" s="10">
        <f>IF(Planilha1!D176="","",Planilha1!D176)</f>
        <v>110</v>
      </c>
      <c r="K179" s="10" t="str">
        <f>IF(Planilha1!E176="","",IF(Planilha1!E176=0,"",Planilha1!E176))</f>
        <v>New Orleans Pelicans</v>
      </c>
      <c r="L179" s="10">
        <f>IF(Planilha1!F176="","",Planilha1!F176)</f>
        <v>115</v>
      </c>
      <c r="M179" s="10">
        <f>IF(Planilha1!G176="","",IF(Planilha1!G176=0,"",Planilha1!G176))</f>
        <v>115</v>
      </c>
      <c r="N179" s="5">
        <f t="shared" si="23"/>
        <v>1</v>
      </c>
      <c r="O179" s="5">
        <f t="shared" si="24"/>
        <v>0</v>
      </c>
      <c r="P179" s="5">
        <f t="shared" si="17"/>
        <v>0</v>
      </c>
      <c r="Q179" s="5">
        <f t="shared" si="18"/>
        <v>2</v>
      </c>
      <c r="R179" s="7">
        <f t="shared" si="19"/>
        <v>0</v>
      </c>
      <c r="S179" s="7">
        <f t="shared" si="20"/>
        <v>0</v>
      </c>
      <c r="T179" s="3">
        <f t="shared" si="21"/>
        <v>1</v>
      </c>
      <c r="V179" s="1" t="e">
        <f t="shared" si="22"/>
        <v>#DIV/0!</v>
      </c>
    </row>
    <row r="180" spans="8:22" x14ac:dyDescent="0.3">
      <c r="H180" s="10" t="str">
        <f>IF(Planilha1!B177="","",Planilha1!B177)</f>
        <v>10:00p</v>
      </c>
      <c r="I180" s="10" t="str">
        <f>IF(Planilha1!C177="","",Planilha1!C177)</f>
        <v>Los Angeles Lakers</v>
      </c>
      <c r="J180" s="10">
        <f>IF(Planilha1!D177="","",Planilha1!D177)</f>
        <v>107</v>
      </c>
      <c r="K180" s="10" t="str">
        <f>IF(Planilha1!E177="","",IF(Planilha1!E177=0,"",Planilha1!E177))</f>
        <v>Portland Trail Blazers</v>
      </c>
      <c r="L180" s="10">
        <f>IF(Planilha1!F177="","",Planilha1!F177)</f>
        <v>95</v>
      </c>
      <c r="M180" s="10">
        <f>IF(Planilha1!G177="","",IF(Planilha1!G177=0,"",Planilha1!G177))</f>
        <v>95</v>
      </c>
      <c r="N180" s="5">
        <f t="shared" si="23"/>
        <v>1</v>
      </c>
      <c r="O180" s="5">
        <f t="shared" si="24"/>
        <v>0</v>
      </c>
      <c r="P180" s="5">
        <f t="shared" si="17"/>
        <v>0</v>
      </c>
      <c r="Q180" s="5">
        <f t="shared" si="18"/>
        <v>2</v>
      </c>
      <c r="R180" s="7">
        <f t="shared" si="19"/>
        <v>0</v>
      </c>
      <c r="S180" s="7">
        <f t="shared" si="20"/>
        <v>0</v>
      </c>
      <c r="T180" s="3">
        <f t="shared" si="21"/>
        <v>1</v>
      </c>
      <c r="V180" s="1" t="e">
        <f t="shared" si="22"/>
        <v>#DIV/0!</v>
      </c>
    </row>
    <row r="181" spans="8:22" x14ac:dyDescent="0.3">
      <c r="H181" s="10" t="str">
        <f>IF(Planilha1!B178="","",Planilha1!B178)</f>
        <v>10:00p</v>
      </c>
      <c r="I181" s="10" t="str">
        <f>IF(Planilha1!C178="","",Planilha1!C178)</f>
        <v>Phoenix Suns</v>
      </c>
      <c r="J181" s="10">
        <f>IF(Planilha1!D178="","",Planilha1!D178)</f>
        <v>131</v>
      </c>
      <c r="K181" s="10" t="str">
        <f>IF(Planilha1!E178="","",IF(Planilha1!E178=0,"",Planilha1!E178))</f>
        <v>Utah Jazz</v>
      </c>
      <c r="L181" s="10">
        <f>IF(Planilha1!F178="","",Planilha1!F178)</f>
        <v>128</v>
      </c>
      <c r="M181" s="10">
        <f>IF(Planilha1!G178="","",IF(Planilha1!G178=0,"",Planilha1!G178))</f>
        <v>128</v>
      </c>
      <c r="N181" s="5">
        <f t="shared" si="23"/>
        <v>1</v>
      </c>
      <c r="O181" s="5">
        <f t="shared" si="24"/>
        <v>0</v>
      </c>
      <c r="P181" s="5">
        <f t="shared" si="17"/>
        <v>0</v>
      </c>
      <c r="Q181" s="5">
        <f t="shared" si="18"/>
        <v>2</v>
      </c>
      <c r="R181" s="7">
        <f t="shared" si="19"/>
        <v>0</v>
      </c>
      <c r="S181" s="7">
        <f t="shared" si="20"/>
        <v>0</v>
      </c>
      <c r="T181" s="3">
        <f t="shared" si="21"/>
        <v>1</v>
      </c>
      <c r="V181" s="1" t="e">
        <f t="shared" si="22"/>
        <v>#DIV/0!</v>
      </c>
    </row>
    <row r="182" spans="8:22" x14ac:dyDescent="0.3">
      <c r="H182" s="10" t="str">
        <f>IF(Planilha1!B179="","",Planilha1!B179)</f>
        <v>10:30p</v>
      </c>
      <c r="I182" s="10" t="str">
        <f>IF(Planilha1!C179="","",Planilha1!C179)</f>
        <v>Houston Rockets</v>
      </c>
      <c r="J182" s="10">
        <f>IF(Planilha1!D179="","",Planilha1!D179)</f>
        <v>100</v>
      </c>
      <c r="K182" s="10" t="str">
        <f>IF(Planilha1!E179="","",IF(Planilha1!E179=0,"",Planilha1!E179))</f>
        <v>Los Angeles Clippers</v>
      </c>
      <c r="L182" s="10">
        <f>IF(Planilha1!F179="","",Planilha1!F179)</f>
        <v>106</v>
      </c>
      <c r="M182" s="10">
        <f>IF(Planilha1!G179="","",IF(Planilha1!G179=0,"",Planilha1!G179))</f>
        <v>106</v>
      </c>
      <c r="N182" s="5">
        <f t="shared" si="23"/>
        <v>1</v>
      </c>
      <c r="O182" s="5">
        <f t="shared" si="24"/>
        <v>0</v>
      </c>
      <c r="P182" s="5">
        <f t="shared" si="17"/>
        <v>0</v>
      </c>
      <c r="Q182" s="5">
        <f t="shared" si="18"/>
        <v>2</v>
      </c>
      <c r="R182" s="7">
        <f t="shared" si="19"/>
        <v>0</v>
      </c>
      <c r="S182" s="7">
        <f t="shared" si="20"/>
        <v>0</v>
      </c>
      <c r="T182" s="3">
        <f t="shared" si="21"/>
        <v>1</v>
      </c>
      <c r="V182" s="1" t="e">
        <f t="shared" si="22"/>
        <v>#DIV/0!</v>
      </c>
    </row>
    <row r="183" spans="8:22" x14ac:dyDescent="0.3">
      <c r="H183" s="10" t="str">
        <f>IF(Planilha1!B180="","",Planilha1!B180)</f>
        <v>6:00p</v>
      </c>
      <c r="I183" s="10" t="str">
        <f>IF(Planilha1!C180="","",Planilha1!C180)</f>
        <v>New York Knicks</v>
      </c>
      <c r="J183" s="10">
        <f>IF(Planilha1!D180="","",Planilha1!D180)</f>
        <v>122</v>
      </c>
      <c r="K183" s="10" t="str">
        <f>IF(Planilha1!E180="","",IF(Planilha1!E180=0,"",Planilha1!E180))</f>
        <v>Charlotte Hornets</v>
      </c>
      <c r="L183" s="10">
        <f>IF(Planilha1!F180="","",Planilha1!F180)</f>
        <v>108</v>
      </c>
      <c r="M183" s="10">
        <f>IF(Planilha1!G180="","",IF(Planilha1!G180=0,"",Planilha1!G180))</f>
        <v>108</v>
      </c>
      <c r="N183" s="5">
        <f t="shared" si="23"/>
        <v>1</v>
      </c>
      <c r="O183" s="5">
        <f t="shared" si="24"/>
        <v>0</v>
      </c>
      <c r="P183" s="5">
        <f t="shared" si="17"/>
        <v>0</v>
      </c>
      <c r="Q183" s="5">
        <f t="shared" si="18"/>
        <v>2</v>
      </c>
      <c r="R183" s="7">
        <f t="shared" si="19"/>
        <v>0</v>
      </c>
      <c r="S183" s="7">
        <f t="shared" si="20"/>
        <v>0</v>
      </c>
      <c r="T183" s="3">
        <f t="shared" si="21"/>
        <v>1</v>
      </c>
      <c r="V183" s="1" t="e">
        <f t="shared" si="22"/>
        <v>#DIV/0!</v>
      </c>
    </row>
    <row r="184" spans="8:22" x14ac:dyDescent="0.3">
      <c r="H184" s="10" t="str">
        <f>IF(Planilha1!B181="","",Planilha1!B181)</f>
        <v>7:00p</v>
      </c>
      <c r="I184" s="10" t="str">
        <f>IF(Planilha1!C181="","",Planilha1!C181)</f>
        <v>Minnesota Timberwolves</v>
      </c>
      <c r="J184" s="10">
        <f>IF(Planilha1!D181="","",Planilha1!D181)</f>
        <v>121</v>
      </c>
      <c r="K184" s="10" t="str">
        <f>IF(Planilha1!E181="","",IF(Planilha1!E181=0,"",Planilha1!E181))</f>
        <v>New Orleans Pelicans</v>
      </c>
      <c r="L184" s="10">
        <f>IF(Planilha1!F181="","",Planilha1!F181)</f>
        <v>120</v>
      </c>
      <c r="M184" s="10">
        <f>IF(Planilha1!G181="","",IF(Planilha1!G181=0,"",Planilha1!G181))</f>
        <v>120</v>
      </c>
      <c r="N184" s="5">
        <f t="shared" si="23"/>
        <v>1</v>
      </c>
      <c r="O184" s="5">
        <f t="shared" si="24"/>
        <v>0</v>
      </c>
      <c r="P184" s="5">
        <f t="shared" si="17"/>
        <v>0</v>
      </c>
      <c r="Q184" s="5">
        <f t="shared" si="18"/>
        <v>2</v>
      </c>
      <c r="R184" s="7">
        <f t="shared" si="19"/>
        <v>0</v>
      </c>
      <c r="S184" s="7">
        <f t="shared" si="20"/>
        <v>0</v>
      </c>
      <c r="T184" s="3">
        <f t="shared" si="21"/>
        <v>1</v>
      </c>
      <c r="V184" s="1" t="e">
        <f t="shared" si="22"/>
        <v>#DIV/0!</v>
      </c>
    </row>
    <row r="185" spans="8:22" x14ac:dyDescent="0.3">
      <c r="H185" s="10" t="str">
        <f>IF(Planilha1!B182="","",Planilha1!B182)</f>
        <v>8:00p</v>
      </c>
      <c r="I185" s="10" t="str">
        <f>IF(Planilha1!C182="","",Planilha1!C182)</f>
        <v>Miami Heat</v>
      </c>
      <c r="J185" s="10">
        <f>IF(Planilha1!D182="","",Planilha1!D182)</f>
        <v>97</v>
      </c>
      <c r="K185" s="10" t="str">
        <f>IF(Planilha1!E182="","",IF(Planilha1!E182=0,"",Planilha1!E182))</f>
        <v>Chicago Bulls</v>
      </c>
      <c r="L185" s="10">
        <f>IF(Planilha1!F182="","",Planilha1!F182)</f>
        <v>102</v>
      </c>
      <c r="M185" s="10">
        <f>IF(Planilha1!G182="","",IF(Planilha1!G182=0,"",Planilha1!G182))</f>
        <v>102</v>
      </c>
      <c r="N185" s="5">
        <f t="shared" si="23"/>
        <v>1</v>
      </c>
      <c r="O185" s="5">
        <f t="shared" si="24"/>
        <v>0</v>
      </c>
      <c r="P185" s="5">
        <f t="shared" si="17"/>
        <v>0</v>
      </c>
      <c r="Q185" s="5">
        <f t="shared" si="18"/>
        <v>2</v>
      </c>
      <c r="R185" s="7">
        <f t="shared" si="19"/>
        <v>0</v>
      </c>
      <c r="S185" s="7">
        <f t="shared" si="20"/>
        <v>0</v>
      </c>
      <c r="T185" s="3">
        <f t="shared" si="21"/>
        <v>1</v>
      </c>
      <c r="V185" s="1" t="e">
        <f t="shared" si="22"/>
        <v>#DIV/0!</v>
      </c>
    </row>
    <row r="186" spans="8:22" x14ac:dyDescent="0.3">
      <c r="H186" s="10" t="str">
        <f>IF(Planilha1!B183="","",Planilha1!B183)</f>
        <v>8:00p</v>
      </c>
      <c r="I186" s="10" t="str">
        <f>IF(Planilha1!C183="","",Planilha1!C183)</f>
        <v>Dallas Mavericks</v>
      </c>
      <c r="J186" s="10">
        <f>IF(Planilha1!D183="","",Planilha1!D183)</f>
        <v>125</v>
      </c>
      <c r="K186" s="10" t="str">
        <f>IF(Planilha1!E183="","",IF(Planilha1!E183=0,"",Planilha1!E183))</f>
        <v>Milwaukee Bucks</v>
      </c>
      <c r="L186" s="10">
        <f>IF(Planilha1!F183="","",Planilha1!F183)</f>
        <v>132</v>
      </c>
      <c r="M186" s="10">
        <f>IF(Planilha1!G183="","",IF(Planilha1!G183=0,"",Planilha1!G183))</f>
        <v>132</v>
      </c>
      <c r="N186" s="5">
        <f t="shared" si="23"/>
        <v>1</v>
      </c>
      <c r="O186" s="5">
        <f t="shared" si="24"/>
        <v>0</v>
      </c>
      <c r="P186" s="5">
        <f t="shared" si="17"/>
        <v>0</v>
      </c>
      <c r="Q186" s="5">
        <f t="shared" si="18"/>
        <v>2</v>
      </c>
      <c r="R186" s="7">
        <f t="shared" si="19"/>
        <v>0</v>
      </c>
      <c r="S186" s="7">
        <f t="shared" si="20"/>
        <v>0</v>
      </c>
      <c r="T186" s="3">
        <f t="shared" si="21"/>
        <v>1</v>
      </c>
      <c r="V186" s="1" t="e">
        <f t="shared" si="22"/>
        <v>#DIV/0!</v>
      </c>
    </row>
    <row r="187" spans="8:22" x14ac:dyDescent="0.3">
      <c r="H187" s="10" t="str">
        <f>IF(Planilha1!B184="","",Planilha1!B184)</f>
        <v>8:00p</v>
      </c>
      <c r="I187" s="10" t="str">
        <f>IF(Planilha1!C184="","",Planilha1!C184)</f>
        <v>Memphis Grizzlies</v>
      </c>
      <c r="J187" s="10">
        <f>IF(Planilha1!D184="","",Planilha1!D184)</f>
        <v>120</v>
      </c>
      <c r="K187" s="10" t="str">
        <f>IF(Planilha1!E184="","",IF(Planilha1!E184=0,"",Planilha1!E184))</f>
        <v>San Antonio Spurs</v>
      </c>
      <c r="L187" s="10">
        <f>IF(Planilha1!F184="","",Planilha1!F184)</f>
        <v>108</v>
      </c>
      <c r="M187" s="10">
        <f>IF(Planilha1!G184="","",IF(Planilha1!G184=0,"",Planilha1!G184))</f>
        <v>108</v>
      </c>
      <c r="N187" s="5">
        <f t="shared" si="23"/>
        <v>1</v>
      </c>
      <c r="O187" s="5">
        <f t="shared" si="24"/>
        <v>0</v>
      </c>
      <c r="P187" s="5">
        <f t="shared" si="17"/>
        <v>0</v>
      </c>
      <c r="Q187" s="5">
        <f t="shared" si="18"/>
        <v>2</v>
      </c>
      <c r="R187" s="7">
        <f t="shared" si="19"/>
        <v>0</v>
      </c>
      <c r="S187" s="7">
        <f t="shared" si="20"/>
        <v>0</v>
      </c>
      <c r="T187" s="3">
        <f t="shared" si="21"/>
        <v>1</v>
      </c>
      <c r="V187" s="1" t="e">
        <f t="shared" si="22"/>
        <v>#DIV/0!</v>
      </c>
    </row>
    <row r="188" spans="8:22" x14ac:dyDescent="0.3">
      <c r="H188" s="10" t="str">
        <f>IF(Planilha1!B185="","",Planilha1!B185)</f>
        <v>8:30p</v>
      </c>
      <c r="I188" s="10" t="str">
        <f>IF(Planilha1!C185="","",Planilha1!C185)</f>
        <v>Oklahoma City Thunder</v>
      </c>
      <c r="J188" s="10">
        <f>IF(Planilha1!D185="","",Planilha1!D185)</f>
        <v>130</v>
      </c>
      <c r="K188" s="10" t="str">
        <f>IF(Planilha1!E185="","",IF(Planilha1!E185=0,"",Planilha1!E185))</f>
        <v>Golden State Warriors</v>
      </c>
      <c r="L188" s="10">
        <f>IF(Planilha1!F185="","",Planilha1!F185)</f>
        <v>123</v>
      </c>
      <c r="M188" s="10">
        <f>IF(Planilha1!G185="","",IF(Planilha1!G185=0,"",Planilha1!G185))</f>
        <v>123</v>
      </c>
      <c r="N188" s="5">
        <f t="shared" si="23"/>
        <v>1</v>
      </c>
      <c r="O188" s="5">
        <f t="shared" si="24"/>
        <v>0</v>
      </c>
      <c r="P188" s="5">
        <f t="shared" si="17"/>
        <v>0</v>
      </c>
      <c r="Q188" s="5">
        <f t="shared" si="18"/>
        <v>2</v>
      </c>
      <c r="R188" s="7">
        <f t="shared" si="19"/>
        <v>0</v>
      </c>
      <c r="S188" s="7">
        <f t="shared" si="20"/>
        <v>0</v>
      </c>
      <c r="T188" s="3">
        <f t="shared" si="21"/>
        <v>1</v>
      </c>
      <c r="V188" s="1" t="e">
        <f t="shared" si="22"/>
        <v>#DIV/0!</v>
      </c>
    </row>
    <row r="189" spans="8:22" x14ac:dyDescent="0.3">
      <c r="H189" s="10" t="str">
        <f>IF(Planilha1!B186="","",Planilha1!B186)</f>
        <v>3:00p</v>
      </c>
      <c r="I189" s="10" t="str">
        <f>IF(Planilha1!C186="","",Planilha1!C186)</f>
        <v>Philadelphia 76ers</v>
      </c>
      <c r="J189" s="10">
        <f>IF(Planilha1!D186="","",Planilha1!D186)</f>
        <v>121</v>
      </c>
      <c r="K189" s="10" t="str">
        <f>IF(Planilha1!E186="","",IF(Planilha1!E186=0,"",Planilha1!E186))</f>
        <v>Brooklyn Nets</v>
      </c>
      <c r="L189" s="10">
        <f>IF(Planilha1!F186="","",Planilha1!F186)</f>
        <v>99</v>
      </c>
      <c r="M189" s="10">
        <f>IF(Planilha1!G186="","",IF(Planilha1!G186=0,"",Planilha1!G186))</f>
        <v>99</v>
      </c>
      <c r="N189" s="5">
        <f t="shared" si="23"/>
        <v>1</v>
      </c>
      <c r="O189" s="5">
        <f t="shared" si="24"/>
        <v>0</v>
      </c>
      <c r="P189" s="5">
        <f t="shared" si="17"/>
        <v>0</v>
      </c>
      <c r="Q189" s="5">
        <f t="shared" si="18"/>
        <v>2</v>
      </c>
      <c r="R189" s="7">
        <f t="shared" si="19"/>
        <v>0</v>
      </c>
      <c r="S189" s="7">
        <f t="shared" si="20"/>
        <v>0</v>
      </c>
      <c r="T189" s="3">
        <f t="shared" si="21"/>
        <v>1</v>
      </c>
      <c r="V189" s="1" t="e">
        <f t="shared" si="22"/>
        <v>#DIV/0!</v>
      </c>
    </row>
    <row r="190" spans="8:22" x14ac:dyDescent="0.3">
      <c r="H190" s="10" t="str">
        <f>IF(Planilha1!B187="","",Planilha1!B187)</f>
        <v>4:00p</v>
      </c>
      <c r="I190" s="10" t="str">
        <f>IF(Planilha1!C187="","",Planilha1!C187)</f>
        <v>Detroit Pistons</v>
      </c>
      <c r="J190" s="10">
        <f>IF(Planilha1!D187="","",Planilha1!D187)</f>
        <v>113</v>
      </c>
      <c r="K190" s="10" t="str">
        <f>IF(Planilha1!E187="","",IF(Planilha1!E187=0,"",Planilha1!E187))</f>
        <v>Toronto Raptors</v>
      </c>
      <c r="L190" s="10">
        <f>IF(Planilha1!F187="","",Planilha1!F187)</f>
        <v>142</v>
      </c>
      <c r="M190" s="10">
        <f>IF(Planilha1!G187="","",IF(Planilha1!G187=0,"",Planilha1!G187))</f>
        <v>142</v>
      </c>
      <c r="N190" s="5">
        <f t="shared" si="23"/>
        <v>1</v>
      </c>
      <c r="O190" s="5">
        <f t="shared" si="24"/>
        <v>0</v>
      </c>
      <c r="P190" s="5">
        <f t="shared" si="17"/>
        <v>0</v>
      </c>
      <c r="Q190" s="5">
        <f t="shared" si="18"/>
        <v>2</v>
      </c>
      <c r="R190" s="7">
        <f t="shared" si="19"/>
        <v>0</v>
      </c>
      <c r="S190" s="7">
        <f t="shared" si="20"/>
        <v>0</v>
      </c>
      <c r="T190" s="3">
        <f t="shared" si="21"/>
        <v>1</v>
      </c>
      <c r="V190" s="1" t="e">
        <f t="shared" si="22"/>
        <v>#DIV/0!</v>
      </c>
    </row>
    <row r="191" spans="8:22" x14ac:dyDescent="0.3">
      <c r="H191" s="10" t="str">
        <f>IF(Planilha1!B188="","",Planilha1!B188)</f>
        <v>5:00p</v>
      </c>
      <c r="I191" s="10" t="str">
        <f>IF(Planilha1!C188="","",Planilha1!C188)</f>
        <v>Orlando Magic</v>
      </c>
      <c r="J191" s="10">
        <f>IF(Planilha1!D188="","",Planilha1!D188)</f>
        <v>128</v>
      </c>
      <c r="K191" s="10" t="str">
        <f>IF(Planilha1!E188="","",IF(Planilha1!E188=0,"",Planilha1!E188))</f>
        <v>Indiana Pacers</v>
      </c>
      <c r="L191" s="10">
        <f>IF(Planilha1!F188="","",Planilha1!F188)</f>
        <v>116</v>
      </c>
      <c r="M191" s="10">
        <f>IF(Planilha1!G188="","",IF(Planilha1!G188=0,"",Planilha1!G188))</f>
        <v>116</v>
      </c>
      <c r="N191" s="5">
        <f t="shared" si="23"/>
        <v>1</v>
      </c>
      <c r="O191" s="5">
        <f t="shared" si="24"/>
        <v>0</v>
      </c>
      <c r="P191" s="5">
        <f t="shared" si="17"/>
        <v>0</v>
      </c>
      <c r="Q191" s="5">
        <f t="shared" si="18"/>
        <v>2</v>
      </c>
      <c r="R191" s="7">
        <f t="shared" si="19"/>
        <v>0</v>
      </c>
      <c r="S191" s="7">
        <f t="shared" si="20"/>
        <v>0</v>
      </c>
      <c r="T191" s="3">
        <f t="shared" si="21"/>
        <v>1</v>
      </c>
      <c r="V191" s="1" t="e">
        <f t="shared" si="22"/>
        <v>#DIV/0!</v>
      </c>
    </row>
    <row r="192" spans="8:22" x14ac:dyDescent="0.3">
      <c r="H192" s="10" t="str">
        <f>IF(Planilha1!B189="","",Planilha1!B189)</f>
        <v>6:00p</v>
      </c>
      <c r="I192" s="10" t="str">
        <f>IF(Planilha1!C189="","",Planilha1!C189)</f>
        <v>Denver Nuggets</v>
      </c>
      <c r="J192" s="10">
        <f>IF(Planilha1!D189="","",Planilha1!D189)</f>
        <v>109</v>
      </c>
      <c r="K192" s="10" t="str">
        <f>IF(Planilha1!E189="","",IF(Planilha1!E189=0,"",Planilha1!E189))</f>
        <v>Cleveland Cavaliers</v>
      </c>
      <c r="L192" s="10">
        <f>IF(Planilha1!F189="","",Planilha1!F189)</f>
        <v>121</v>
      </c>
      <c r="M192" s="10">
        <f>IF(Planilha1!G189="","",IF(Planilha1!G189=0,"",Planilha1!G189))</f>
        <v>121</v>
      </c>
      <c r="N192" s="5">
        <f t="shared" si="23"/>
        <v>1</v>
      </c>
      <c r="O192" s="5">
        <f t="shared" si="24"/>
        <v>0</v>
      </c>
      <c r="P192" s="5">
        <f t="shared" si="17"/>
        <v>0</v>
      </c>
      <c r="Q192" s="5">
        <f t="shared" si="18"/>
        <v>2</v>
      </c>
      <c r="R192" s="7">
        <f t="shared" si="19"/>
        <v>0</v>
      </c>
      <c r="S192" s="7">
        <f t="shared" si="20"/>
        <v>0</v>
      </c>
      <c r="T192" s="3">
        <f t="shared" si="21"/>
        <v>1</v>
      </c>
      <c r="V192" s="1" t="e">
        <f t="shared" si="22"/>
        <v>#DIV/0!</v>
      </c>
    </row>
    <row r="193" spans="8:22" x14ac:dyDescent="0.3">
      <c r="H193" s="10" t="str">
        <f>IF(Planilha1!B190="","",Planilha1!B190)</f>
        <v>7:30p</v>
      </c>
      <c r="I193" s="10" t="str">
        <f>IF(Planilha1!C190="","",Planilha1!C190)</f>
        <v>Sacramento Kings</v>
      </c>
      <c r="J193" s="10">
        <f>IF(Planilha1!D190="","",Planilha1!D190)</f>
        <v>129</v>
      </c>
      <c r="K193" s="10" t="str">
        <f>IF(Planilha1!E190="","",IF(Planilha1!E190=0,"",Planilha1!E190))</f>
        <v>Dallas Mavericks</v>
      </c>
      <c r="L193" s="10">
        <f>IF(Planilha1!F190="","",Planilha1!F190)</f>
        <v>113</v>
      </c>
      <c r="M193" s="10">
        <f>IF(Planilha1!G190="","",IF(Planilha1!G190=0,"",Planilha1!G190))</f>
        <v>113</v>
      </c>
      <c r="N193" s="5">
        <f t="shared" si="23"/>
        <v>1</v>
      </c>
      <c r="O193" s="5">
        <f t="shared" si="24"/>
        <v>0</v>
      </c>
      <c r="P193" s="5">
        <f t="shared" si="17"/>
        <v>0</v>
      </c>
      <c r="Q193" s="5">
        <f t="shared" si="18"/>
        <v>2</v>
      </c>
      <c r="R193" s="7">
        <f t="shared" si="19"/>
        <v>0</v>
      </c>
      <c r="S193" s="7">
        <f t="shared" si="20"/>
        <v>0</v>
      </c>
      <c r="T193" s="3">
        <f t="shared" si="21"/>
        <v>1</v>
      </c>
      <c r="V193" s="1" t="e">
        <f t="shared" si="22"/>
        <v>#DIV/0!</v>
      </c>
    </row>
    <row r="194" spans="8:22" x14ac:dyDescent="0.3">
      <c r="H194" s="10" t="str">
        <f>IF(Planilha1!B191="","",Planilha1!B191)</f>
        <v>8:00p</v>
      </c>
      <c r="I194" s="10" t="str">
        <f>IF(Planilha1!C191="","",Planilha1!C191)</f>
        <v>Boston Celtics</v>
      </c>
      <c r="J194" s="10">
        <f>IF(Planilha1!D191="","",Planilha1!D191)</f>
        <v>102</v>
      </c>
      <c r="K194" s="10" t="str">
        <f>IF(Planilha1!E191="","",IF(Planilha1!E191=0,"",Planilha1!E191))</f>
        <v>Memphis Grizzlies</v>
      </c>
      <c r="L194" s="10">
        <f>IF(Planilha1!F191="","",Planilha1!F191)</f>
        <v>100</v>
      </c>
      <c r="M194" s="10">
        <f>IF(Planilha1!G191="","",IF(Planilha1!G191=0,"",Planilha1!G191))</f>
        <v>100</v>
      </c>
      <c r="N194" s="5">
        <f t="shared" si="23"/>
        <v>1</v>
      </c>
      <c r="O194" s="5">
        <f t="shared" si="24"/>
        <v>0</v>
      </c>
      <c r="P194" s="5">
        <f t="shared" si="17"/>
        <v>0</v>
      </c>
      <c r="Q194" s="5">
        <f t="shared" si="18"/>
        <v>2</v>
      </c>
      <c r="R194" s="7">
        <f t="shared" si="19"/>
        <v>0</v>
      </c>
      <c r="S194" s="7">
        <f t="shared" si="20"/>
        <v>0</v>
      </c>
      <c r="T194" s="3">
        <f t="shared" si="21"/>
        <v>1</v>
      </c>
      <c r="V194" s="1" t="e">
        <f t="shared" si="22"/>
        <v>#DIV/0!</v>
      </c>
    </row>
    <row r="195" spans="8:22" x14ac:dyDescent="0.3">
      <c r="H195" s="10" t="str">
        <f>IF(Planilha1!B192="","",Planilha1!B192)</f>
        <v>8:00p</v>
      </c>
      <c r="I195" s="10" t="str">
        <f>IF(Planilha1!C192="","",Planilha1!C192)</f>
        <v>Phoenix Suns</v>
      </c>
      <c r="J195" s="10">
        <f>IF(Planilha1!D192="","",Planilha1!D192)</f>
        <v>140</v>
      </c>
      <c r="K195" s="10" t="str">
        <f>IF(Planilha1!E192="","",IF(Planilha1!E192=0,"",Planilha1!E192))</f>
        <v>Utah Jazz</v>
      </c>
      <c r="L195" s="10">
        <f>IF(Planilha1!F192="","",Planilha1!F192)</f>
        <v>137</v>
      </c>
      <c r="M195" s="10">
        <f>IF(Planilha1!G192="","",IF(Planilha1!G192=0,"",Planilha1!G192))</f>
        <v>137</v>
      </c>
      <c r="N195" s="5">
        <f t="shared" si="23"/>
        <v>1</v>
      </c>
      <c r="O195" s="5">
        <f t="shared" si="24"/>
        <v>0</v>
      </c>
      <c r="P195" s="5">
        <f t="shared" si="17"/>
        <v>0</v>
      </c>
      <c r="Q195" s="5">
        <f t="shared" si="18"/>
        <v>2</v>
      </c>
      <c r="R195" s="7">
        <f t="shared" si="19"/>
        <v>0</v>
      </c>
      <c r="S195" s="7">
        <f t="shared" si="20"/>
        <v>0</v>
      </c>
      <c r="T195" s="3">
        <f t="shared" si="21"/>
        <v>1</v>
      </c>
      <c r="V195" s="1" t="e">
        <f t="shared" si="22"/>
        <v>#DIV/0!</v>
      </c>
    </row>
    <row r="196" spans="8:22" x14ac:dyDescent="0.3">
      <c r="H196" s="10" t="str">
        <f>IF(Planilha1!B193="","",Planilha1!B193)</f>
        <v>9:00p</v>
      </c>
      <c r="I196" s="10" t="str">
        <f>IF(Planilha1!C193="","",Planilha1!C193)</f>
        <v>Oklahoma City Thunder</v>
      </c>
      <c r="J196" s="10">
        <f>IF(Planilha1!D193="","",Planilha1!D193)</f>
        <v>134</v>
      </c>
      <c r="K196" s="10" t="str">
        <f>IF(Planilha1!E193="","",IF(Planilha1!E193=0,"",Planilha1!E193))</f>
        <v>Portland Trail Blazers</v>
      </c>
      <c r="L196" s="10">
        <f>IF(Planilha1!F193="","",Planilha1!F193)</f>
        <v>91</v>
      </c>
      <c r="M196" s="10">
        <f>IF(Planilha1!G193="","",IF(Planilha1!G193=0,"",Planilha1!G193))</f>
        <v>91</v>
      </c>
      <c r="N196" s="5">
        <f t="shared" si="23"/>
        <v>1</v>
      </c>
      <c r="O196" s="5">
        <f t="shared" si="24"/>
        <v>0</v>
      </c>
      <c r="P196" s="5">
        <f t="shared" si="17"/>
        <v>0</v>
      </c>
      <c r="Q196" s="5">
        <f t="shared" si="18"/>
        <v>2</v>
      </c>
      <c r="R196" s="7">
        <f t="shared" si="19"/>
        <v>0</v>
      </c>
      <c r="S196" s="7">
        <f t="shared" si="20"/>
        <v>0</v>
      </c>
      <c r="T196" s="3">
        <f t="shared" si="21"/>
        <v>1</v>
      </c>
      <c r="V196" s="1" t="e">
        <f t="shared" si="22"/>
        <v>#DIV/0!</v>
      </c>
    </row>
    <row r="197" spans="8:22" x14ac:dyDescent="0.3">
      <c r="H197" s="10" t="str">
        <f>IF(Planilha1!B194="","",Planilha1!B194)</f>
        <v>9:30p</v>
      </c>
      <c r="I197" s="10" t="str">
        <f>IF(Planilha1!C194="","",Planilha1!C194)</f>
        <v>Houston Rockets</v>
      </c>
      <c r="J197" s="10">
        <f>IF(Planilha1!D194="","",Planilha1!D194)</f>
        <v>104</v>
      </c>
      <c r="K197" s="10" t="str">
        <f>IF(Planilha1!E194="","",IF(Planilha1!E194=0,"",Planilha1!E194))</f>
        <v>Los Angeles Lakers</v>
      </c>
      <c r="L197" s="10">
        <f>IF(Planilha1!F194="","",Planilha1!F194)</f>
        <v>105</v>
      </c>
      <c r="M197" s="10">
        <f>IF(Planilha1!G194="","",IF(Planilha1!G194=0,"",Planilha1!G194))</f>
        <v>105</v>
      </c>
      <c r="N197" s="5">
        <f t="shared" si="23"/>
        <v>1</v>
      </c>
      <c r="O197" s="5">
        <f t="shared" si="24"/>
        <v>0</v>
      </c>
      <c r="P197" s="5">
        <f t="shared" ref="P197:P260" si="25">IF(M197="",IF(R197&gt;S197,2,0),IF(K197&lt;M197,2,0))</f>
        <v>0</v>
      </c>
      <c r="Q197" s="5">
        <f t="shared" ref="Q197:Q260" si="26">IF(M197="",IF(R197&gt;S197,0,2),IF(K197&gt;M197,2,0))</f>
        <v>2</v>
      </c>
      <c r="R197" s="7">
        <f t="shared" ref="R197:R260" si="27">SUMIF($B:$B,J197,$C:$C)+(SUMIF($B:$B,L197,$F:$F))</f>
        <v>0</v>
      </c>
      <c r="S197" s="7">
        <f t="shared" ref="S197:S260" si="28">SUMIF($B:$B,L197,$E:$E)+(SUMIF($B:$B,J197,$D:$D))</f>
        <v>0</v>
      </c>
      <c r="T197" s="3">
        <f t="shared" ref="T197:T260" si="29">IF(M197="","",(N197-S197)^2+(O197-R197)^2)</f>
        <v>1</v>
      </c>
      <c r="V197" s="1" t="e">
        <f t="shared" ref="V197:V260" si="30">IF(O197="","",1/((O197-N197)/(R197-S197)))</f>
        <v>#DIV/0!</v>
      </c>
    </row>
    <row r="198" spans="8:22" x14ac:dyDescent="0.3">
      <c r="H198" s="10" t="str">
        <f>IF(Planilha1!B195="","",Planilha1!B195)</f>
        <v>7:00p</v>
      </c>
      <c r="I198" s="10" t="str">
        <f>IF(Planilha1!C195="","",Planilha1!C195)</f>
        <v>Boston Celtics</v>
      </c>
      <c r="J198" s="10">
        <f>IF(Planilha1!D195="","",Planilha1!D195)</f>
        <v>118</v>
      </c>
      <c r="K198" s="10" t="str">
        <f>IF(Planilha1!E195="","",IF(Planilha1!E195=0,"",Planilha1!E195))</f>
        <v>Charlotte Hornets</v>
      </c>
      <c r="L198" s="10">
        <f>IF(Planilha1!F195="","",Planilha1!F195)</f>
        <v>121</v>
      </c>
      <c r="M198" s="10">
        <f>IF(Planilha1!G195="","",IF(Planilha1!G195=0,"",Planilha1!G195))</f>
        <v>121</v>
      </c>
      <c r="N198" s="5">
        <f t="shared" ref="N198:N261" si="31">IF(K198="","",IF(K198&gt;M198,100%,0%))</f>
        <v>1</v>
      </c>
      <c r="O198" s="5">
        <f t="shared" ref="O198:O261" si="32">IF(K198="","",IF(K198&lt;M198,100%,0%))</f>
        <v>0</v>
      </c>
      <c r="P198" s="5">
        <f t="shared" si="25"/>
        <v>0</v>
      </c>
      <c r="Q198" s="5">
        <f t="shared" si="26"/>
        <v>2</v>
      </c>
      <c r="R198" s="7">
        <f t="shared" si="27"/>
        <v>0</v>
      </c>
      <c r="S198" s="7">
        <f t="shared" si="28"/>
        <v>0</v>
      </c>
      <c r="T198" s="3">
        <f t="shared" si="29"/>
        <v>1</v>
      </c>
      <c r="V198" s="1" t="e">
        <f t="shared" si="30"/>
        <v>#DIV/0!</v>
      </c>
    </row>
    <row r="199" spans="8:22" x14ac:dyDescent="0.3">
      <c r="H199" s="10" t="str">
        <f>IF(Planilha1!B196="","",Planilha1!B196)</f>
        <v>7:00p</v>
      </c>
      <c r="I199" s="10" t="str">
        <f>IF(Planilha1!C196="","",Planilha1!C196)</f>
        <v>Denver Nuggets</v>
      </c>
      <c r="J199" s="10">
        <f>IF(Planilha1!D196="","",Planilha1!D196)</f>
        <v>107</v>
      </c>
      <c r="K199" s="10" t="str">
        <f>IF(Planilha1!E196="","",IF(Planilha1!E196=0,"",Planilha1!E196))</f>
        <v>Detroit Pistons</v>
      </c>
      <c r="L199" s="10">
        <f>IF(Planilha1!F196="","",Planilha1!F196)</f>
        <v>103</v>
      </c>
      <c r="M199" s="10">
        <f>IF(Planilha1!G196="","",IF(Planilha1!G196=0,"",Planilha1!G196))</f>
        <v>103</v>
      </c>
      <c r="N199" s="5">
        <f t="shared" si="31"/>
        <v>1</v>
      </c>
      <c r="O199" s="5">
        <f t="shared" si="32"/>
        <v>0</v>
      </c>
      <c r="P199" s="5">
        <f t="shared" si="25"/>
        <v>0</v>
      </c>
      <c r="Q199" s="5">
        <f t="shared" si="26"/>
        <v>2</v>
      </c>
      <c r="R199" s="7">
        <f t="shared" si="27"/>
        <v>0</v>
      </c>
      <c r="S199" s="7">
        <f t="shared" si="28"/>
        <v>0</v>
      </c>
      <c r="T199" s="3">
        <f t="shared" si="29"/>
        <v>1</v>
      </c>
      <c r="V199" s="1" t="e">
        <f t="shared" si="30"/>
        <v>#DIV/0!</v>
      </c>
    </row>
    <row r="200" spans="8:22" x14ac:dyDescent="0.3">
      <c r="H200" s="10" t="str">
        <f>IF(Planilha1!B197="","",Planilha1!B197)</f>
        <v>7:00p</v>
      </c>
      <c r="I200" s="10" t="str">
        <f>IF(Planilha1!C197="","",Planilha1!C197)</f>
        <v>Milwaukee Bucks</v>
      </c>
      <c r="J200" s="10">
        <f>IF(Planilha1!D197="","",Planilha1!D197)</f>
        <v>142</v>
      </c>
      <c r="K200" s="10" t="str">
        <f>IF(Planilha1!E197="","",IF(Planilha1!E197=0,"",Planilha1!E197))</f>
        <v>Washington Wizards</v>
      </c>
      <c r="L200" s="10">
        <f>IF(Planilha1!F197="","",Planilha1!F197)</f>
        <v>129</v>
      </c>
      <c r="M200" s="10">
        <f>IF(Planilha1!G197="","",IF(Planilha1!G197=0,"",Planilha1!G197))</f>
        <v>129</v>
      </c>
      <c r="N200" s="5">
        <f t="shared" si="31"/>
        <v>1</v>
      </c>
      <c r="O200" s="5">
        <f t="shared" si="32"/>
        <v>0</v>
      </c>
      <c r="P200" s="5">
        <f t="shared" si="25"/>
        <v>0</v>
      </c>
      <c r="Q200" s="5">
        <f t="shared" si="26"/>
        <v>2</v>
      </c>
      <c r="R200" s="7">
        <f t="shared" si="27"/>
        <v>0</v>
      </c>
      <c r="S200" s="7">
        <f t="shared" si="28"/>
        <v>0</v>
      </c>
      <c r="T200" s="3">
        <f t="shared" si="29"/>
        <v>1</v>
      </c>
      <c r="V200" s="1" t="e">
        <f t="shared" si="30"/>
        <v>#DIV/0!</v>
      </c>
    </row>
    <row r="201" spans="8:22" x14ac:dyDescent="0.3">
      <c r="H201" s="10" t="str">
        <f>IF(Planilha1!B198="","",Planilha1!B198)</f>
        <v>8:00p</v>
      </c>
      <c r="I201" s="10" t="str">
        <f>IF(Planilha1!C198="","",Planilha1!C198)</f>
        <v>Miami Heat</v>
      </c>
      <c r="J201" s="10">
        <f>IF(Planilha1!D198="","",Planilha1!D198)</f>
        <v>118</v>
      </c>
      <c r="K201" s="10" t="str">
        <f>IF(Planilha1!E198="","",IF(Planilha1!E198=0,"",Planilha1!E198))</f>
        <v>Chicago Bulls</v>
      </c>
      <c r="L201" s="10">
        <f>IF(Planilha1!F198="","",Planilha1!F198)</f>
        <v>100</v>
      </c>
      <c r="M201" s="10">
        <f>IF(Planilha1!G198="","",IF(Planilha1!G198=0,"",Planilha1!G198))</f>
        <v>100</v>
      </c>
      <c r="N201" s="5">
        <f t="shared" si="31"/>
        <v>1</v>
      </c>
      <c r="O201" s="5">
        <f t="shared" si="32"/>
        <v>0</v>
      </c>
      <c r="P201" s="5">
        <f t="shared" si="25"/>
        <v>0</v>
      </c>
      <c r="Q201" s="5">
        <f t="shared" si="26"/>
        <v>2</v>
      </c>
      <c r="R201" s="7">
        <f t="shared" si="27"/>
        <v>0</v>
      </c>
      <c r="S201" s="7">
        <f t="shared" si="28"/>
        <v>0</v>
      </c>
      <c r="T201" s="3">
        <f t="shared" si="29"/>
        <v>1</v>
      </c>
      <c r="V201" s="1" t="e">
        <f t="shared" si="30"/>
        <v>#DIV/0!</v>
      </c>
    </row>
    <row r="202" spans="8:22" x14ac:dyDescent="0.3">
      <c r="H202" s="10" t="str">
        <f>IF(Planilha1!B199="","",Planilha1!B199)</f>
        <v>8:00p</v>
      </c>
      <c r="I202" s="10" t="str">
        <f>IF(Planilha1!C199="","",Planilha1!C199)</f>
        <v>New York Knicks</v>
      </c>
      <c r="J202" s="10">
        <f>IF(Planilha1!D199="","",Planilha1!D199)</f>
        <v>100</v>
      </c>
      <c r="K202" s="10" t="str">
        <f>IF(Planilha1!E199="","",IF(Planilha1!E199=0,"",Planilha1!E199))</f>
        <v>Minnesota Timberwolves</v>
      </c>
      <c r="L202" s="10">
        <f>IF(Planilha1!F199="","",Planilha1!F199)</f>
        <v>117</v>
      </c>
      <c r="M202" s="10">
        <f>IF(Planilha1!G199="","",IF(Planilha1!G199=0,"",Planilha1!G199))</f>
        <v>117</v>
      </c>
      <c r="N202" s="5">
        <f t="shared" si="31"/>
        <v>1</v>
      </c>
      <c r="O202" s="5">
        <f t="shared" si="32"/>
        <v>0</v>
      </c>
      <c r="P202" s="5">
        <f t="shared" si="25"/>
        <v>0</v>
      </c>
      <c r="Q202" s="5">
        <f t="shared" si="26"/>
        <v>2</v>
      </c>
      <c r="R202" s="7">
        <f t="shared" si="27"/>
        <v>0</v>
      </c>
      <c r="S202" s="7">
        <f t="shared" si="28"/>
        <v>0</v>
      </c>
      <c r="T202" s="3">
        <f t="shared" si="29"/>
        <v>1</v>
      </c>
      <c r="V202" s="1" t="e">
        <f t="shared" si="30"/>
        <v>#DIV/0!</v>
      </c>
    </row>
    <row r="203" spans="8:22" x14ac:dyDescent="0.3">
      <c r="H203" s="10" t="str">
        <f>IF(Planilha1!B200="","",Planilha1!B200)</f>
        <v>8:00p</v>
      </c>
      <c r="I203" s="10" t="str">
        <f>IF(Planilha1!C200="","",Planilha1!C200)</f>
        <v>Sacramento Kings</v>
      </c>
      <c r="J203" s="10">
        <f>IF(Planilha1!D200="","",Planilha1!D200)</f>
        <v>93</v>
      </c>
      <c r="K203" s="10" t="str">
        <f>IF(Planilha1!E200="","",IF(Planilha1!E200=0,"",Planilha1!E200))</f>
        <v>New Orleans Pelicans</v>
      </c>
      <c r="L203" s="10">
        <f>IF(Planilha1!F200="","",Planilha1!F200)</f>
        <v>129</v>
      </c>
      <c r="M203" s="10">
        <f>IF(Planilha1!G200="","",IF(Planilha1!G200=0,"",Planilha1!G200))</f>
        <v>129</v>
      </c>
      <c r="N203" s="5">
        <f t="shared" si="31"/>
        <v>1</v>
      </c>
      <c r="O203" s="5">
        <f t="shared" si="32"/>
        <v>0</v>
      </c>
      <c r="P203" s="5">
        <f t="shared" si="25"/>
        <v>0</v>
      </c>
      <c r="Q203" s="5">
        <f t="shared" si="26"/>
        <v>2</v>
      </c>
      <c r="R203" s="7">
        <f t="shared" si="27"/>
        <v>0</v>
      </c>
      <c r="S203" s="7">
        <f t="shared" si="28"/>
        <v>0</v>
      </c>
      <c r="T203" s="3">
        <f t="shared" si="29"/>
        <v>1</v>
      </c>
      <c r="V203" s="1" t="e">
        <f t="shared" si="30"/>
        <v>#DIV/0!</v>
      </c>
    </row>
    <row r="204" spans="8:22" x14ac:dyDescent="0.3">
      <c r="H204" s="10" t="str">
        <f>IF(Planilha1!B201="","",Planilha1!B201)</f>
        <v>8:00p</v>
      </c>
      <c r="I204" s="10" t="str">
        <f>IF(Planilha1!C201="","",Planilha1!C201)</f>
        <v>Los Angeles Clippers</v>
      </c>
      <c r="J204" s="10">
        <f>IF(Planilha1!D201="","",Planilha1!D201)</f>
        <v>124</v>
      </c>
      <c r="K204" s="10" t="str">
        <f>IF(Planilha1!E201="","",IF(Planilha1!E201=0,"",Planilha1!E201))</f>
        <v>San Antonio Spurs</v>
      </c>
      <c r="L204" s="10">
        <f>IF(Planilha1!F201="","",Planilha1!F201)</f>
        <v>99</v>
      </c>
      <c r="M204" s="10">
        <f>IF(Planilha1!G201="","",IF(Planilha1!G201=0,"",Planilha1!G201))</f>
        <v>99</v>
      </c>
      <c r="N204" s="5">
        <f t="shared" si="31"/>
        <v>1</v>
      </c>
      <c r="O204" s="5">
        <f t="shared" si="32"/>
        <v>0</v>
      </c>
      <c r="P204" s="5">
        <f t="shared" si="25"/>
        <v>0</v>
      </c>
      <c r="Q204" s="5">
        <f t="shared" si="26"/>
        <v>2</v>
      </c>
      <c r="R204" s="7">
        <f t="shared" si="27"/>
        <v>0</v>
      </c>
      <c r="S204" s="7">
        <f t="shared" si="28"/>
        <v>0</v>
      </c>
      <c r="T204" s="3">
        <f t="shared" si="29"/>
        <v>1</v>
      </c>
      <c r="V204" s="1" t="e">
        <f t="shared" si="30"/>
        <v>#DIV/0!</v>
      </c>
    </row>
    <row r="205" spans="8:22" x14ac:dyDescent="0.3">
      <c r="H205" s="10" t="str">
        <f>IF(Planilha1!B202="","",Planilha1!B202)</f>
        <v>10:00p</v>
      </c>
      <c r="I205" s="10" t="str">
        <f>IF(Planilha1!C202="","",Planilha1!C202)</f>
        <v>Houston Rockets</v>
      </c>
      <c r="J205" s="10">
        <f>IF(Planilha1!D202="","",Planilha1!D202)</f>
        <v>116</v>
      </c>
      <c r="K205" s="10" t="str">
        <f>IF(Planilha1!E202="","",IF(Planilha1!E202=0,"",Planilha1!E202))</f>
        <v>Golden State Warriors</v>
      </c>
      <c r="L205" s="10">
        <f>IF(Planilha1!F202="","",Planilha1!F202)</f>
        <v>121</v>
      </c>
      <c r="M205" s="10">
        <f>IF(Planilha1!G202="","",IF(Planilha1!G202=0,"",Planilha1!G202))</f>
        <v>121</v>
      </c>
      <c r="N205" s="5">
        <f t="shared" si="31"/>
        <v>1</v>
      </c>
      <c r="O205" s="5">
        <f t="shared" si="32"/>
        <v>0</v>
      </c>
      <c r="P205" s="5">
        <f t="shared" si="25"/>
        <v>0</v>
      </c>
      <c r="Q205" s="5">
        <f t="shared" si="26"/>
        <v>2</v>
      </c>
      <c r="R205" s="7">
        <f t="shared" si="27"/>
        <v>0</v>
      </c>
      <c r="S205" s="7">
        <f t="shared" si="28"/>
        <v>0</v>
      </c>
      <c r="T205" s="3">
        <f t="shared" si="29"/>
        <v>1</v>
      </c>
      <c r="V205" s="1" t="e">
        <f t="shared" si="30"/>
        <v>#DIV/0!</v>
      </c>
    </row>
    <row r="206" spans="8:22" x14ac:dyDescent="0.3">
      <c r="H206" s="10" t="str">
        <f>IF(Planilha1!B203="","",Planilha1!B203)</f>
        <v>7:00p</v>
      </c>
      <c r="I206" s="10" t="str">
        <f>IF(Planilha1!C203="","",Planilha1!C203)</f>
        <v>Toronto Raptors</v>
      </c>
      <c r="J206" s="10">
        <f>IF(Planilha1!D203="","",Planilha1!D203)</f>
        <v>107</v>
      </c>
      <c r="K206" s="10" t="str">
        <f>IF(Planilha1!E203="","",IF(Planilha1!E203=0,"",Planilha1!E203))</f>
        <v>Orlando Magic</v>
      </c>
      <c r="L206" s="10">
        <f>IF(Planilha1!F203="","",Planilha1!F203)</f>
        <v>126</v>
      </c>
      <c r="M206" s="10">
        <f>IF(Planilha1!G203="","",IF(Planilha1!G203=0,"",Planilha1!G203))</f>
        <v>126</v>
      </c>
      <c r="N206" s="5">
        <f t="shared" si="31"/>
        <v>1</v>
      </c>
      <c r="O206" s="5">
        <f t="shared" si="32"/>
        <v>0</v>
      </c>
      <c r="P206" s="5">
        <f t="shared" si="25"/>
        <v>0</v>
      </c>
      <c r="Q206" s="5">
        <f t="shared" si="26"/>
        <v>2</v>
      </c>
      <c r="R206" s="7">
        <f t="shared" si="27"/>
        <v>0</v>
      </c>
      <c r="S206" s="7">
        <f t="shared" si="28"/>
        <v>0</v>
      </c>
      <c r="T206" s="3">
        <f t="shared" si="29"/>
        <v>1</v>
      </c>
      <c r="V206" s="1" t="e">
        <f t="shared" si="30"/>
        <v>#DIV/0!</v>
      </c>
    </row>
    <row r="207" spans="8:22" x14ac:dyDescent="0.3">
      <c r="H207" s="10" t="str">
        <f>IF(Planilha1!B204="","",Planilha1!B204)</f>
        <v>7:30p</v>
      </c>
      <c r="I207" s="10" t="str">
        <f>IF(Planilha1!C204="","",Planilha1!C204)</f>
        <v>Indiana Pacers</v>
      </c>
      <c r="J207" s="10">
        <f>IF(Planilha1!D204="","",Planilha1!D204)</f>
        <v>157</v>
      </c>
      <c r="K207" s="10" t="str">
        <f>IF(Planilha1!E204="","",IF(Planilha1!E204=0,"",Planilha1!E204))</f>
        <v>Atlanta Hawks</v>
      </c>
      <c r="L207" s="10">
        <f>IF(Planilha1!F204="","",Planilha1!F204)</f>
        <v>152</v>
      </c>
      <c r="M207" s="10">
        <f>IF(Planilha1!G204="","",IF(Planilha1!G204=0,"",Planilha1!G204))</f>
        <v>152</v>
      </c>
      <c r="N207" s="5">
        <f t="shared" si="31"/>
        <v>1</v>
      </c>
      <c r="O207" s="5">
        <f t="shared" si="32"/>
        <v>0</v>
      </c>
      <c r="P207" s="5">
        <f t="shared" si="25"/>
        <v>0</v>
      </c>
      <c r="Q207" s="5">
        <f t="shared" si="26"/>
        <v>2</v>
      </c>
      <c r="R207" s="7">
        <f t="shared" si="27"/>
        <v>0</v>
      </c>
      <c r="S207" s="7">
        <f t="shared" si="28"/>
        <v>0</v>
      </c>
      <c r="T207" s="3">
        <f t="shared" si="29"/>
        <v>1</v>
      </c>
      <c r="V207" s="1" t="e">
        <f t="shared" si="30"/>
        <v>#DIV/0!</v>
      </c>
    </row>
    <row r="208" spans="8:22" x14ac:dyDescent="0.3">
      <c r="H208" s="10" t="str">
        <f>IF(Planilha1!B205="","",Planilha1!B205)</f>
        <v>7:30p</v>
      </c>
      <c r="I208" s="10" t="str">
        <f>IF(Planilha1!C205="","",Planilha1!C205)</f>
        <v>Cleveland Cavaliers</v>
      </c>
      <c r="J208" s="10">
        <f>IF(Planilha1!D205="","",Planilha1!D205)</f>
        <v>122</v>
      </c>
      <c r="K208" s="10" t="str">
        <f>IF(Planilha1!E205="","",IF(Planilha1!E205=0,"",Planilha1!E205))</f>
        <v>Philadelphia 76ers</v>
      </c>
      <c r="L208" s="10">
        <f>IF(Planilha1!F205="","",Planilha1!F205)</f>
        <v>119</v>
      </c>
      <c r="M208" s="10">
        <f>IF(Planilha1!G205="","",IF(Planilha1!G205=0,"",Planilha1!G205))</f>
        <v>119</v>
      </c>
      <c r="N208" s="5">
        <f t="shared" si="31"/>
        <v>1</v>
      </c>
      <c r="O208" s="5">
        <f t="shared" si="32"/>
        <v>0</v>
      </c>
      <c r="P208" s="5">
        <f t="shared" si="25"/>
        <v>0</v>
      </c>
      <c r="Q208" s="5">
        <f t="shared" si="26"/>
        <v>2</v>
      </c>
      <c r="R208" s="7">
        <f t="shared" si="27"/>
        <v>0</v>
      </c>
      <c r="S208" s="7">
        <f t="shared" si="28"/>
        <v>0</v>
      </c>
      <c r="T208" s="3">
        <f t="shared" si="29"/>
        <v>1</v>
      </c>
      <c r="V208" s="1" t="e">
        <f t="shared" si="30"/>
        <v>#DIV/0!</v>
      </c>
    </row>
    <row r="209" spans="8:22" x14ac:dyDescent="0.3">
      <c r="H209" s="10" t="str">
        <f>IF(Planilha1!B206="","",Planilha1!B206)</f>
        <v>9:00p</v>
      </c>
      <c r="I209" s="10" t="str">
        <f>IF(Planilha1!C206="","",Planilha1!C206)</f>
        <v>Portland Trail Blazers</v>
      </c>
      <c r="J209" s="10">
        <f>IF(Planilha1!D206="","",Planilha1!D206)</f>
        <v>107</v>
      </c>
      <c r="K209" s="10" t="str">
        <f>IF(Planilha1!E206="","",IF(Planilha1!E206=0,"",Planilha1!E206))</f>
        <v>Phoenix Suns</v>
      </c>
      <c r="L209" s="10">
        <f>IF(Planilha1!F206="","",Planilha1!F206)</f>
        <v>120</v>
      </c>
      <c r="M209" s="10">
        <f>IF(Planilha1!G206="","",IF(Planilha1!G206=0,"",Planilha1!G206))</f>
        <v>120</v>
      </c>
      <c r="N209" s="5">
        <f t="shared" si="31"/>
        <v>1</v>
      </c>
      <c r="O209" s="5">
        <f t="shared" si="32"/>
        <v>0</v>
      </c>
      <c r="P209" s="5">
        <f t="shared" si="25"/>
        <v>0</v>
      </c>
      <c r="Q209" s="5">
        <f t="shared" si="26"/>
        <v>2</v>
      </c>
      <c r="R209" s="7">
        <f t="shared" si="27"/>
        <v>0</v>
      </c>
      <c r="S209" s="7">
        <f t="shared" si="28"/>
        <v>0</v>
      </c>
      <c r="T209" s="3">
        <f t="shared" si="29"/>
        <v>1</v>
      </c>
      <c r="V209" s="1" t="e">
        <f t="shared" si="30"/>
        <v>#DIV/0!</v>
      </c>
    </row>
    <row r="210" spans="8:22" x14ac:dyDescent="0.3">
      <c r="H210" s="10" t="str">
        <f>IF(Planilha1!B207="","",Planilha1!B207)</f>
        <v>10:00p</v>
      </c>
      <c r="I210" s="10" t="str">
        <f>IF(Planilha1!C207="","",Planilha1!C207)</f>
        <v>Utah Jazz</v>
      </c>
      <c r="J210" s="10">
        <f>IF(Planilha1!D207="","",Planilha1!D207)</f>
        <v>99</v>
      </c>
      <c r="K210" s="10" t="str">
        <f>IF(Planilha1!E207="","",IF(Planilha1!E207=0,"",Planilha1!E207))</f>
        <v>Los Angeles Lakers</v>
      </c>
      <c r="L210" s="10">
        <f>IF(Planilha1!F207="","",Planilha1!F207)</f>
        <v>131</v>
      </c>
      <c r="M210" s="10">
        <f>IF(Planilha1!G207="","",IF(Planilha1!G207=0,"",Planilha1!G207))</f>
        <v>131</v>
      </c>
      <c r="N210" s="5">
        <f t="shared" si="31"/>
        <v>1</v>
      </c>
      <c r="O210" s="5">
        <f t="shared" si="32"/>
        <v>0</v>
      </c>
      <c r="P210" s="5">
        <f t="shared" si="25"/>
        <v>0</v>
      </c>
      <c r="Q210" s="5">
        <f t="shared" si="26"/>
        <v>2</v>
      </c>
      <c r="R210" s="7">
        <f t="shared" si="27"/>
        <v>0</v>
      </c>
      <c r="S210" s="7">
        <f t="shared" si="28"/>
        <v>0</v>
      </c>
      <c r="T210" s="3">
        <f t="shared" si="29"/>
        <v>1</v>
      </c>
      <c r="V210" s="1" t="e">
        <f t="shared" si="30"/>
        <v>#DIV/0!</v>
      </c>
    </row>
    <row r="211" spans="8:22" x14ac:dyDescent="0.3">
      <c r="H211" s="10" t="str">
        <f>IF(Planilha1!B208="","",Planilha1!B208)</f>
        <v>7:00p</v>
      </c>
      <c r="I211" s="10" t="str">
        <f>IF(Planilha1!C208="","",Planilha1!C208)</f>
        <v>Washington Wizards</v>
      </c>
      <c r="J211" s="10">
        <f>IF(Planilha1!D208="","",Planilha1!D208)</f>
        <v>114</v>
      </c>
      <c r="K211" s="10" t="str">
        <f>IF(Planilha1!E208="","",IF(Planilha1!E208=0,"",Planilha1!E208))</f>
        <v>Charlotte Hornets</v>
      </c>
      <c r="L211" s="10">
        <f>IF(Planilha1!F208="","",Planilha1!F208)</f>
        <v>117</v>
      </c>
      <c r="M211" s="10">
        <f>IF(Planilha1!G208="","",IF(Planilha1!G208=0,"",Planilha1!G208))</f>
        <v>117</v>
      </c>
      <c r="N211" s="5">
        <f t="shared" si="31"/>
        <v>1</v>
      </c>
      <c r="O211" s="5">
        <f t="shared" si="32"/>
        <v>0</v>
      </c>
      <c r="P211" s="5">
        <f t="shared" si="25"/>
        <v>0</v>
      </c>
      <c r="Q211" s="5">
        <f t="shared" si="26"/>
        <v>2</v>
      </c>
      <c r="R211" s="7">
        <f t="shared" si="27"/>
        <v>0</v>
      </c>
      <c r="S211" s="7">
        <f t="shared" si="28"/>
        <v>0</v>
      </c>
      <c r="T211" s="3">
        <f t="shared" si="29"/>
        <v>1</v>
      </c>
      <c r="V211" s="1" t="e">
        <f t="shared" si="30"/>
        <v>#DIV/0!</v>
      </c>
    </row>
    <row r="212" spans="8:22" x14ac:dyDescent="0.3">
      <c r="H212" s="10" t="str">
        <f>IF(Planilha1!B209="","",Planilha1!B209)</f>
        <v>7:00p</v>
      </c>
      <c r="I212" s="10" t="str">
        <f>IF(Planilha1!C209="","",Planilha1!C209)</f>
        <v>Denver Nuggets</v>
      </c>
      <c r="J212" s="10">
        <f>IF(Planilha1!D209="","",Planilha1!D209)</f>
        <v>119</v>
      </c>
      <c r="K212" s="10" t="str">
        <f>IF(Planilha1!E209="","",IF(Planilha1!E209=0,"",Planilha1!E209))</f>
        <v>Orlando Magic</v>
      </c>
      <c r="L212" s="10">
        <f>IF(Planilha1!F209="","",Planilha1!F209)</f>
        <v>124</v>
      </c>
      <c r="M212" s="10">
        <f>IF(Planilha1!G209="","",IF(Planilha1!G209=0,"",Planilha1!G209))</f>
        <v>124</v>
      </c>
      <c r="N212" s="5">
        <f t="shared" si="31"/>
        <v>1</v>
      </c>
      <c r="O212" s="5">
        <f t="shared" si="32"/>
        <v>0</v>
      </c>
      <c r="P212" s="5">
        <f t="shared" si="25"/>
        <v>0</v>
      </c>
      <c r="Q212" s="5">
        <f t="shared" si="26"/>
        <v>2</v>
      </c>
      <c r="R212" s="7">
        <f t="shared" si="27"/>
        <v>0</v>
      </c>
      <c r="S212" s="7">
        <f t="shared" si="28"/>
        <v>0</v>
      </c>
      <c r="T212" s="3">
        <f t="shared" si="29"/>
        <v>1</v>
      </c>
      <c r="V212" s="1" t="e">
        <f t="shared" si="30"/>
        <v>#DIV/0!</v>
      </c>
    </row>
    <row r="213" spans="8:22" x14ac:dyDescent="0.3">
      <c r="H213" s="10" t="str">
        <f>IF(Planilha1!B210="","",Planilha1!B210)</f>
        <v>7:30p</v>
      </c>
      <c r="I213" s="10" t="str">
        <f>IF(Planilha1!C210="","",Planilha1!C210)</f>
        <v>Brooklyn Nets</v>
      </c>
      <c r="J213" s="10">
        <f>IF(Planilha1!D210="","",Planilha1!D210)</f>
        <v>145</v>
      </c>
      <c r="K213" s="10" t="str">
        <f>IF(Planilha1!E210="","",IF(Planilha1!E210=0,"",Planilha1!E210))</f>
        <v>Atlanta Hawks</v>
      </c>
      <c r="L213" s="10">
        <f>IF(Planilha1!F210="","",Planilha1!F210)</f>
        <v>147</v>
      </c>
      <c r="M213" s="10">
        <f>IF(Planilha1!G210="","",IF(Planilha1!G210=0,"",Planilha1!G210))</f>
        <v>147</v>
      </c>
      <c r="N213" s="5">
        <f t="shared" si="31"/>
        <v>1</v>
      </c>
      <c r="O213" s="5">
        <f t="shared" si="32"/>
        <v>0</v>
      </c>
      <c r="P213" s="5">
        <f t="shared" si="25"/>
        <v>0</v>
      </c>
      <c r="Q213" s="5">
        <f t="shared" si="26"/>
        <v>2</v>
      </c>
      <c r="R213" s="7">
        <f t="shared" si="27"/>
        <v>0</v>
      </c>
      <c r="S213" s="7">
        <f t="shared" si="28"/>
        <v>0</v>
      </c>
      <c r="T213" s="3">
        <f t="shared" si="29"/>
        <v>1</v>
      </c>
      <c r="V213" s="1" t="e">
        <f t="shared" si="30"/>
        <v>#DIV/0!</v>
      </c>
    </row>
    <row r="214" spans="8:22" x14ac:dyDescent="0.3">
      <c r="H214" s="10" t="str">
        <f>IF(Planilha1!B211="","",Planilha1!B211)</f>
        <v>7:30p</v>
      </c>
      <c r="I214" s="10" t="str">
        <f>IF(Planilha1!C211="","",Planilha1!C211)</f>
        <v>Milwaukee Bucks</v>
      </c>
      <c r="J214" s="10">
        <f>IF(Planilha1!D211="","",Planilha1!D211)</f>
        <v>116</v>
      </c>
      <c r="K214" s="10" t="str">
        <f>IF(Planilha1!E211="","",IF(Planilha1!E211=0,"",Planilha1!E211))</f>
        <v>Boston Celtics</v>
      </c>
      <c r="L214" s="10">
        <f>IF(Planilha1!F211="","",Planilha1!F211)</f>
        <v>119</v>
      </c>
      <c r="M214" s="10">
        <f>IF(Planilha1!G211="","",IF(Planilha1!G211=0,"",Planilha1!G211))</f>
        <v>119</v>
      </c>
      <c r="N214" s="5">
        <f t="shared" si="31"/>
        <v>1</v>
      </c>
      <c r="O214" s="5">
        <f t="shared" si="32"/>
        <v>0</v>
      </c>
      <c r="P214" s="5">
        <f t="shared" si="25"/>
        <v>0</v>
      </c>
      <c r="Q214" s="5">
        <f t="shared" si="26"/>
        <v>2</v>
      </c>
      <c r="R214" s="7">
        <f t="shared" si="27"/>
        <v>0</v>
      </c>
      <c r="S214" s="7">
        <f t="shared" si="28"/>
        <v>0</v>
      </c>
      <c r="T214" s="3">
        <f t="shared" si="29"/>
        <v>1</v>
      </c>
      <c r="V214" s="1" t="e">
        <f t="shared" si="30"/>
        <v>#DIV/0!</v>
      </c>
    </row>
    <row r="215" spans="8:22" x14ac:dyDescent="0.3">
      <c r="H215" s="10" t="str">
        <f>IF(Planilha1!B212="","",Planilha1!B212)</f>
        <v>7:30p</v>
      </c>
      <c r="I215" s="10" t="str">
        <f>IF(Planilha1!C212="","",Planilha1!C212)</f>
        <v>Miami Heat</v>
      </c>
      <c r="J215" s="10">
        <f>IF(Planilha1!D212="","",Planilha1!D212)</f>
        <v>129</v>
      </c>
      <c r="K215" s="10" t="str">
        <f>IF(Planilha1!E212="","",IF(Planilha1!E212=0,"",Planilha1!E212))</f>
        <v>Cleveland Cavaliers</v>
      </c>
      <c r="L215" s="10">
        <f>IF(Planilha1!F212="","",Planilha1!F212)</f>
        <v>96</v>
      </c>
      <c r="M215" s="10">
        <f>IF(Planilha1!G212="","",IF(Planilha1!G212=0,"",Planilha1!G212))</f>
        <v>96</v>
      </c>
      <c r="N215" s="5">
        <f t="shared" si="31"/>
        <v>1</v>
      </c>
      <c r="O215" s="5">
        <f t="shared" si="32"/>
        <v>0</v>
      </c>
      <c r="P215" s="5">
        <f t="shared" si="25"/>
        <v>0</v>
      </c>
      <c r="Q215" s="5">
        <f t="shared" si="26"/>
        <v>2</v>
      </c>
      <c r="R215" s="7">
        <f t="shared" si="27"/>
        <v>0</v>
      </c>
      <c r="S215" s="7">
        <f t="shared" si="28"/>
        <v>0</v>
      </c>
      <c r="T215" s="3">
        <f t="shared" si="29"/>
        <v>1</v>
      </c>
      <c r="V215" s="1" t="e">
        <f t="shared" si="30"/>
        <v>#DIV/0!</v>
      </c>
    </row>
    <row r="216" spans="8:22" x14ac:dyDescent="0.3">
      <c r="H216" s="10" t="str">
        <f>IF(Planilha1!B213="","",Planilha1!B213)</f>
        <v>7:30p</v>
      </c>
      <c r="I216" s="10" t="str">
        <f>IF(Planilha1!C213="","",Planilha1!C213)</f>
        <v>Toronto Raptors</v>
      </c>
      <c r="J216" s="10">
        <f>IF(Planilha1!D213="","",Planilha1!D213)</f>
        <v>132</v>
      </c>
      <c r="K216" s="10" t="str">
        <f>IF(Planilha1!E213="","",IF(Planilha1!E213=0,"",Planilha1!E213))</f>
        <v>Indiana Pacers</v>
      </c>
      <c r="L216" s="10">
        <f>IF(Planilha1!F213="","",Planilha1!F213)</f>
        <v>131</v>
      </c>
      <c r="M216" s="10">
        <f>IF(Planilha1!G213="","",IF(Planilha1!G213=0,"",Planilha1!G213))</f>
        <v>131</v>
      </c>
      <c r="N216" s="5">
        <f t="shared" si="31"/>
        <v>1</v>
      </c>
      <c r="O216" s="5">
        <f t="shared" si="32"/>
        <v>0</v>
      </c>
      <c r="P216" s="5">
        <f t="shared" si="25"/>
        <v>0</v>
      </c>
      <c r="Q216" s="5">
        <f t="shared" si="26"/>
        <v>2</v>
      </c>
      <c r="R216" s="7">
        <f t="shared" si="27"/>
        <v>0</v>
      </c>
      <c r="S216" s="7">
        <f t="shared" si="28"/>
        <v>0</v>
      </c>
      <c r="T216" s="3">
        <f t="shared" si="29"/>
        <v>1</v>
      </c>
      <c r="V216" s="1" t="e">
        <f t="shared" si="30"/>
        <v>#DIV/0!</v>
      </c>
    </row>
    <row r="217" spans="8:22" x14ac:dyDescent="0.3">
      <c r="H217" s="10" t="str">
        <f>IF(Planilha1!B214="","",Planilha1!B214)</f>
        <v>8:00p</v>
      </c>
      <c r="I217" s="10" t="str">
        <f>IF(Planilha1!C214="","",Planilha1!C214)</f>
        <v>Memphis Grizzlies</v>
      </c>
      <c r="J217" s="10">
        <f>IF(Planilha1!D214="","",Planilha1!D214)</f>
        <v>91</v>
      </c>
      <c r="K217" s="10" t="str">
        <f>IF(Planilha1!E214="","",IF(Planilha1!E214=0,"",Planilha1!E214))</f>
        <v>Houston Rockets</v>
      </c>
      <c r="L217" s="10">
        <f>IF(Planilha1!F214="","",Planilha1!F214)</f>
        <v>111</v>
      </c>
      <c r="M217" s="10">
        <f>IF(Planilha1!G214="","",IF(Planilha1!G214=0,"",Planilha1!G214))</f>
        <v>111</v>
      </c>
      <c r="N217" s="5">
        <f t="shared" si="31"/>
        <v>1</v>
      </c>
      <c r="O217" s="5">
        <f t="shared" si="32"/>
        <v>0</v>
      </c>
      <c r="P217" s="5">
        <f t="shared" si="25"/>
        <v>0</v>
      </c>
      <c r="Q217" s="5">
        <f t="shared" si="26"/>
        <v>2</v>
      </c>
      <c r="R217" s="7">
        <f t="shared" si="27"/>
        <v>0</v>
      </c>
      <c r="S217" s="7">
        <f t="shared" si="28"/>
        <v>0</v>
      </c>
      <c r="T217" s="3">
        <f t="shared" si="29"/>
        <v>1</v>
      </c>
      <c r="V217" s="1" t="e">
        <f t="shared" si="30"/>
        <v>#DIV/0!</v>
      </c>
    </row>
    <row r="218" spans="8:22" x14ac:dyDescent="0.3">
      <c r="H218" s="10" t="str">
        <f>IF(Planilha1!B215="","",Planilha1!B215)</f>
        <v>8:00p</v>
      </c>
      <c r="I218" s="10" t="str">
        <f>IF(Planilha1!C215="","",Planilha1!C215)</f>
        <v>Philadelphia 76ers</v>
      </c>
      <c r="J218" s="10">
        <f>IF(Planilha1!D215="","",Planilha1!D215)</f>
        <v>99</v>
      </c>
      <c r="K218" s="10" t="str">
        <f>IF(Planilha1!E215="","",IF(Planilha1!E215=0,"",Planilha1!E215))</f>
        <v>Minnesota Timberwolves</v>
      </c>
      <c r="L218" s="10">
        <f>IF(Planilha1!F215="","",Planilha1!F215)</f>
        <v>112</v>
      </c>
      <c r="M218" s="10">
        <f>IF(Planilha1!G215="","",IF(Planilha1!G215=0,"",Planilha1!G215))</f>
        <v>112</v>
      </c>
      <c r="N218" s="5">
        <f t="shared" si="31"/>
        <v>1</v>
      </c>
      <c r="O218" s="5">
        <f t="shared" si="32"/>
        <v>0</v>
      </c>
      <c r="P218" s="5">
        <f t="shared" si="25"/>
        <v>0</v>
      </c>
      <c r="Q218" s="5">
        <f t="shared" si="26"/>
        <v>2</v>
      </c>
      <c r="R218" s="7">
        <f t="shared" si="27"/>
        <v>0</v>
      </c>
      <c r="S218" s="7">
        <f t="shared" si="28"/>
        <v>0</v>
      </c>
      <c r="T218" s="3">
        <f t="shared" si="29"/>
        <v>1</v>
      </c>
      <c r="V218" s="1" t="e">
        <f t="shared" si="30"/>
        <v>#DIV/0!</v>
      </c>
    </row>
    <row r="219" spans="8:22" x14ac:dyDescent="0.3">
      <c r="H219" s="10" t="str">
        <f>IF(Planilha1!B216="","",Planilha1!B216)</f>
        <v>8:00p</v>
      </c>
      <c r="I219" s="10" t="str">
        <f>IF(Planilha1!C216="","",Planilha1!C216)</f>
        <v>Sacramento Kings</v>
      </c>
      <c r="J219" s="10">
        <f>IF(Planilha1!D216="","",Planilha1!D216)</f>
        <v>112</v>
      </c>
      <c r="K219" s="10" t="str">
        <f>IF(Planilha1!E216="","",IF(Planilha1!E216=0,"",Planilha1!E216))</f>
        <v>New Orleans Pelicans</v>
      </c>
      <c r="L219" s="10">
        <f>IF(Planilha1!F216="","",Planilha1!F216)</f>
        <v>117</v>
      </c>
      <c r="M219" s="10">
        <f>IF(Planilha1!G216="","",IF(Planilha1!G216=0,"",Planilha1!G216))</f>
        <v>117</v>
      </c>
      <c r="N219" s="5">
        <f t="shared" si="31"/>
        <v>1</v>
      </c>
      <c r="O219" s="5">
        <f t="shared" si="32"/>
        <v>0</v>
      </c>
      <c r="P219" s="5">
        <f t="shared" si="25"/>
        <v>0</v>
      </c>
      <c r="Q219" s="5">
        <f t="shared" si="26"/>
        <v>2</v>
      </c>
      <c r="R219" s="7">
        <f t="shared" si="27"/>
        <v>0</v>
      </c>
      <c r="S219" s="7">
        <f t="shared" si="28"/>
        <v>0</v>
      </c>
      <c r="T219" s="3">
        <f t="shared" si="29"/>
        <v>1</v>
      </c>
      <c r="V219" s="1" t="e">
        <f t="shared" si="30"/>
        <v>#DIV/0!</v>
      </c>
    </row>
    <row r="220" spans="8:22" x14ac:dyDescent="0.3">
      <c r="H220" s="10" t="str">
        <f>IF(Planilha1!B217="","",Planilha1!B217)</f>
        <v>8:00p</v>
      </c>
      <c r="I220" s="10" t="str">
        <f>IF(Planilha1!C217="","",Planilha1!C217)</f>
        <v>Chicago Bulls</v>
      </c>
      <c r="J220" s="10">
        <f>IF(Planilha1!D217="","",Planilha1!D217)</f>
        <v>102</v>
      </c>
      <c r="K220" s="10" t="str">
        <f>IF(Planilha1!E217="","",IF(Planilha1!E217=0,"",Planilha1!E217))</f>
        <v>Oklahoma City Thunder</v>
      </c>
      <c r="L220" s="10">
        <f>IF(Planilha1!F217="","",Planilha1!F217)</f>
        <v>116</v>
      </c>
      <c r="M220" s="10">
        <f>IF(Planilha1!G217="","",IF(Planilha1!G217=0,"",Planilha1!G217))</f>
        <v>116</v>
      </c>
      <c r="N220" s="5">
        <f t="shared" si="31"/>
        <v>1</v>
      </c>
      <c r="O220" s="5">
        <f t="shared" si="32"/>
        <v>0</v>
      </c>
      <c r="P220" s="5">
        <f t="shared" si="25"/>
        <v>0</v>
      </c>
      <c r="Q220" s="5">
        <f t="shared" si="26"/>
        <v>2</v>
      </c>
      <c r="R220" s="7">
        <f t="shared" si="27"/>
        <v>0</v>
      </c>
      <c r="S220" s="7">
        <f t="shared" si="28"/>
        <v>0</v>
      </c>
      <c r="T220" s="3">
        <f t="shared" si="29"/>
        <v>1</v>
      </c>
      <c r="V220" s="1" t="e">
        <f t="shared" si="30"/>
        <v>#DIV/0!</v>
      </c>
    </row>
    <row r="221" spans="8:22" x14ac:dyDescent="0.3">
      <c r="H221" s="10" t="str">
        <f>IF(Planilha1!B218="","",Planilha1!B218)</f>
        <v>8:00p</v>
      </c>
      <c r="I221" s="10" t="str">
        <f>IF(Planilha1!C218="","",Planilha1!C218)</f>
        <v>Los Angeles Clippers</v>
      </c>
      <c r="J221" s="10">
        <f>IF(Planilha1!D218="","",Planilha1!D218)</f>
        <v>109</v>
      </c>
      <c r="K221" s="10" t="str">
        <f>IF(Planilha1!E218="","",IF(Planilha1!E218=0,"",Planilha1!E218))</f>
        <v>San Antonio Spurs</v>
      </c>
      <c r="L221" s="10">
        <f>IF(Planilha1!F218="","",Planilha1!F218)</f>
        <v>102</v>
      </c>
      <c r="M221" s="10">
        <f>IF(Planilha1!G218="","",IF(Planilha1!G218=0,"",Planilha1!G218))</f>
        <v>102</v>
      </c>
      <c r="N221" s="5">
        <f t="shared" si="31"/>
        <v>1</v>
      </c>
      <c r="O221" s="5">
        <f t="shared" si="32"/>
        <v>0</v>
      </c>
      <c r="P221" s="5">
        <f t="shared" si="25"/>
        <v>0</v>
      </c>
      <c r="Q221" s="5">
        <f t="shared" si="26"/>
        <v>2</v>
      </c>
      <c r="R221" s="7">
        <f t="shared" si="27"/>
        <v>0</v>
      </c>
      <c r="S221" s="7">
        <f t="shared" si="28"/>
        <v>0</v>
      </c>
      <c r="T221" s="3">
        <f t="shared" si="29"/>
        <v>1</v>
      </c>
      <c r="V221" s="1" t="e">
        <f t="shared" si="30"/>
        <v>#DIV/0!</v>
      </c>
    </row>
    <row r="222" spans="8:22" x14ac:dyDescent="0.3">
      <c r="H222" s="10" t="str">
        <f>IF(Planilha1!B219="","",Planilha1!B219)</f>
        <v>10:00p</v>
      </c>
      <c r="I222" s="10" t="str">
        <f>IF(Planilha1!C219="","",Planilha1!C219)</f>
        <v>Golden State Warriors</v>
      </c>
      <c r="J222" s="10">
        <f>IF(Planilha1!D219="","",Planilha1!D219)</f>
        <v>115</v>
      </c>
      <c r="K222" s="10" t="str">
        <f>IF(Planilha1!E219="","",IF(Planilha1!E219=0,"",Planilha1!E219))</f>
        <v>Phoenix Suns</v>
      </c>
      <c r="L222" s="10">
        <f>IF(Planilha1!F219="","",Planilha1!F219)</f>
        <v>123</v>
      </c>
      <c r="M222" s="10">
        <f>IF(Planilha1!G219="","",IF(Planilha1!G219=0,"",Planilha1!G219))</f>
        <v>123</v>
      </c>
      <c r="N222" s="5">
        <f t="shared" si="31"/>
        <v>1</v>
      </c>
      <c r="O222" s="5">
        <f t="shared" si="32"/>
        <v>0</v>
      </c>
      <c r="P222" s="5">
        <f t="shared" si="25"/>
        <v>0</v>
      </c>
      <c r="Q222" s="5">
        <f t="shared" si="26"/>
        <v>2</v>
      </c>
      <c r="R222" s="7">
        <f t="shared" si="27"/>
        <v>0</v>
      </c>
      <c r="S222" s="7">
        <f t="shared" si="28"/>
        <v>0</v>
      </c>
      <c r="T222" s="3">
        <f t="shared" si="29"/>
        <v>1</v>
      </c>
      <c r="V222" s="1" t="e">
        <f t="shared" si="30"/>
        <v>#DIV/0!</v>
      </c>
    </row>
    <row r="223" spans="8:22" x14ac:dyDescent="0.3">
      <c r="H223" s="10" t="str">
        <f>IF(Planilha1!B220="","",Planilha1!B220)</f>
        <v>10:00p</v>
      </c>
      <c r="I223" s="10" t="str">
        <f>IF(Planilha1!C220="","",Planilha1!C220)</f>
        <v>Utah Jazz</v>
      </c>
      <c r="J223" s="10">
        <f>IF(Planilha1!D220="","",Planilha1!D220)</f>
        <v>105</v>
      </c>
      <c r="K223" s="10" t="str">
        <f>IF(Planilha1!E220="","",IF(Planilha1!E220=0,"",Planilha1!E220))</f>
        <v>Portland Trail Blazers</v>
      </c>
      <c r="L223" s="10">
        <f>IF(Planilha1!F220="","",Planilha1!F220)</f>
        <v>121</v>
      </c>
      <c r="M223" s="10">
        <f>IF(Planilha1!G220="","",IF(Planilha1!G220=0,"",Planilha1!G220))</f>
        <v>121</v>
      </c>
      <c r="N223" s="5">
        <f t="shared" si="31"/>
        <v>1</v>
      </c>
      <c r="O223" s="5">
        <f t="shared" si="32"/>
        <v>0</v>
      </c>
      <c r="P223" s="5">
        <f t="shared" si="25"/>
        <v>0</v>
      </c>
      <c r="Q223" s="5">
        <f t="shared" si="26"/>
        <v>2</v>
      </c>
      <c r="R223" s="7">
        <f t="shared" si="27"/>
        <v>0</v>
      </c>
      <c r="S223" s="7">
        <f t="shared" si="28"/>
        <v>0</v>
      </c>
      <c r="T223" s="3">
        <f t="shared" si="29"/>
        <v>1</v>
      </c>
      <c r="V223" s="1" t="e">
        <f t="shared" si="30"/>
        <v>#DIV/0!</v>
      </c>
    </row>
    <row r="224" spans="8:22" x14ac:dyDescent="0.3">
      <c r="H224" s="10" t="str">
        <f>IF(Planilha1!B221="","",Planilha1!B221)</f>
        <v>10:30p</v>
      </c>
      <c r="I224" s="10" t="str">
        <f>IF(Planilha1!C221="","",Planilha1!C221)</f>
        <v>Dallas Mavericks</v>
      </c>
      <c r="J224" s="10">
        <f>IF(Planilha1!D221="","",Planilha1!D221)</f>
        <v>104</v>
      </c>
      <c r="K224" s="10" t="str">
        <f>IF(Planilha1!E221="","",IF(Planilha1!E221=0,"",Planilha1!E221))</f>
        <v>Los Angeles Lakers</v>
      </c>
      <c r="L224" s="10">
        <f>IF(Planilha1!F221="","",Planilha1!F221)</f>
        <v>101</v>
      </c>
      <c r="M224" s="10">
        <f>IF(Planilha1!G221="","",IF(Planilha1!G221=0,"",Planilha1!G221))</f>
        <v>101</v>
      </c>
      <c r="N224" s="5">
        <f t="shared" si="31"/>
        <v>1</v>
      </c>
      <c r="O224" s="5">
        <f t="shared" si="32"/>
        <v>0</v>
      </c>
      <c r="P224" s="5">
        <f t="shared" si="25"/>
        <v>0</v>
      </c>
      <c r="Q224" s="5">
        <f t="shared" si="26"/>
        <v>2</v>
      </c>
      <c r="R224" s="7">
        <f t="shared" si="27"/>
        <v>0</v>
      </c>
      <c r="S224" s="7">
        <f t="shared" si="28"/>
        <v>0</v>
      </c>
      <c r="T224" s="3">
        <f t="shared" si="29"/>
        <v>1</v>
      </c>
      <c r="V224" s="1" t="e">
        <f t="shared" si="30"/>
        <v>#DIV/0!</v>
      </c>
    </row>
    <row r="225" spans="8:22" x14ac:dyDescent="0.3">
      <c r="H225" s="10" t="str">
        <f>IF(Planilha1!B222="","",Planilha1!B222)</f>
        <v>2:30p</v>
      </c>
      <c r="I225" s="10" t="str">
        <f>IF(Planilha1!C222="","",Planilha1!C222)</f>
        <v>Boston Celtics</v>
      </c>
      <c r="J225" s="10">
        <f>IF(Planilha1!D222="","",Planilha1!D222)</f>
        <v>96</v>
      </c>
      <c r="K225" s="10" t="str">
        <f>IF(Planilha1!E222="","",IF(Planilha1!E222=0,"",Planilha1!E222))</f>
        <v>Orlando Magic</v>
      </c>
      <c r="L225" s="10">
        <f>IF(Planilha1!F222="","",Planilha1!F222)</f>
        <v>113</v>
      </c>
      <c r="M225" s="10">
        <f>IF(Planilha1!G222="","",IF(Planilha1!G222=0,"",Planilha1!G222))</f>
        <v>113</v>
      </c>
      <c r="N225" s="5">
        <f t="shared" si="31"/>
        <v>1</v>
      </c>
      <c r="O225" s="5">
        <f t="shared" si="32"/>
        <v>0</v>
      </c>
      <c r="P225" s="5">
        <f t="shared" si="25"/>
        <v>0</v>
      </c>
      <c r="Q225" s="5">
        <f t="shared" si="26"/>
        <v>2</v>
      </c>
      <c r="R225" s="7">
        <f t="shared" si="27"/>
        <v>0</v>
      </c>
      <c r="S225" s="7">
        <f t="shared" si="28"/>
        <v>0</v>
      </c>
      <c r="T225" s="3">
        <f t="shared" si="29"/>
        <v>1</v>
      </c>
      <c r="V225" s="1" t="e">
        <f t="shared" si="30"/>
        <v>#DIV/0!</v>
      </c>
    </row>
    <row r="226" spans="8:22" x14ac:dyDescent="0.3">
      <c r="H226" s="10" t="str">
        <f>IF(Planilha1!B223="","",Planilha1!B223)</f>
        <v>5:00p</v>
      </c>
      <c r="I226" s="10" t="str">
        <f>IF(Planilha1!C223="","",Planilha1!C223)</f>
        <v>Phoenix Suns</v>
      </c>
      <c r="J226" s="10">
        <f>IF(Planilha1!D223="","",Planilha1!D223)</f>
        <v>110</v>
      </c>
      <c r="K226" s="10" t="str">
        <f>IF(Planilha1!E223="","",IF(Planilha1!E223=0,"",Planilha1!E223))</f>
        <v>Memphis Grizzlies</v>
      </c>
      <c r="L226" s="10">
        <f>IF(Planilha1!F223="","",Planilha1!F223)</f>
        <v>89</v>
      </c>
      <c r="M226" s="10">
        <f>IF(Planilha1!G223="","",IF(Planilha1!G223=0,"",Planilha1!G223))</f>
        <v>89</v>
      </c>
      <c r="N226" s="5">
        <f t="shared" si="31"/>
        <v>1</v>
      </c>
      <c r="O226" s="5">
        <f t="shared" si="32"/>
        <v>0</v>
      </c>
      <c r="P226" s="5">
        <f t="shared" si="25"/>
        <v>0</v>
      </c>
      <c r="Q226" s="5">
        <f t="shared" si="26"/>
        <v>2</v>
      </c>
      <c r="R226" s="7">
        <f t="shared" si="27"/>
        <v>0</v>
      </c>
      <c r="S226" s="7">
        <f t="shared" si="28"/>
        <v>0</v>
      </c>
      <c r="T226" s="3">
        <f t="shared" si="29"/>
        <v>1</v>
      </c>
      <c r="V226" s="1" t="e">
        <f t="shared" si="30"/>
        <v>#DIV/0!</v>
      </c>
    </row>
    <row r="227" spans="8:22" x14ac:dyDescent="0.3">
      <c r="H227" s="10" t="str">
        <f>IF(Planilha1!B224="","",Planilha1!B224)</f>
        <v>7:30p</v>
      </c>
      <c r="I227" s="10" t="str">
        <f>IF(Planilha1!C224="","",Planilha1!C224)</f>
        <v>Miami Heat</v>
      </c>
      <c r="J227" s="10">
        <f>IF(Planilha1!D224="","",Planilha1!D224)</f>
        <v>98</v>
      </c>
      <c r="K227" s="10" t="str">
        <f>IF(Planilha1!E224="","",IF(Planilha1!E224=0,"",Planilha1!E224))</f>
        <v>New York Knicks</v>
      </c>
      <c r="L227" s="10">
        <f>IF(Planilha1!F224="","",Planilha1!F224)</f>
        <v>100</v>
      </c>
      <c r="M227" s="10">
        <f>IF(Planilha1!G224="","",IF(Planilha1!G224=0,"",Planilha1!G224))</f>
        <v>100</v>
      </c>
      <c r="N227" s="5">
        <f t="shared" si="31"/>
        <v>1</v>
      </c>
      <c r="O227" s="5">
        <f t="shared" si="32"/>
        <v>0</v>
      </c>
      <c r="P227" s="5">
        <f t="shared" si="25"/>
        <v>0</v>
      </c>
      <c r="Q227" s="5">
        <f t="shared" si="26"/>
        <v>2</v>
      </c>
      <c r="R227" s="7">
        <f t="shared" si="27"/>
        <v>0</v>
      </c>
      <c r="S227" s="7">
        <f t="shared" si="28"/>
        <v>0</v>
      </c>
      <c r="T227" s="3">
        <f t="shared" si="29"/>
        <v>1</v>
      </c>
      <c r="V227" s="1" t="e">
        <f t="shared" si="30"/>
        <v>#DIV/0!</v>
      </c>
    </row>
    <row r="228" spans="8:22" x14ac:dyDescent="0.3">
      <c r="H228" s="10" t="str">
        <f>IF(Planilha1!B225="","",Planilha1!B225)</f>
        <v>7:30p</v>
      </c>
      <c r="I228" s="10" t="str">
        <f>IF(Planilha1!C225="","",Planilha1!C225)</f>
        <v>Chicago Bulls</v>
      </c>
      <c r="J228" s="10">
        <f>IF(Planilha1!D225="","",Planilha1!D225)</f>
        <v>108</v>
      </c>
      <c r="K228" s="10" t="str">
        <f>IF(Planilha1!E225="","",IF(Planilha1!E225=0,"",Planilha1!E225))</f>
        <v>Toronto Raptors</v>
      </c>
      <c r="L228" s="10">
        <f>IF(Planilha1!F225="","",Planilha1!F225)</f>
        <v>121</v>
      </c>
      <c r="M228" s="10">
        <f>IF(Planilha1!G225="","",IF(Planilha1!G225=0,"",Planilha1!G225))</f>
        <v>121</v>
      </c>
      <c r="N228" s="5">
        <f t="shared" si="31"/>
        <v>1</v>
      </c>
      <c r="O228" s="5">
        <f t="shared" si="32"/>
        <v>0</v>
      </c>
      <c r="P228" s="5">
        <f t="shared" si="25"/>
        <v>0</v>
      </c>
      <c r="Q228" s="5">
        <f t="shared" si="26"/>
        <v>2</v>
      </c>
      <c r="R228" s="7">
        <f t="shared" si="27"/>
        <v>0</v>
      </c>
      <c r="S228" s="7">
        <f t="shared" si="28"/>
        <v>0</v>
      </c>
      <c r="T228" s="3">
        <f t="shared" si="29"/>
        <v>1</v>
      </c>
      <c r="V228" s="1" t="e">
        <f t="shared" si="30"/>
        <v>#DIV/0!</v>
      </c>
    </row>
    <row r="229" spans="8:22" x14ac:dyDescent="0.3">
      <c r="H229" s="10" t="str">
        <f>IF(Planilha1!B226="","",Planilha1!B226)</f>
        <v>8:00p</v>
      </c>
      <c r="I229" s="10" t="str">
        <f>IF(Planilha1!C226="","",Planilha1!C226)</f>
        <v>Denver Nuggets</v>
      </c>
      <c r="J229" s="10">
        <f>IF(Planilha1!D226="","",Planilha1!D226)</f>
        <v>86</v>
      </c>
      <c r="K229" s="10" t="str">
        <f>IF(Planilha1!E226="","",IF(Planilha1!E226=0,"",Planilha1!E226))</f>
        <v>Houston Rockets</v>
      </c>
      <c r="L229" s="10">
        <f>IF(Planilha1!F226="","",Planilha1!F226)</f>
        <v>105</v>
      </c>
      <c r="M229" s="10">
        <f>IF(Planilha1!G226="","",IF(Planilha1!G226=0,"",Planilha1!G226))</f>
        <v>105</v>
      </c>
      <c r="N229" s="5">
        <f t="shared" si="31"/>
        <v>1</v>
      </c>
      <c r="O229" s="5">
        <f t="shared" si="32"/>
        <v>0</v>
      </c>
      <c r="P229" s="5">
        <f t="shared" si="25"/>
        <v>0</v>
      </c>
      <c r="Q229" s="5">
        <f t="shared" si="26"/>
        <v>2</v>
      </c>
      <c r="R229" s="7">
        <f t="shared" si="27"/>
        <v>0</v>
      </c>
      <c r="S229" s="7">
        <f t="shared" si="28"/>
        <v>0</v>
      </c>
      <c r="T229" s="3">
        <f t="shared" si="29"/>
        <v>1</v>
      </c>
      <c r="V229" s="1" t="e">
        <f t="shared" si="30"/>
        <v>#DIV/0!</v>
      </c>
    </row>
    <row r="230" spans="8:22" x14ac:dyDescent="0.3">
      <c r="H230" s="10" t="str">
        <f>IF(Planilha1!B227="","",Planilha1!B227)</f>
        <v>8:00p</v>
      </c>
      <c r="I230" s="10" t="str">
        <f>IF(Planilha1!C227="","",Planilha1!C227)</f>
        <v>Detroit Pistons</v>
      </c>
      <c r="J230" s="10">
        <f>IF(Planilha1!D227="","",Planilha1!D227)</f>
        <v>113</v>
      </c>
      <c r="K230" s="10" t="str">
        <f>IF(Planilha1!E227="","",IF(Planilha1!E227=0,"",Planilha1!E227))</f>
        <v>Indiana Pacers</v>
      </c>
      <c r="L230" s="10">
        <f>IF(Planilha1!F227="","",Planilha1!F227)</f>
        <v>136</v>
      </c>
      <c r="M230" s="10">
        <f>IF(Planilha1!G227="","",IF(Planilha1!G227=0,"",Planilha1!G227))</f>
        <v>136</v>
      </c>
      <c r="N230" s="5">
        <f t="shared" si="31"/>
        <v>1</v>
      </c>
      <c r="O230" s="5">
        <f t="shared" si="32"/>
        <v>0</v>
      </c>
      <c r="P230" s="5">
        <f t="shared" si="25"/>
        <v>0</v>
      </c>
      <c r="Q230" s="5">
        <f t="shared" si="26"/>
        <v>2</v>
      </c>
      <c r="R230" s="7">
        <f t="shared" si="27"/>
        <v>0</v>
      </c>
      <c r="S230" s="7">
        <f t="shared" si="28"/>
        <v>0</v>
      </c>
      <c r="T230" s="3">
        <f t="shared" si="29"/>
        <v>1</v>
      </c>
      <c r="V230" s="1" t="e">
        <f t="shared" si="30"/>
        <v>#DIV/0!</v>
      </c>
    </row>
    <row r="231" spans="8:22" x14ac:dyDescent="0.3">
      <c r="H231" s="10" t="str">
        <f>IF(Planilha1!B228="","",Planilha1!B228)</f>
        <v>8:00p</v>
      </c>
      <c r="I231" s="10" t="str">
        <f>IF(Planilha1!C228="","",Planilha1!C228)</f>
        <v>Washington Wizards</v>
      </c>
      <c r="J231" s="10">
        <f>IF(Planilha1!D228="","",Planilha1!D228)</f>
        <v>128</v>
      </c>
      <c r="K231" s="10" t="str">
        <f>IF(Planilha1!E228="","",IF(Planilha1!E228=0,"",Planilha1!E228))</f>
        <v>Milwaukee Bucks</v>
      </c>
      <c r="L231" s="10">
        <f>IF(Planilha1!F228="","",Planilha1!F228)</f>
        <v>131</v>
      </c>
      <c r="M231" s="10">
        <f>IF(Planilha1!G228="","",IF(Planilha1!G228=0,"",Planilha1!G228))</f>
        <v>131</v>
      </c>
      <c r="N231" s="5">
        <f t="shared" si="31"/>
        <v>1</v>
      </c>
      <c r="O231" s="5">
        <f t="shared" si="32"/>
        <v>0</v>
      </c>
      <c r="P231" s="5">
        <f t="shared" si="25"/>
        <v>0</v>
      </c>
      <c r="Q231" s="5">
        <f t="shared" si="26"/>
        <v>2</v>
      </c>
      <c r="R231" s="7">
        <f t="shared" si="27"/>
        <v>0</v>
      </c>
      <c r="S231" s="7">
        <f t="shared" si="28"/>
        <v>0</v>
      </c>
      <c r="T231" s="3">
        <f t="shared" si="29"/>
        <v>1</v>
      </c>
      <c r="V231" s="1" t="e">
        <f t="shared" si="30"/>
        <v>#DIV/0!</v>
      </c>
    </row>
    <row r="232" spans="8:22" x14ac:dyDescent="0.3">
      <c r="H232" s="10" t="str">
        <f>IF(Planilha1!B229="","",Planilha1!B229)</f>
        <v>8:00p</v>
      </c>
      <c r="I232" s="10" t="str">
        <f>IF(Planilha1!C229="","",Planilha1!C229)</f>
        <v>Sacramento Kings</v>
      </c>
      <c r="J232" s="10">
        <f>IF(Planilha1!D229="","",Planilha1!D229)</f>
        <v>124</v>
      </c>
      <c r="K232" s="10" t="str">
        <f>IF(Planilha1!E229="","",IF(Planilha1!E229=0,"",Planilha1!E229))</f>
        <v>Minnesota Timberwolves</v>
      </c>
      <c r="L232" s="10">
        <f>IF(Planilha1!F229="","",Planilha1!F229)</f>
        <v>111</v>
      </c>
      <c r="M232" s="10">
        <f>IF(Planilha1!G229="","",IF(Planilha1!G229=0,"",Planilha1!G229))</f>
        <v>111</v>
      </c>
      <c r="N232" s="5">
        <f t="shared" si="31"/>
        <v>1</v>
      </c>
      <c r="O232" s="5">
        <f t="shared" si="32"/>
        <v>0</v>
      </c>
      <c r="P232" s="5">
        <f t="shared" si="25"/>
        <v>0</v>
      </c>
      <c r="Q232" s="5">
        <f t="shared" si="26"/>
        <v>2</v>
      </c>
      <c r="R232" s="7">
        <f t="shared" si="27"/>
        <v>0</v>
      </c>
      <c r="S232" s="7">
        <f t="shared" si="28"/>
        <v>0</v>
      </c>
      <c r="T232" s="3">
        <f t="shared" si="29"/>
        <v>1</v>
      </c>
      <c r="V232" s="1" t="e">
        <f t="shared" si="30"/>
        <v>#DIV/0!</v>
      </c>
    </row>
    <row r="233" spans="8:22" x14ac:dyDescent="0.3">
      <c r="H233" s="10" t="str">
        <f>IF(Planilha1!B230="","",Planilha1!B230)</f>
        <v>10:00p</v>
      </c>
      <c r="I233" s="10" t="str">
        <f>IF(Planilha1!C230="","",Planilha1!C230)</f>
        <v>San Antonio Spurs</v>
      </c>
      <c r="J233" s="10">
        <f>IF(Planilha1!D230="","",Planilha1!D230)</f>
        <v>112</v>
      </c>
      <c r="K233" s="10" t="str">
        <f>IF(Planilha1!E230="","",IF(Planilha1!E230=0,"",Planilha1!E230))</f>
        <v>Golden State Warriors</v>
      </c>
      <c r="L233" s="10">
        <f>IF(Planilha1!F230="","",Planilha1!F230)</f>
        <v>118</v>
      </c>
      <c r="M233" s="10">
        <f>IF(Planilha1!G230="","",IF(Planilha1!G230=0,"",Planilha1!G230))</f>
        <v>118</v>
      </c>
      <c r="N233" s="5">
        <f t="shared" si="31"/>
        <v>1</v>
      </c>
      <c r="O233" s="5">
        <f t="shared" si="32"/>
        <v>0</v>
      </c>
      <c r="P233" s="5">
        <f t="shared" si="25"/>
        <v>0</v>
      </c>
      <c r="Q233" s="5">
        <f t="shared" si="26"/>
        <v>2</v>
      </c>
      <c r="R233" s="7">
        <f t="shared" si="27"/>
        <v>0</v>
      </c>
      <c r="S233" s="7">
        <f t="shared" si="28"/>
        <v>0</v>
      </c>
      <c r="T233" s="3">
        <f t="shared" si="29"/>
        <v>1</v>
      </c>
      <c r="V233" s="1" t="e">
        <f t="shared" si="30"/>
        <v>#DIV/0!</v>
      </c>
    </row>
    <row r="234" spans="8:22" x14ac:dyDescent="0.3">
      <c r="H234" s="10" t="str">
        <f>IF(Planilha1!B231="","",Planilha1!B231)</f>
        <v>10:30p</v>
      </c>
      <c r="I234" s="10" t="str">
        <f>IF(Planilha1!C231="","",Planilha1!C231)</f>
        <v>New Orleans Pelicans</v>
      </c>
      <c r="J234" s="10">
        <f>IF(Planilha1!D231="","",Planilha1!D231)</f>
        <v>116</v>
      </c>
      <c r="K234" s="10" t="str">
        <f>IF(Planilha1!E231="","",IF(Planilha1!E231=0,"",Planilha1!E231))</f>
        <v>Los Angeles Clippers</v>
      </c>
      <c r="L234" s="10">
        <f>IF(Planilha1!F231="","",Planilha1!F231)</f>
        <v>106</v>
      </c>
      <c r="M234" s="10">
        <f>IF(Planilha1!G231="","",IF(Planilha1!G231=0,"",Planilha1!G231))</f>
        <v>106</v>
      </c>
      <c r="N234" s="5">
        <f t="shared" si="31"/>
        <v>1</v>
      </c>
      <c r="O234" s="5">
        <f t="shared" si="32"/>
        <v>0</v>
      </c>
      <c r="P234" s="5">
        <f t="shared" si="25"/>
        <v>0</v>
      </c>
      <c r="Q234" s="5">
        <f t="shared" si="26"/>
        <v>2</v>
      </c>
      <c r="R234" s="7">
        <f t="shared" si="27"/>
        <v>0</v>
      </c>
      <c r="S234" s="7">
        <f t="shared" si="28"/>
        <v>0</v>
      </c>
      <c r="T234" s="3">
        <f t="shared" si="29"/>
        <v>1</v>
      </c>
      <c r="V234" s="1" t="e">
        <f t="shared" si="30"/>
        <v>#DIV/0!</v>
      </c>
    </row>
    <row r="235" spans="8:22" x14ac:dyDescent="0.3">
      <c r="H235" s="10" t="str">
        <f>IF(Planilha1!B232="","",Planilha1!B232)</f>
        <v>5:00p</v>
      </c>
      <c r="I235" s="10" t="str">
        <f>IF(Planilha1!C232="","",Planilha1!C232)</f>
        <v>Philadelphia 76ers</v>
      </c>
      <c r="J235" s="10">
        <f>IF(Planilha1!D232="","",Planilha1!D232)</f>
        <v>127</v>
      </c>
      <c r="K235" s="10" t="str">
        <f>IF(Planilha1!E232="","",IF(Planilha1!E232=0,"",Planilha1!E232))</f>
        <v>Oklahoma City Thunder</v>
      </c>
      <c r="L235" s="10">
        <f>IF(Planilha1!F232="","",Planilha1!F232)</f>
        <v>123</v>
      </c>
      <c r="M235" s="10">
        <f>IF(Planilha1!G232="","",IF(Planilha1!G232=0,"",Planilha1!G232))</f>
        <v>123</v>
      </c>
      <c r="N235" s="5">
        <f t="shared" si="31"/>
        <v>1</v>
      </c>
      <c r="O235" s="5">
        <f t="shared" si="32"/>
        <v>0</v>
      </c>
      <c r="P235" s="5">
        <f t="shared" si="25"/>
        <v>0</v>
      </c>
      <c r="Q235" s="5">
        <f t="shared" si="26"/>
        <v>2</v>
      </c>
      <c r="R235" s="7">
        <f t="shared" si="27"/>
        <v>0</v>
      </c>
      <c r="S235" s="7">
        <f t="shared" si="28"/>
        <v>0</v>
      </c>
      <c r="T235" s="3">
        <f t="shared" si="29"/>
        <v>1</v>
      </c>
      <c r="V235" s="1" t="e">
        <f t="shared" si="30"/>
        <v>#DIV/0!</v>
      </c>
    </row>
    <row r="236" spans="8:22" x14ac:dyDescent="0.3">
      <c r="H236" s="10" t="str">
        <f>IF(Planilha1!B233="","",Planilha1!B233)</f>
        <v>6:00p</v>
      </c>
      <c r="I236" s="10" t="str">
        <f>IF(Planilha1!C233="","",Planilha1!C233)</f>
        <v>Miami Heat</v>
      </c>
      <c r="J236" s="10">
        <f>IF(Planilha1!D233="","",Planilha1!D233)</f>
        <v>97</v>
      </c>
      <c r="K236" s="10" t="str">
        <f>IF(Planilha1!E233="","",IF(Planilha1!E233=0,"",Planilha1!E233))</f>
        <v>Brooklyn Nets</v>
      </c>
      <c r="L236" s="10">
        <f>IF(Planilha1!F233="","",Planilha1!F233)</f>
        <v>112</v>
      </c>
      <c r="M236" s="10">
        <f>IF(Planilha1!G233="","",IF(Planilha1!G233=0,"",Planilha1!G233))</f>
        <v>112</v>
      </c>
      <c r="N236" s="5">
        <f t="shared" si="31"/>
        <v>1</v>
      </c>
      <c r="O236" s="5">
        <f t="shared" si="32"/>
        <v>0</v>
      </c>
      <c r="P236" s="5">
        <f t="shared" si="25"/>
        <v>0</v>
      </c>
      <c r="Q236" s="5">
        <f t="shared" si="26"/>
        <v>2</v>
      </c>
      <c r="R236" s="7">
        <f t="shared" si="27"/>
        <v>0</v>
      </c>
      <c r="S236" s="7">
        <f t="shared" si="28"/>
        <v>0</v>
      </c>
      <c r="T236" s="3">
        <f t="shared" si="29"/>
        <v>1</v>
      </c>
      <c r="V236" s="1" t="e">
        <f t="shared" si="30"/>
        <v>#DIV/0!</v>
      </c>
    </row>
    <row r="237" spans="8:22" x14ac:dyDescent="0.3">
      <c r="H237" s="10" t="str">
        <f>IF(Planilha1!B234="","",Planilha1!B234)</f>
        <v>7:00p</v>
      </c>
      <c r="I237" s="10" t="str">
        <f>IF(Planilha1!C234="","",Planilha1!C234)</f>
        <v>Atlanta Hawks</v>
      </c>
      <c r="J237" s="10">
        <f>IF(Planilha1!D234="","",Planilha1!D234)</f>
        <v>136</v>
      </c>
      <c r="K237" s="10" t="str">
        <f>IF(Planilha1!E234="","",IF(Planilha1!E234=0,"",Planilha1!E234))</f>
        <v>Washington Wizards</v>
      </c>
      <c r="L237" s="10">
        <f>IF(Planilha1!F234="","",Planilha1!F234)</f>
        <v>108</v>
      </c>
      <c r="M237" s="10">
        <f>IF(Planilha1!G234="","",IF(Planilha1!G234=0,"",Planilha1!G234))</f>
        <v>108</v>
      </c>
      <c r="N237" s="5">
        <f t="shared" si="31"/>
        <v>1</v>
      </c>
      <c r="O237" s="5">
        <f t="shared" si="32"/>
        <v>0</v>
      </c>
      <c r="P237" s="5">
        <f t="shared" si="25"/>
        <v>0</v>
      </c>
      <c r="Q237" s="5">
        <f t="shared" si="26"/>
        <v>2</v>
      </c>
      <c r="R237" s="7">
        <f t="shared" si="27"/>
        <v>0</v>
      </c>
      <c r="S237" s="7">
        <f t="shared" si="28"/>
        <v>0</v>
      </c>
      <c r="T237" s="3">
        <f t="shared" si="29"/>
        <v>1</v>
      </c>
      <c r="V237" s="1" t="e">
        <f t="shared" si="30"/>
        <v>#DIV/0!</v>
      </c>
    </row>
    <row r="238" spans="8:22" x14ac:dyDescent="0.3">
      <c r="H238" s="10" t="str">
        <f>IF(Planilha1!B235="","",Planilha1!B235)</f>
        <v>7:30p</v>
      </c>
      <c r="I238" s="10" t="str">
        <f>IF(Planilha1!C235="","",Planilha1!C235)</f>
        <v>Los Angeles Lakers</v>
      </c>
      <c r="J238" s="10">
        <f>IF(Planilha1!D235="","",Planilha1!D235)</f>
        <v>121</v>
      </c>
      <c r="K238" s="10" t="str">
        <f>IF(Planilha1!E235="","",IF(Planilha1!E235=0,"",Planilha1!E235))</f>
        <v>Cleveland Cavaliers</v>
      </c>
      <c r="L238" s="10">
        <f>IF(Planilha1!F235="","",Planilha1!F235)</f>
        <v>115</v>
      </c>
      <c r="M238" s="10">
        <f>IF(Planilha1!G235="","",IF(Planilha1!G235=0,"",Planilha1!G235))</f>
        <v>115</v>
      </c>
      <c r="N238" s="5">
        <f t="shared" si="31"/>
        <v>1</v>
      </c>
      <c r="O238" s="5">
        <f t="shared" si="32"/>
        <v>0</v>
      </c>
      <c r="P238" s="5">
        <f t="shared" si="25"/>
        <v>0</v>
      </c>
      <c r="Q238" s="5">
        <f t="shared" si="26"/>
        <v>2</v>
      </c>
      <c r="R238" s="7">
        <f t="shared" si="27"/>
        <v>0</v>
      </c>
      <c r="S238" s="7">
        <f t="shared" si="28"/>
        <v>0</v>
      </c>
      <c r="T238" s="3">
        <f t="shared" si="29"/>
        <v>1</v>
      </c>
      <c r="V238" s="1" t="e">
        <f t="shared" si="30"/>
        <v>#DIV/0!</v>
      </c>
    </row>
    <row r="239" spans="8:22" x14ac:dyDescent="0.3">
      <c r="H239" s="10" t="str">
        <f>IF(Planilha1!B236="","",Planilha1!B236)</f>
        <v>9:30p</v>
      </c>
      <c r="I239" s="10" t="str">
        <f>IF(Planilha1!C236="","",Planilha1!C236)</f>
        <v>New Orleans Pelicans</v>
      </c>
      <c r="J239" s="10">
        <f>IF(Planilha1!D236="","",Planilha1!D236)</f>
        <v>100</v>
      </c>
      <c r="K239" s="10" t="str">
        <f>IF(Planilha1!E236="","",IF(Planilha1!E236=0,"",Planilha1!E236))</f>
        <v>Utah Jazz</v>
      </c>
      <c r="L239" s="10">
        <f>IF(Planilha1!F236="","",Planilha1!F236)</f>
        <v>105</v>
      </c>
      <c r="M239" s="10">
        <f>IF(Planilha1!G236="","",IF(Planilha1!G236=0,"",Planilha1!G236))</f>
        <v>105</v>
      </c>
      <c r="N239" s="5">
        <f t="shared" si="31"/>
        <v>1</v>
      </c>
      <c r="O239" s="5">
        <f t="shared" si="32"/>
        <v>0</v>
      </c>
      <c r="P239" s="5">
        <f t="shared" si="25"/>
        <v>0</v>
      </c>
      <c r="Q239" s="5">
        <f t="shared" si="26"/>
        <v>2</v>
      </c>
      <c r="R239" s="7">
        <f t="shared" si="27"/>
        <v>0</v>
      </c>
      <c r="S239" s="7">
        <f t="shared" si="28"/>
        <v>0</v>
      </c>
      <c r="T239" s="3">
        <f t="shared" si="29"/>
        <v>1</v>
      </c>
      <c r="V239" s="1" t="e">
        <f t="shared" si="30"/>
        <v>#DIV/0!</v>
      </c>
    </row>
    <row r="240" spans="8:22" x14ac:dyDescent="0.3">
      <c r="H240" s="10" t="str">
        <f>IF(Planilha1!B237="","",Planilha1!B237)</f>
        <v>10:30p</v>
      </c>
      <c r="I240" s="10" t="str">
        <f>IF(Planilha1!C237="","",Planilha1!C237)</f>
        <v>Dallas Mavericks</v>
      </c>
      <c r="J240" s="10">
        <f>IF(Planilha1!D237="","",Planilha1!D237)</f>
        <v>88</v>
      </c>
      <c r="K240" s="10" t="str">
        <f>IF(Planilha1!E237="","",IF(Planilha1!E237=0,"",Planilha1!E237))</f>
        <v>Los Angeles Clippers</v>
      </c>
      <c r="L240" s="10">
        <f>IF(Planilha1!F237="","",Planilha1!F237)</f>
        <v>107</v>
      </c>
      <c r="M240" s="10">
        <f>IF(Planilha1!G237="","",IF(Planilha1!G237=0,"",Planilha1!G237))</f>
        <v>107</v>
      </c>
      <c r="N240" s="5">
        <f t="shared" si="31"/>
        <v>1</v>
      </c>
      <c r="O240" s="5">
        <f t="shared" si="32"/>
        <v>0</v>
      </c>
      <c r="P240" s="5">
        <f t="shared" si="25"/>
        <v>0</v>
      </c>
      <c r="Q240" s="5">
        <f t="shared" si="26"/>
        <v>2</v>
      </c>
      <c r="R240" s="7">
        <f t="shared" si="27"/>
        <v>0</v>
      </c>
      <c r="S240" s="7">
        <f t="shared" si="28"/>
        <v>0</v>
      </c>
      <c r="T240" s="3">
        <f t="shared" si="29"/>
        <v>1</v>
      </c>
      <c r="V240" s="1" t="e">
        <f t="shared" si="30"/>
        <v>#DIV/0!</v>
      </c>
    </row>
    <row r="241" spans="8:22" x14ac:dyDescent="0.3">
      <c r="H241" s="10" t="str">
        <f>IF(Planilha1!B238="","",Planilha1!B238)</f>
        <v>3:30p</v>
      </c>
      <c r="I241" s="10" t="str">
        <f>IF(Planilha1!C238="","",Planilha1!C238)</f>
        <v>Portland Trail Blazers</v>
      </c>
      <c r="J241" s="10">
        <f>IF(Planilha1!D238="","",Planilha1!D238)</f>
        <v>102</v>
      </c>
      <c r="K241" s="10" t="str">
        <f>IF(Planilha1!E238="","",IF(Planilha1!E238=0,"",Planilha1!E238))</f>
        <v>Milwaukee Bucks</v>
      </c>
      <c r="L241" s="10">
        <f>IF(Planilha1!F238="","",Planilha1!F238)</f>
        <v>108</v>
      </c>
      <c r="M241" s="10">
        <f>IF(Planilha1!G238="","",IF(Planilha1!G238=0,"",Planilha1!G238))</f>
        <v>108</v>
      </c>
      <c r="N241" s="5">
        <f t="shared" si="31"/>
        <v>1</v>
      </c>
      <c r="O241" s="5">
        <f t="shared" si="32"/>
        <v>0</v>
      </c>
      <c r="P241" s="5">
        <f t="shared" si="25"/>
        <v>0</v>
      </c>
      <c r="Q241" s="5">
        <f t="shared" si="26"/>
        <v>2</v>
      </c>
      <c r="R241" s="7">
        <f t="shared" si="27"/>
        <v>0</v>
      </c>
      <c r="S241" s="7">
        <f t="shared" si="28"/>
        <v>0</v>
      </c>
      <c r="T241" s="3">
        <f t="shared" si="29"/>
        <v>1</v>
      </c>
      <c r="V241" s="1" t="e">
        <f t="shared" si="30"/>
        <v>#DIV/0!</v>
      </c>
    </row>
    <row r="242" spans="8:22" x14ac:dyDescent="0.3">
      <c r="H242" s="10" t="str">
        <f>IF(Planilha1!B239="","",Planilha1!B239)</f>
        <v>6:00p</v>
      </c>
      <c r="I242" s="10" t="str">
        <f>IF(Planilha1!C239="","",Planilha1!C239)</f>
        <v>Atlanta Hawks</v>
      </c>
      <c r="J242" s="10">
        <f>IF(Planilha1!D239="","",Planilha1!D239)</f>
        <v>103</v>
      </c>
      <c r="K242" s="10" t="str">
        <f>IF(Planilha1!E239="","",IF(Planilha1!E239=0,"",Planilha1!E239))</f>
        <v>Boston Celtics</v>
      </c>
      <c r="L242" s="10">
        <f>IF(Planilha1!F239="","",Planilha1!F239)</f>
        <v>113</v>
      </c>
      <c r="M242" s="10">
        <f>IF(Planilha1!G239="","",IF(Planilha1!G239=0,"",Planilha1!G239))</f>
        <v>113</v>
      </c>
      <c r="N242" s="5">
        <f t="shared" si="31"/>
        <v>1</v>
      </c>
      <c r="O242" s="5">
        <f t="shared" si="32"/>
        <v>0</v>
      </c>
      <c r="P242" s="5">
        <f t="shared" si="25"/>
        <v>0</v>
      </c>
      <c r="Q242" s="5">
        <f t="shared" si="26"/>
        <v>2</v>
      </c>
      <c r="R242" s="7">
        <f t="shared" si="27"/>
        <v>0</v>
      </c>
      <c r="S242" s="7">
        <f t="shared" si="28"/>
        <v>0</v>
      </c>
      <c r="T242" s="3">
        <f t="shared" si="29"/>
        <v>1</v>
      </c>
      <c r="V242" s="1" t="e">
        <f t="shared" si="30"/>
        <v>#DIV/0!</v>
      </c>
    </row>
    <row r="243" spans="8:22" x14ac:dyDescent="0.3">
      <c r="H243" s="10" t="str">
        <f>IF(Planilha1!B240="","",Planilha1!B240)</f>
        <v>6:00p</v>
      </c>
      <c r="I243" s="10" t="str">
        <f>IF(Planilha1!C240="","",Planilha1!C240)</f>
        <v>Minnesota Timberwolves</v>
      </c>
      <c r="J243" s="10">
        <f>IF(Planilha1!D240="","",Planilha1!D240)</f>
        <v>119</v>
      </c>
      <c r="K243" s="10" t="str">
        <f>IF(Planilha1!E240="","",IF(Planilha1!E240=0,"",Planilha1!E240))</f>
        <v>Memphis Grizzlies</v>
      </c>
      <c r="L243" s="10">
        <f>IF(Planilha1!F240="","",Planilha1!F240)</f>
        <v>97</v>
      </c>
      <c r="M243" s="10">
        <f>IF(Planilha1!G240="","",IF(Planilha1!G240=0,"",Planilha1!G240))</f>
        <v>97</v>
      </c>
      <c r="N243" s="5">
        <f t="shared" si="31"/>
        <v>1</v>
      </c>
      <c r="O243" s="5">
        <f t="shared" si="32"/>
        <v>0</v>
      </c>
      <c r="P243" s="5">
        <f t="shared" si="25"/>
        <v>0</v>
      </c>
      <c r="Q243" s="5">
        <f t="shared" si="26"/>
        <v>2</v>
      </c>
      <c r="R243" s="7">
        <f t="shared" si="27"/>
        <v>0</v>
      </c>
      <c r="S243" s="7">
        <f t="shared" si="28"/>
        <v>0</v>
      </c>
      <c r="T243" s="3">
        <f t="shared" si="29"/>
        <v>1</v>
      </c>
      <c r="V243" s="1" t="e">
        <f t="shared" si="30"/>
        <v>#DIV/0!</v>
      </c>
    </row>
    <row r="244" spans="8:22" x14ac:dyDescent="0.3">
      <c r="H244" s="10" t="str">
        <f>IF(Planilha1!B241="","",Planilha1!B241)</f>
        <v>6:00p</v>
      </c>
      <c r="I244" s="10" t="str">
        <f>IF(Planilha1!C241="","",Planilha1!C241)</f>
        <v>Phoenix Suns</v>
      </c>
      <c r="J244" s="10">
        <f>IF(Planilha1!D241="","",Planilha1!D241)</f>
        <v>116</v>
      </c>
      <c r="K244" s="10" t="str">
        <f>IF(Planilha1!E241="","",IF(Planilha1!E241=0,"",Planilha1!E241))</f>
        <v>New York Knicks</v>
      </c>
      <c r="L244" s="10">
        <f>IF(Planilha1!F241="","",Planilha1!F241)</f>
        <v>113</v>
      </c>
      <c r="M244" s="10">
        <f>IF(Planilha1!G241="","",IF(Planilha1!G241=0,"",Planilha1!G241))</f>
        <v>113</v>
      </c>
      <c r="N244" s="5">
        <f t="shared" si="31"/>
        <v>1</v>
      </c>
      <c r="O244" s="5">
        <f t="shared" si="32"/>
        <v>0</v>
      </c>
      <c r="P244" s="5">
        <f t="shared" si="25"/>
        <v>0</v>
      </c>
      <c r="Q244" s="5">
        <f t="shared" si="26"/>
        <v>2</v>
      </c>
      <c r="R244" s="7">
        <f t="shared" si="27"/>
        <v>0</v>
      </c>
      <c r="S244" s="7">
        <f t="shared" si="28"/>
        <v>0</v>
      </c>
      <c r="T244" s="3">
        <f t="shared" si="29"/>
        <v>1</v>
      </c>
      <c r="V244" s="1" t="e">
        <f t="shared" si="30"/>
        <v>#DIV/0!</v>
      </c>
    </row>
    <row r="245" spans="8:22" x14ac:dyDescent="0.3">
      <c r="H245" s="10" t="str">
        <f>IF(Planilha1!B242="","",Planilha1!B242)</f>
        <v>6:00p</v>
      </c>
      <c r="I245" s="10" t="str">
        <f>IF(Planilha1!C242="","",Planilha1!C242)</f>
        <v>Charlotte Hornets</v>
      </c>
      <c r="J245" s="10">
        <f>IF(Planilha1!D242="","",Planilha1!D242)</f>
        <v>117</v>
      </c>
      <c r="K245" s="10" t="str">
        <f>IF(Planilha1!E242="","",IF(Planilha1!E242=0,"",Planilha1!E242))</f>
        <v>Orlando Magic</v>
      </c>
      <c r="L245" s="10">
        <f>IF(Planilha1!F242="","",Planilha1!F242)</f>
        <v>130</v>
      </c>
      <c r="M245" s="10">
        <f>IF(Planilha1!G242="","",IF(Planilha1!G242=0,"",Planilha1!G242))</f>
        <v>130</v>
      </c>
      <c r="N245" s="5">
        <f t="shared" si="31"/>
        <v>1</v>
      </c>
      <c r="O245" s="5">
        <f t="shared" si="32"/>
        <v>0</v>
      </c>
      <c r="P245" s="5">
        <f t="shared" si="25"/>
        <v>0</v>
      </c>
      <c r="Q245" s="5">
        <f t="shared" si="26"/>
        <v>2</v>
      </c>
      <c r="R245" s="7">
        <f t="shared" si="27"/>
        <v>0</v>
      </c>
      <c r="S245" s="7">
        <f t="shared" si="28"/>
        <v>0</v>
      </c>
      <c r="T245" s="3">
        <f t="shared" si="29"/>
        <v>1</v>
      </c>
      <c r="V245" s="1" t="e">
        <f t="shared" si="30"/>
        <v>#DIV/0!</v>
      </c>
    </row>
    <row r="246" spans="8:22" x14ac:dyDescent="0.3">
      <c r="H246" s="10" t="str">
        <f>IF(Planilha1!B243="","",Planilha1!B243)</f>
        <v>7:30p</v>
      </c>
      <c r="I246" s="10" t="str">
        <f>IF(Planilha1!C243="","",Planilha1!C243)</f>
        <v>Chicago Bulls</v>
      </c>
      <c r="J246" s="10">
        <f>IF(Planilha1!D243="","",Planilha1!D243)</f>
        <v>109</v>
      </c>
      <c r="K246" s="10" t="str">
        <f>IF(Planilha1!E243="","",IF(Planilha1!E243=0,"",Planilha1!E243))</f>
        <v>Brooklyn Nets</v>
      </c>
      <c r="L246" s="10">
        <f>IF(Planilha1!F243="","",Planilha1!F243)</f>
        <v>118</v>
      </c>
      <c r="M246" s="10">
        <f>IF(Planilha1!G243="","",IF(Planilha1!G243=0,"",Planilha1!G243))</f>
        <v>118</v>
      </c>
      <c r="N246" s="5">
        <f t="shared" si="31"/>
        <v>1</v>
      </c>
      <c r="O246" s="5">
        <f t="shared" si="32"/>
        <v>0</v>
      </c>
      <c r="P246" s="5">
        <f t="shared" si="25"/>
        <v>0</v>
      </c>
      <c r="Q246" s="5">
        <f t="shared" si="26"/>
        <v>2</v>
      </c>
      <c r="R246" s="7">
        <f t="shared" si="27"/>
        <v>0</v>
      </c>
      <c r="S246" s="7">
        <f t="shared" si="28"/>
        <v>0</v>
      </c>
      <c r="T246" s="3">
        <f t="shared" si="29"/>
        <v>1</v>
      </c>
      <c r="V246" s="1" t="e">
        <f t="shared" si="30"/>
        <v>#DIV/0!</v>
      </c>
    </row>
    <row r="247" spans="8:22" x14ac:dyDescent="0.3">
      <c r="H247" s="10" t="str">
        <f>IF(Planilha1!B244="","",Planilha1!B244)</f>
        <v>7:30p</v>
      </c>
      <c r="I247" s="10" t="str">
        <f>IF(Planilha1!C244="","",Planilha1!C244)</f>
        <v>Toronto Raptors</v>
      </c>
      <c r="J247" s="10">
        <f>IF(Planilha1!D244="","",Planilha1!D244)</f>
        <v>102</v>
      </c>
      <c r="K247" s="10" t="str">
        <f>IF(Planilha1!E244="","",IF(Planilha1!E244=0,"",Planilha1!E244))</f>
        <v>Cleveland Cavaliers</v>
      </c>
      <c r="L247" s="10">
        <f>IF(Planilha1!F244="","",Planilha1!F244)</f>
        <v>105</v>
      </c>
      <c r="M247" s="10">
        <f>IF(Planilha1!G244="","",IF(Planilha1!G244=0,"",Planilha1!G244))</f>
        <v>105</v>
      </c>
      <c r="N247" s="5">
        <f t="shared" si="31"/>
        <v>1</v>
      </c>
      <c r="O247" s="5">
        <f t="shared" si="32"/>
        <v>0</v>
      </c>
      <c r="P247" s="5">
        <f t="shared" si="25"/>
        <v>0</v>
      </c>
      <c r="Q247" s="5">
        <f t="shared" si="26"/>
        <v>2</v>
      </c>
      <c r="R247" s="7">
        <f t="shared" si="27"/>
        <v>0</v>
      </c>
      <c r="S247" s="7">
        <f t="shared" si="28"/>
        <v>0</v>
      </c>
      <c r="T247" s="3">
        <f t="shared" si="29"/>
        <v>1</v>
      </c>
      <c r="V247" s="1" t="e">
        <f t="shared" si="30"/>
        <v>#DIV/0!</v>
      </c>
    </row>
    <row r="248" spans="8:22" x14ac:dyDescent="0.3">
      <c r="H248" s="10" t="str">
        <f>IF(Planilha1!B245="","",Planilha1!B245)</f>
        <v>8:00p</v>
      </c>
      <c r="I248" s="10" t="str">
        <f>IF(Planilha1!C245="","",Planilha1!C245)</f>
        <v>San Antonio Spurs</v>
      </c>
      <c r="J248" s="10">
        <f>IF(Planilha1!D245="","",Planilha1!D245)</f>
        <v>120</v>
      </c>
      <c r="K248" s="10" t="str">
        <f>IF(Planilha1!E245="","",IF(Planilha1!E245=0,"",Planilha1!E245))</f>
        <v>Denver Nuggets</v>
      </c>
      <c r="L248" s="10">
        <f>IF(Planilha1!F245="","",Planilha1!F245)</f>
        <v>132</v>
      </c>
      <c r="M248" s="10">
        <f>IF(Planilha1!G245="","",IF(Planilha1!G245=0,"",Planilha1!G245))</f>
        <v>132</v>
      </c>
      <c r="N248" s="5">
        <f t="shared" si="31"/>
        <v>1</v>
      </c>
      <c r="O248" s="5">
        <f t="shared" si="32"/>
        <v>0</v>
      </c>
      <c r="P248" s="5">
        <f t="shared" si="25"/>
        <v>0</v>
      </c>
      <c r="Q248" s="5">
        <f t="shared" si="26"/>
        <v>2</v>
      </c>
      <c r="R248" s="7">
        <f t="shared" si="27"/>
        <v>0</v>
      </c>
      <c r="S248" s="7">
        <f t="shared" si="28"/>
        <v>0</v>
      </c>
      <c r="T248" s="3">
        <f t="shared" si="29"/>
        <v>1</v>
      </c>
      <c r="V248" s="1" t="e">
        <f t="shared" si="30"/>
        <v>#DIV/0!</v>
      </c>
    </row>
    <row r="249" spans="8:22" x14ac:dyDescent="0.3">
      <c r="H249" s="10" t="str">
        <f>IF(Planilha1!B246="","",Planilha1!B246)</f>
        <v>7:00p</v>
      </c>
      <c r="I249" s="10" t="str">
        <f>IF(Planilha1!C246="","",Planilha1!C246)</f>
        <v>Washington Wizards</v>
      </c>
      <c r="J249" s="10">
        <f>IF(Planilha1!D246="","",Planilha1!D246)</f>
        <v>126</v>
      </c>
      <c r="K249" s="10" t="str">
        <f>IF(Planilha1!E246="","",IF(Planilha1!E246=0,"",Planilha1!E246))</f>
        <v>Detroit Pistons</v>
      </c>
      <c r="L249" s="10">
        <f>IF(Planilha1!F246="","",Planilha1!F246)</f>
        <v>107</v>
      </c>
      <c r="M249" s="10">
        <f>IF(Planilha1!G246="","",IF(Planilha1!G246=0,"",Planilha1!G246))</f>
        <v>107</v>
      </c>
      <c r="N249" s="5">
        <f t="shared" si="31"/>
        <v>1</v>
      </c>
      <c r="O249" s="5">
        <f t="shared" si="32"/>
        <v>0</v>
      </c>
      <c r="P249" s="5">
        <f t="shared" si="25"/>
        <v>0</v>
      </c>
      <c r="Q249" s="5">
        <f t="shared" si="26"/>
        <v>2</v>
      </c>
      <c r="R249" s="7">
        <f t="shared" si="27"/>
        <v>0</v>
      </c>
      <c r="S249" s="7">
        <f t="shared" si="28"/>
        <v>0</v>
      </c>
      <c r="T249" s="3">
        <f t="shared" si="29"/>
        <v>1</v>
      </c>
      <c r="V249" s="1" t="e">
        <f t="shared" si="30"/>
        <v>#DIV/0!</v>
      </c>
    </row>
    <row r="250" spans="8:22" x14ac:dyDescent="0.3">
      <c r="H250" s="10" t="str">
        <f>IF(Planilha1!B247="","",Planilha1!B247)</f>
        <v>7:00p</v>
      </c>
      <c r="I250" s="10" t="str">
        <f>IF(Planilha1!C247="","",Planilha1!C247)</f>
        <v>Portland Trail Blazers</v>
      </c>
      <c r="J250" s="10">
        <f>IF(Planilha1!D247="","",Planilha1!D247)</f>
        <v>114</v>
      </c>
      <c r="K250" s="10" t="str">
        <f>IF(Planilha1!E247="","",IF(Planilha1!E247=0,"",Planilha1!E247))</f>
        <v>Indiana Pacers</v>
      </c>
      <c r="L250" s="10">
        <f>IF(Planilha1!F247="","",Planilha1!F247)</f>
        <v>110</v>
      </c>
      <c r="M250" s="10">
        <f>IF(Planilha1!G247="","",IF(Planilha1!G247=0,"",Planilha1!G247))</f>
        <v>110</v>
      </c>
      <c r="N250" s="5">
        <f t="shared" si="31"/>
        <v>1</v>
      </c>
      <c r="O250" s="5">
        <f t="shared" si="32"/>
        <v>0</v>
      </c>
      <c r="P250" s="5">
        <f t="shared" si="25"/>
        <v>0</v>
      </c>
      <c r="Q250" s="5">
        <f t="shared" si="26"/>
        <v>2</v>
      </c>
      <c r="R250" s="7">
        <f t="shared" si="27"/>
        <v>0</v>
      </c>
      <c r="S250" s="7">
        <f t="shared" si="28"/>
        <v>0</v>
      </c>
      <c r="T250" s="3">
        <f t="shared" si="29"/>
        <v>1</v>
      </c>
      <c r="V250" s="1" t="e">
        <f t="shared" si="30"/>
        <v>#DIV/0!</v>
      </c>
    </row>
    <row r="251" spans="8:22" x14ac:dyDescent="0.3">
      <c r="H251" s="10" t="str">
        <f>IF(Planilha1!B248="","",Planilha1!B248)</f>
        <v>7:00p</v>
      </c>
      <c r="I251" s="10" t="str">
        <f>IF(Planilha1!C248="","",Planilha1!C248)</f>
        <v>Los Angeles Lakers</v>
      </c>
      <c r="J251" s="10">
        <f>IF(Planilha1!D248="","",Planilha1!D248)</f>
        <v>94</v>
      </c>
      <c r="K251" s="10" t="str">
        <f>IF(Planilha1!E248="","",IF(Planilha1!E248=0,"",Planilha1!E248))</f>
        <v>Philadelphia 76ers</v>
      </c>
      <c r="L251" s="10">
        <f>IF(Planilha1!F248="","",Planilha1!F248)</f>
        <v>138</v>
      </c>
      <c r="M251" s="10">
        <f>IF(Planilha1!G248="","",IF(Planilha1!G248=0,"",Planilha1!G248))</f>
        <v>138</v>
      </c>
      <c r="N251" s="5">
        <f t="shared" si="31"/>
        <v>1</v>
      </c>
      <c r="O251" s="5">
        <f t="shared" si="32"/>
        <v>0</v>
      </c>
      <c r="P251" s="5">
        <f t="shared" si="25"/>
        <v>0</v>
      </c>
      <c r="Q251" s="5">
        <f t="shared" si="26"/>
        <v>2</v>
      </c>
      <c r="R251" s="7">
        <f t="shared" si="27"/>
        <v>0</v>
      </c>
      <c r="S251" s="7">
        <f t="shared" si="28"/>
        <v>0</v>
      </c>
      <c r="T251" s="3">
        <f t="shared" si="29"/>
        <v>1</v>
      </c>
      <c r="V251" s="1" t="e">
        <f t="shared" si="30"/>
        <v>#DIV/0!</v>
      </c>
    </row>
    <row r="252" spans="8:22" x14ac:dyDescent="0.3">
      <c r="H252" s="10" t="str">
        <f>IF(Planilha1!B249="","",Planilha1!B249)</f>
        <v>9:00p</v>
      </c>
      <c r="I252" s="10" t="str">
        <f>IF(Planilha1!C249="","",Planilha1!C249)</f>
        <v>New Orleans Pelicans</v>
      </c>
      <c r="J252" s="10">
        <f>IF(Planilha1!D249="","",Planilha1!D249)</f>
        <v>112</v>
      </c>
      <c r="K252" s="10" t="str">
        <f>IF(Planilha1!E249="","",IF(Planilha1!E249=0,"",Planilha1!E249))</f>
        <v>Utah Jazz</v>
      </c>
      <c r="L252" s="10">
        <f>IF(Planilha1!F249="","",Planilha1!F249)</f>
        <v>114</v>
      </c>
      <c r="M252" s="10">
        <f>IF(Planilha1!G249="","",IF(Planilha1!G249=0,"",Planilha1!G249))</f>
        <v>114</v>
      </c>
      <c r="N252" s="5">
        <f t="shared" si="31"/>
        <v>1</v>
      </c>
      <c r="O252" s="5">
        <f t="shared" si="32"/>
        <v>0</v>
      </c>
      <c r="P252" s="5">
        <f t="shared" si="25"/>
        <v>0</v>
      </c>
      <c r="Q252" s="5">
        <f t="shared" si="26"/>
        <v>2</v>
      </c>
      <c r="R252" s="7">
        <f t="shared" si="27"/>
        <v>0</v>
      </c>
      <c r="S252" s="7">
        <f t="shared" si="28"/>
        <v>0</v>
      </c>
      <c r="T252" s="3">
        <f t="shared" si="29"/>
        <v>1</v>
      </c>
      <c r="V252" s="1" t="e">
        <f t="shared" si="30"/>
        <v>#DIV/0!</v>
      </c>
    </row>
    <row r="253" spans="8:22" x14ac:dyDescent="0.3">
      <c r="H253" s="10" t="str">
        <f>IF(Planilha1!B250="","",Planilha1!B250)</f>
        <v>10:30p</v>
      </c>
      <c r="I253" s="10" t="str">
        <f>IF(Planilha1!C250="","",Planilha1!C250)</f>
        <v>Denver Nuggets</v>
      </c>
      <c r="J253" s="10">
        <f>IF(Planilha1!D250="","",Planilha1!D250)</f>
        <v>113</v>
      </c>
      <c r="K253" s="10" t="str">
        <f>IF(Planilha1!E250="","",IF(Planilha1!E250=0,"",Planilha1!E250))</f>
        <v>Los Angeles Clippers</v>
      </c>
      <c r="L253" s="10">
        <f>IF(Planilha1!F250="","",Planilha1!F250)</f>
        <v>104</v>
      </c>
      <c r="M253" s="10">
        <f>IF(Planilha1!G250="","",IF(Planilha1!G250=0,"",Planilha1!G250))</f>
        <v>104</v>
      </c>
      <c r="N253" s="5">
        <f t="shared" si="31"/>
        <v>1</v>
      </c>
      <c r="O253" s="5">
        <f t="shared" si="32"/>
        <v>0</v>
      </c>
      <c r="P253" s="5">
        <f t="shared" si="25"/>
        <v>0</v>
      </c>
      <c r="Q253" s="5">
        <f t="shared" si="26"/>
        <v>2</v>
      </c>
      <c r="R253" s="7">
        <f t="shared" si="27"/>
        <v>0</v>
      </c>
      <c r="S253" s="7">
        <f t="shared" si="28"/>
        <v>0</v>
      </c>
      <c r="T253" s="3">
        <f t="shared" si="29"/>
        <v>1</v>
      </c>
      <c r="V253" s="1" t="e">
        <f t="shared" si="30"/>
        <v>#DIV/0!</v>
      </c>
    </row>
    <row r="254" spans="8:22" x14ac:dyDescent="0.3">
      <c r="H254" s="10" t="str">
        <f>IF(Planilha1!B251="","",Planilha1!B251)</f>
        <v>7:30p</v>
      </c>
      <c r="I254" s="10" t="str">
        <f>IF(Planilha1!C251="","",Planilha1!C251)</f>
        <v>Chicago Bulls</v>
      </c>
      <c r="J254" s="10">
        <f>IF(Planilha1!D251="","",Planilha1!D251)</f>
        <v>97</v>
      </c>
      <c r="K254" s="10" t="str">
        <f>IF(Planilha1!E251="","",IF(Planilha1!E251=0,"",Planilha1!E251))</f>
        <v>Boston Celtics</v>
      </c>
      <c r="L254" s="10">
        <f>IF(Planilha1!F251="","",Planilha1!F251)</f>
        <v>124</v>
      </c>
      <c r="M254" s="10">
        <f>IF(Planilha1!G251="","",IF(Planilha1!G251=0,"",Planilha1!G251))</f>
        <v>124</v>
      </c>
      <c r="N254" s="5">
        <f t="shared" si="31"/>
        <v>1</v>
      </c>
      <c r="O254" s="5">
        <f t="shared" si="32"/>
        <v>0</v>
      </c>
      <c r="P254" s="5">
        <f t="shared" si="25"/>
        <v>0</v>
      </c>
      <c r="Q254" s="5">
        <f t="shared" si="26"/>
        <v>2</v>
      </c>
      <c r="R254" s="7">
        <f t="shared" si="27"/>
        <v>0</v>
      </c>
      <c r="S254" s="7">
        <f t="shared" si="28"/>
        <v>0</v>
      </c>
      <c r="T254" s="3">
        <f t="shared" si="29"/>
        <v>1</v>
      </c>
      <c r="V254" s="1" t="e">
        <f t="shared" si="30"/>
        <v>#DIV/0!</v>
      </c>
    </row>
    <row r="255" spans="8:22" x14ac:dyDescent="0.3">
      <c r="H255" s="10" t="str">
        <f>IF(Planilha1!B252="","",Planilha1!B252)</f>
        <v>7:30p</v>
      </c>
      <c r="I255" s="10" t="str">
        <f>IF(Planilha1!C252="","",Planilha1!C252)</f>
        <v>Toronto Raptors</v>
      </c>
      <c r="J255" s="10">
        <f>IF(Planilha1!D252="","",Planilha1!D252)</f>
        <v>103</v>
      </c>
      <c r="K255" s="10" t="str">
        <f>IF(Planilha1!E252="","",IF(Planilha1!E252=0,"",Planilha1!E252))</f>
        <v>Brooklyn Nets</v>
      </c>
      <c r="L255" s="10">
        <f>IF(Planilha1!F252="","",Planilha1!F252)</f>
        <v>115</v>
      </c>
      <c r="M255" s="10">
        <f>IF(Planilha1!G252="","",IF(Planilha1!G252=0,"",Planilha1!G252))</f>
        <v>115</v>
      </c>
      <c r="N255" s="5">
        <f t="shared" si="31"/>
        <v>1</v>
      </c>
      <c r="O255" s="5">
        <f t="shared" si="32"/>
        <v>0</v>
      </c>
      <c r="P255" s="5">
        <f t="shared" si="25"/>
        <v>0</v>
      </c>
      <c r="Q255" s="5">
        <f t="shared" si="26"/>
        <v>2</v>
      </c>
      <c r="R255" s="7">
        <f t="shared" si="27"/>
        <v>0</v>
      </c>
      <c r="S255" s="7">
        <f t="shared" si="28"/>
        <v>0</v>
      </c>
      <c r="T255" s="3">
        <f t="shared" si="29"/>
        <v>1</v>
      </c>
      <c r="V255" s="1" t="e">
        <f t="shared" si="30"/>
        <v>#DIV/0!</v>
      </c>
    </row>
    <row r="256" spans="8:22" x14ac:dyDescent="0.3">
      <c r="H256" s="10" t="str">
        <f>IF(Planilha1!B253="","",Planilha1!B253)</f>
        <v>7:30p</v>
      </c>
      <c r="I256" s="10" t="str">
        <f>IF(Planilha1!C253="","",Planilha1!C253)</f>
        <v>Atlanta Hawks</v>
      </c>
      <c r="J256" s="10">
        <f>IF(Planilha1!D253="","",Planilha1!D253)</f>
        <v>105</v>
      </c>
      <c r="K256" s="10" t="str">
        <f>IF(Planilha1!E253="","",IF(Planilha1!E253=0,"",Planilha1!E253))</f>
        <v>Cleveland Cavaliers</v>
      </c>
      <c r="L256" s="10">
        <f>IF(Planilha1!F253="","",Planilha1!F253)</f>
        <v>128</v>
      </c>
      <c r="M256" s="10">
        <f>IF(Planilha1!G253="","",IF(Planilha1!G253=0,"",Planilha1!G253))</f>
        <v>128</v>
      </c>
      <c r="N256" s="5">
        <f t="shared" si="31"/>
        <v>1</v>
      </c>
      <c r="O256" s="5">
        <f t="shared" si="32"/>
        <v>0</v>
      </c>
      <c r="P256" s="5">
        <f t="shared" si="25"/>
        <v>0</v>
      </c>
      <c r="Q256" s="5">
        <f t="shared" si="26"/>
        <v>2</v>
      </c>
      <c r="R256" s="7">
        <f t="shared" si="27"/>
        <v>0</v>
      </c>
      <c r="S256" s="7">
        <f t="shared" si="28"/>
        <v>0</v>
      </c>
      <c r="T256" s="3">
        <f t="shared" si="29"/>
        <v>1</v>
      </c>
      <c r="V256" s="1" t="e">
        <f t="shared" si="30"/>
        <v>#DIV/0!</v>
      </c>
    </row>
    <row r="257" spans="8:22" x14ac:dyDescent="0.3">
      <c r="H257" s="10" t="str">
        <f>IF(Planilha1!B254="","",Planilha1!B254)</f>
        <v>7:30p</v>
      </c>
      <c r="I257" s="10" t="str">
        <f>IF(Planilha1!C254="","",Planilha1!C254)</f>
        <v>Milwaukee Bucks</v>
      </c>
      <c r="J257" s="10">
        <f>IF(Planilha1!D254="","",Planilha1!D254)</f>
        <v>131</v>
      </c>
      <c r="K257" s="10" t="str">
        <f>IF(Planilha1!E254="","",IF(Planilha1!E254=0,"",Planilha1!E254))</f>
        <v>Miami Heat</v>
      </c>
      <c r="L257" s="10">
        <f>IF(Planilha1!F254="","",Planilha1!F254)</f>
        <v>124</v>
      </c>
      <c r="M257" s="10">
        <f>IF(Planilha1!G254="","",IF(Planilha1!G254=0,"",Planilha1!G254))</f>
        <v>124</v>
      </c>
      <c r="N257" s="5">
        <f t="shared" si="31"/>
        <v>1</v>
      </c>
      <c r="O257" s="5">
        <f t="shared" si="32"/>
        <v>0</v>
      </c>
      <c r="P257" s="5">
        <f t="shared" si="25"/>
        <v>0</v>
      </c>
      <c r="Q257" s="5">
        <f t="shared" si="26"/>
        <v>2</v>
      </c>
      <c r="R257" s="7">
        <f t="shared" si="27"/>
        <v>0</v>
      </c>
      <c r="S257" s="7">
        <f t="shared" si="28"/>
        <v>0</v>
      </c>
      <c r="T257" s="3">
        <f t="shared" si="29"/>
        <v>1</v>
      </c>
      <c r="V257" s="1" t="e">
        <f t="shared" si="30"/>
        <v>#DIV/0!</v>
      </c>
    </row>
    <row r="258" spans="8:22" x14ac:dyDescent="0.3">
      <c r="H258" s="10" t="str">
        <f>IF(Planilha1!B255="","",Planilha1!B255)</f>
        <v>7:30p</v>
      </c>
      <c r="I258" s="10" t="str">
        <f>IF(Planilha1!C255="","",Planilha1!C255)</f>
        <v>Charlotte Hornets</v>
      </c>
      <c r="J258" s="10">
        <f>IF(Planilha1!D255="","",Planilha1!D255)</f>
        <v>91</v>
      </c>
      <c r="K258" s="10" t="str">
        <f>IF(Planilha1!E255="","",IF(Planilha1!E255=0,"",Planilha1!E255))</f>
        <v>New York Knicks</v>
      </c>
      <c r="L258" s="10">
        <f>IF(Planilha1!F255="","",Planilha1!F255)</f>
        <v>115</v>
      </c>
      <c r="M258" s="10">
        <f>IF(Planilha1!G255="","",IF(Planilha1!G255=0,"",Planilha1!G255))</f>
        <v>115</v>
      </c>
      <c r="N258" s="5">
        <f t="shared" si="31"/>
        <v>1</v>
      </c>
      <c r="O258" s="5">
        <f t="shared" si="32"/>
        <v>0</v>
      </c>
      <c r="P258" s="5">
        <f t="shared" si="25"/>
        <v>0</v>
      </c>
      <c r="Q258" s="5">
        <f t="shared" si="26"/>
        <v>2</v>
      </c>
      <c r="R258" s="7">
        <f t="shared" si="27"/>
        <v>0</v>
      </c>
      <c r="S258" s="7">
        <f t="shared" si="28"/>
        <v>0</v>
      </c>
      <c r="T258" s="3">
        <f t="shared" si="29"/>
        <v>1</v>
      </c>
      <c r="V258" s="1" t="e">
        <f t="shared" si="30"/>
        <v>#DIV/0!</v>
      </c>
    </row>
    <row r="259" spans="8:22" x14ac:dyDescent="0.3">
      <c r="H259" s="10" t="str">
        <f>IF(Planilha1!B256="","",Planilha1!B256)</f>
        <v>8:00p</v>
      </c>
      <c r="I259" s="10" t="str">
        <f>IF(Planilha1!C256="","",Planilha1!C256)</f>
        <v>Oklahoma City Thunder</v>
      </c>
      <c r="J259" s="10">
        <f>IF(Planilha1!D256="","",Planilha1!D256)</f>
        <v>103</v>
      </c>
      <c r="K259" s="10" t="str">
        <f>IF(Planilha1!E256="","",IF(Planilha1!E256=0,"",Planilha1!E256))</f>
        <v>Minnesota Timberwolves</v>
      </c>
      <c r="L259" s="10">
        <f>IF(Planilha1!F256="","",Planilha1!F256)</f>
        <v>106</v>
      </c>
      <c r="M259" s="10">
        <f>IF(Planilha1!G256="","",IF(Planilha1!G256=0,"",Planilha1!G256))</f>
        <v>106</v>
      </c>
      <c r="N259" s="5">
        <f t="shared" si="31"/>
        <v>1</v>
      </c>
      <c r="O259" s="5">
        <f t="shared" si="32"/>
        <v>0</v>
      </c>
      <c r="P259" s="5">
        <f t="shared" si="25"/>
        <v>0</v>
      </c>
      <c r="Q259" s="5">
        <f t="shared" si="26"/>
        <v>2</v>
      </c>
      <c r="R259" s="7">
        <f t="shared" si="27"/>
        <v>0</v>
      </c>
      <c r="S259" s="7">
        <f t="shared" si="28"/>
        <v>0</v>
      </c>
      <c r="T259" s="3">
        <f t="shared" si="29"/>
        <v>1</v>
      </c>
      <c r="V259" s="1" t="e">
        <f t="shared" si="30"/>
        <v>#DIV/0!</v>
      </c>
    </row>
    <row r="260" spans="8:22" x14ac:dyDescent="0.3">
      <c r="H260" s="10" t="str">
        <f>IF(Planilha1!B257="","",Planilha1!B257)</f>
        <v>8:30p</v>
      </c>
      <c r="I260" s="10" t="str">
        <f>IF(Planilha1!C257="","",Planilha1!C257)</f>
        <v>Houston Rockets</v>
      </c>
      <c r="J260" s="10">
        <f>IF(Planilha1!D257="","",Planilha1!D257)</f>
        <v>115</v>
      </c>
      <c r="K260" s="10" t="str">
        <f>IF(Planilha1!E257="","",IF(Planilha1!E257=0,"",Planilha1!E257))</f>
        <v>Dallas Mavericks</v>
      </c>
      <c r="L260" s="10">
        <f>IF(Planilha1!F257="","",Planilha1!F257)</f>
        <v>121</v>
      </c>
      <c r="M260" s="10">
        <f>IF(Planilha1!G257="","",IF(Planilha1!G257=0,"",Planilha1!G257))</f>
        <v>121</v>
      </c>
      <c r="N260" s="5">
        <f t="shared" si="31"/>
        <v>1</v>
      </c>
      <c r="O260" s="5">
        <f t="shared" si="32"/>
        <v>0</v>
      </c>
      <c r="P260" s="5">
        <f t="shared" si="25"/>
        <v>0</v>
      </c>
      <c r="Q260" s="5">
        <f t="shared" si="26"/>
        <v>2</v>
      </c>
      <c r="R260" s="7">
        <f t="shared" si="27"/>
        <v>0</v>
      </c>
      <c r="S260" s="7">
        <f t="shared" si="28"/>
        <v>0</v>
      </c>
      <c r="T260" s="3">
        <f t="shared" si="29"/>
        <v>1</v>
      </c>
      <c r="V260" s="1" t="e">
        <f t="shared" si="30"/>
        <v>#DIV/0!</v>
      </c>
    </row>
    <row r="261" spans="8:22" x14ac:dyDescent="0.3">
      <c r="H261" s="10" t="str">
        <f>IF(Planilha1!B258="","",Planilha1!B258)</f>
        <v>10:00p</v>
      </c>
      <c r="I261" s="10" t="str">
        <f>IF(Planilha1!C258="","",Planilha1!C258)</f>
        <v>Golden State Warriors</v>
      </c>
      <c r="J261" s="10">
        <f>IF(Planilha1!D258="","",Planilha1!D258)</f>
        <v>123</v>
      </c>
      <c r="K261" s="10" t="str">
        <f>IF(Planilha1!E258="","",IF(Planilha1!E258=0,"",Planilha1!E258))</f>
        <v>Sacramento Kings</v>
      </c>
      <c r="L261" s="10">
        <f>IF(Planilha1!F258="","",Planilha1!F258)</f>
        <v>124</v>
      </c>
      <c r="M261" s="10">
        <f>IF(Planilha1!G258="","",IF(Planilha1!G258=0,"",Planilha1!G258))</f>
        <v>124</v>
      </c>
      <c r="N261" s="5">
        <f t="shared" si="31"/>
        <v>1</v>
      </c>
      <c r="O261" s="5">
        <f t="shared" si="32"/>
        <v>0</v>
      </c>
      <c r="P261" s="5">
        <f t="shared" ref="P261:P324" si="33">IF(M261="",IF(R261&gt;S261,2,0),IF(K261&lt;M261,2,0))</f>
        <v>0</v>
      </c>
      <c r="Q261" s="5">
        <f t="shared" ref="Q261:Q324" si="34">IF(M261="",IF(R261&gt;S261,0,2),IF(K261&gt;M261,2,0))</f>
        <v>2</v>
      </c>
      <c r="R261" s="7">
        <f t="shared" ref="R261:R324" si="35">SUMIF($B:$B,J261,$C:$C)+(SUMIF($B:$B,L261,$F:$F))</f>
        <v>0</v>
      </c>
      <c r="S261" s="7">
        <f t="shared" ref="S261:S324" si="36">SUMIF($B:$B,L261,$E:$E)+(SUMIF($B:$B,J261,$D:$D))</f>
        <v>0</v>
      </c>
      <c r="T261" s="3">
        <f t="shared" ref="T261:T324" si="37">IF(M261="","",(N261-S261)^2+(O261-R261)^2)</f>
        <v>1</v>
      </c>
      <c r="V261" s="1" t="e">
        <f t="shared" ref="V261:V324" si="38">IF(O261="","",1/((O261-N261)/(R261-S261)))</f>
        <v>#DIV/0!</v>
      </c>
    </row>
    <row r="262" spans="8:22" x14ac:dyDescent="0.3">
      <c r="H262" s="10" t="str">
        <f>IF(Planilha1!B259="","",Planilha1!B259)</f>
        <v>7:00p</v>
      </c>
      <c r="I262" s="10" t="str">
        <f>IF(Planilha1!C259="","",Planilha1!C259)</f>
        <v>Los Angeles Lakers</v>
      </c>
      <c r="J262" s="10">
        <f>IF(Planilha1!D259="","",Planilha1!D259)</f>
        <v>133</v>
      </c>
      <c r="K262" s="10" t="str">
        <f>IF(Planilha1!E259="","",IF(Planilha1!E259=0,"",Planilha1!E259))</f>
        <v>Detroit Pistons</v>
      </c>
      <c r="L262" s="10">
        <f>IF(Planilha1!F259="","",Planilha1!F259)</f>
        <v>107</v>
      </c>
      <c r="M262" s="10">
        <f>IF(Planilha1!G259="","",IF(Planilha1!G259=0,"",Planilha1!G259))</f>
        <v>107</v>
      </c>
      <c r="N262" s="5">
        <f t="shared" ref="N262:N325" si="39">IF(K262="","",IF(K262&gt;M262,100%,0%))</f>
        <v>1</v>
      </c>
      <c r="O262" s="5">
        <f t="shared" ref="O262:O325" si="40">IF(K262="","",IF(K262&lt;M262,100%,0%))</f>
        <v>0</v>
      </c>
      <c r="P262" s="5">
        <f t="shared" si="33"/>
        <v>0</v>
      </c>
      <c r="Q262" s="5">
        <f t="shared" si="34"/>
        <v>2</v>
      </c>
      <c r="R262" s="7">
        <f t="shared" si="35"/>
        <v>0</v>
      </c>
      <c r="S262" s="7">
        <f t="shared" si="36"/>
        <v>0</v>
      </c>
      <c r="T262" s="3">
        <f t="shared" si="37"/>
        <v>1</v>
      </c>
      <c r="V262" s="1" t="e">
        <f t="shared" si="38"/>
        <v>#DIV/0!</v>
      </c>
    </row>
    <row r="263" spans="8:22" x14ac:dyDescent="0.3">
      <c r="H263" s="10" t="str">
        <f>IF(Planilha1!B260="","",Planilha1!B260)</f>
        <v>7:00p</v>
      </c>
      <c r="I263" s="10" t="str">
        <f>IF(Planilha1!C260="","",Planilha1!C260)</f>
        <v>Washington Wizards</v>
      </c>
      <c r="J263" s="10">
        <f>IF(Planilha1!D260="","",Planilha1!D260)</f>
        <v>120</v>
      </c>
      <c r="K263" s="10" t="str">
        <f>IF(Planilha1!E260="","",IF(Planilha1!E260=0,"",Planilha1!E260))</f>
        <v>Orlando Magic</v>
      </c>
      <c r="L263" s="10">
        <f>IF(Planilha1!F260="","",Planilha1!F260)</f>
        <v>139</v>
      </c>
      <c r="M263" s="10">
        <f>IF(Planilha1!G260="","",IF(Planilha1!G260=0,"",Planilha1!G260))</f>
        <v>139</v>
      </c>
      <c r="N263" s="5">
        <f t="shared" si="39"/>
        <v>1</v>
      </c>
      <c r="O263" s="5">
        <f t="shared" si="40"/>
        <v>0</v>
      </c>
      <c r="P263" s="5">
        <f t="shared" si="33"/>
        <v>0</v>
      </c>
      <c r="Q263" s="5">
        <f t="shared" si="34"/>
        <v>2</v>
      </c>
      <c r="R263" s="7">
        <f t="shared" si="35"/>
        <v>0</v>
      </c>
      <c r="S263" s="7">
        <f t="shared" si="36"/>
        <v>0</v>
      </c>
      <c r="T263" s="3">
        <f t="shared" si="37"/>
        <v>1</v>
      </c>
      <c r="V263" s="1" t="e">
        <f t="shared" si="38"/>
        <v>#DIV/0!</v>
      </c>
    </row>
    <row r="264" spans="8:22" x14ac:dyDescent="0.3">
      <c r="H264" s="10" t="str">
        <f>IF(Planilha1!B261="","",Planilha1!B261)</f>
        <v>7:30p</v>
      </c>
      <c r="I264" s="10" t="str">
        <f>IF(Planilha1!C261="","",Planilha1!C261)</f>
        <v>Phoenix Suns</v>
      </c>
      <c r="J264" s="10">
        <f>IF(Planilha1!D261="","",Planilha1!D261)</f>
        <v>105</v>
      </c>
      <c r="K264" s="10" t="str">
        <f>IF(Planilha1!E261="","",IF(Planilha1!E261=0,"",Planilha1!E261))</f>
        <v>Toronto Raptors</v>
      </c>
      <c r="L264" s="10">
        <f>IF(Planilha1!F261="","",Planilha1!F261)</f>
        <v>112</v>
      </c>
      <c r="M264" s="10">
        <f>IF(Planilha1!G261="","",IF(Planilha1!G261=0,"",Planilha1!G261))</f>
        <v>112</v>
      </c>
      <c r="N264" s="5">
        <f t="shared" si="39"/>
        <v>1</v>
      </c>
      <c r="O264" s="5">
        <f t="shared" si="40"/>
        <v>0</v>
      </c>
      <c r="P264" s="5">
        <f t="shared" si="33"/>
        <v>0</v>
      </c>
      <c r="Q264" s="5">
        <f t="shared" si="34"/>
        <v>2</v>
      </c>
      <c r="R264" s="7">
        <f t="shared" si="35"/>
        <v>0</v>
      </c>
      <c r="S264" s="7">
        <f t="shared" si="36"/>
        <v>0</v>
      </c>
      <c r="T264" s="3">
        <f t="shared" si="37"/>
        <v>1</v>
      </c>
      <c r="V264" s="1" t="e">
        <f t="shared" si="38"/>
        <v>#DIV/0!</v>
      </c>
    </row>
    <row r="265" spans="8:22" x14ac:dyDescent="0.3">
      <c r="H265" s="10" t="str">
        <f>IF(Planilha1!B262="","",Planilha1!B262)</f>
        <v>8:00p</v>
      </c>
      <c r="I265" s="10" t="str">
        <f>IF(Planilha1!C262="","",Planilha1!C262)</f>
        <v>Utah Jazz</v>
      </c>
      <c r="J265" s="10">
        <f>IF(Planilha1!D262="","",Planilha1!D262)</f>
        <v>91</v>
      </c>
      <c r="K265" s="10" t="str">
        <f>IF(Planilha1!E262="","",IF(Planilha1!E262=0,"",Planilha1!E262))</f>
        <v>Memphis Grizzlies</v>
      </c>
      <c r="L265" s="10">
        <f>IF(Planilha1!F262="","",Planilha1!F262)</f>
        <v>105</v>
      </c>
      <c r="M265" s="10">
        <f>IF(Planilha1!G262="","",IF(Planilha1!G262=0,"",Planilha1!G262))</f>
        <v>105</v>
      </c>
      <c r="N265" s="5">
        <f t="shared" si="39"/>
        <v>1</v>
      </c>
      <c r="O265" s="5">
        <f t="shared" si="40"/>
        <v>0</v>
      </c>
      <c r="P265" s="5">
        <f t="shared" si="33"/>
        <v>0</v>
      </c>
      <c r="Q265" s="5">
        <f t="shared" si="34"/>
        <v>2</v>
      </c>
      <c r="R265" s="7">
        <f t="shared" si="35"/>
        <v>0</v>
      </c>
      <c r="S265" s="7">
        <f t="shared" si="36"/>
        <v>0</v>
      </c>
      <c r="T265" s="3">
        <f t="shared" si="37"/>
        <v>1</v>
      </c>
      <c r="V265" s="1" t="e">
        <f t="shared" si="38"/>
        <v>#DIV/0!</v>
      </c>
    </row>
    <row r="266" spans="8:22" x14ac:dyDescent="0.3">
      <c r="H266" s="10" t="str">
        <f>IF(Planilha1!B263="","",Planilha1!B263)</f>
        <v>8:00p</v>
      </c>
      <c r="I266" s="10" t="str">
        <f>IF(Planilha1!C263="","",Planilha1!C263)</f>
        <v>Philadelphia 76ers</v>
      </c>
      <c r="J266" s="10">
        <f>IF(Planilha1!D263="","",Planilha1!D263)</f>
        <v>114</v>
      </c>
      <c r="K266" s="10" t="str">
        <f>IF(Planilha1!E263="","",IF(Planilha1!E263=0,"",Planilha1!E263))</f>
        <v>New Orleans Pelicans</v>
      </c>
      <c r="L266" s="10">
        <f>IF(Planilha1!F263="","",Planilha1!F263)</f>
        <v>124</v>
      </c>
      <c r="M266" s="10">
        <f>IF(Planilha1!G263="","",IF(Planilha1!G263=0,"",Planilha1!G263))</f>
        <v>124</v>
      </c>
      <c r="N266" s="5">
        <f t="shared" si="39"/>
        <v>1</v>
      </c>
      <c r="O266" s="5">
        <f t="shared" si="40"/>
        <v>0</v>
      </c>
      <c r="P266" s="5">
        <f t="shared" si="33"/>
        <v>0</v>
      </c>
      <c r="Q266" s="5">
        <f t="shared" si="34"/>
        <v>2</v>
      </c>
      <c r="R266" s="7">
        <f t="shared" si="35"/>
        <v>0</v>
      </c>
      <c r="S266" s="7">
        <f t="shared" si="36"/>
        <v>0</v>
      </c>
      <c r="T266" s="3">
        <f t="shared" si="37"/>
        <v>1</v>
      </c>
      <c r="V266" s="1" t="e">
        <f t="shared" si="38"/>
        <v>#DIV/0!</v>
      </c>
    </row>
    <row r="267" spans="8:22" x14ac:dyDescent="0.3">
      <c r="H267" s="10" t="str">
        <f>IF(Planilha1!B264="","",Planilha1!B264)</f>
        <v>9:00p</v>
      </c>
      <c r="I267" s="10" t="str">
        <f>IF(Planilha1!C264="","",Planilha1!C264)</f>
        <v>Houston Rockets</v>
      </c>
      <c r="J267" s="10">
        <f>IF(Planilha1!D264="","",Planilha1!D264)</f>
        <v>124</v>
      </c>
      <c r="K267" s="10" t="str">
        <f>IF(Planilha1!E264="","",IF(Planilha1!E264=0,"",Planilha1!E264))</f>
        <v>Denver Nuggets</v>
      </c>
      <c r="L267" s="10">
        <f>IF(Planilha1!F264="","",Planilha1!F264)</f>
        <v>134</v>
      </c>
      <c r="M267" s="10">
        <f>IF(Planilha1!G264="","",IF(Planilha1!G264=0,"",Planilha1!G264))</f>
        <v>134</v>
      </c>
      <c r="N267" s="5">
        <f t="shared" si="39"/>
        <v>1</v>
      </c>
      <c r="O267" s="5">
        <f t="shared" si="40"/>
        <v>0</v>
      </c>
      <c r="P267" s="5">
        <f t="shared" si="33"/>
        <v>0</v>
      </c>
      <c r="Q267" s="5">
        <f t="shared" si="34"/>
        <v>2</v>
      </c>
      <c r="R267" s="7">
        <f t="shared" si="35"/>
        <v>0</v>
      </c>
      <c r="S267" s="7">
        <f t="shared" si="36"/>
        <v>0</v>
      </c>
      <c r="T267" s="3">
        <f t="shared" si="37"/>
        <v>1</v>
      </c>
      <c r="V267" s="1" t="e">
        <f t="shared" si="38"/>
        <v>#DIV/0!</v>
      </c>
    </row>
    <row r="268" spans="8:22" x14ac:dyDescent="0.3">
      <c r="H268" s="10" t="str">
        <f>IF(Planilha1!B265="","",Planilha1!B265)</f>
        <v>10:00p</v>
      </c>
      <c r="I268" s="10" t="str">
        <f>IF(Planilha1!C265="","",Planilha1!C265)</f>
        <v>Los Angeles Clippers</v>
      </c>
      <c r="J268" s="10">
        <f>IF(Planilha1!D265="","",Planilha1!D265)</f>
        <v>131</v>
      </c>
      <c r="K268" s="10" t="str">
        <f>IF(Planilha1!E265="","",IF(Planilha1!E265=0,"",Planilha1!E265))</f>
        <v>Sacramento Kings</v>
      </c>
      <c r="L268" s="10">
        <f>IF(Planilha1!F265="","",Planilha1!F265)</f>
        <v>117</v>
      </c>
      <c r="M268" s="10">
        <f>IF(Planilha1!G265="","",IF(Planilha1!G265=0,"",Planilha1!G265))</f>
        <v>117</v>
      </c>
      <c r="N268" s="5">
        <f t="shared" si="39"/>
        <v>1</v>
      </c>
      <c r="O268" s="5">
        <f t="shared" si="40"/>
        <v>0</v>
      </c>
      <c r="P268" s="5">
        <f t="shared" si="33"/>
        <v>0</v>
      </c>
      <c r="Q268" s="5">
        <f t="shared" si="34"/>
        <v>2</v>
      </c>
      <c r="R268" s="7">
        <f t="shared" si="35"/>
        <v>0</v>
      </c>
      <c r="S268" s="7">
        <f t="shared" si="36"/>
        <v>0</v>
      </c>
      <c r="T268" s="3">
        <f t="shared" si="37"/>
        <v>1</v>
      </c>
      <c r="V268" s="1" t="e">
        <f t="shared" si="38"/>
        <v>#DIV/0!</v>
      </c>
    </row>
    <row r="269" spans="8:22" x14ac:dyDescent="0.3">
      <c r="H269" s="10" t="str">
        <f>IF(Planilha1!B266="","",Planilha1!B266)</f>
        <v>7:00p</v>
      </c>
      <c r="I269" s="10" t="str">
        <f>IF(Planilha1!C266="","",Planilha1!C266)</f>
        <v>Portland Trail Blazers</v>
      </c>
      <c r="J269" s="10">
        <f>IF(Planilha1!D266="","",Planilha1!D266)</f>
        <v>103</v>
      </c>
      <c r="K269" s="10" t="str">
        <f>IF(Planilha1!E266="","",IF(Planilha1!E266=0,"",Planilha1!E266))</f>
        <v>Cleveland Cavaliers</v>
      </c>
      <c r="L269" s="10">
        <f>IF(Planilha1!F266="","",Planilha1!F266)</f>
        <v>95</v>
      </c>
      <c r="M269" s="10">
        <f>IF(Planilha1!G266="","",IF(Planilha1!G266=0,"",Planilha1!G266))</f>
        <v>95</v>
      </c>
      <c r="N269" s="5">
        <f t="shared" si="39"/>
        <v>1</v>
      </c>
      <c r="O269" s="5">
        <f t="shared" si="40"/>
        <v>0</v>
      </c>
      <c r="P269" s="5">
        <f t="shared" si="33"/>
        <v>0</v>
      </c>
      <c r="Q269" s="5">
        <f t="shared" si="34"/>
        <v>2</v>
      </c>
      <c r="R269" s="7">
        <f t="shared" si="35"/>
        <v>0</v>
      </c>
      <c r="S269" s="7">
        <f t="shared" si="36"/>
        <v>0</v>
      </c>
      <c r="T269" s="3">
        <f t="shared" si="37"/>
        <v>1</v>
      </c>
      <c r="V269" s="1" t="e">
        <f t="shared" si="38"/>
        <v>#DIV/0!</v>
      </c>
    </row>
    <row r="270" spans="8:22" x14ac:dyDescent="0.3">
      <c r="H270" s="10" t="str">
        <f>IF(Planilha1!B267="","",Planilha1!B267)</f>
        <v>7:30p</v>
      </c>
      <c r="I270" s="10" t="str">
        <f>IF(Planilha1!C267="","",Planilha1!C267)</f>
        <v>Charlotte Hornets</v>
      </c>
      <c r="J270" s="10">
        <f>IF(Planilha1!D267="","",Planilha1!D267)</f>
        <v>129</v>
      </c>
      <c r="K270" s="10" t="str">
        <f>IF(Planilha1!E267="","",IF(Planilha1!E267=0,"",Planilha1!E267))</f>
        <v>Brooklyn Nets</v>
      </c>
      <c r="L270" s="10">
        <f>IF(Planilha1!F267="","",Planilha1!F267)</f>
        <v>128</v>
      </c>
      <c r="M270" s="10">
        <f>IF(Planilha1!G267="","",IF(Planilha1!G267=0,"",Planilha1!G267))</f>
        <v>128</v>
      </c>
      <c r="N270" s="5">
        <f t="shared" si="39"/>
        <v>1</v>
      </c>
      <c r="O270" s="5">
        <f t="shared" si="40"/>
        <v>0</v>
      </c>
      <c r="P270" s="5">
        <f t="shared" si="33"/>
        <v>0</v>
      </c>
      <c r="Q270" s="5">
        <f t="shared" si="34"/>
        <v>2</v>
      </c>
      <c r="R270" s="7">
        <f t="shared" si="35"/>
        <v>0</v>
      </c>
      <c r="S270" s="7">
        <f t="shared" si="36"/>
        <v>0</v>
      </c>
      <c r="T270" s="3">
        <f t="shared" si="37"/>
        <v>1</v>
      </c>
      <c r="V270" s="1" t="e">
        <f t="shared" si="38"/>
        <v>#DIV/0!</v>
      </c>
    </row>
    <row r="271" spans="8:22" x14ac:dyDescent="0.3">
      <c r="H271" s="10" t="str">
        <f>IF(Planilha1!B268="","",Planilha1!B268)</f>
        <v>7:30p</v>
      </c>
      <c r="I271" s="10" t="str">
        <f>IF(Planilha1!C268="","",Planilha1!C268)</f>
        <v>Indiana Pacers</v>
      </c>
      <c r="J271" s="10">
        <f>IF(Planilha1!D268="","",Planilha1!D268)</f>
        <v>132</v>
      </c>
      <c r="K271" s="10" t="str">
        <f>IF(Planilha1!E268="","",IF(Planilha1!E268=0,"",Planilha1!E268))</f>
        <v>Miami Heat</v>
      </c>
      <c r="L271" s="10">
        <f>IF(Planilha1!F268="","",Planilha1!F268)</f>
        <v>142</v>
      </c>
      <c r="M271" s="10">
        <f>IF(Planilha1!G268="","",IF(Planilha1!G268=0,"",Planilha1!G268))</f>
        <v>142</v>
      </c>
      <c r="N271" s="5">
        <f t="shared" si="39"/>
        <v>1</v>
      </c>
      <c r="O271" s="5">
        <f t="shared" si="40"/>
        <v>0</v>
      </c>
      <c r="P271" s="5">
        <f t="shared" si="33"/>
        <v>0</v>
      </c>
      <c r="Q271" s="5">
        <f t="shared" si="34"/>
        <v>2</v>
      </c>
      <c r="R271" s="7">
        <f t="shared" si="35"/>
        <v>0</v>
      </c>
      <c r="S271" s="7">
        <f t="shared" si="36"/>
        <v>0</v>
      </c>
      <c r="T271" s="3">
        <f t="shared" si="37"/>
        <v>1</v>
      </c>
      <c r="V271" s="1" t="e">
        <f t="shared" si="38"/>
        <v>#DIV/0!</v>
      </c>
    </row>
    <row r="272" spans="8:22" x14ac:dyDescent="0.3">
      <c r="H272" s="10" t="str">
        <f>IF(Planilha1!B269="","",Planilha1!B269)</f>
        <v>7:30p</v>
      </c>
      <c r="I272" s="10" t="str">
        <f>IF(Planilha1!C269="","",Planilha1!C269)</f>
        <v>Detroit Pistons</v>
      </c>
      <c r="J272" s="10">
        <f>IF(Planilha1!D269="","",Planilha1!D269)</f>
        <v>112</v>
      </c>
      <c r="K272" s="10" t="str">
        <f>IF(Planilha1!E269="","",IF(Planilha1!E269=0,"",Planilha1!E269))</f>
        <v>New York Knicks</v>
      </c>
      <c r="L272" s="10">
        <f>IF(Planilha1!F269="","",Planilha1!F269)</f>
        <v>118</v>
      </c>
      <c r="M272" s="10">
        <f>IF(Planilha1!G269="","",IF(Planilha1!G269=0,"",Planilha1!G269))</f>
        <v>118</v>
      </c>
      <c r="N272" s="5">
        <f t="shared" si="39"/>
        <v>1</v>
      </c>
      <c r="O272" s="5">
        <f t="shared" si="40"/>
        <v>0</v>
      </c>
      <c r="P272" s="5">
        <f t="shared" si="33"/>
        <v>0</v>
      </c>
      <c r="Q272" s="5">
        <f t="shared" si="34"/>
        <v>2</v>
      </c>
      <c r="R272" s="7">
        <f t="shared" si="35"/>
        <v>0</v>
      </c>
      <c r="S272" s="7">
        <f t="shared" si="36"/>
        <v>0</v>
      </c>
      <c r="T272" s="3">
        <f t="shared" si="37"/>
        <v>1</v>
      </c>
      <c r="V272" s="1" t="e">
        <f t="shared" si="38"/>
        <v>#DIV/0!</v>
      </c>
    </row>
    <row r="273" spans="8:22" x14ac:dyDescent="0.3">
      <c r="H273" s="10" t="str">
        <f>IF(Planilha1!B270="","",Planilha1!B270)</f>
        <v>8:00p</v>
      </c>
      <c r="I273" s="10" t="str">
        <f>IF(Planilha1!C270="","",Planilha1!C270)</f>
        <v>Milwaukee Bucks</v>
      </c>
      <c r="J273" s="10">
        <f>IF(Planilha1!D270="","",Planilha1!D270)</f>
        <v>113</v>
      </c>
      <c r="K273" s="10" t="str">
        <f>IF(Planilha1!E270="","",IF(Planilha1!E270=0,"",Planilha1!E270))</f>
        <v>Chicago Bulls</v>
      </c>
      <c r="L273" s="10">
        <f>IF(Planilha1!F270="","",Planilha1!F270)</f>
        <v>120</v>
      </c>
      <c r="M273" s="10">
        <f>IF(Planilha1!G270="","",IF(Planilha1!G270=0,"",Planilha1!G270))</f>
        <v>120</v>
      </c>
      <c r="N273" s="5">
        <f t="shared" si="39"/>
        <v>1</v>
      </c>
      <c r="O273" s="5">
        <f t="shared" si="40"/>
        <v>0</v>
      </c>
      <c r="P273" s="5">
        <f t="shared" si="33"/>
        <v>0</v>
      </c>
      <c r="Q273" s="5">
        <f t="shared" si="34"/>
        <v>2</v>
      </c>
      <c r="R273" s="7">
        <f t="shared" si="35"/>
        <v>0</v>
      </c>
      <c r="S273" s="7">
        <f t="shared" si="36"/>
        <v>0</v>
      </c>
      <c r="T273" s="3">
        <f t="shared" si="37"/>
        <v>1</v>
      </c>
      <c r="V273" s="1" t="e">
        <f t="shared" si="38"/>
        <v>#DIV/0!</v>
      </c>
    </row>
    <row r="274" spans="8:22" x14ac:dyDescent="0.3">
      <c r="H274" s="10" t="str">
        <f>IF(Planilha1!B271="","",Planilha1!B271)</f>
        <v>8:00p</v>
      </c>
      <c r="I274" s="10" t="str">
        <f>IF(Planilha1!C271="","",Planilha1!C271)</f>
        <v>Utah Jazz</v>
      </c>
      <c r="J274" s="10">
        <f>IF(Planilha1!D271="","",Planilha1!D271)</f>
        <v>90</v>
      </c>
      <c r="K274" s="10" t="str">
        <f>IF(Planilha1!E271="","",IF(Planilha1!E271=0,"",Planilha1!E271))</f>
        <v>Minnesota Timberwolves</v>
      </c>
      <c r="L274" s="10">
        <f>IF(Planilha1!F271="","",Planilha1!F271)</f>
        <v>101</v>
      </c>
      <c r="M274" s="10">
        <f>IF(Planilha1!G271="","",IF(Planilha1!G271=0,"",Planilha1!G271))</f>
        <v>101</v>
      </c>
      <c r="N274" s="5">
        <f t="shared" si="39"/>
        <v>1</v>
      </c>
      <c r="O274" s="5">
        <f t="shared" si="40"/>
        <v>0</v>
      </c>
      <c r="P274" s="5">
        <f t="shared" si="33"/>
        <v>0</v>
      </c>
      <c r="Q274" s="5">
        <f t="shared" si="34"/>
        <v>2</v>
      </c>
      <c r="R274" s="7">
        <f t="shared" si="35"/>
        <v>0</v>
      </c>
      <c r="S274" s="7">
        <f t="shared" si="36"/>
        <v>0</v>
      </c>
      <c r="T274" s="3">
        <f t="shared" si="37"/>
        <v>1</v>
      </c>
      <c r="V274" s="1" t="e">
        <f t="shared" si="38"/>
        <v>#DIV/0!</v>
      </c>
    </row>
    <row r="275" spans="8:22" x14ac:dyDescent="0.3">
      <c r="H275" s="10" t="str">
        <f>IF(Planilha1!B272="","",Planilha1!B272)</f>
        <v>8:00p</v>
      </c>
      <c r="I275" s="10" t="str">
        <f>IF(Planilha1!C272="","",Planilha1!C272)</f>
        <v>Los Angeles Lakers</v>
      </c>
      <c r="J275" s="10">
        <f>IF(Planilha1!D272="","",Planilha1!D272)</f>
        <v>110</v>
      </c>
      <c r="K275" s="10" t="str">
        <f>IF(Planilha1!E272="","",IF(Planilha1!E272=0,"",Planilha1!E272))</f>
        <v>Oklahoma City Thunder</v>
      </c>
      <c r="L275" s="10">
        <f>IF(Planilha1!F272="","",Planilha1!F272)</f>
        <v>133</v>
      </c>
      <c r="M275" s="10">
        <f>IF(Planilha1!G272="","",IF(Planilha1!G272=0,"",Planilha1!G272))</f>
        <v>133</v>
      </c>
      <c r="N275" s="5">
        <f t="shared" si="39"/>
        <v>1</v>
      </c>
      <c r="O275" s="5">
        <f t="shared" si="40"/>
        <v>0</v>
      </c>
      <c r="P275" s="5">
        <f t="shared" si="33"/>
        <v>0</v>
      </c>
      <c r="Q275" s="5">
        <f t="shared" si="34"/>
        <v>2</v>
      </c>
      <c r="R275" s="7">
        <f t="shared" si="35"/>
        <v>0</v>
      </c>
      <c r="S275" s="7">
        <f t="shared" si="36"/>
        <v>0</v>
      </c>
      <c r="T275" s="3">
        <f t="shared" si="37"/>
        <v>1</v>
      </c>
      <c r="V275" s="1" t="e">
        <f t="shared" si="38"/>
        <v>#DIV/0!</v>
      </c>
    </row>
    <row r="276" spans="8:22" x14ac:dyDescent="0.3">
      <c r="H276" s="10" t="str">
        <f>IF(Planilha1!B273="","",Planilha1!B273)</f>
        <v>8:00p</v>
      </c>
      <c r="I276" s="10" t="str">
        <f>IF(Planilha1!C273="","",Planilha1!C273)</f>
        <v>Atlanta Hawks</v>
      </c>
      <c r="J276" s="10">
        <f>IF(Planilha1!D273="","",Planilha1!D273)</f>
        <v>137</v>
      </c>
      <c r="K276" s="10" t="str">
        <f>IF(Planilha1!E273="","",IF(Planilha1!E273=0,"",Planilha1!E273))</f>
        <v>San Antonio Spurs</v>
      </c>
      <c r="L276" s="10">
        <f>IF(Planilha1!F273="","",Planilha1!F273)</f>
        <v>135</v>
      </c>
      <c r="M276" s="10">
        <f>IF(Planilha1!G273="","",IF(Planilha1!G273=0,"",Planilha1!G273))</f>
        <v>135</v>
      </c>
      <c r="N276" s="5">
        <f t="shared" si="39"/>
        <v>1</v>
      </c>
      <c r="O276" s="5">
        <f t="shared" si="40"/>
        <v>0</v>
      </c>
      <c r="P276" s="5">
        <f t="shared" si="33"/>
        <v>0</v>
      </c>
      <c r="Q276" s="5">
        <f t="shared" si="34"/>
        <v>2</v>
      </c>
      <c r="R276" s="7">
        <f t="shared" si="35"/>
        <v>0</v>
      </c>
      <c r="S276" s="7">
        <f t="shared" si="36"/>
        <v>0</v>
      </c>
      <c r="T276" s="3">
        <f t="shared" si="37"/>
        <v>1</v>
      </c>
      <c r="V276" s="1" t="e">
        <f t="shared" si="38"/>
        <v>#DIV/0!</v>
      </c>
    </row>
    <row r="277" spans="8:22" x14ac:dyDescent="0.3">
      <c r="H277" s="10" t="str">
        <f>IF(Planilha1!B274="","",Planilha1!B274)</f>
        <v>10:00p</v>
      </c>
      <c r="I277" s="10" t="str">
        <f>IF(Planilha1!C274="","",Planilha1!C274)</f>
        <v>Los Angeles Clippers</v>
      </c>
      <c r="J277" s="10">
        <f>IF(Planilha1!D274="","",Planilha1!D274)</f>
        <v>114</v>
      </c>
      <c r="K277" s="10" t="str">
        <f>IF(Planilha1!E274="","",IF(Planilha1!E274=0,"",Planilha1!E274))</f>
        <v>Golden State Warriors</v>
      </c>
      <c r="L277" s="10">
        <f>IF(Planilha1!F274="","",Planilha1!F274)</f>
        <v>120</v>
      </c>
      <c r="M277" s="10">
        <f>IF(Planilha1!G274="","",IF(Planilha1!G274=0,"",Planilha1!G274))</f>
        <v>120</v>
      </c>
      <c r="N277" s="5">
        <f t="shared" si="39"/>
        <v>1</v>
      </c>
      <c r="O277" s="5">
        <f t="shared" si="40"/>
        <v>0</v>
      </c>
      <c r="P277" s="5">
        <f t="shared" si="33"/>
        <v>0</v>
      </c>
      <c r="Q277" s="5">
        <f t="shared" si="34"/>
        <v>2</v>
      </c>
      <c r="R277" s="7">
        <f t="shared" si="35"/>
        <v>0</v>
      </c>
      <c r="S277" s="7">
        <f t="shared" si="36"/>
        <v>0</v>
      </c>
      <c r="T277" s="3">
        <f t="shared" si="37"/>
        <v>1</v>
      </c>
      <c r="V277" s="1" t="e">
        <f t="shared" si="38"/>
        <v>#DIV/0!</v>
      </c>
    </row>
    <row r="278" spans="8:22" x14ac:dyDescent="0.3">
      <c r="H278" s="10" t="str">
        <f>IF(Planilha1!B275="","",Planilha1!B275)</f>
        <v>7:00p</v>
      </c>
      <c r="I278" s="10" t="str">
        <f>IF(Planilha1!C275="","",Planilha1!C275)</f>
        <v>Washington Wizards</v>
      </c>
      <c r="J278" s="10">
        <f>IF(Planilha1!D275="","",Planilha1!D275)</f>
        <v>125</v>
      </c>
      <c r="K278" s="10" t="str">
        <f>IF(Planilha1!E275="","",IF(Planilha1!E275=0,"",Planilha1!E275))</f>
        <v>Orlando Magic</v>
      </c>
      <c r="L278" s="10">
        <f>IF(Planilha1!F275="","",Planilha1!F275)</f>
        <v>130</v>
      </c>
      <c r="M278" s="10">
        <f>IF(Planilha1!G275="","",IF(Planilha1!G275=0,"",Planilha1!G275))</f>
        <v>130</v>
      </c>
      <c r="N278" s="5">
        <f t="shared" si="39"/>
        <v>1</v>
      </c>
      <c r="O278" s="5">
        <f t="shared" si="40"/>
        <v>0</v>
      </c>
      <c r="P278" s="5">
        <f t="shared" si="33"/>
        <v>0</v>
      </c>
      <c r="Q278" s="5">
        <f t="shared" si="34"/>
        <v>2</v>
      </c>
      <c r="R278" s="7">
        <f t="shared" si="35"/>
        <v>0</v>
      </c>
      <c r="S278" s="7">
        <f t="shared" si="36"/>
        <v>0</v>
      </c>
      <c r="T278" s="3">
        <f t="shared" si="37"/>
        <v>1</v>
      </c>
      <c r="V278" s="1" t="e">
        <f t="shared" si="38"/>
        <v>#DIV/0!</v>
      </c>
    </row>
    <row r="279" spans="8:22" x14ac:dyDescent="0.3">
      <c r="H279" s="10" t="str">
        <f>IF(Planilha1!B276="","",Planilha1!B276)</f>
        <v>7:30p</v>
      </c>
      <c r="I279" s="10" t="str">
        <f>IF(Planilha1!C276="","",Planilha1!C276)</f>
        <v>Philadelphia 76ers</v>
      </c>
      <c r="J279" s="10">
        <f>IF(Planilha1!D276="","",Planilha1!D276)</f>
        <v>119</v>
      </c>
      <c r="K279" s="10" t="str">
        <f>IF(Planilha1!E276="","",IF(Planilha1!E276=0,"",Planilha1!E276))</f>
        <v>Boston Celtics</v>
      </c>
      <c r="L279" s="10">
        <f>IF(Planilha1!F276="","",Planilha1!F276)</f>
        <v>125</v>
      </c>
      <c r="M279" s="10">
        <f>IF(Planilha1!G276="","",IF(Planilha1!G276=0,"",Planilha1!G276))</f>
        <v>125</v>
      </c>
      <c r="N279" s="5">
        <f t="shared" si="39"/>
        <v>1</v>
      </c>
      <c r="O279" s="5">
        <f t="shared" si="40"/>
        <v>0</v>
      </c>
      <c r="P279" s="5">
        <f t="shared" si="33"/>
        <v>0</v>
      </c>
      <c r="Q279" s="5">
        <f t="shared" si="34"/>
        <v>2</v>
      </c>
      <c r="R279" s="7">
        <f t="shared" si="35"/>
        <v>0</v>
      </c>
      <c r="S279" s="7">
        <f t="shared" si="36"/>
        <v>0</v>
      </c>
      <c r="T279" s="3">
        <f t="shared" si="37"/>
        <v>1</v>
      </c>
      <c r="V279" s="1" t="e">
        <f t="shared" si="38"/>
        <v>#DIV/0!</v>
      </c>
    </row>
    <row r="280" spans="8:22" x14ac:dyDescent="0.3">
      <c r="H280" s="10" t="str">
        <f>IF(Planilha1!B277="","",Planilha1!B277)</f>
        <v>7:30p</v>
      </c>
      <c r="I280" s="10" t="str">
        <f>IF(Planilha1!C277="","",Planilha1!C277)</f>
        <v>Memphis Grizzlies</v>
      </c>
      <c r="J280" s="10">
        <f>IF(Planilha1!D277="","",Planilha1!D277)</f>
        <v>108</v>
      </c>
      <c r="K280" s="10" t="str">
        <f>IF(Planilha1!E277="","",IF(Planilha1!E277=0,"",Planilha1!E277))</f>
        <v>Dallas Mavericks</v>
      </c>
      <c r="L280" s="10">
        <f>IF(Planilha1!F277="","",Planilha1!F277)</f>
        <v>94</v>
      </c>
      <c r="M280" s="10">
        <f>IF(Planilha1!G277="","",IF(Planilha1!G277=0,"",Planilha1!G277))</f>
        <v>94</v>
      </c>
      <c r="N280" s="5">
        <f t="shared" si="39"/>
        <v>1</v>
      </c>
      <c r="O280" s="5">
        <f t="shared" si="40"/>
        <v>0</v>
      </c>
      <c r="P280" s="5">
        <f t="shared" si="33"/>
        <v>0</v>
      </c>
      <c r="Q280" s="5">
        <f t="shared" si="34"/>
        <v>2</v>
      </c>
      <c r="R280" s="7">
        <f t="shared" si="35"/>
        <v>0</v>
      </c>
      <c r="S280" s="7">
        <f t="shared" si="36"/>
        <v>0</v>
      </c>
      <c r="T280" s="3">
        <f t="shared" si="37"/>
        <v>1</v>
      </c>
      <c r="V280" s="1" t="e">
        <f t="shared" si="38"/>
        <v>#DIV/0!</v>
      </c>
    </row>
    <row r="281" spans="8:22" x14ac:dyDescent="0.3">
      <c r="H281" s="10" t="str">
        <f>IF(Planilha1!B278="","",Planilha1!B278)</f>
        <v>7:30p</v>
      </c>
      <c r="I281" s="10" t="str">
        <f>IF(Planilha1!C278="","",Planilha1!C278)</f>
        <v>New York Knicks</v>
      </c>
      <c r="J281" s="10">
        <f>IF(Planilha1!D278="","",Planilha1!D278)</f>
        <v>119</v>
      </c>
      <c r="K281" s="10" t="str">
        <f>IF(Planilha1!E278="","",IF(Planilha1!E278=0,"",Planilha1!E278))</f>
        <v>Toronto Raptors</v>
      </c>
      <c r="L281" s="10">
        <f>IF(Planilha1!F278="","",Planilha1!F278)</f>
        <v>106</v>
      </c>
      <c r="M281" s="10">
        <f>IF(Planilha1!G278="","",IF(Planilha1!G278=0,"",Planilha1!G278))</f>
        <v>106</v>
      </c>
      <c r="N281" s="5">
        <f t="shared" si="39"/>
        <v>1</v>
      </c>
      <c r="O281" s="5">
        <f t="shared" si="40"/>
        <v>0</v>
      </c>
      <c r="P281" s="5">
        <f t="shared" si="33"/>
        <v>0</v>
      </c>
      <c r="Q281" s="5">
        <f t="shared" si="34"/>
        <v>2</v>
      </c>
      <c r="R281" s="7">
        <f t="shared" si="35"/>
        <v>0</v>
      </c>
      <c r="S281" s="7">
        <f t="shared" si="36"/>
        <v>0</v>
      </c>
      <c r="T281" s="3">
        <f t="shared" si="37"/>
        <v>1</v>
      </c>
      <c r="V281" s="1" t="e">
        <f t="shared" si="38"/>
        <v>#DIV/0!</v>
      </c>
    </row>
    <row r="282" spans="8:22" x14ac:dyDescent="0.3">
      <c r="H282" s="10" t="str">
        <f>IF(Planilha1!B279="","",Planilha1!B279)</f>
        <v>8:00p</v>
      </c>
      <c r="I282" s="10" t="str">
        <f>IF(Planilha1!C279="","",Planilha1!C279)</f>
        <v>San Antonio Spurs</v>
      </c>
      <c r="J282" s="10">
        <f>IF(Planilha1!D279="","",Planilha1!D279)</f>
        <v>106</v>
      </c>
      <c r="K282" s="10" t="str">
        <f>IF(Planilha1!E279="","",IF(Planilha1!E279=0,"",Planilha1!E279))</f>
        <v>New Orleans Pelicans</v>
      </c>
      <c r="L282" s="10">
        <f>IF(Planilha1!F279="","",Planilha1!F279)</f>
        <v>121</v>
      </c>
      <c r="M282" s="10">
        <f>IF(Planilha1!G279="","",IF(Planilha1!G279=0,"",Planilha1!G279))</f>
        <v>121</v>
      </c>
      <c r="N282" s="5">
        <f t="shared" si="39"/>
        <v>1</v>
      </c>
      <c r="O282" s="5">
        <f t="shared" si="40"/>
        <v>0</v>
      </c>
      <c r="P282" s="5">
        <f t="shared" si="33"/>
        <v>0</v>
      </c>
      <c r="Q282" s="5">
        <f t="shared" si="34"/>
        <v>2</v>
      </c>
      <c r="R282" s="7">
        <f t="shared" si="35"/>
        <v>0</v>
      </c>
      <c r="S282" s="7">
        <f t="shared" si="36"/>
        <v>0</v>
      </c>
      <c r="T282" s="3">
        <f t="shared" si="37"/>
        <v>1</v>
      </c>
      <c r="V282" s="1" t="e">
        <f t="shared" si="38"/>
        <v>#DIV/0!</v>
      </c>
    </row>
    <row r="283" spans="8:22" x14ac:dyDescent="0.3">
      <c r="H283" s="10" t="str">
        <f>IF(Planilha1!B280="","",Planilha1!B280)</f>
        <v>10:00p</v>
      </c>
      <c r="I283" s="10" t="str">
        <f>IF(Planilha1!C280="","",Planilha1!C280)</f>
        <v>Denver Nuggets</v>
      </c>
      <c r="J283" s="10">
        <f>IF(Planilha1!D280="","",Planilha1!D280)</f>
        <v>119</v>
      </c>
      <c r="K283" s="10" t="str">
        <f>IF(Planilha1!E280="","",IF(Planilha1!E280=0,"",Planilha1!E280))</f>
        <v>Phoenix Suns</v>
      </c>
      <c r="L283" s="10">
        <f>IF(Planilha1!F280="","",Planilha1!F280)</f>
        <v>111</v>
      </c>
      <c r="M283" s="10">
        <f>IF(Planilha1!G280="","",IF(Planilha1!G280=0,"",Planilha1!G280))</f>
        <v>111</v>
      </c>
      <c r="N283" s="5">
        <f t="shared" si="39"/>
        <v>1</v>
      </c>
      <c r="O283" s="5">
        <f t="shared" si="40"/>
        <v>0</v>
      </c>
      <c r="P283" s="5">
        <f t="shared" si="33"/>
        <v>0</v>
      </c>
      <c r="Q283" s="5">
        <f t="shared" si="34"/>
        <v>2</v>
      </c>
      <c r="R283" s="7">
        <f t="shared" si="35"/>
        <v>0</v>
      </c>
      <c r="S283" s="7">
        <f t="shared" si="36"/>
        <v>0</v>
      </c>
      <c r="T283" s="3">
        <f t="shared" si="37"/>
        <v>1</v>
      </c>
      <c r="V283" s="1" t="e">
        <f t="shared" si="38"/>
        <v>#DIV/0!</v>
      </c>
    </row>
    <row r="284" spans="8:22" x14ac:dyDescent="0.3">
      <c r="H284" s="10" t="str">
        <f>IF(Planilha1!B281="","",Planilha1!B281)</f>
        <v>4:00p</v>
      </c>
      <c r="I284" s="10" t="str">
        <f>IF(Planilha1!C281="","",Planilha1!C281)</f>
        <v>Golden State Warriors</v>
      </c>
      <c r="J284" s="10">
        <f>IF(Planilha1!D281="","",Planilha1!D281)</f>
        <v>112</v>
      </c>
      <c r="K284" s="10" t="str">
        <f>IF(Planilha1!E281="","",IF(Planilha1!E281=0,"",Planilha1!E281))</f>
        <v>Los Angeles Clippers</v>
      </c>
      <c r="L284" s="10">
        <f>IF(Planilha1!F281="","",Planilha1!F281)</f>
        <v>113</v>
      </c>
      <c r="M284" s="10">
        <f>IF(Planilha1!G281="","",IF(Planilha1!G281=0,"",Planilha1!G281))</f>
        <v>113</v>
      </c>
      <c r="N284" s="5">
        <f t="shared" si="39"/>
        <v>1</v>
      </c>
      <c r="O284" s="5">
        <f t="shared" si="40"/>
        <v>0</v>
      </c>
      <c r="P284" s="5">
        <f t="shared" si="33"/>
        <v>0</v>
      </c>
      <c r="Q284" s="5">
        <f t="shared" si="34"/>
        <v>2</v>
      </c>
      <c r="R284" s="7">
        <f t="shared" si="35"/>
        <v>0</v>
      </c>
      <c r="S284" s="7">
        <f t="shared" si="36"/>
        <v>0</v>
      </c>
      <c r="T284" s="3">
        <f t="shared" si="37"/>
        <v>1</v>
      </c>
      <c r="V284" s="1" t="e">
        <f t="shared" si="38"/>
        <v>#DIV/0!</v>
      </c>
    </row>
    <row r="285" spans="8:22" x14ac:dyDescent="0.3">
      <c r="H285" s="10" t="str">
        <f>IF(Planilha1!B282="","",Planilha1!B282)</f>
        <v>5:00p</v>
      </c>
      <c r="I285" s="10" t="str">
        <f>IF(Planilha1!C282="","",Planilha1!C282)</f>
        <v>Minnesota Timberwolves</v>
      </c>
      <c r="J285" s="10">
        <f>IF(Planilha1!D282="","",Planilha1!D282)</f>
        <v>123</v>
      </c>
      <c r="K285" s="10" t="str">
        <f>IF(Planilha1!E282="","",IF(Planilha1!E282=0,"",Planilha1!E282))</f>
        <v>Charlotte Hornets</v>
      </c>
      <c r="L285" s="10">
        <f>IF(Planilha1!F282="","",Planilha1!F282)</f>
        <v>117</v>
      </c>
      <c r="M285" s="10">
        <f>IF(Planilha1!G282="","",IF(Planilha1!G282=0,"",Planilha1!G282))</f>
        <v>117</v>
      </c>
      <c r="N285" s="5">
        <f t="shared" si="39"/>
        <v>1</v>
      </c>
      <c r="O285" s="5">
        <f t="shared" si="40"/>
        <v>0</v>
      </c>
      <c r="P285" s="5">
        <f t="shared" si="33"/>
        <v>0</v>
      </c>
      <c r="Q285" s="5">
        <f t="shared" si="34"/>
        <v>2</v>
      </c>
      <c r="R285" s="7">
        <f t="shared" si="35"/>
        <v>0</v>
      </c>
      <c r="S285" s="7">
        <f t="shared" si="36"/>
        <v>0</v>
      </c>
      <c r="T285" s="3">
        <f t="shared" si="37"/>
        <v>1</v>
      </c>
      <c r="V285" s="1" t="e">
        <f t="shared" si="38"/>
        <v>#DIV/0!</v>
      </c>
    </row>
    <row r="286" spans="8:22" x14ac:dyDescent="0.3">
      <c r="H286" s="10" t="str">
        <f>IF(Planilha1!B283="","",Planilha1!B283)</f>
        <v>7:00p</v>
      </c>
      <c r="I286" s="10" t="str">
        <f>IF(Planilha1!C283="","",Planilha1!C283)</f>
        <v>Orlando Magic</v>
      </c>
      <c r="J286" s="10">
        <f>IF(Planilha1!D283="","",Planilha1!D283)</f>
        <v>101</v>
      </c>
      <c r="K286" s="10" t="str">
        <f>IF(Planilha1!E283="","",IF(Planilha1!E283=0,"",Planilha1!E283))</f>
        <v>Brooklyn Nets</v>
      </c>
      <c r="L286" s="10">
        <f>IF(Planilha1!F283="","",Planilha1!F283)</f>
        <v>129</v>
      </c>
      <c r="M286" s="10">
        <f>IF(Planilha1!G283="","",IF(Planilha1!G283=0,"",Planilha1!G283))</f>
        <v>129</v>
      </c>
      <c r="N286" s="5">
        <f t="shared" si="39"/>
        <v>1</v>
      </c>
      <c r="O286" s="5">
        <f t="shared" si="40"/>
        <v>0</v>
      </c>
      <c r="P286" s="5">
        <f t="shared" si="33"/>
        <v>0</v>
      </c>
      <c r="Q286" s="5">
        <f t="shared" si="34"/>
        <v>2</v>
      </c>
      <c r="R286" s="7">
        <f t="shared" si="35"/>
        <v>0</v>
      </c>
      <c r="S286" s="7">
        <f t="shared" si="36"/>
        <v>0</v>
      </c>
      <c r="T286" s="3">
        <f t="shared" si="37"/>
        <v>1</v>
      </c>
      <c r="V286" s="1" t="e">
        <f t="shared" si="38"/>
        <v>#DIV/0!</v>
      </c>
    </row>
    <row r="287" spans="8:22" x14ac:dyDescent="0.3">
      <c r="H287" s="10" t="str">
        <f>IF(Planilha1!B284="","",Planilha1!B284)</f>
        <v>7:00p</v>
      </c>
      <c r="I287" s="10" t="str">
        <f>IF(Planilha1!C284="","",Planilha1!C284)</f>
        <v>Cleveland Cavaliers</v>
      </c>
      <c r="J287" s="10">
        <f>IF(Planilha1!D284="","",Planilha1!D284)</f>
        <v>110</v>
      </c>
      <c r="K287" s="10" t="str">
        <f>IF(Planilha1!E284="","",IF(Planilha1!E284=0,"",Planilha1!E284))</f>
        <v>Detroit Pistons</v>
      </c>
      <c r="L287" s="10">
        <f>IF(Planilha1!F284="","",Planilha1!F284)</f>
        <v>101</v>
      </c>
      <c r="M287" s="10">
        <f>IF(Planilha1!G284="","",IF(Planilha1!G284=0,"",Planilha1!G284))</f>
        <v>101</v>
      </c>
      <c r="N287" s="5">
        <f t="shared" si="39"/>
        <v>1</v>
      </c>
      <c r="O287" s="5">
        <f t="shared" si="40"/>
        <v>0</v>
      </c>
      <c r="P287" s="5">
        <f t="shared" si="33"/>
        <v>0</v>
      </c>
      <c r="Q287" s="5">
        <f t="shared" si="34"/>
        <v>2</v>
      </c>
      <c r="R287" s="7">
        <f t="shared" si="35"/>
        <v>0</v>
      </c>
      <c r="S287" s="7">
        <f t="shared" si="36"/>
        <v>0</v>
      </c>
      <c r="T287" s="3">
        <f t="shared" si="37"/>
        <v>1</v>
      </c>
      <c r="V287" s="1" t="e">
        <f t="shared" si="38"/>
        <v>#DIV/0!</v>
      </c>
    </row>
    <row r="288" spans="8:22" x14ac:dyDescent="0.3">
      <c r="H288" s="10" t="str">
        <f>IF(Planilha1!B285="","",Planilha1!B285)</f>
        <v>8:00p</v>
      </c>
      <c r="I288" s="10" t="str">
        <f>IF(Planilha1!C285="","",Planilha1!C285)</f>
        <v>New Orleans Pelicans</v>
      </c>
      <c r="J288" s="10">
        <f>IF(Planilha1!D285="","",Planilha1!D285)</f>
        <v>118</v>
      </c>
      <c r="K288" s="10" t="str">
        <f>IF(Planilha1!E285="","",IF(Planilha1!E285=0,"",Planilha1!E285))</f>
        <v>Chicago Bulls</v>
      </c>
      <c r="L288" s="10">
        <f>IF(Planilha1!F285="","",Planilha1!F285)</f>
        <v>124</v>
      </c>
      <c r="M288" s="10">
        <f>IF(Planilha1!G285="","",IF(Planilha1!G285=0,"",Planilha1!G285))</f>
        <v>124</v>
      </c>
      <c r="N288" s="5">
        <f t="shared" si="39"/>
        <v>1</v>
      </c>
      <c r="O288" s="5">
        <f t="shared" si="40"/>
        <v>0</v>
      </c>
      <c r="P288" s="5">
        <f t="shared" si="33"/>
        <v>0</v>
      </c>
      <c r="Q288" s="5">
        <f t="shared" si="34"/>
        <v>2</v>
      </c>
      <c r="R288" s="7">
        <f t="shared" si="35"/>
        <v>0</v>
      </c>
      <c r="S288" s="7">
        <f t="shared" si="36"/>
        <v>0</v>
      </c>
      <c r="T288" s="3">
        <f t="shared" si="37"/>
        <v>1</v>
      </c>
      <c r="V288" s="1" t="e">
        <f t="shared" si="38"/>
        <v>#DIV/0!</v>
      </c>
    </row>
    <row r="289" spans="8:22" x14ac:dyDescent="0.3">
      <c r="H289" s="10" t="str">
        <f>IF(Planilha1!B286="","",Planilha1!B286)</f>
        <v>8:00p</v>
      </c>
      <c r="I289" s="10" t="str">
        <f>IF(Planilha1!C286="","",Planilha1!C286)</f>
        <v>Indiana Pacers</v>
      </c>
      <c r="J289" s="10">
        <f>IF(Planilha1!D286="","",Planilha1!D286)</f>
        <v>144</v>
      </c>
      <c r="K289" s="10" t="str">
        <f>IF(Planilha1!E286="","",IF(Planilha1!E286=0,"",Planilha1!E286))</f>
        <v>Miami Heat</v>
      </c>
      <c r="L289" s="10">
        <f>IF(Planilha1!F286="","",Planilha1!F286)</f>
        <v>129</v>
      </c>
      <c r="M289" s="10">
        <f>IF(Planilha1!G286="","",IF(Planilha1!G286=0,"",Planilha1!G286))</f>
        <v>129</v>
      </c>
      <c r="N289" s="5">
        <f t="shared" si="39"/>
        <v>1</v>
      </c>
      <c r="O289" s="5">
        <f t="shared" si="40"/>
        <v>0</v>
      </c>
      <c r="P289" s="5">
        <f t="shared" si="33"/>
        <v>0</v>
      </c>
      <c r="Q289" s="5">
        <f t="shared" si="34"/>
        <v>2</v>
      </c>
      <c r="R289" s="7">
        <f t="shared" si="35"/>
        <v>0</v>
      </c>
      <c r="S289" s="7">
        <f t="shared" si="36"/>
        <v>0</v>
      </c>
      <c r="T289" s="3">
        <f t="shared" si="37"/>
        <v>1</v>
      </c>
      <c r="V289" s="1" t="e">
        <f t="shared" si="38"/>
        <v>#DIV/0!</v>
      </c>
    </row>
    <row r="290" spans="8:22" x14ac:dyDescent="0.3">
      <c r="H290" s="10" t="str">
        <f>IF(Planilha1!B287="","",Planilha1!B287)</f>
        <v>8:00p</v>
      </c>
      <c r="I290" s="10" t="str">
        <f>IF(Planilha1!C287="","",Planilha1!C287)</f>
        <v>Atlanta Hawks</v>
      </c>
      <c r="J290" s="10">
        <f>IF(Planilha1!D287="","",Planilha1!D287)</f>
        <v>121</v>
      </c>
      <c r="K290" s="10" t="str">
        <f>IF(Planilha1!E287="","",IF(Planilha1!E287=0,"",Planilha1!E287))</f>
        <v>Milwaukee Bucks</v>
      </c>
      <c r="L290" s="10">
        <f>IF(Planilha1!F287="","",Planilha1!F287)</f>
        <v>132</v>
      </c>
      <c r="M290" s="10">
        <f>IF(Planilha1!G287="","",IF(Planilha1!G287=0,"",Planilha1!G287))</f>
        <v>132</v>
      </c>
      <c r="N290" s="5">
        <f t="shared" si="39"/>
        <v>1</v>
      </c>
      <c r="O290" s="5">
        <f t="shared" si="40"/>
        <v>0</v>
      </c>
      <c r="P290" s="5">
        <f t="shared" si="33"/>
        <v>0</v>
      </c>
      <c r="Q290" s="5">
        <f t="shared" si="34"/>
        <v>2</v>
      </c>
      <c r="R290" s="7">
        <f t="shared" si="35"/>
        <v>0</v>
      </c>
      <c r="S290" s="7">
        <f t="shared" si="36"/>
        <v>0</v>
      </c>
      <c r="T290" s="3">
        <f t="shared" si="37"/>
        <v>1</v>
      </c>
      <c r="V290" s="1" t="e">
        <f t="shared" si="38"/>
        <v>#DIV/0!</v>
      </c>
    </row>
    <row r="291" spans="8:22" x14ac:dyDescent="0.3">
      <c r="H291" s="10" t="str">
        <f>IF(Planilha1!B288="","",Planilha1!B288)</f>
        <v>9:00p</v>
      </c>
      <c r="I291" s="10" t="str">
        <f>IF(Planilha1!C288="","",Planilha1!C288)</f>
        <v>Oklahoma City Thunder</v>
      </c>
      <c r="J291" s="10">
        <f>IF(Planilha1!D288="","",Planilha1!D288)</f>
        <v>126</v>
      </c>
      <c r="K291" s="10" t="str">
        <f>IF(Planilha1!E288="","",IF(Planilha1!E288=0,"",Planilha1!E288))</f>
        <v>Dallas Mavericks</v>
      </c>
      <c r="L291" s="10">
        <f>IF(Planilha1!F288="","",Planilha1!F288)</f>
        <v>120</v>
      </c>
      <c r="M291" s="10">
        <f>IF(Planilha1!G288="","",IF(Planilha1!G288=0,"",Planilha1!G288))</f>
        <v>120</v>
      </c>
      <c r="N291" s="5">
        <f t="shared" si="39"/>
        <v>1</v>
      </c>
      <c r="O291" s="5">
        <f t="shared" si="40"/>
        <v>0</v>
      </c>
      <c r="P291" s="5">
        <f t="shared" si="33"/>
        <v>0</v>
      </c>
      <c r="Q291" s="5">
        <f t="shared" si="34"/>
        <v>2</v>
      </c>
      <c r="R291" s="7">
        <f t="shared" si="35"/>
        <v>0</v>
      </c>
      <c r="S291" s="7">
        <f t="shared" si="36"/>
        <v>0</v>
      </c>
      <c r="T291" s="3">
        <f t="shared" si="37"/>
        <v>1</v>
      </c>
      <c r="V291" s="1" t="e">
        <f t="shared" si="38"/>
        <v>#DIV/0!</v>
      </c>
    </row>
    <row r="292" spans="8:22" x14ac:dyDescent="0.3">
      <c r="H292" s="10" t="str">
        <f>IF(Planilha1!B289="","",Planilha1!B289)</f>
        <v>9:00p</v>
      </c>
      <c r="I292" s="10" t="str">
        <f>IF(Planilha1!C289="","",Planilha1!C289)</f>
        <v>Memphis Grizzlies</v>
      </c>
      <c r="J292" s="10">
        <f>IF(Planilha1!D289="","",Planilha1!D289)</f>
        <v>109</v>
      </c>
      <c r="K292" s="10" t="str">
        <f>IF(Planilha1!E289="","",IF(Planilha1!E289=0,"",Planilha1!E289))</f>
        <v>Phoenix Suns</v>
      </c>
      <c r="L292" s="10">
        <f>IF(Planilha1!F289="","",Planilha1!F289)</f>
        <v>116</v>
      </c>
      <c r="M292" s="10">
        <f>IF(Planilha1!G289="","",IF(Planilha1!G289=0,"",Planilha1!G289))</f>
        <v>116</v>
      </c>
      <c r="N292" s="5">
        <f t="shared" si="39"/>
        <v>1</v>
      </c>
      <c r="O292" s="5">
        <f t="shared" si="40"/>
        <v>0</v>
      </c>
      <c r="P292" s="5">
        <f t="shared" si="33"/>
        <v>0</v>
      </c>
      <c r="Q292" s="5">
        <f t="shared" si="34"/>
        <v>2</v>
      </c>
      <c r="R292" s="7">
        <f t="shared" si="35"/>
        <v>0</v>
      </c>
      <c r="S292" s="7">
        <f t="shared" si="36"/>
        <v>0</v>
      </c>
      <c r="T292" s="3">
        <f t="shared" si="37"/>
        <v>1</v>
      </c>
      <c r="V292" s="1" t="e">
        <f t="shared" si="38"/>
        <v>#DIV/0!</v>
      </c>
    </row>
    <row r="293" spans="8:22" x14ac:dyDescent="0.3">
      <c r="H293" s="10" t="str">
        <f>IF(Planilha1!B290="","",Planilha1!B290)</f>
        <v>9:30p</v>
      </c>
      <c r="I293" s="10" t="str">
        <f>IF(Planilha1!C290="","",Planilha1!C290)</f>
        <v>Portland Trail Blazers</v>
      </c>
      <c r="J293" s="10">
        <f>IF(Planilha1!D290="","",Planilha1!D290)</f>
        <v>113</v>
      </c>
      <c r="K293" s="10" t="str">
        <f>IF(Planilha1!E290="","",IF(Planilha1!E290=0,"",Planilha1!E290))</f>
        <v>Utah Jazz</v>
      </c>
      <c r="L293" s="10">
        <f>IF(Planilha1!F290="","",Planilha1!F290)</f>
        <v>118</v>
      </c>
      <c r="M293" s="10">
        <f>IF(Planilha1!G290="","",IF(Planilha1!G290=0,"",Planilha1!G290))</f>
        <v>118</v>
      </c>
      <c r="N293" s="5">
        <f t="shared" si="39"/>
        <v>1</v>
      </c>
      <c r="O293" s="5">
        <f t="shared" si="40"/>
        <v>0</v>
      </c>
      <c r="P293" s="5">
        <f t="shared" si="33"/>
        <v>0</v>
      </c>
      <c r="Q293" s="5">
        <f t="shared" si="34"/>
        <v>2</v>
      </c>
      <c r="R293" s="7">
        <f t="shared" si="35"/>
        <v>0</v>
      </c>
      <c r="S293" s="7">
        <f t="shared" si="36"/>
        <v>0</v>
      </c>
      <c r="T293" s="3">
        <f t="shared" si="37"/>
        <v>1</v>
      </c>
      <c r="V293" s="1" t="e">
        <f t="shared" si="38"/>
        <v>#DIV/0!</v>
      </c>
    </row>
    <row r="294" spans="8:22" x14ac:dyDescent="0.3">
      <c r="H294" s="10" t="str">
        <f>IF(Planilha1!B291="","",Planilha1!B291)</f>
        <v>10:00p</v>
      </c>
      <c r="I294" s="10" t="str">
        <f>IF(Planilha1!C291="","",Planilha1!C291)</f>
        <v>Denver Nuggets</v>
      </c>
      <c r="J294" s="10">
        <f>IF(Planilha1!D291="","",Planilha1!D291)</f>
        <v>117</v>
      </c>
      <c r="K294" s="10" t="str">
        <f>IF(Planilha1!E291="","",IF(Planilha1!E291=0,"",Planilha1!E291))</f>
        <v>Sacramento Kings</v>
      </c>
      <c r="L294" s="10">
        <f>IF(Planilha1!F291="","",Planilha1!F291)</f>
        <v>123</v>
      </c>
      <c r="M294" s="10">
        <f>IF(Planilha1!G291="","",IF(Planilha1!G291=0,"",Planilha1!G291))</f>
        <v>123</v>
      </c>
      <c r="N294" s="5">
        <f t="shared" si="39"/>
        <v>1</v>
      </c>
      <c r="O294" s="5">
        <f t="shared" si="40"/>
        <v>0</v>
      </c>
      <c r="P294" s="5">
        <f t="shared" si="33"/>
        <v>0</v>
      </c>
      <c r="Q294" s="5">
        <f t="shared" si="34"/>
        <v>2</v>
      </c>
      <c r="R294" s="7">
        <f t="shared" si="35"/>
        <v>0</v>
      </c>
      <c r="S294" s="7">
        <f t="shared" si="36"/>
        <v>0</v>
      </c>
      <c r="T294" s="3">
        <f t="shared" si="37"/>
        <v>1</v>
      </c>
      <c r="V294" s="1" t="e">
        <f t="shared" si="38"/>
        <v>#DIV/0!</v>
      </c>
    </row>
    <row r="295" spans="8:22" x14ac:dyDescent="0.3">
      <c r="H295" s="10" t="str">
        <f>IF(Planilha1!B292="","",Planilha1!B292)</f>
        <v>10:30p</v>
      </c>
      <c r="I295" s="10" t="str">
        <f>IF(Planilha1!C292="","",Planilha1!C292)</f>
        <v>Houston Rockets</v>
      </c>
      <c r="J295" s="10">
        <f>IF(Planilha1!D292="","",Planilha1!D292)</f>
        <v>97</v>
      </c>
      <c r="K295" s="10" t="str">
        <f>IF(Planilha1!E292="","",IF(Planilha1!E292=0,"",Planilha1!E292))</f>
        <v>Los Angeles Lakers</v>
      </c>
      <c r="L295" s="10">
        <f>IF(Planilha1!F292="","",Planilha1!F292)</f>
        <v>107</v>
      </c>
      <c r="M295" s="10">
        <f>IF(Planilha1!G292="","",IF(Planilha1!G292=0,"",Planilha1!G292))</f>
        <v>107</v>
      </c>
      <c r="N295" s="5">
        <f t="shared" si="39"/>
        <v>1</v>
      </c>
      <c r="O295" s="5">
        <f t="shared" si="40"/>
        <v>0</v>
      </c>
      <c r="P295" s="5">
        <f t="shared" si="33"/>
        <v>0</v>
      </c>
      <c r="Q295" s="5">
        <f t="shared" si="34"/>
        <v>2</v>
      </c>
      <c r="R295" s="7">
        <f t="shared" si="35"/>
        <v>0</v>
      </c>
      <c r="S295" s="7">
        <f t="shared" si="36"/>
        <v>0</v>
      </c>
      <c r="T295" s="3">
        <f t="shared" si="37"/>
        <v>1</v>
      </c>
      <c r="V295" s="1" t="e">
        <f t="shared" si="38"/>
        <v>#DIV/0!</v>
      </c>
    </row>
    <row r="296" spans="8:22" x14ac:dyDescent="0.3">
      <c r="H296" s="10" t="str">
        <f>IF(Planilha1!B293="","",Planilha1!B293)</f>
        <v>7:30p</v>
      </c>
      <c r="I296" s="10" t="str">
        <f>IF(Planilha1!C293="","",Planilha1!C293)</f>
        <v>Boston Celtics</v>
      </c>
      <c r="J296" s="10">
        <f>IF(Planilha1!D293="","",Planilha1!D293)</f>
        <v>112</v>
      </c>
      <c r="K296" s="10" t="str">
        <f>IF(Planilha1!E293="","",IF(Planilha1!E293=0,"",Planilha1!E293))</f>
        <v>Indiana Pacers</v>
      </c>
      <c r="L296" s="10">
        <f>IF(Planilha1!F293="","",Planilha1!F293)</f>
        <v>122</v>
      </c>
      <c r="M296" s="10">
        <f>IF(Planilha1!G293="","",IF(Planilha1!G293=0,"",Planilha1!G293))</f>
        <v>122</v>
      </c>
      <c r="N296" s="5">
        <f t="shared" si="39"/>
        <v>1</v>
      </c>
      <c r="O296" s="5">
        <f t="shared" si="40"/>
        <v>0</v>
      </c>
      <c r="P296" s="5">
        <f t="shared" si="33"/>
        <v>0</v>
      </c>
      <c r="Q296" s="5">
        <f t="shared" si="34"/>
        <v>2</v>
      </c>
      <c r="R296" s="7">
        <f t="shared" si="35"/>
        <v>0</v>
      </c>
      <c r="S296" s="7">
        <f t="shared" si="36"/>
        <v>0</v>
      </c>
      <c r="T296" s="3">
        <f t="shared" si="37"/>
        <v>1</v>
      </c>
      <c r="V296" s="1" t="e">
        <f t="shared" si="38"/>
        <v>#DIV/0!</v>
      </c>
    </row>
    <row r="297" spans="8:22" x14ac:dyDescent="0.3">
      <c r="H297" s="10" t="str">
        <f>IF(Planilha1!B294="","",Planilha1!B294)</f>
        <v>10:00p</v>
      </c>
      <c r="I297" s="10" t="str">
        <f>IF(Planilha1!C294="","",Planilha1!C294)</f>
        <v>New Orleans Pelicans</v>
      </c>
      <c r="J297" s="10">
        <f>IF(Planilha1!D294="","",Planilha1!D294)</f>
        <v>127</v>
      </c>
      <c r="K297" s="10" t="str">
        <f>IF(Planilha1!E294="","",IF(Planilha1!E294=0,"",Planilha1!E294))</f>
        <v>Sacramento Kings</v>
      </c>
      <c r="L297" s="10">
        <f>IF(Planilha1!F294="","",Planilha1!F294)</f>
        <v>117</v>
      </c>
      <c r="M297" s="10">
        <f>IF(Planilha1!G294="","",IF(Planilha1!G294=0,"",Planilha1!G294))</f>
        <v>117</v>
      </c>
      <c r="N297" s="5">
        <f t="shared" si="39"/>
        <v>1</v>
      </c>
      <c r="O297" s="5">
        <f t="shared" si="40"/>
        <v>0</v>
      </c>
      <c r="P297" s="5">
        <f t="shared" si="33"/>
        <v>0</v>
      </c>
      <c r="Q297" s="5">
        <f t="shared" si="34"/>
        <v>2</v>
      </c>
      <c r="R297" s="7">
        <f t="shared" si="35"/>
        <v>0</v>
      </c>
      <c r="S297" s="7">
        <f t="shared" si="36"/>
        <v>0</v>
      </c>
      <c r="T297" s="3">
        <f t="shared" si="37"/>
        <v>1</v>
      </c>
      <c r="V297" s="1" t="e">
        <f t="shared" si="38"/>
        <v>#DIV/0!</v>
      </c>
    </row>
    <row r="298" spans="8:22" x14ac:dyDescent="0.3">
      <c r="H298" s="10" t="str">
        <f>IF(Planilha1!B295="","",Planilha1!B295)</f>
        <v>7:30p</v>
      </c>
      <c r="I298" s="10" t="str">
        <f>IF(Planilha1!C295="","",Planilha1!C295)</f>
        <v>New York Knicks</v>
      </c>
      <c r="J298" s="10">
        <f>IF(Planilha1!D295="","",Planilha1!D295)</f>
        <v>122</v>
      </c>
      <c r="K298" s="10" t="str">
        <f>IF(Planilha1!E295="","",IF(Planilha1!E295=0,"",Planilha1!E295))</f>
        <v>Milwaukee Bucks</v>
      </c>
      <c r="L298" s="10">
        <f>IF(Planilha1!F295="","",Planilha1!F295)</f>
        <v>146</v>
      </c>
      <c r="M298" s="10">
        <f>IF(Planilha1!G295="","",IF(Planilha1!G295=0,"",Planilha1!G295))</f>
        <v>146</v>
      </c>
      <c r="N298" s="5">
        <f t="shared" si="39"/>
        <v>1</v>
      </c>
      <c r="O298" s="5">
        <f t="shared" si="40"/>
        <v>0</v>
      </c>
      <c r="P298" s="5">
        <f t="shared" si="33"/>
        <v>0</v>
      </c>
      <c r="Q298" s="5">
        <f t="shared" si="34"/>
        <v>2</v>
      </c>
      <c r="R298" s="7">
        <f t="shared" si="35"/>
        <v>0</v>
      </c>
      <c r="S298" s="7">
        <f t="shared" si="36"/>
        <v>0</v>
      </c>
      <c r="T298" s="3">
        <f t="shared" si="37"/>
        <v>1</v>
      </c>
      <c r="V298" s="1" t="e">
        <f t="shared" si="38"/>
        <v>#DIV/0!</v>
      </c>
    </row>
    <row r="299" spans="8:22" x14ac:dyDescent="0.3">
      <c r="H299" s="10" t="str">
        <f>IF(Planilha1!B296="","",Planilha1!B296)</f>
        <v>10:00p</v>
      </c>
      <c r="I299" s="10" t="str">
        <f>IF(Planilha1!C296="","",Planilha1!C296)</f>
        <v>Phoenix Suns</v>
      </c>
      <c r="J299" s="10">
        <f>IF(Planilha1!D296="","",Planilha1!D296)</f>
        <v>103</v>
      </c>
      <c r="K299" s="10" t="str">
        <f>IF(Planilha1!E296="","",IF(Planilha1!E296=0,"",Planilha1!E296))</f>
        <v>Los Angeles Lakers</v>
      </c>
      <c r="L299" s="10">
        <f>IF(Planilha1!F296="","",Planilha1!F296)</f>
        <v>106</v>
      </c>
      <c r="M299" s="10">
        <f>IF(Planilha1!G296="","",IF(Planilha1!G296=0,"",Planilha1!G296))</f>
        <v>106</v>
      </c>
      <c r="N299" s="5">
        <f t="shared" si="39"/>
        <v>1</v>
      </c>
      <c r="O299" s="5">
        <f t="shared" si="40"/>
        <v>0</v>
      </c>
      <c r="P299" s="5">
        <f t="shared" si="33"/>
        <v>0</v>
      </c>
      <c r="Q299" s="5">
        <f t="shared" si="34"/>
        <v>2</v>
      </c>
      <c r="R299" s="7">
        <f t="shared" si="35"/>
        <v>0</v>
      </c>
      <c r="S299" s="7">
        <f t="shared" si="36"/>
        <v>0</v>
      </c>
      <c r="T299" s="3">
        <f t="shared" si="37"/>
        <v>1</v>
      </c>
      <c r="V299" s="1" t="e">
        <f t="shared" si="38"/>
        <v>#DIV/0!</v>
      </c>
    </row>
    <row r="300" spans="8:22" x14ac:dyDescent="0.3">
      <c r="H300" s="10" t="str">
        <f>IF(Planilha1!B297="","",Planilha1!B297)</f>
        <v>7:00p</v>
      </c>
      <c r="I300" s="10" t="str">
        <f>IF(Planilha1!C297="","",Planilha1!C297)</f>
        <v>Orlando Magic</v>
      </c>
      <c r="J300" s="10">
        <f>IF(Planilha1!D297="","",Planilha1!D297)</f>
        <v>111</v>
      </c>
      <c r="K300" s="10" t="str">
        <f>IF(Planilha1!E297="","",IF(Planilha1!E297=0,"",Planilha1!E297))</f>
        <v>Cleveland Cavaliers</v>
      </c>
      <c r="L300" s="10">
        <f>IF(Planilha1!F297="","",Planilha1!F297)</f>
        <v>121</v>
      </c>
      <c r="M300" s="10">
        <f>IF(Planilha1!G297="","",IF(Planilha1!G297=0,"",Planilha1!G297))</f>
        <v>121</v>
      </c>
      <c r="N300" s="5">
        <f t="shared" si="39"/>
        <v>1</v>
      </c>
      <c r="O300" s="5">
        <f t="shared" si="40"/>
        <v>0</v>
      </c>
      <c r="P300" s="5">
        <f t="shared" si="33"/>
        <v>0</v>
      </c>
      <c r="Q300" s="5">
        <f t="shared" si="34"/>
        <v>2</v>
      </c>
      <c r="R300" s="7">
        <f t="shared" si="35"/>
        <v>0</v>
      </c>
      <c r="S300" s="7">
        <f t="shared" si="36"/>
        <v>0</v>
      </c>
      <c r="T300" s="3">
        <f t="shared" si="37"/>
        <v>1</v>
      </c>
      <c r="V300" s="1" t="e">
        <f t="shared" si="38"/>
        <v>#DIV/0!</v>
      </c>
    </row>
    <row r="301" spans="8:22" x14ac:dyDescent="0.3">
      <c r="H301" s="10" t="str">
        <f>IF(Planilha1!B298="","",Planilha1!B298)</f>
        <v>7:00p</v>
      </c>
      <c r="I301" s="10" t="str">
        <f>IF(Planilha1!C298="","",Planilha1!C298)</f>
        <v>Memphis Grizzlies</v>
      </c>
      <c r="J301" s="10">
        <f>IF(Planilha1!D298="","",Planilha1!D298)</f>
        <v>116</v>
      </c>
      <c r="K301" s="10" t="str">
        <f>IF(Planilha1!E298="","",IF(Planilha1!E298=0,"",Planilha1!E298))</f>
        <v>Detroit Pistons</v>
      </c>
      <c r="L301" s="10">
        <f>IF(Planilha1!F298="","",Planilha1!F298)</f>
        <v>102</v>
      </c>
      <c r="M301" s="10">
        <f>IF(Planilha1!G298="","",IF(Planilha1!G298=0,"",Planilha1!G298))</f>
        <v>102</v>
      </c>
      <c r="N301" s="5">
        <f t="shared" si="39"/>
        <v>1</v>
      </c>
      <c r="O301" s="5">
        <f t="shared" si="40"/>
        <v>0</v>
      </c>
      <c r="P301" s="5">
        <f t="shared" si="33"/>
        <v>0</v>
      </c>
      <c r="Q301" s="5">
        <f t="shared" si="34"/>
        <v>2</v>
      </c>
      <c r="R301" s="7">
        <f t="shared" si="35"/>
        <v>0</v>
      </c>
      <c r="S301" s="7">
        <f t="shared" si="36"/>
        <v>0</v>
      </c>
      <c r="T301" s="3">
        <f t="shared" si="37"/>
        <v>1</v>
      </c>
      <c r="V301" s="1" t="e">
        <f t="shared" si="38"/>
        <v>#DIV/0!</v>
      </c>
    </row>
    <row r="302" spans="8:22" x14ac:dyDescent="0.3">
      <c r="H302" s="10" t="str">
        <f>IF(Planilha1!B299="","",Planilha1!B299)</f>
        <v>7:00p</v>
      </c>
      <c r="I302" s="10" t="str">
        <f>IF(Planilha1!C299="","",Planilha1!C299)</f>
        <v>Philadelphia 76ers</v>
      </c>
      <c r="J302" s="10">
        <f>IF(Planilha1!D299="","",Planilha1!D299)</f>
        <v>131</v>
      </c>
      <c r="K302" s="10" t="str">
        <f>IF(Planilha1!E299="","",IF(Planilha1!E299=0,"",Planilha1!E299))</f>
        <v>Washington Wizards</v>
      </c>
      <c r="L302" s="10">
        <f>IF(Planilha1!F299="","",Planilha1!F299)</f>
        <v>126</v>
      </c>
      <c r="M302" s="10">
        <f>IF(Planilha1!G299="","",IF(Planilha1!G299=0,"",Planilha1!G299))</f>
        <v>126</v>
      </c>
      <c r="N302" s="5">
        <f t="shared" si="39"/>
        <v>1</v>
      </c>
      <c r="O302" s="5">
        <f t="shared" si="40"/>
        <v>0</v>
      </c>
      <c r="P302" s="5">
        <f t="shared" si="33"/>
        <v>0</v>
      </c>
      <c r="Q302" s="5">
        <f t="shared" si="34"/>
        <v>2</v>
      </c>
      <c r="R302" s="7">
        <f t="shared" si="35"/>
        <v>0</v>
      </c>
      <c r="S302" s="7">
        <f t="shared" si="36"/>
        <v>0</v>
      </c>
      <c r="T302" s="3">
        <f t="shared" si="37"/>
        <v>1</v>
      </c>
      <c r="V302" s="1" t="e">
        <f t="shared" si="38"/>
        <v>#DIV/0!</v>
      </c>
    </row>
    <row r="303" spans="8:22" x14ac:dyDescent="0.3">
      <c r="H303" s="10" t="str">
        <f>IF(Planilha1!B300="","",Planilha1!B300)</f>
        <v>7:30p</v>
      </c>
      <c r="I303" s="10" t="str">
        <f>IF(Planilha1!C300="","",Planilha1!C300)</f>
        <v>Brooklyn Nets</v>
      </c>
      <c r="J303" s="10">
        <f>IF(Planilha1!D300="","",Planilha1!D300)</f>
        <v>114</v>
      </c>
      <c r="K303" s="10" t="str">
        <f>IF(Planilha1!E300="","",IF(Planilha1!E300=0,"",Planilha1!E300))</f>
        <v>Atlanta Hawks</v>
      </c>
      <c r="L303" s="10">
        <f>IF(Planilha1!F300="","",Planilha1!F300)</f>
        <v>113</v>
      </c>
      <c r="M303" s="10">
        <f>IF(Planilha1!G300="","",IF(Planilha1!G300=0,"",Planilha1!G300))</f>
        <v>113</v>
      </c>
      <c r="N303" s="5">
        <f t="shared" si="39"/>
        <v>1</v>
      </c>
      <c r="O303" s="5">
        <f t="shared" si="40"/>
        <v>0</v>
      </c>
      <c r="P303" s="5">
        <f t="shared" si="33"/>
        <v>0</v>
      </c>
      <c r="Q303" s="5">
        <f t="shared" si="34"/>
        <v>2</v>
      </c>
      <c r="R303" s="7">
        <f t="shared" si="35"/>
        <v>0</v>
      </c>
      <c r="S303" s="7">
        <f t="shared" si="36"/>
        <v>0</v>
      </c>
      <c r="T303" s="3">
        <f t="shared" si="37"/>
        <v>1</v>
      </c>
      <c r="V303" s="1" t="e">
        <f t="shared" si="38"/>
        <v>#DIV/0!</v>
      </c>
    </row>
    <row r="304" spans="8:22" x14ac:dyDescent="0.3">
      <c r="H304" s="10" t="str">
        <f>IF(Planilha1!B301="","",Planilha1!B301)</f>
        <v>7:30p</v>
      </c>
      <c r="I304" s="10" t="str">
        <f>IF(Planilha1!C301="","",Planilha1!C301)</f>
        <v>San Antonio Spurs</v>
      </c>
      <c r="J304" s="10">
        <f>IF(Planilha1!D301="","",Planilha1!D301)</f>
        <v>94</v>
      </c>
      <c r="K304" s="10" t="str">
        <f>IF(Planilha1!E301="","",IF(Planilha1!E301=0,"",Planilha1!E301))</f>
        <v>Minnesota Timberwolves</v>
      </c>
      <c r="L304" s="10">
        <f>IF(Planilha1!F301="","",Planilha1!F301)</f>
        <v>102</v>
      </c>
      <c r="M304" s="10">
        <f>IF(Planilha1!G301="","",IF(Planilha1!G301=0,"",Planilha1!G301))</f>
        <v>102</v>
      </c>
      <c r="N304" s="5">
        <f t="shared" si="39"/>
        <v>1</v>
      </c>
      <c r="O304" s="5">
        <f t="shared" si="40"/>
        <v>0</v>
      </c>
      <c r="P304" s="5">
        <f t="shared" si="33"/>
        <v>0</v>
      </c>
      <c r="Q304" s="5">
        <f t="shared" si="34"/>
        <v>2</v>
      </c>
      <c r="R304" s="7">
        <f t="shared" si="35"/>
        <v>0</v>
      </c>
      <c r="S304" s="7">
        <f t="shared" si="36"/>
        <v>0</v>
      </c>
      <c r="T304" s="3">
        <f t="shared" si="37"/>
        <v>1</v>
      </c>
      <c r="V304" s="1" t="e">
        <f t="shared" si="38"/>
        <v>#DIV/0!</v>
      </c>
    </row>
    <row r="305" spans="8:22" x14ac:dyDescent="0.3">
      <c r="H305" s="10" t="str">
        <f>IF(Planilha1!B302="","",Planilha1!B302)</f>
        <v>7:30p</v>
      </c>
      <c r="I305" s="10" t="str">
        <f>IF(Planilha1!C302="","",Planilha1!C302)</f>
        <v>Miami Heat</v>
      </c>
      <c r="J305" s="10">
        <f>IF(Planilha1!D302="","",Planilha1!D302)</f>
        <v>112</v>
      </c>
      <c r="K305" s="10" t="str">
        <f>IF(Planilha1!E302="","",IF(Planilha1!E302=0,"",Planilha1!E302))</f>
        <v>Toronto Raptors</v>
      </c>
      <c r="L305" s="10">
        <f>IF(Planilha1!F302="","",Planilha1!F302)</f>
        <v>103</v>
      </c>
      <c r="M305" s="10">
        <f>IF(Planilha1!G302="","",IF(Planilha1!G302=0,"",Planilha1!G302))</f>
        <v>103</v>
      </c>
      <c r="N305" s="5">
        <f t="shared" si="39"/>
        <v>1</v>
      </c>
      <c r="O305" s="5">
        <f t="shared" si="40"/>
        <v>0</v>
      </c>
      <c r="P305" s="5">
        <f t="shared" si="33"/>
        <v>0</v>
      </c>
      <c r="Q305" s="5">
        <f t="shared" si="34"/>
        <v>2</v>
      </c>
      <c r="R305" s="7">
        <f t="shared" si="35"/>
        <v>0</v>
      </c>
      <c r="S305" s="7">
        <f t="shared" si="36"/>
        <v>0</v>
      </c>
      <c r="T305" s="3">
        <f t="shared" si="37"/>
        <v>1</v>
      </c>
      <c r="V305" s="1" t="e">
        <f t="shared" si="38"/>
        <v>#DIV/0!</v>
      </c>
    </row>
    <row r="306" spans="8:22" x14ac:dyDescent="0.3">
      <c r="H306" s="10" t="str">
        <f>IF(Planilha1!B303="","",Planilha1!B303)</f>
        <v>8:00p</v>
      </c>
      <c r="I306" s="10" t="str">
        <f>IF(Planilha1!C303="","",Planilha1!C303)</f>
        <v>Charlotte Hornets</v>
      </c>
      <c r="J306" s="10">
        <f>IF(Planilha1!D303="","",Planilha1!D303)</f>
        <v>100</v>
      </c>
      <c r="K306" s="10" t="str">
        <f>IF(Planilha1!E303="","",IF(Planilha1!E303=0,"",Planilha1!E303))</f>
        <v>Chicago Bulls</v>
      </c>
      <c r="L306" s="10">
        <f>IF(Planilha1!F303="","",Planilha1!F303)</f>
        <v>111</v>
      </c>
      <c r="M306" s="10">
        <f>IF(Planilha1!G303="","",IF(Planilha1!G303=0,"",Planilha1!G303))</f>
        <v>111</v>
      </c>
      <c r="N306" s="5">
        <f t="shared" si="39"/>
        <v>1</v>
      </c>
      <c r="O306" s="5">
        <f t="shared" si="40"/>
        <v>0</v>
      </c>
      <c r="P306" s="5">
        <f t="shared" si="33"/>
        <v>0</v>
      </c>
      <c r="Q306" s="5">
        <f t="shared" si="34"/>
        <v>2</v>
      </c>
      <c r="R306" s="7">
        <f t="shared" si="35"/>
        <v>0</v>
      </c>
      <c r="S306" s="7">
        <f t="shared" si="36"/>
        <v>0</v>
      </c>
      <c r="T306" s="3">
        <f t="shared" si="37"/>
        <v>1</v>
      </c>
      <c r="V306" s="1" t="e">
        <f t="shared" si="38"/>
        <v>#DIV/0!</v>
      </c>
    </row>
    <row r="307" spans="8:22" x14ac:dyDescent="0.3">
      <c r="H307" s="10" t="str">
        <f>IF(Planilha1!B304="","",Planilha1!B304)</f>
        <v>8:00p</v>
      </c>
      <c r="I307" s="10" t="str">
        <f>IF(Planilha1!C304="","",Planilha1!C304)</f>
        <v>Oklahoma City Thunder</v>
      </c>
      <c r="J307" s="10">
        <f>IF(Planilha1!D304="","",Planilha1!D304)</f>
        <v>101</v>
      </c>
      <c r="K307" s="10" t="str">
        <f>IF(Planilha1!E304="","",IF(Planilha1!E304=0,"",Planilha1!E304))</f>
        <v>Houston Rockets</v>
      </c>
      <c r="L307" s="10">
        <f>IF(Planilha1!F304="","",Planilha1!F304)</f>
        <v>110</v>
      </c>
      <c r="M307" s="10">
        <f>IF(Planilha1!G304="","",IF(Planilha1!G304=0,"",Planilha1!G304))</f>
        <v>110</v>
      </c>
      <c r="N307" s="5">
        <f t="shared" si="39"/>
        <v>1</v>
      </c>
      <c r="O307" s="5">
        <f t="shared" si="40"/>
        <v>0</v>
      </c>
      <c r="P307" s="5">
        <f t="shared" si="33"/>
        <v>0</v>
      </c>
      <c r="Q307" s="5">
        <f t="shared" si="34"/>
        <v>2</v>
      </c>
      <c r="R307" s="7">
        <f t="shared" si="35"/>
        <v>0</v>
      </c>
      <c r="S307" s="7">
        <f t="shared" si="36"/>
        <v>0</v>
      </c>
      <c r="T307" s="3">
        <f t="shared" si="37"/>
        <v>1</v>
      </c>
      <c r="V307" s="1" t="e">
        <f t="shared" si="38"/>
        <v>#DIV/0!</v>
      </c>
    </row>
    <row r="308" spans="8:22" x14ac:dyDescent="0.3">
      <c r="H308" s="10" t="str">
        <f>IF(Planilha1!B305="","",Planilha1!B305)</f>
        <v>8:30p</v>
      </c>
      <c r="I308" s="10" t="str">
        <f>IF(Planilha1!C305="","",Planilha1!C305)</f>
        <v>Utah Jazz</v>
      </c>
      <c r="J308" s="10">
        <f>IF(Planilha1!D305="","",Planilha1!D305)</f>
        <v>97</v>
      </c>
      <c r="K308" s="10" t="str">
        <f>IF(Planilha1!E305="","",IF(Planilha1!E305=0,"",Planilha1!E305))</f>
        <v>Dallas Mavericks</v>
      </c>
      <c r="L308" s="10">
        <f>IF(Planilha1!F305="","",Planilha1!F305)</f>
        <v>147</v>
      </c>
      <c r="M308" s="10">
        <f>IF(Planilha1!G305="","",IF(Planilha1!G305=0,"",Planilha1!G305))</f>
        <v>147</v>
      </c>
      <c r="N308" s="5">
        <f t="shared" si="39"/>
        <v>1</v>
      </c>
      <c r="O308" s="5">
        <f t="shared" si="40"/>
        <v>0</v>
      </c>
      <c r="P308" s="5">
        <f t="shared" si="33"/>
        <v>0</v>
      </c>
      <c r="Q308" s="5">
        <f t="shared" si="34"/>
        <v>2</v>
      </c>
      <c r="R308" s="7">
        <f t="shared" si="35"/>
        <v>0</v>
      </c>
      <c r="S308" s="7">
        <f t="shared" si="36"/>
        <v>0</v>
      </c>
      <c r="T308" s="3">
        <f t="shared" si="37"/>
        <v>1</v>
      </c>
      <c r="V308" s="1" t="e">
        <f t="shared" si="38"/>
        <v>#DIV/0!</v>
      </c>
    </row>
    <row r="309" spans="8:22" x14ac:dyDescent="0.3">
      <c r="H309" s="10" t="str">
        <f>IF(Planilha1!B306="","",Planilha1!B306)</f>
        <v>10:00p</v>
      </c>
      <c r="I309" s="10" t="str">
        <f>IF(Planilha1!C306="","",Planilha1!C306)</f>
        <v>Portland Trail Blazers</v>
      </c>
      <c r="J309" s="10">
        <f>IF(Planilha1!D306="","",Planilha1!D306)</f>
        <v>106</v>
      </c>
      <c r="K309" s="10" t="str">
        <f>IF(Planilha1!E306="","",IF(Planilha1!E306=0,"",Planilha1!E306))</f>
        <v>Golden State Warriors</v>
      </c>
      <c r="L309" s="10">
        <f>IF(Planilha1!F306="","",Planilha1!F306)</f>
        <v>110</v>
      </c>
      <c r="M309" s="10">
        <f>IF(Planilha1!G306="","",IF(Planilha1!G306=0,"",Planilha1!G306))</f>
        <v>110</v>
      </c>
      <c r="N309" s="5">
        <f t="shared" si="39"/>
        <v>1</v>
      </c>
      <c r="O309" s="5">
        <f t="shared" si="40"/>
        <v>0</v>
      </c>
      <c r="P309" s="5">
        <f t="shared" si="33"/>
        <v>0</v>
      </c>
      <c r="Q309" s="5">
        <f t="shared" si="34"/>
        <v>2</v>
      </c>
      <c r="R309" s="7">
        <f t="shared" si="35"/>
        <v>0</v>
      </c>
      <c r="S309" s="7">
        <f t="shared" si="36"/>
        <v>0</v>
      </c>
      <c r="T309" s="3">
        <f t="shared" si="37"/>
        <v>1</v>
      </c>
      <c r="V309" s="1" t="e">
        <f t="shared" si="38"/>
        <v>#DIV/0!</v>
      </c>
    </row>
    <row r="310" spans="8:22" x14ac:dyDescent="0.3">
      <c r="H310" s="10" t="str">
        <f>IF(Planilha1!B307="","",Planilha1!B307)</f>
        <v>10:00p</v>
      </c>
      <c r="I310" s="10" t="str">
        <f>IF(Planilha1!C307="","",Planilha1!C307)</f>
        <v>Denver Nuggets</v>
      </c>
      <c r="J310" s="10">
        <f>IF(Planilha1!D307="","",Planilha1!D307)</f>
        <v>102</v>
      </c>
      <c r="K310" s="10" t="str">
        <f>IF(Planilha1!E307="","",IF(Planilha1!E307=0,"",Planilha1!E307))</f>
        <v>Los Angeles Clippers</v>
      </c>
      <c r="L310" s="10">
        <f>IF(Planilha1!F307="","",Planilha1!F307)</f>
        <v>111</v>
      </c>
      <c r="M310" s="10">
        <f>IF(Planilha1!G307="","",IF(Planilha1!G307=0,"",Planilha1!G307))</f>
        <v>111</v>
      </c>
      <c r="N310" s="5">
        <f t="shared" si="39"/>
        <v>1</v>
      </c>
      <c r="O310" s="5">
        <f t="shared" si="40"/>
        <v>0</v>
      </c>
      <c r="P310" s="5">
        <f t="shared" si="33"/>
        <v>0</v>
      </c>
      <c r="Q310" s="5">
        <f t="shared" si="34"/>
        <v>2</v>
      </c>
      <c r="R310" s="7">
        <f t="shared" si="35"/>
        <v>0</v>
      </c>
      <c r="S310" s="7">
        <f t="shared" si="36"/>
        <v>0</v>
      </c>
      <c r="T310" s="3">
        <f t="shared" si="37"/>
        <v>1</v>
      </c>
      <c r="V310" s="1" t="e">
        <f t="shared" si="38"/>
        <v>#DIV/0!</v>
      </c>
    </row>
    <row r="311" spans="8:22" x14ac:dyDescent="0.3">
      <c r="H311" s="10" t="str">
        <f>IF(Planilha1!B308="","",Planilha1!B308)</f>
        <v>5:00p</v>
      </c>
      <c r="I311" s="10" t="str">
        <f>IF(Planilha1!C308="","",Planilha1!C308)</f>
        <v>Indiana Pacers</v>
      </c>
      <c r="J311" s="10">
        <f>IF(Planilha1!D308="","",Planilha1!D308)</f>
        <v>128</v>
      </c>
      <c r="K311" s="10" t="str">
        <f>IF(Planilha1!E308="","",IF(Planilha1!E308=0,"",Planilha1!E308))</f>
        <v>Milwaukee Bucks</v>
      </c>
      <c r="L311" s="10">
        <f>IF(Planilha1!F308="","",Planilha1!F308)</f>
        <v>119</v>
      </c>
      <c r="M311" s="10">
        <f>IF(Planilha1!G308="","",IF(Planilha1!G308=0,"",Planilha1!G308))</f>
        <v>119</v>
      </c>
      <c r="N311" s="5">
        <f t="shared" si="39"/>
        <v>1</v>
      </c>
      <c r="O311" s="5">
        <f t="shared" si="40"/>
        <v>0</v>
      </c>
      <c r="P311" s="5">
        <f t="shared" si="33"/>
        <v>0</v>
      </c>
      <c r="Q311" s="5">
        <f t="shared" si="34"/>
        <v>2</v>
      </c>
      <c r="R311" s="7">
        <f t="shared" si="35"/>
        <v>0</v>
      </c>
      <c r="S311" s="7">
        <f t="shared" si="36"/>
        <v>0</v>
      </c>
      <c r="T311" s="3">
        <f t="shared" si="37"/>
        <v>1</v>
      </c>
      <c r="V311" s="1" t="e">
        <f t="shared" si="38"/>
        <v>#DIV/0!</v>
      </c>
    </row>
    <row r="312" spans="8:22" x14ac:dyDescent="0.3">
      <c r="H312" s="10" t="str">
        <f>IF(Planilha1!B309="","",Planilha1!B309)</f>
        <v>9:00p</v>
      </c>
      <c r="I312" s="10" t="str">
        <f>IF(Planilha1!C309="","",Planilha1!C309)</f>
        <v>New Orleans Pelicans</v>
      </c>
      <c r="J312" s="10">
        <f>IF(Planilha1!D309="","",Planilha1!D309)</f>
        <v>89</v>
      </c>
      <c r="K312" s="10" t="str">
        <f>IF(Planilha1!E309="","",IF(Planilha1!E309=0,"",Planilha1!E309))</f>
        <v>Los Angeles Lakers</v>
      </c>
      <c r="L312" s="10">
        <f>IF(Planilha1!F309="","",Planilha1!F309)</f>
        <v>133</v>
      </c>
      <c r="M312" s="10">
        <f>IF(Planilha1!G309="","",IF(Planilha1!G309=0,"",Planilha1!G309))</f>
        <v>133</v>
      </c>
      <c r="N312" s="5">
        <f t="shared" si="39"/>
        <v>1</v>
      </c>
      <c r="O312" s="5">
        <f t="shared" si="40"/>
        <v>0</v>
      </c>
      <c r="P312" s="5">
        <f t="shared" si="33"/>
        <v>0</v>
      </c>
      <c r="Q312" s="5">
        <f t="shared" si="34"/>
        <v>2</v>
      </c>
      <c r="R312" s="7">
        <f t="shared" si="35"/>
        <v>0</v>
      </c>
      <c r="S312" s="7">
        <f t="shared" si="36"/>
        <v>0</v>
      </c>
      <c r="T312" s="3">
        <f t="shared" si="37"/>
        <v>1</v>
      </c>
      <c r="V312" s="1" t="e">
        <f t="shared" si="38"/>
        <v>#DIV/0!</v>
      </c>
    </row>
    <row r="313" spans="8:22" x14ac:dyDescent="0.3">
      <c r="H313" s="10" t="str">
        <f>IF(Planilha1!B310="","",Planilha1!B310)</f>
        <v>7:00p</v>
      </c>
      <c r="I313" s="10" t="str">
        <f>IF(Planilha1!C310="","",Planilha1!C310)</f>
        <v>Toronto Raptors</v>
      </c>
      <c r="J313" s="10">
        <f>IF(Planilha1!D310="","",Planilha1!D310)</f>
        <v>116</v>
      </c>
      <c r="K313" s="10" t="str">
        <f>IF(Planilha1!E310="","",IF(Planilha1!E310=0,"",Planilha1!E310))</f>
        <v>Charlotte Hornets</v>
      </c>
      <c r="L313" s="10">
        <f>IF(Planilha1!F310="","",Planilha1!F310)</f>
        <v>119</v>
      </c>
      <c r="M313" s="10">
        <f>IF(Planilha1!G310="","",IF(Planilha1!G310=0,"",Planilha1!G310))</f>
        <v>119</v>
      </c>
      <c r="N313" s="5">
        <f t="shared" si="39"/>
        <v>1</v>
      </c>
      <c r="O313" s="5">
        <f t="shared" si="40"/>
        <v>0</v>
      </c>
      <c r="P313" s="5">
        <f t="shared" si="33"/>
        <v>0</v>
      </c>
      <c r="Q313" s="5">
        <f t="shared" si="34"/>
        <v>2</v>
      </c>
      <c r="R313" s="7">
        <f t="shared" si="35"/>
        <v>0</v>
      </c>
      <c r="S313" s="7">
        <f t="shared" si="36"/>
        <v>0</v>
      </c>
      <c r="T313" s="3">
        <f t="shared" si="37"/>
        <v>1</v>
      </c>
      <c r="V313" s="1" t="e">
        <f t="shared" si="38"/>
        <v>#DIV/0!</v>
      </c>
    </row>
    <row r="314" spans="8:22" x14ac:dyDescent="0.3">
      <c r="H314" s="10" t="str">
        <f>IF(Planilha1!B311="","",Planilha1!B311)</f>
        <v>7:00p</v>
      </c>
      <c r="I314" s="10" t="str">
        <f>IF(Planilha1!C311="","",Planilha1!C311)</f>
        <v>Detroit Pistons</v>
      </c>
      <c r="J314" s="10">
        <f>IF(Planilha1!D311="","",Planilha1!D311)</f>
        <v>91</v>
      </c>
      <c r="K314" s="10" t="str">
        <f>IF(Planilha1!E311="","",IF(Planilha1!E311=0,"",Planilha1!E311))</f>
        <v>Orlando Magic</v>
      </c>
      <c r="L314" s="10">
        <f>IF(Planilha1!F311="","",Planilha1!F311)</f>
        <v>123</v>
      </c>
      <c r="M314" s="10">
        <f>IF(Planilha1!G311="","",IF(Planilha1!G311=0,"",Planilha1!G311))</f>
        <v>123</v>
      </c>
      <c r="N314" s="5">
        <f t="shared" si="39"/>
        <v>1</v>
      </c>
      <c r="O314" s="5">
        <f t="shared" si="40"/>
        <v>0</v>
      </c>
      <c r="P314" s="5">
        <f t="shared" si="33"/>
        <v>0</v>
      </c>
      <c r="Q314" s="5">
        <f t="shared" si="34"/>
        <v>2</v>
      </c>
      <c r="R314" s="7">
        <f t="shared" si="35"/>
        <v>0</v>
      </c>
      <c r="S314" s="7">
        <f t="shared" si="36"/>
        <v>0</v>
      </c>
      <c r="T314" s="3">
        <f t="shared" si="37"/>
        <v>1</v>
      </c>
      <c r="V314" s="1" t="e">
        <f t="shared" si="38"/>
        <v>#DIV/0!</v>
      </c>
    </row>
    <row r="315" spans="8:22" x14ac:dyDescent="0.3">
      <c r="H315" s="10" t="str">
        <f>IF(Planilha1!B312="","",Planilha1!B312)</f>
        <v>7:00p</v>
      </c>
      <c r="I315" s="10" t="str">
        <f>IF(Planilha1!C312="","",Planilha1!C312)</f>
        <v>Atlanta Hawks</v>
      </c>
      <c r="J315" s="10">
        <f>IF(Planilha1!D312="","",Planilha1!D312)</f>
        <v>114</v>
      </c>
      <c r="K315" s="10" t="str">
        <f>IF(Planilha1!E312="","",IF(Planilha1!E312=0,"",Planilha1!E312))</f>
        <v>Philadelphia 76ers</v>
      </c>
      <c r="L315" s="10">
        <f>IF(Planilha1!F312="","",Planilha1!F312)</f>
        <v>125</v>
      </c>
      <c r="M315" s="10">
        <f>IF(Planilha1!G312="","",IF(Planilha1!G312=0,"",Planilha1!G312))</f>
        <v>125</v>
      </c>
      <c r="N315" s="5">
        <f t="shared" si="39"/>
        <v>1</v>
      </c>
      <c r="O315" s="5">
        <f t="shared" si="40"/>
        <v>0</v>
      </c>
      <c r="P315" s="5">
        <f t="shared" si="33"/>
        <v>0</v>
      </c>
      <c r="Q315" s="5">
        <f t="shared" si="34"/>
        <v>2</v>
      </c>
      <c r="R315" s="7">
        <f t="shared" si="35"/>
        <v>0</v>
      </c>
      <c r="S315" s="7">
        <f t="shared" si="36"/>
        <v>0</v>
      </c>
      <c r="T315" s="3">
        <f t="shared" si="37"/>
        <v>1</v>
      </c>
      <c r="V315" s="1" t="e">
        <f t="shared" si="38"/>
        <v>#DIV/0!</v>
      </c>
    </row>
    <row r="316" spans="8:22" x14ac:dyDescent="0.3">
      <c r="H316" s="10" t="str">
        <f>IF(Planilha1!B313="","",Planilha1!B313)</f>
        <v>7:30p</v>
      </c>
      <c r="I316" s="10" t="str">
        <f>IF(Planilha1!C313="","",Planilha1!C313)</f>
        <v>New York Knicks</v>
      </c>
      <c r="J316" s="10">
        <f>IF(Planilha1!D313="","",Planilha1!D313)</f>
        <v>123</v>
      </c>
      <c r="K316" s="10" t="str">
        <f>IF(Planilha1!E313="","",IF(Planilha1!E313=0,"",Planilha1!E313))</f>
        <v>Boston Celtics</v>
      </c>
      <c r="L316" s="10">
        <f>IF(Planilha1!F313="","",Planilha1!F313)</f>
        <v>133</v>
      </c>
      <c r="M316" s="10">
        <f>IF(Planilha1!G313="","",IF(Planilha1!G313=0,"",Planilha1!G313))</f>
        <v>133</v>
      </c>
      <c r="N316" s="5">
        <f t="shared" si="39"/>
        <v>1</v>
      </c>
      <c r="O316" s="5">
        <f t="shared" si="40"/>
        <v>0</v>
      </c>
      <c r="P316" s="5">
        <f t="shared" si="33"/>
        <v>0</v>
      </c>
      <c r="Q316" s="5">
        <f t="shared" si="34"/>
        <v>2</v>
      </c>
      <c r="R316" s="7">
        <f t="shared" si="35"/>
        <v>0</v>
      </c>
      <c r="S316" s="7">
        <f t="shared" si="36"/>
        <v>0</v>
      </c>
      <c r="T316" s="3">
        <f t="shared" si="37"/>
        <v>1</v>
      </c>
      <c r="V316" s="1" t="e">
        <f t="shared" si="38"/>
        <v>#DIV/0!</v>
      </c>
    </row>
    <row r="317" spans="8:22" x14ac:dyDescent="0.3">
      <c r="H317" s="10" t="str">
        <f>IF(Planilha1!B314="","",Planilha1!B314)</f>
        <v>7:30p</v>
      </c>
      <c r="I317" s="10" t="str">
        <f>IF(Planilha1!C314="","",Planilha1!C314)</f>
        <v>Washington Wizards</v>
      </c>
      <c r="J317" s="10">
        <f>IF(Planilha1!D314="","",Planilha1!D314)</f>
        <v>97</v>
      </c>
      <c r="K317" s="10" t="str">
        <f>IF(Planilha1!E314="","",IF(Planilha1!E314=0,"",Planilha1!E314))</f>
        <v>Brooklyn Nets</v>
      </c>
      <c r="L317" s="10">
        <f>IF(Planilha1!F314="","",Planilha1!F314)</f>
        <v>124</v>
      </c>
      <c r="M317" s="10">
        <f>IF(Planilha1!G314="","",IF(Planilha1!G314=0,"",Planilha1!G314))</f>
        <v>124</v>
      </c>
      <c r="N317" s="5">
        <f t="shared" si="39"/>
        <v>1</v>
      </c>
      <c r="O317" s="5">
        <f t="shared" si="40"/>
        <v>0</v>
      </c>
      <c r="P317" s="5">
        <f t="shared" si="33"/>
        <v>0</v>
      </c>
      <c r="Q317" s="5">
        <f t="shared" si="34"/>
        <v>2</v>
      </c>
      <c r="R317" s="7">
        <f t="shared" si="35"/>
        <v>0</v>
      </c>
      <c r="S317" s="7">
        <f t="shared" si="36"/>
        <v>0</v>
      </c>
      <c r="T317" s="3">
        <f t="shared" si="37"/>
        <v>1</v>
      </c>
      <c r="V317" s="1" t="e">
        <f t="shared" si="38"/>
        <v>#DIV/0!</v>
      </c>
    </row>
    <row r="318" spans="8:22" x14ac:dyDescent="0.3">
      <c r="H318" s="10" t="str">
        <f>IF(Planilha1!B315="","",Planilha1!B315)</f>
        <v>8:00p</v>
      </c>
      <c r="I318" s="10" t="str">
        <f>IF(Planilha1!C315="","",Planilha1!C315)</f>
        <v>Minnesota Timberwolves</v>
      </c>
      <c r="J318" s="10">
        <f>IF(Planilha1!D315="","",Planilha1!D315)</f>
        <v>127</v>
      </c>
      <c r="K318" s="10" t="str">
        <f>IF(Planilha1!E315="","",IF(Planilha1!E315=0,"",Planilha1!E315))</f>
        <v>Memphis Grizzlies</v>
      </c>
      <c r="L318" s="10">
        <f>IF(Planilha1!F315="","",Planilha1!F315)</f>
        <v>103</v>
      </c>
      <c r="M318" s="10">
        <f>IF(Planilha1!G315="","",IF(Planilha1!G315=0,"",Planilha1!G315))</f>
        <v>103</v>
      </c>
      <c r="N318" s="5">
        <f t="shared" si="39"/>
        <v>1</v>
      </c>
      <c r="O318" s="5">
        <f t="shared" si="40"/>
        <v>0</v>
      </c>
      <c r="P318" s="5">
        <f t="shared" si="33"/>
        <v>0</v>
      </c>
      <c r="Q318" s="5">
        <f t="shared" si="34"/>
        <v>2</v>
      </c>
      <c r="R318" s="7">
        <f t="shared" si="35"/>
        <v>0</v>
      </c>
      <c r="S318" s="7">
        <f t="shared" si="36"/>
        <v>0</v>
      </c>
      <c r="T318" s="3">
        <f t="shared" si="37"/>
        <v>1</v>
      </c>
      <c r="V318" s="1" t="e">
        <f t="shared" si="38"/>
        <v>#DIV/0!</v>
      </c>
    </row>
    <row r="319" spans="8:22" x14ac:dyDescent="0.3">
      <c r="H319" s="10" t="str">
        <f>IF(Planilha1!B316="","",Planilha1!B316)</f>
        <v>8:00p</v>
      </c>
      <c r="I319" s="10" t="str">
        <f>IF(Planilha1!C316="","",Planilha1!C316)</f>
        <v>Cleveland Cavaliers</v>
      </c>
      <c r="J319" s="10">
        <f>IF(Planilha1!D316="","",Planilha1!D316)</f>
        <v>111</v>
      </c>
      <c r="K319" s="10" t="str">
        <f>IF(Planilha1!E316="","",IF(Planilha1!E316=0,"",Planilha1!E316))</f>
        <v>Miami Heat</v>
      </c>
      <c r="L319" s="10">
        <f>IF(Planilha1!F316="","",Planilha1!F316)</f>
        <v>99</v>
      </c>
      <c r="M319" s="10">
        <f>IF(Planilha1!G316="","",IF(Planilha1!G316=0,"",Planilha1!G316))</f>
        <v>99</v>
      </c>
      <c r="N319" s="5">
        <f t="shared" si="39"/>
        <v>1</v>
      </c>
      <c r="O319" s="5">
        <f t="shared" si="40"/>
        <v>0</v>
      </c>
      <c r="P319" s="5">
        <f t="shared" si="33"/>
        <v>0</v>
      </c>
      <c r="Q319" s="5">
        <f t="shared" si="34"/>
        <v>2</v>
      </c>
      <c r="R319" s="7">
        <f t="shared" si="35"/>
        <v>0</v>
      </c>
      <c r="S319" s="7">
        <f t="shared" si="36"/>
        <v>0</v>
      </c>
      <c r="T319" s="3">
        <f t="shared" si="37"/>
        <v>1</v>
      </c>
      <c r="V319" s="1" t="e">
        <f t="shared" si="38"/>
        <v>#DIV/0!</v>
      </c>
    </row>
    <row r="320" spans="8:22" x14ac:dyDescent="0.3">
      <c r="H320" s="10" t="str">
        <f>IF(Planilha1!B317="","",Planilha1!B317)</f>
        <v>8:00p</v>
      </c>
      <c r="I320" s="10" t="str">
        <f>IF(Planilha1!C317="","",Planilha1!C317)</f>
        <v>Golden State Warriors</v>
      </c>
      <c r="J320" s="10">
        <f>IF(Planilha1!D317="","",Planilha1!D317)</f>
        <v>136</v>
      </c>
      <c r="K320" s="10" t="str">
        <f>IF(Planilha1!E317="","",IF(Planilha1!E317=0,"",Planilha1!E317))</f>
        <v>Oklahoma City Thunder</v>
      </c>
      <c r="L320" s="10">
        <f>IF(Planilha1!F317="","",Planilha1!F317)</f>
        <v>138</v>
      </c>
      <c r="M320" s="10">
        <f>IF(Planilha1!G317="","",IF(Planilha1!G317=0,"",Planilha1!G317))</f>
        <v>138</v>
      </c>
      <c r="N320" s="5">
        <f t="shared" si="39"/>
        <v>1</v>
      </c>
      <c r="O320" s="5">
        <f t="shared" si="40"/>
        <v>0</v>
      </c>
      <c r="P320" s="5">
        <f t="shared" si="33"/>
        <v>0</v>
      </c>
      <c r="Q320" s="5">
        <f t="shared" si="34"/>
        <v>2</v>
      </c>
      <c r="R320" s="7">
        <f t="shared" si="35"/>
        <v>0</v>
      </c>
      <c r="S320" s="7">
        <f t="shared" si="36"/>
        <v>0</v>
      </c>
      <c r="T320" s="3">
        <f t="shared" si="37"/>
        <v>1</v>
      </c>
      <c r="V320" s="1" t="e">
        <f t="shared" si="38"/>
        <v>#DIV/0!</v>
      </c>
    </row>
    <row r="321" spans="8:22" x14ac:dyDescent="0.3">
      <c r="H321" s="10" t="str">
        <f>IF(Planilha1!B318="","",Planilha1!B318)</f>
        <v>8:30p</v>
      </c>
      <c r="I321" s="10" t="str">
        <f>IF(Planilha1!C318="","",Planilha1!C318)</f>
        <v>Chicago Bulls</v>
      </c>
      <c r="J321" s="10">
        <f>IF(Planilha1!D318="","",Planilha1!D318)</f>
        <v>121</v>
      </c>
      <c r="K321" s="10" t="str">
        <f>IF(Planilha1!E318="","",IF(Planilha1!E318=0,"",Planilha1!E318))</f>
        <v>San Antonio Spurs</v>
      </c>
      <c r="L321" s="10">
        <f>IF(Planilha1!F318="","",Planilha1!F318)</f>
        <v>112</v>
      </c>
      <c r="M321" s="10">
        <f>IF(Planilha1!G318="","",IF(Planilha1!G318=0,"",Planilha1!G318))</f>
        <v>112</v>
      </c>
      <c r="N321" s="5">
        <f t="shared" si="39"/>
        <v>1</v>
      </c>
      <c r="O321" s="5">
        <f t="shared" si="40"/>
        <v>0</v>
      </c>
      <c r="P321" s="5">
        <f t="shared" si="33"/>
        <v>0</v>
      </c>
      <c r="Q321" s="5">
        <f t="shared" si="34"/>
        <v>2</v>
      </c>
      <c r="R321" s="7">
        <f t="shared" si="35"/>
        <v>0</v>
      </c>
      <c r="S321" s="7">
        <f t="shared" si="36"/>
        <v>0</v>
      </c>
      <c r="T321" s="3">
        <f t="shared" si="37"/>
        <v>1</v>
      </c>
      <c r="V321" s="1" t="e">
        <f t="shared" si="38"/>
        <v>#DIV/0!</v>
      </c>
    </row>
    <row r="322" spans="8:22" x14ac:dyDescent="0.3">
      <c r="H322" s="10" t="str">
        <f>IF(Planilha1!B319="","",Planilha1!B319)</f>
        <v>9:00p</v>
      </c>
      <c r="I322" s="10" t="str">
        <f>IF(Planilha1!C319="","",Planilha1!C319)</f>
        <v>Houston Rockets</v>
      </c>
      <c r="J322" s="10">
        <f>IF(Planilha1!D319="","",Planilha1!D319)</f>
        <v>114</v>
      </c>
      <c r="K322" s="10" t="str">
        <f>IF(Planilha1!E319="","",IF(Planilha1!E319=0,"",Planilha1!E319))</f>
        <v>Denver Nuggets</v>
      </c>
      <c r="L322" s="10">
        <f>IF(Planilha1!F319="","",Planilha1!F319)</f>
        <v>106</v>
      </c>
      <c r="M322" s="10">
        <f>IF(Planilha1!G319="","",IF(Planilha1!G319=0,"",Planilha1!G319))</f>
        <v>106</v>
      </c>
      <c r="N322" s="5">
        <f t="shared" si="39"/>
        <v>1</v>
      </c>
      <c r="O322" s="5">
        <f t="shared" si="40"/>
        <v>0</v>
      </c>
      <c r="P322" s="5">
        <f t="shared" si="33"/>
        <v>0</v>
      </c>
      <c r="Q322" s="5">
        <f t="shared" si="34"/>
        <v>2</v>
      </c>
      <c r="R322" s="7">
        <f t="shared" si="35"/>
        <v>0</v>
      </c>
      <c r="S322" s="7">
        <f t="shared" si="36"/>
        <v>0</v>
      </c>
      <c r="T322" s="3">
        <f t="shared" si="37"/>
        <v>1</v>
      </c>
      <c r="V322" s="1" t="e">
        <f t="shared" si="38"/>
        <v>#DIV/0!</v>
      </c>
    </row>
    <row r="323" spans="8:22" x14ac:dyDescent="0.3">
      <c r="H323" s="10" t="str">
        <f>IF(Planilha1!B320="","",Planilha1!B320)</f>
        <v>9:00p</v>
      </c>
      <c r="I323" s="10" t="str">
        <f>IF(Planilha1!C320="","",Planilha1!C320)</f>
        <v>Sacramento Kings</v>
      </c>
      <c r="J323" s="10">
        <f>IF(Planilha1!D320="","",Planilha1!D320)</f>
        <v>114</v>
      </c>
      <c r="K323" s="10" t="str">
        <f>IF(Planilha1!E320="","",IF(Planilha1!E320=0,"",Planilha1!E320))</f>
        <v>Phoenix Suns</v>
      </c>
      <c r="L323" s="10">
        <f>IF(Planilha1!F320="","",Planilha1!F320)</f>
        <v>106</v>
      </c>
      <c r="M323" s="10">
        <f>IF(Planilha1!G320="","",IF(Planilha1!G320=0,"",Planilha1!G320))</f>
        <v>106</v>
      </c>
      <c r="N323" s="5">
        <f t="shared" si="39"/>
        <v>1</v>
      </c>
      <c r="O323" s="5">
        <f t="shared" si="40"/>
        <v>0</v>
      </c>
      <c r="P323" s="5">
        <f t="shared" si="33"/>
        <v>0</v>
      </c>
      <c r="Q323" s="5">
        <f t="shared" si="34"/>
        <v>2</v>
      </c>
      <c r="R323" s="7">
        <f t="shared" si="35"/>
        <v>0</v>
      </c>
      <c r="S323" s="7">
        <f t="shared" si="36"/>
        <v>0</v>
      </c>
      <c r="T323" s="3">
        <f t="shared" si="37"/>
        <v>1</v>
      </c>
      <c r="V323" s="1" t="e">
        <f t="shared" si="38"/>
        <v>#DIV/0!</v>
      </c>
    </row>
    <row r="324" spans="8:22" x14ac:dyDescent="0.3">
      <c r="H324" s="10" t="str">
        <f>IF(Planilha1!B321="","",Planilha1!B321)</f>
        <v>10:00p</v>
      </c>
      <c r="I324" s="10" t="str">
        <f>IF(Planilha1!C321="","",Planilha1!C321)</f>
        <v>Dallas Mavericks</v>
      </c>
      <c r="J324" s="10">
        <f>IF(Planilha1!D321="","",Planilha1!D321)</f>
        <v>125</v>
      </c>
      <c r="K324" s="10" t="str">
        <f>IF(Planilha1!E321="","",IF(Planilha1!E321=0,"",Planilha1!E321))</f>
        <v>Portland Trail Blazers</v>
      </c>
      <c r="L324" s="10">
        <f>IF(Planilha1!F321="","",Planilha1!F321)</f>
        <v>112</v>
      </c>
      <c r="M324" s="10">
        <f>IF(Planilha1!G321="","",IF(Planilha1!G321=0,"",Planilha1!G321))</f>
        <v>112</v>
      </c>
      <c r="N324" s="5">
        <f t="shared" si="39"/>
        <v>1</v>
      </c>
      <c r="O324" s="5">
        <f t="shared" si="40"/>
        <v>0</v>
      </c>
      <c r="P324" s="5">
        <f t="shared" si="33"/>
        <v>0</v>
      </c>
      <c r="Q324" s="5">
        <f t="shared" si="34"/>
        <v>2</v>
      </c>
      <c r="R324" s="7">
        <f t="shared" si="35"/>
        <v>0</v>
      </c>
      <c r="S324" s="7">
        <f t="shared" si="36"/>
        <v>0</v>
      </c>
      <c r="T324" s="3">
        <f t="shared" si="37"/>
        <v>1</v>
      </c>
      <c r="V324" s="1" t="e">
        <f t="shared" si="38"/>
        <v>#DIV/0!</v>
      </c>
    </row>
    <row r="325" spans="8:22" x14ac:dyDescent="0.3">
      <c r="H325" s="10" t="str">
        <f>IF(Planilha1!B322="","",Planilha1!B322)</f>
        <v>10:00p</v>
      </c>
      <c r="I325" s="10" t="str">
        <f>IF(Planilha1!C322="","",Planilha1!C322)</f>
        <v>Los Angeles Clippers</v>
      </c>
      <c r="J325" s="10">
        <f>IF(Planilha1!D322="","",Planilha1!D322)</f>
        <v>117</v>
      </c>
      <c r="K325" s="10" t="str">
        <f>IF(Planilha1!E322="","",IF(Planilha1!E322=0,"",Planilha1!E322))</f>
        <v>Utah Jazz</v>
      </c>
      <c r="L325" s="10">
        <f>IF(Planilha1!F322="","",Planilha1!F322)</f>
        <v>103</v>
      </c>
      <c r="M325" s="10">
        <f>IF(Planilha1!G322="","",IF(Planilha1!G322=0,"",Planilha1!G322))</f>
        <v>103</v>
      </c>
      <c r="N325" s="5">
        <f t="shared" si="39"/>
        <v>1</v>
      </c>
      <c r="O325" s="5">
        <f t="shared" si="40"/>
        <v>0</v>
      </c>
      <c r="P325" s="5">
        <f t="shared" ref="P325:P388" si="41">IF(M325="",IF(R325&gt;S325,2,0),IF(K325&lt;M325,2,0))</f>
        <v>0</v>
      </c>
      <c r="Q325" s="5">
        <f t="shared" ref="Q325:Q388" si="42">IF(M325="",IF(R325&gt;S325,0,2),IF(K325&gt;M325,2,0))</f>
        <v>2</v>
      </c>
      <c r="R325" s="7">
        <f t="shared" ref="R325:R388" si="43">SUMIF($B:$B,J325,$C:$C)+(SUMIF($B:$B,L325,$F:$F))</f>
        <v>0</v>
      </c>
      <c r="S325" s="7">
        <f t="shared" ref="S325:S388" si="44">SUMIF($B:$B,L325,$E:$E)+(SUMIF($B:$B,J325,$D:$D))</f>
        <v>0</v>
      </c>
      <c r="T325" s="3">
        <f t="shared" ref="T325:T388" si="45">IF(M325="","",(N325-S325)^2+(O325-R325)^2)</f>
        <v>1</v>
      </c>
      <c r="V325" s="1" t="e">
        <f t="shared" ref="V325:V388" si="46">IF(O325="","",1/((O325-N325)/(R325-S325)))</f>
        <v>#DIV/0!</v>
      </c>
    </row>
    <row r="326" spans="8:22" x14ac:dyDescent="0.3">
      <c r="H326" s="10" t="str">
        <f>IF(Planilha1!B323="","",Planilha1!B323)</f>
        <v>8:30p</v>
      </c>
      <c r="I326" s="10" t="str">
        <f>IF(Planilha1!C323="","",Planilha1!C323)</f>
        <v>Indiana Pacers</v>
      </c>
      <c r="J326" s="10">
        <f>IF(Planilha1!D323="","",Planilha1!D323)</f>
        <v>109</v>
      </c>
      <c r="K326" s="10" t="str">
        <f>IF(Planilha1!E323="","",IF(Planilha1!E323=0,"",Planilha1!E323))</f>
        <v>Los Angeles Lakers</v>
      </c>
      <c r="L326" s="10">
        <f>IF(Planilha1!F323="","",Planilha1!F323)</f>
        <v>123</v>
      </c>
      <c r="M326" s="10">
        <f>IF(Planilha1!G323="","",IF(Planilha1!G323=0,"",Planilha1!G323))</f>
        <v>123</v>
      </c>
      <c r="N326" s="5">
        <f t="shared" ref="N326:N389" si="47">IF(K326="","",IF(K326&gt;M326,100%,0%))</f>
        <v>1</v>
      </c>
      <c r="O326" s="5">
        <f t="shared" ref="O326:O389" si="48">IF(K326="","",IF(K326&lt;M326,100%,0%))</f>
        <v>0</v>
      </c>
      <c r="P326" s="5">
        <f t="shared" si="41"/>
        <v>0</v>
      </c>
      <c r="Q326" s="5">
        <f t="shared" si="42"/>
        <v>2</v>
      </c>
      <c r="R326" s="7">
        <f t="shared" si="43"/>
        <v>0</v>
      </c>
      <c r="S326" s="7">
        <f t="shared" si="44"/>
        <v>0</v>
      </c>
      <c r="T326" s="3">
        <f t="shared" si="45"/>
        <v>1</v>
      </c>
      <c r="V326" s="1" t="e">
        <f t="shared" si="46"/>
        <v>#DIV/0!</v>
      </c>
    </row>
    <row r="327" spans="8:22" x14ac:dyDescent="0.3">
      <c r="H327" s="10" t="str">
        <f>IF(Planilha1!B324="","",Planilha1!B324)</f>
        <v>7:00p</v>
      </c>
      <c r="I327" s="10" t="str">
        <f>IF(Planilha1!C324="","",Planilha1!C324)</f>
        <v>Miami Heat</v>
      </c>
      <c r="J327" s="10">
        <f>IF(Planilha1!D324="","",Planilha1!D324)</f>
        <v>116</v>
      </c>
      <c r="K327" s="10" t="str">
        <f>IF(Planilha1!E324="","",IF(Planilha1!E324=0,"",Planilha1!E324))</f>
        <v>Charlotte Hornets</v>
      </c>
      <c r="L327" s="10">
        <f>IF(Planilha1!F324="","",Planilha1!F324)</f>
        <v>114</v>
      </c>
      <c r="M327" s="10">
        <f>IF(Planilha1!G324="","",IF(Planilha1!G324=0,"",Planilha1!G324))</f>
        <v>114</v>
      </c>
      <c r="N327" s="5">
        <f t="shared" si="47"/>
        <v>1</v>
      </c>
      <c r="O327" s="5">
        <f t="shared" si="48"/>
        <v>0</v>
      </c>
      <c r="P327" s="5">
        <f t="shared" si="41"/>
        <v>0</v>
      </c>
      <c r="Q327" s="5">
        <f t="shared" si="42"/>
        <v>2</v>
      </c>
      <c r="R327" s="7">
        <f t="shared" si="43"/>
        <v>0</v>
      </c>
      <c r="S327" s="7">
        <f t="shared" si="44"/>
        <v>0</v>
      </c>
      <c r="T327" s="3">
        <f t="shared" si="45"/>
        <v>1</v>
      </c>
      <c r="V327" s="1" t="e">
        <f t="shared" si="46"/>
        <v>#DIV/0!</v>
      </c>
    </row>
    <row r="328" spans="8:22" x14ac:dyDescent="0.3">
      <c r="H328" s="10" t="str">
        <f>IF(Planilha1!B325="","",Planilha1!B325)</f>
        <v>7:00p</v>
      </c>
      <c r="I328" s="10" t="str">
        <f>IF(Planilha1!C325="","",Planilha1!C325)</f>
        <v>Indiana Pacers</v>
      </c>
      <c r="J328" s="10">
        <f>IF(Planilha1!D325="","",Planilha1!D325)</f>
        <v>131</v>
      </c>
      <c r="K328" s="10" t="str">
        <f>IF(Planilha1!E325="","",IF(Planilha1!E325=0,"",Planilha1!E325))</f>
        <v>Detroit Pistons</v>
      </c>
      <c r="L328" s="10">
        <f>IF(Planilha1!F325="","",Planilha1!F325)</f>
        <v>123</v>
      </c>
      <c r="M328" s="10">
        <f>IF(Planilha1!G325="","",IF(Planilha1!G325=0,"",Planilha1!G325))</f>
        <v>123</v>
      </c>
      <c r="N328" s="5">
        <f t="shared" si="47"/>
        <v>1</v>
      </c>
      <c r="O328" s="5">
        <f t="shared" si="48"/>
        <v>0</v>
      </c>
      <c r="P328" s="5">
        <f t="shared" si="41"/>
        <v>0</v>
      </c>
      <c r="Q328" s="5">
        <f t="shared" si="42"/>
        <v>2</v>
      </c>
      <c r="R328" s="7">
        <f t="shared" si="43"/>
        <v>0</v>
      </c>
      <c r="S328" s="7">
        <f t="shared" si="44"/>
        <v>0</v>
      </c>
      <c r="T328" s="3">
        <f t="shared" si="45"/>
        <v>1</v>
      </c>
      <c r="V328" s="1" t="e">
        <f t="shared" si="46"/>
        <v>#DIV/0!</v>
      </c>
    </row>
    <row r="329" spans="8:22" x14ac:dyDescent="0.3">
      <c r="H329" s="10" t="str">
        <f>IF(Planilha1!B326="","",Planilha1!B326)</f>
        <v>7:00p</v>
      </c>
      <c r="I329" s="10" t="str">
        <f>IF(Planilha1!C326="","",Planilha1!C326)</f>
        <v>Cleveland Cavaliers</v>
      </c>
      <c r="J329" s="10">
        <f>IF(Planilha1!D326="","",Planilha1!D326)</f>
        <v>94</v>
      </c>
      <c r="K329" s="10" t="str">
        <f>IF(Planilha1!E326="","",IF(Planilha1!E326=0,"",Planilha1!E326))</f>
        <v>Orlando Magic</v>
      </c>
      <c r="L329" s="10">
        <f>IF(Planilha1!F326="","",Planilha1!F326)</f>
        <v>104</v>
      </c>
      <c r="M329" s="10">
        <f>IF(Planilha1!G326="","",IF(Planilha1!G326=0,"",Planilha1!G326))</f>
        <v>104</v>
      </c>
      <c r="N329" s="5">
        <f t="shared" si="47"/>
        <v>1</v>
      </c>
      <c r="O329" s="5">
        <f t="shared" si="48"/>
        <v>0</v>
      </c>
      <c r="P329" s="5">
        <f t="shared" si="41"/>
        <v>0</v>
      </c>
      <c r="Q329" s="5">
        <f t="shared" si="42"/>
        <v>2</v>
      </c>
      <c r="R329" s="7">
        <f t="shared" si="43"/>
        <v>0</v>
      </c>
      <c r="S329" s="7">
        <f t="shared" si="44"/>
        <v>0</v>
      </c>
      <c r="T329" s="3">
        <f t="shared" si="45"/>
        <v>1</v>
      </c>
      <c r="V329" s="1" t="e">
        <f t="shared" si="46"/>
        <v>#DIV/0!</v>
      </c>
    </row>
    <row r="330" spans="8:22" x14ac:dyDescent="0.3">
      <c r="H330" s="10" t="str">
        <f>IF(Planilha1!B327="","",Planilha1!B327)</f>
        <v>7:00p</v>
      </c>
      <c r="I330" s="10" t="str">
        <f>IF(Planilha1!C327="","",Planilha1!C327)</f>
        <v>Washington Wizards</v>
      </c>
      <c r="J330" s="10">
        <f>IF(Planilha1!D327="","",Planilha1!D327)</f>
        <v>101</v>
      </c>
      <c r="K330" s="10" t="str">
        <f>IF(Planilha1!E327="","",IF(Planilha1!E327=0,"",Planilha1!E327))</f>
        <v>Philadelphia 76ers</v>
      </c>
      <c r="L330" s="10">
        <f>IF(Planilha1!F327="","",Planilha1!F327)</f>
        <v>146</v>
      </c>
      <c r="M330" s="10">
        <f>IF(Planilha1!G327="","",IF(Planilha1!G327=0,"",Planilha1!G327))</f>
        <v>146</v>
      </c>
      <c r="N330" s="5">
        <f t="shared" si="47"/>
        <v>1</v>
      </c>
      <c r="O330" s="5">
        <f t="shared" si="48"/>
        <v>0</v>
      </c>
      <c r="P330" s="5">
        <f t="shared" si="41"/>
        <v>0</v>
      </c>
      <c r="Q330" s="5">
        <f t="shared" si="42"/>
        <v>2</v>
      </c>
      <c r="R330" s="7">
        <f t="shared" si="43"/>
        <v>0</v>
      </c>
      <c r="S330" s="7">
        <f t="shared" si="44"/>
        <v>0</v>
      </c>
      <c r="T330" s="3">
        <f t="shared" si="45"/>
        <v>1</v>
      </c>
      <c r="V330" s="1" t="e">
        <f t="shared" si="46"/>
        <v>#DIV/0!</v>
      </c>
    </row>
    <row r="331" spans="8:22" x14ac:dyDescent="0.3">
      <c r="H331" s="10" t="str">
        <f>IF(Planilha1!B328="","",Planilha1!B328)</f>
        <v>7:30p</v>
      </c>
      <c r="I331" s="10" t="str">
        <f>IF(Planilha1!C328="","",Planilha1!C328)</f>
        <v>Denver Nuggets</v>
      </c>
      <c r="J331" s="10">
        <f>IF(Planilha1!D328="","",Planilha1!D328)</f>
        <v>129</v>
      </c>
      <c r="K331" s="10" t="str">
        <f>IF(Planilha1!E328="","",IF(Planilha1!E328=0,"",Planilha1!E328))</f>
        <v>Atlanta Hawks</v>
      </c>
      <c r="L331" s="10">
        <f>IF(Planilha1!F328="","",Planilha1!F328)</f>
        <v>122</v>
      </c>
      <c r="M331" s="10">
        <f>IF(Planilha1!G328="","",IF(Planilha1!G328=0,"",Planilha1!G328))</f>
        <v>122</v>
      </c>
      <c r="N331" s="5">
        <f t="shared" si="47"/>
        <v>1</v>
      </c>
      <c r="O331" s="5">
        <f t="shared" si="48"/>
        <v>0</v>
      </c>
      <c r="P331" s="5">
        <f t="shared" si="41"/>
        <v>0</v>
      </c>
      <c r="Q331" s="5">
        <f t="shared" si="42"/>
        <v>2</v>
      </c>
      <c r="R331" s="7">
        <f t="shared" si="43"/>
        <v>0</v>
      </c>
      <c r="S331" s="7">
        <f t="shared" si="44"/>
        <v>0</v>
      </c>
      <c r="T331" s="3">
        <f t="shared" si="45"/>
        <v>1</v>
      </c>
      <c r="V331" s="1" t="e">
        <f t="shared" si="46"/>
        <v>#DIV/0!</v>
      </c>
    </row>
    <row r="332" spans="8:22" x14ac:dyDescent="0.3">
      <c r="H332" s="10" t="str">
        <f>IF(Planilha1!B329="","",Planilha1!B329)</f>
        <v>7:30p</v>
      </c>
      <c r="I332" s="10" t="str">
        <f>IF(Planilha1!C329="","",Planilha1!C329)</f>
        <v>Toronto Raptors</v>
      </c>
      <c r="J332" s="10">
        <f>IF(Planilha1!D329="","",Planilha1!D329)</f>
        <v>130</v>
      </c>
      <c r="K332" s="10" t="str">
        <f>IF(Planilha1!E329="","",IF(Planilha1!E329=0,"",Planilha1!E329))</f>
        <v>New York Knicks</v>
      </c>
      <c r="L332" s="10">
        <f>IF(Planilha1!F329="","",Planilha1!F329)</f>
        <v>136</v>
      </c>
      <c r="M332" s="10">
        <f>IF(Planilha1!G329="","",IF(Planilha1!G329=0,"",Planilha1!G329))</f>
        <v>136</v>
      </c>
      <c r="N332" s="5">
        <f t="shared" si="47"/>
        <v>1</v>
      </c>
      <c r="O332" s="5">
        <f t="shared" si="48"/>
        <v>0</v>
      </c>
      <c r="P332" s="5">
        <f t="shared" si="41"/>
        <v>0</v>
      </c>
      <c r="Q332" s="5">
        <f t="shared" si="42"/>
        <v>2</v>
      </c>
      <c r="R332" s="7">
        <f t="shared" si="43"/>
        <v>0</v>
      </c>
      <c r="S332" s="7">
        <f t="shared" si="44"/>
        <v>0</v>
      </c>
      <c r="T332" s="3">
        <f t="shared" si="45"/>
        <v>1</v>
      </c>
      <c r="V332" s="1" t="e">
        <f t="shared" si="46"/>
        <v>#DIV/0!</v>
      </c>
    </row>
    <row r="333" spans="8:22" x14ac:dyDescent="0.3">
      <c r="H333" s="10" t="str">
        <f>IF(Planilha1!B330="","",Planilha1!B330)</f>
        <v>8:00p</v>
      </c>
      <c r="I333" s="10" t="str">
        <f>IF(Planilha1!C330="","",Planilha1!C330)</f>
        <v>San Antonio Spurs</v>
      </c>
      <c r="J333" s="10">
        <f>IF(Planilha1!D330="","",Planilha1!D330)</f>
        <v>82</v>
      </c>
      <c r="K333" s="10" t="str">
        <f>IF(Planilha1!E330="","",IF(Planilha1!E330=0,"",Planilha1!E330))</f>
        <v>Houston Rockets</v>
      </c>
      <c r="L333" s="10">
        <f>IF(Planilha1!F330="","",Planilha1!F330)</f>
        <v>93</v>
      </c>
      <c r="M333" s="10">
        <f>IF(Planilha1!G330="","",IF(Planilha1!G330=0,"",Planilha1!G330))</f>
        <v>93</v>
      </c>
      <c r="N333" s="5">
        <f t="shared" si="47"/>
        <v>1</v>
      </c>
      <c r="O333" s="5">
        <f t="shared" si="48"/>
        <v>0</v>
      </c>
      <c r="P333" s="5">
        <f t="shared" si="41"/>
        <v>0</v>
      </c>
      <c r="Q333" s="5">
        <f t="shared" si="42"/>
        <v>2</v>
      </c>
      <c r="R333" s="7">
        <f t="shared" si="43"/>
        <v>0</v>
      </c>
      <c r="S333" s="7">
        <f t="shared" si="44"/>
        <v>0</v>
      </c>
      <c r="T333" s="3">
        <f t="shared" si="45"/>
        <v>1</v>
      </c>
      <c r="V333" s="1" t="e">
        <f t="shared" si="46"/>
        <v>#DIV/0!</v>
      </c>
    </row>
    <row r="334" spans="8:22" x14ac:dyDescent="0.3">
      <c r="H334" s="10" t="str">
        <f>IF(Planilha1!B331="","",Planilha1!B331)</f>
        <v>8:00p</v>
      </c>
      <c r="I334" s="10" t="str">
        <f>IF(Planilha1!C331="","",Planilha1!C331)</f>
        <v>Dallas Mavericks</v>
      </c>
      <c r="J334" s="10">
        <f>IF(Planilha1!D331="","",Planilha1!D331)</f>
        <v>120</v>
      </c>
      <c r="K334" s="10" t="str">
        <f>IF(Planilha1!E331="","",IF(Planilha1!E331=0,"",Planilha1!E331))</f>
        <v>Memphis Grizzlies</v>
      </c>
      <c r="L334" s="10">
        <f>IF(Planilha1!F331="","",Planilha1!F331)</f>
        <v>113</v>
      </c>
      <c r="M334" s="10">
        <f>IF(Planilha1!G331="","",IF(Planilha1!G331=0,"",Planilha1!G331))</f>
        <v>113</v>
      </c>
      <c r="N334" s="5">
        <f t="shared" si="47"/>
        <v>1</v>
      </c>
      <c r="O334" s="5">
        <f t="shared" si="48"/>
        <v>0</v>
      </c>
      <c r="P334" s="5">
        <f t="shared" si="41"/>
        <v>0</v>
      </c>
      <c r="Q334" s="5">
        <f t="shared" si="42"/>
        <v>2</v>
      </c>
      <c r="R334" s="7">
        <f t="shared" si="43"/>
        <v>0</v>
      </c>
      <c r="S334" s="7">
        <f t="shared" si="44"/>
        <v>0</v>
      </c>
      <c r="T334" s="3">
        <f t="shared" si="45"/>
        <v>1</v>
      </c>
      <c r="V334" s="1" t="e">
        <f t="shared" si="46"/>
        <v>#DIV/0!</v>
      </c>
    </row>
    <row r="335" spans="8:22" x14ac:dyDescent="0.3">
      <c r="H335" s="10" t="str">
        <f>IF(Planilha1!B332="","",Planilha1!B332)</f>
        <v>8:00p</v>
      </c>
      <c r="I335" s="10" t="str">
        <f>IF(Planilha1!C332="","",Planilha1!C332)</f>
        <v>Chicago Bulls</v>
      </c>
      <c r="J335" s="10">
        <f>IF(Planilha1!D332="","",Planilha1!D332)</f>
        <v>129</v>
      </c>
      <c r="K335" s="10" t="str">
        <f>IF(Planilha1!E332="","",IF(Planilha1!E332=0,"",Planilha1!E332))</f>
        <v>Milwaukee Bucks</v>
      </c>
      <c r="L335" s="10">
        <f>IF(Planilha1!F332="","",Planilha1!F332)</f>
        <v>133</v>
      </c>
      <c r="M335" s="10">
        <f>IF(Planilha1!G332="","",IF(Planilha1!G332=0,"",Planilha1!G332))</f>
        <v>133</v>
      </c>
      <c r="N335" s="5">
        <f t="shared" si="47"/>
        <v>1</v>
      </c>
      <c r="O335" s="5">
        <f t="shared" si="48"/>
        <v>0</v>
      </c>
      <c r="P335" s="5">
        <f t="shared" si="41"/>
        <v>0</v>
      </c>
      <c r="Q335" s="5">
        <f t="shared" si="42"/>
        <v>2</v>
      </c>
      <c r="R335" s="7">
        <f t="shared" si="43"/>
        <v>0</v>
      </c>
      <c r="S335" s="7">
        <f t="shared" si="44"/>
        <v>0</v>
      </c>
      <c r="T335" s="3">
        <f t="shared" si="45"/>
        <v>1</v>
      </c>
      <c r="V335" s="1" t="e">
        <f t="shared" si="46"/>
        <v>#DIV/0!</v>
      </c>
    </row>
    <row r="336" spans="8:22" x14ac:dyDescent="0.3">
      <c r="H336" s="10" t="str">
        <f>IF(Planilha1!B333="","",Planilha1!B333)</f>
        <v>8:00p</v>
      </c>
      <c r="I336" s="10" t="str">
        <f>IF(Planilha1!C333="","",Planilha1!C333)</f>
        <v>Minnesota Timberwolves</v>
      </c>
      <c r="J336" s="10">
        <f>IF(Planilha1!D333="","",Planilha1!D333)</f>
        <v>107</v>
      </c>
      <c r="K336" s="10" t="str">
        <f>IF(Planilha1!E333="","",IF(Planilha1!E333=0,"",Planilha1!E333))</f>
        <v>New Orleans Pelicans</v>
      </c>
      <c r="L336" s="10">
        <f>IF(Planilha1!F333="","",Planilha1!F333)</f>
        <v>121</v>
      </c>
      <c r="M336" s="10">
        <f>IF(Planilha1!G333="","",IF(Planilha1!G333=0,"",Planilha1!G333))</f>
        <v>121</v>
      </c>
      <c r="N336" s="5">
        <f t="shared" si="47"/>
        <v>1</v>
      </c>
      <c r="O336" s="5">
        <f t="shared" si="48"/>
        <v>0</v>
      </c>
      <c r="P336" s="5">
        <f t="shared" si="41"/>
        <v>0</v>
      </c>
      <c r="Q336" s="5">
        <f t="shared" si="42"/>
        <v>2</v>
      </c>
      <c r="R336" s="7">
        <f t="shared" si="43"/>
        <v>0</v>
      </c>
      <c r="S336" s="7">
        <f t="shared" si="44"/>
        <v>0</v>
      </c>
      <c r="T336" s="3">
        <f t="shared" si="45"/>
        <v>1</v>
      </c>
      <c r="V336" s="1" t="e">
        <f t="shared" si="46"/>
        <v>#DIV/0!</v>
      </c>
    </row>
    <row r="337" spans="8:22" x14ac:dyDescent="0.3">
      <c r="H337" s="10" t="str">
        <f>IF(Planilha1!B334="","",Planilha1!B334)</f>
        <v>8:00p</v>
      </c>
      <c r="I337" s="10" t="str">
        <f>IF(Planilha1!C334="","",Planilha1!C334)</f>
        <v>Utah Jazz</v>
      </c>
      <c r="J337" s="10">
        <f>IF(Planilha1!D334="","",Planilha1!D334)</f>
        <v>120</v>
      </c>
      <c r="K337" s="10" t="str">
        <f>IF(Planilha1!E334="","",IF(Planilha1!E334=0,"",Planilha1!E334))</f>
        <v>Oklahoma City Thunder</v>
      </c>
      <c r="L337" s="10">
        <f>IF(Planilha1!F334="","",Planilha1!F334)</f>
        <v>134</v>
      </c>
      <c r="M337" s="10">
        <f>IF(Planilha1!G334="","",IF(Planilha1!G334=0,"",Planilha1!G334))</f>
        <v>134</v>
      </c>
      <c r="N337" s="5">
        <f t="shared" si="47"/>
        <v>1</v>
      </c>
      <c r="O337" s="5">
        <f t="shared" si="48"/>
        <v>0</v>
      </c>
      <c r="P337" s="5">
        <f t="shared" si="41"/>
        <v>0</v>
      </c>
      <c r="Q337" s="5">
        <f t="shared" si="42"/>
        <v>2</v>
      </c>
      <c r="R337" s="7">
        <f t="shared" si="43"/>
        <v>0</v>
      </c>
      <c r="S337" s="7">
        <f t="shared" si="44"/>
        <v>0</v>
      </c>
      <c r="T337" s="3">
        <f t="shared" si="45"/>
        <v>1</v>
      </c>
      <c r="V337" s="1" t="e">
        <f t="shared" si="46"/>
        <v>#DIV/0!</v>
      </c>
    </row>
    <row r="338" spans="8:22" x14ac:dyDescent="0.3">
      <c r="H338" s="10" t="str">
        <f>IF(Planilha1!B335="","",Planilha1!B335)</f>
        <v>10:00p</v>
      </c>
      <c r="I338" s="10" t="str">
        <f>IF(Planilha1!C335="","",Planilha1!C335)</f>
        <v>Brooklyn Nets</v>
      </c>
      <c r="J338" s="10">
        <f>IF(Planilha1!D335="","",Planilha1!D335)</f>
        <v>118</v>
      </c>
      <c r="K338" s="10" t="str">
        <f>IF(Planilha1!E335="","",IF(Planilha1!E335=0,"",Planilha1!E335))</f>
        <v>Sacramento Kings</v>
      </c>
      <c r="L338" s="10">
        <f>IF(Planilha1!F335="","",Planilha1!F335)</f>
        <v>131</v>
      </c>
      <c r="M338" s="10">
        <f>IF(Planilha1!G335="","",IF(Planilha1!G335=0,"",Planilha1!G335))</f>
        <v>131</v>
      </c>
      <c r="N338" s="5">
        <f t="shared" si="47"/>
        <v>1</v>
      </c>
      <c r="O338" s="5">
        <f t="shared" si="48"/>
        <v>0</v>
      </c>
      <c r="P338" s="5">
        <f t="shared" si="41"/>
        <v>0</v>
      </c>
      <c r="Q338" s="5">
        <f t="shared" si="42"/>
        <v>2</v>
      </c>
      <c r="R338" s="7">
        <f t="shared" si="43"/>
        <v>0</v>
      </c>
      <c r="S338" s="7">
        <f t="shared" si="44"/>
        <v>0</v>
      </c>
      <c r="T338" s="3">
        <f t="shared" si="45"/>
        <v>1</v>
      </c>
      <c r="V338" s="1" t="e">
        <f t="shared" si="46"/>
        <v>#DIV/0!</v>
      </c>
    </row>
    <row r="339" spans="8:22" x14ac:dyDescent="0.3">
      <c r="H339" s="10" t="str">
        <f>IF(Planilha1!B336="","",Planilha1!B336)</f>
        <v>10:30p</v>
      </c>
      <c r="I339" s="10" t="str">
        <f>IF(Planilha1!C336="","",Planilha1!C336)</f>
        <v>Portland Trail Blazers</v>
      </c>
      <c r="J339" s="10">
        <f>IF(Planilha1!D336="","",Planilha1!D336)</f>
        <v>127</v>
      </c>
      <c r="K339" s="10" t="str">
        <f>IF(Planilha1!E336="","",IF(Planilha1!E336=0,"",Planilha1!E336))</f>
        <v>Los Angeles Clippers</v>
      </c>
      <c r="L339" s="10">
        <f>IF(Planilha1!F336="","",Planilha1!F336)</f>
        <v>132</v>
      </c>
      <c r="M339" s="10">
        <f>IF(Planilha1!G336="","",IF(Planilha1!G336=0,"",Planilha1!G336))</f>
        <v>132</v>
      </c>
      <c r="N339" s="5">
        <f t="shared" si="47"/>
        <v>1</v>
      </c>
      <c r="O339" s="5">
        <f t="shared" si="48"/>
        <v>0</v>
      </c>
      <c r="P339" s="5">
        <f t="shared" si="41"/>
        <v>0</v>
      </c>
      <c r="Q339" s="5">
        <f t="shared" si="42"/>
        <v>2</v>
      </c>
      <c r="R339" s="7">
        <f t="shared" si="43"/>
        <v>0</v>
      </c>
      <c r="S339" s="7">
        <f t="shared" si="44"/>
        <v>0</v>
      </c>
      <c r="T339" s="3">
        <f t="shared" si="45"/>
        <v>1</v>
      </c>
      <c r="V339" s="1" t="e">
        <f t="shared" si="46"/>
        <v>#DIV/0!</v>
      </c>
    </row>
    <row r="340" spans="8:22" x14ac:dyDescent="0.3">
      <c r="H340" s="10" t="str">
        <f>IF(Planilha1!B337="","",Planilha1!B337)</f>
        <v>7:30p</v>
      </c>
      <c r="I340" s="10" t="str">
        <f>IF(Planilha1!C337="","",Planilha1!C337)</f>
        <v>Cleveland Cavaliers</v>
      </c>
      <c r="J340" s="10">
        <f>IF(Planilha1!D337="","",Planilha1!D337)</f>
        <v>113</v>
      </c>
      <c r="K340" s="10" t="str">
        <f>IF(Planilha1!E337="","",IF(Planilha1!E337=0,"",Planilha1!E337))</f>
        <v>Boston Celtics</v>
      </c>
      <c r="L340" s="10">
        <f>IF(Planilha1!F337="","",Planilha1!F337)</f>
        <v>120</v>
      </c>
      <c r="M340" s="10">
        <f>IF(Planilha1!G337="","",IF(Planilha1!G337=0,"",Planilha1!G337))</f>
        <v>120</v>
      </c>
      <c r="N340" s="5">
        <f t="shared" si="47"/>
        <v>1</v>
      </c>
      <c r="O340" s="5">
        <f t="shared" si="48"/>
        <v>0</v>
      </c>
      <c r="P340" s="5">
        <f t="shared" si="41"/>
        <v>0</v>
      </c>
      <c r="Q340" s="5">
        <f t="shared" si="42"/>
        <v>2</v>
      </c>
      <c r="R340" s="7">
        <f t="shared" si="43"/>
        <v>0</v>
      </c>
      <c r="S340" s="7">
        <f t="shared" si="44"/>
        <v>0</v>
      </c>
      <c r="T340" s="3">
        <f t="shared" si="45"/>
        <v>1</v>
      </c>
      <c r="V340" s="1" t="e">
        <f t="shared" si="46"/>
        <v>#DIV/0!</v>
      </c>
    </row>
    <row r="341" spans="8:22" x14ac:dyDescent="0.3">
      <c r="H341" s="10" t="str">
        <f>IF(Planilha1!B338="","",Planilha1!B338)</f>
        <v>7:30p</v>
      </c>
      <c r="I341" s="10" t="str">
        <f>IF(Planilha1!C338="","",Planilha1!C338)</f>
        <v>Los Angeles Lakers</v>
      </c>
      <c r="J341" s="10">
        <f>IF(Planilha1!D338="","",Planilha1!D338)</f>
        <v>125</v>
      </c>
      <c r="K341" s="10" t="str">
        <f>IF(Planilha1!E338="","",IF(Planilha1!E338=0,"",Planilha1!E338))</f>
        <v>Dallas Mavericks</v>
      </c>
      <c r="L341" s="10">
        <f>IF(Planilha1!F338="","",Planilha1!F338)</f>
        <v>127</v>
      </c>
      <c r="M341" s="10">
        <f>IF(Planilha1!G338="","",IF(Planilha1!G338=0,"",Planilha1!G338))</f>
        <v>127</v>
      </c>
      <c r="N341" s="5">
        <f t="shared" si="47"/>
        <v>1</v>
      </c>
      <c r="O341" s="5">
        <f t="shared" si="48"/>
        <v>0</v>
      </c>
      <c r="P341" s="5">
        <f t="shared" si="41"/>
        <v>0</v>
      </c>
      <c r="Q341" s="5">
        <f t="shared" si="42"/>
        <v>2</v>
      </c>
      <c r="R341" s="7">
        <f t="shared" si="43"/>
        <v>0</v>
      </c>
      <c r="S341" s="7">
        <f t="shared" si="44"/>
        <v>0</v>
      </c>
      <c r="T341" s="3">
        <f t="shared" si="45"/>
        <v>1</v>
      </c>
      <c r="V341" s="1" t="e">
        <f t="shared" si="46"/>
        <v>#DIV/0!</v>
      </c>
    </row>
    <row r="342" spans="8:22" x14ac:dyDescent="0.3">
      <c r="H342" s="10" t="str">
        <f>IF(Planilha1!B339="","",Planilha1!B339)</f>
        <v>8:00p</v>
      </c>
      <c r="I342" s="10" t="str">
        <f>IF(Planilha1!C339="","",Planilha1!C339)</f>
        <v>Denver Nuggets</v>
      </c>
      <c r="J342" s="10">
        <f>IF(Planilha1!D339="","",Planilha1!D339)</f>
        <v>114</v>
      </c>
      <c r="K342" s="10" t="str">
        <f>IF(Planilha1!E339="","",IF(Planilha1!E339=0,"",Planilha1!E339))</f>
        <v>Chicago Bulls</v>
      </c>
      <c r="L342" s="10">
        <f>IF(Planilha1!F339="","",Planilha1!F339)</f>
        <v>106</v>
      </c>
      <c r="M342" s="10">
        <f>IF(Planilha1!G339="","",IF(Planilha1!G339=0,"",Planilha1!G339))</f>
        <v>106</v>
      </c>
      <c r="N342" s="5">
        <f t="shared" si="47"/>
        <v>1</v>
      </c>
      <c r="O342" s="5">
        <f t="shared" si="48"/>
        <v>0</v>
      </c>
      <c r="P342" s="5">
        <f t="shared" si="41"/>
        <v>0</v>
      </c>
      <c r="Q342" s="5">
        <f t="shared" si="42"/>
        <v>2</v>
      </c>
      <c r="R342" s="7">
        <f t="shared" si="43"/>
        <v>0</v>
      </c>
      <c r="S342" s="7">
        <f t="shared" si="44"/>
        <v>0</v>
      </c>
      <c r="T342" s="3">
        <f t="shared" si="45"/>
        <v>1</v>
      </c>
      <c r="V342" s="1" t="e">
        <f t="shared" si="46"/>
        <v>#DIV/0!</v>
      </c>
    </row>
    <row r="343" spans="8:22" x14ac:dyDescent="0.3">
      <c r="H343" s="10" t="str">
        <f>IF(Planilha1!B340="","",Planilha1!B340)</f>
        <v>10:00p</v>
      </c>
      <c r="I343" s="10" t="str">
        <f>IF(Planilha1!C340="","",Planilha1!C340)</f>
        <v>Golden State Warriors</v>
      </c>
      <c r="J343" s="10">
        <f>IF(Planilha1!D340="","",Planilha1!D340)</f>
        <v>116</v>
      </c>
      <c r="K343" s="10" t="str">
        <f>IF(Planilha1!E340="","",IF(Planilha1!E340=0,"",Planilha1!E340))</f>
        <v>Phoenix Suns</v>
      </c>
      <c r="L343" s="10">
        <f>IF(Planilha1!F340="","",Planilha1!F340)</f>
        <v>119</v>
      </c>
      <c r="M343" s="10">
        <f>IF(Planilha1!G340="","",IF(Planilha1!G340=0,"",Planilha1!G340))</f>
        <v>119</v>
      </c>
      <c r="N343" s="5">
        <f t="shared" si="47"/>
        <v>1</v>
      </c>
      <c r="O343" s="5">
        <f t="shared" si="48"/>
        <v>0</v>
      </c>
      <c r="P343" s="5">
        <f t="shared" si="41"/>
        <v>0</v>
      </c>
      <c r="Q343" s="5">
        <f t="shared" si="42"/>
        <v>2</v>
      </c>
      <c r="R343" s="7">
        <f t="shared" si="43"/>
        <v>0</v>
      </c>
      <c r="S343" s="7">
        <f t="shared" si="44"/>
        <v>0</v>
      </c>
      <c r="T343" s="3">
        <f t="shared" si="45"/>
        <v>1</v>
      </c>
      <c r="V343" s="1" t="e">
        <f t="shared" si="46"/>
        <v>#DIV/0!</v>
      </c>
    </row>
    <row r="344" spans="8:22" x14ac:dyDescent="0.3">
      <c r="H344" s="10" t="str">
        <f>IF(Planilha1!B341="","",Planilha1!B341)</f>
        <v>10:30p</v>
      </c>
      <c r="I344" s="10" t="str">
        <f>IF(Planilha1!C341="","",Planilha1!C341)</f>
        <v>Sacramento Kings</v>
      </c>
      <c r="J344" s="10">
        <f>IF(Planilha1!D341="","",Planilha1!D341)</f>
        <v>99</v>
      </c>
      <c r="K344" s="10" t="str">
        <f>IF(Planilha1!E341="","",IF(Planilha1!E341=0,"",Planilha1!E341))</f>
        <v>Los Angeles Clippers</v>
      </c>
      <c r="L344" s="10">
        <f>IF(Planilha1!F341="","",Planilha1!F341)</f>
        <v>119</v>
      </c>
      <c r="M344" s="10">
        <f>IF(Planilha1!G341="","",IF(Planilha1!G341=0,"",Planilha1!G341))</f>
        <v>119</v>
      </c>
      <c r="N344" s="5">
        <f t="shared" si="47"/>
        <v>1</v>
      </c>
      <c r="O344" s="5">
        <f t="shared" si="48"/>
        <v>0</v>
      </c>
      <c r="P344" s="5">
        <f t="shared" si="41"/>
        <v>0</v>
      </c>
      <c r="Q344" s="5">
        <f t="shared" si="42"/>
        <v>2</v>
      </c>
      <c r="R344" s="7">
        <f t="shared" si="43"/>
        <v>0</v>
      </c>
      <c r="S344" s="7">
        <f t="shared" si="44"/>
        <v>0</v>
      </c>
      <c r="T344" s="3">
        <f t="shared" si="45"/>
        <v>1</v>
      </c>
      <c r="V344" s="1" t="e">
        <f t="shared" si="46"/>
        <v>#DIV/0!</v>
      </c>
    </row>
    <row r="345" spans="8:22" x14ac:dyDescent="0.3">
      <c r="H345" s="10" t="str">
        <f>IF(Planilha1!B342="","",Planilha1!B342)</f>
        <v>7:00p</v>
      </c>
      <c r="I345" s="10" t="str">
        <f>IF(Planilha1!C342="","",Planilha1!C342)</f>
        <v>Philadelphia 76ers</v>
      </c>
      <c r="J345" s="10">
        <f>IF(Planilha1!D342="","",Planilha1!D342)</f>
        <v>129</v>
      </c>
      <c r="K345" s="10" t="str">
        <f>IF(Planilha1!E342="","",IF(Planilha1!E342=0,"",Planilha1!E342))</f>
        <v>Detroit Pistons</v>
      </c>
      <c r="L345" s="10">
        <f>IF(Planilha1!F342="","",Planilha1!F342)</f>
        <v>111</v>
      </c>
      <c r="M345" s="10">
        <f>IF(Planilha1!G342="","",IF(Planilha1!G342=0,"",Planilha1!G342))</f>
        <v>111</v>
      </c>
      <c r="N345" s="5">
        <f t="shared" si="47"/>
        <v>1</v>
      </c>
      <c r="O345" s="5">
        <f t="shared" si="48"/>
        <v>0</v>
      </c>
      <c r="P345" s="5">
        <f t="shared" si="41"/>
        <v>0</v>
      </c>
      <c r="Q345" s="5">
        <f t="shared" si="42"/>
        <v>2</v>
      </c>
      <c r="R345" s="7">
        <f t="shared" si="43"/>
        <v>0</v>
      </c>
      <c r="S345" s="7">
        <f t="shared" si="44"/>
        <v>0</v>
      </c>
      <c r="T345" s="3">
        <f t="shared" si="45"/>
        <v>1</v>
      </c>
      <c r="V345" s="1" t="e">
        <f t="shared" si="46"/>
        <v>#DIV/0!</v>
      </c>
    </row>
    <row r="346" spans="8:22" x14ac:dyDescent="0.3">
      <c r="H346" s="10" t="str">
        <f>IF(Planilha1!B343="","",Planilha1!B343)</f>
        <v>7:00p</v>
      </c>
      <c r="I346" s="10" t="str">
        <f>IF(Planilha1!C343="","",Planilha1!C343)</f>
        <v>New Orleans Pelicans</v>
      </c>
      <c r="J346" s="10">
        <f>IF(Planilha1!D343="","",Planilha1!D343)</f>
        <v>142</v>
      </c>
      <c r="K346" s="10" t="str">
        <f>IF(Planilha1!E343="","",IF(Planilha1!E343=0,"",Planilha1!E343))</f>
        <v>Washington Wizards</v>
      </c>
      <c r="L346" s="10">
        <f>IF(Planilha1!F343="","",Planilha1!F343)</f>
        <v>122</v>
      </c>
      <c r="M346" s="10">
        <f>IF(Planilha1!G343="","",IF(Planilha1!G343=0,"",Planilha1!G343))</f>
        <v>122</v>
      </c>
      <c r="N346" s="5">
        <f t="shared" si="47"/>
        <v>1</v>
      </c>
      <c r="O346" s="5">
        <f t="shared" si="48"/>
        <v>0</v>
      </c>
      <c r="P346" s="5">
        <f t="shared" si="41"/>
        <v>0</v>
      </c>
      <c r="Q346" s="5">
        <f t="shared" si="42"/>
        <v>2</v>
      </c>
      <c r="R346" s="7">
        <f t="shared" si="43"/>
        <v>0</v>
      </c>
      <c r="S346" s="7">
        <f t="shared" si="44"/>
        <v>0</v>
      </c>
      <c r="T346" s="3">
        <f t="shared" si="45"/>
        <v>1</v>
      </c>
      <c r="V346" s="1" t="e">
        <f t="shared" si="46"/>
        <v>#DIV/0!</v>
      </c>
    </row>
    <row r="347" spans="8:22" x14ac:dyDescent="0.3">
      <c r="H347" s="10" t="str">
        <f>IF(Planilha1!B344="","",Planilha1!B344)</f>
        <v>7:30p</v>
      </c>
      <c r="I347" s="10" t="str">
        <f>IF(Planilha1!C344="","",Planilha1!C344)</f>
        <v>Charlotte Hornets</v>
      </c>
      <c r="J347" s="10">
        <f>IF(Planilha1!D344="","",Planilha1!D344)</f>
        <v>104</v>
      </c>
      <c r="K347" s="10" t="str">
        <f>IF(Planilha1!E344="","",IF(Planilha1!E344=0,"",Planilha1!E344))</f>
        <v>Miami Heat</v>
      </c>
      <c r="L347" s="10">
        <f>IF(Planilha1!F344="","",Planilha1!F344)</f>
        <v>115</v>
      </c>
      <c r="M347" s="10">
        <f>IF(Planilha1!G344="","",IF(Planilha1!G344=0,"",Planilha1!G344))</f>
        <v>115</v>
      </c>
      <c r="N347" s="5">
        <f t="shared" si="47"/>
        <v>1</v>
      </c>
      <c r="O347" s="5">
        <f t="shared" si="48"/>
        <v>0</v>
      </c>
      <c r="P347" s="5">
        <f t="shared" si="41"/>
        <v>0</v>
      </c>
      <c r="Q347" s="5">
        <f t="shared" si="42"/>
        <v>2</v>
      </c>
      <c r="R347" s="7">
        <f t="shared" si="43"/>
        <v>0</v>
      </c>
      <c r="S347" s="7">
        <f t="shared" si="44"/>
        <v>0</v>
      </c>
      <c r="T347" s="3">
        <f t="shared" si="45"/>
        <v>1</v>
      </c>
      <c r="V347" s="1" t="e">
        <f t="shared" si="46"/>
        <v>#DIV/0!</v>
      </c>
    </row>
    <row r="348" spans="8:22" x14ac:dyDescent="0.3">
      <c r="H348" s="10" t="str">
        <f>IF(Planilha1!B345="","",Planilha1!B345)</f>
        <v>7:30p</v>
      </c>
      <c r="I348" s="10" t="str">
        <f>IF(Planilha1!C345="","",Planilha1!C345)</f>
        <v>Atlanta Hawks</v>
      </c>
      <c r="J348" s="10">
        <f>IF(Planilha1!D345="","",Planilha1!D345)</f>
        <v>128</v>
      </c>
      <c r="K348" s="10" t="str">
        <f>IF(Planilha1!E345="","",IF(Planilha1!E345=0,"",Planilha1!E345))</f>
        <v>Toronto Raptors</v>
      </c>
      <c r="L348" s="10">
        <f>IF(Planilha1!F345="","",Planilha1!F345)</f>
        <v>135</v>
      </c>
      <c r="M348" s="10">
        <f>IF(Planilha1!G345="","",IF(Planilha1!G345=0,"",Planilha1!G345))</f>
        <v>135</v>
      </c>
      <c r="N348" s="5">
        <f t="shared" si="47"/>
        <v>1</v>
      </c>
      <c r="O348" s="5">
        <f t="shared" si="48"/>
        <v>0</v>
      </c>
      <c r="P348" s="5">
        <f t="shared" si="41"/>
        <v>0</v>
      </c>
      <c r="Q348" s="5">
        <f t="shared" si="42"/>
        <v>2</v>
      </c>
      <c r="R348" s="7">
        <f t="shared" si="43"/>
        <v>0</v>
      </c>
      <c r="S348" s="7">
        <f t="shared" si="44"/>
        <v>0</v>
      </c>
      <c r="T348" s="3">
        <f t="shared" si="45"/>
        <v>1</v>
      </c>
      <c r="V348" s="1" t="e">
        <f t="shared" si="46"/>
        <v>#DIV/0!</v>
      </c>
    </row>
    <row r="349" spans="8:22" x14ac:dyDescent="0.3">
      <c r="H349" s="10" t="str">
        <f>IF(Planilha1!B346="","",Planilha1!B346)</f>
        <v>8:00p</v>
      </c>
      <c r="I349" s="10" t="str">
        <f>IF(Planilha1!C346="","",Planilha1!C346)</f>
        <v>Memphis Grizzlies</v>
      </c>
      <c r="J349" s="10">
        <f>IF(Planilha1!D346="","",Planilha1!D346)</f>
        <v>104</v>
      </c>
      <c r="K349" s="10" t="str">
        <f>IF(Planilha1!E346="","",IF(Planilha1!E346=0,"",Planilha1!E346))</f>
        <v>Houston Rockets</v>
      </c>
      <c r="L349" s="10">
        <f>IF(Planilha1!F346="","",Planilha1!F346)</f>
        <v>117</v>
      </c>
      <c r="M349" s="10">
        <f>IF(Planilha1!G346="","",IF(Planilha1!G346=0,"",Planilha1!G346))</f>
        <v>117</v>
      </c>
      <c r="N349" s="5">
        <f t="shared" si="47"/>
        <v>1</v>
      </c>
      <c r="O349" s="5">
        <f t="shared" si="48"/>
        <v>0</v>
      </c>
      <c r="P349" s="5">
        <f t="shared" si="41"/>
        <v>0</v>
      </c>
      <c r="Q349" s="5">
        <f t="shared" si="42"/>
        <v>2</v>
      </c>
      <c r="R349" s="7">
        <f t="shared" si="43"/>
        <v>0</v>
      </c>
      <c r="S349" s="7">
        <f t="shared" si="44"/>
        <v>0</v>
      </c>
      <c r="T349" s="3">
        <f t="shared" si="45"/>
        <v>1</v>
      </c>
      <c r="V349" s="1" t="e">
        <f t="shared" si="46"/>
        <v>#DIV/0!</v>
      </c>
    </row>
    <row r="350" spans="8:22" x14ac:dyDescent="0.3">
      <c r="H350" s="10" t="str">
        <f>IF(Planilha1!B347="","",Planilha1!B347)</f>
        <v>8:00p</v>
      </c>
      <c r="I350" s="10" t="str">
        <f>IF(Planilha1!C347="","",Planilha1!C347)</f>
        <v>Indiana Pacers</v>
      </c>
      <c r="J350" s="10">
        <f>IF(Planilha1!D347="","",Planilha1!D347)</f>
        <v>126</v>
      </c>
      <c r="K350" s="10" t="str">
        <f>IF(Planilha1!E347="","",IF(Planilha1!E347=0,"",Planilha1!E347))</f>
        <v>Milwaukee Bucks</v>
      </c>
      <c r="L350" s="10">
        <f>IF(Planilha1!F347="","",Planilha1!F347)</f>
        <v>140</v>
      </c>
      <c r="M350" s="10">
        <f>IF(Planilha1!G347="","",IF(Planilha1!G347=0,"",Planilha1!G347))</f>
        <v>140</v>
      </c>
      <c r="N350" s="5">
        <f t="shared" si="47"/>
        <v>1</v>
      </c>
      <c r="O350" s="5">
        <f t="shared" si="48"/>
        <v>0</v>
      </c>
      <c r="P350" s="5">
        <f t="shared" si="41"/>
        <v>0</v>
      </c>
      <c r="Q350" s="5">
        <f t="shared" si="42"/>
        <v>2</v>
      </c>
      <c r="R350" s="7">
        <f t="shared" si="43"/>
        <v>0</v>
      </c>
      <c r="S350" s="7">
        <f t="shared" si="44"/>
        <v>0</v>
      </c>
      <c r="T350" s="3">
        <f t="shared" si="45"/>
        <v>1</v>
      </c>
      <c r="V350" s="1" t="e">
        <f t="shared" si="46"/>
        <v>#DIV/0!</v>
      </c>
    </row>
    <row r="351" spans="8:22" x14ac:dyDescent="0.3">
      <c r="H351" s="10" t="str">
        <f>IF(Planilha1!B348="","",Planilha1!B348)</f>
        <v>8:00p</v>
      </c>
      <c r="I351" s="10" t="str">
        <f>IF(Planilha1!C348="","",Planilha1!C348)</f>
        <v>Los Angeles Lakers</v>
      </c>
      <c r="J351" s="10">
        <f>IF(Planilha1!D348="","",Planilha1!D348)</f>
        <v>122</v>
      </c>
      <c r="K351" s="10" t="str">
        <f>IF(Planilha1!E348="","",IF(Planilha1!E348=0,"",Planilha1!E348))</f>
        <v>San Antonio Spurs</v>
      </c>
      <c r="L351" s="10">
        <f>IF(Planilha1!F348="","",Planilha1!F348)</f>
        <v>119</v>
      </c>
      <c r="M351" s="10">
        <f>IF(Planilha1!G348="","",IF(Planilha1!G348=0,"",Planilha1!G348))</f>
        <v>119</v>
      </c>
      <c r="N351" s="5">
        <f t="shared" si="47"/>
        <v>1</v>
      </c>
      <c r="O351" s="5">
        <f t="shared" si="48"/>
        <v>0</v>
      </c>
      <c r="P351" s="5">
        <f t="shared" si="41"/>
        <v>0</v>
      </c>
      <c r="Q351" s="5">
        <f t="shared" si="42"/>
        <v>2</v>
      </c>
      <c r="R351" s="7">
        <f t="shared" si="43"/>
        <v>0</v>
      </c>
      <c r="S351" s="7">
        <f t="shared" si="44"/>
        <v>0</v>
      </c>
      <c r="T351" s="3">
        <f t="shared" si="45"/>
        <v>1</v>
      </c>
      <c r="V351" s="1" t="e">
        <f t="shared" si="46"/>
        <v>#DIV/0!</v>
      </c>
    </row>
    <row r="352" spans="8:22" x14ac:dyDescent="0.3">
      <c r="H352" s="10" t="str">
        <f>IF(Planilha1!B349="","",Planilha1!B349)</f>
        <v>9:00p</v>
      </c>
      <c r="I352" s="10" t="str">
        <f>IF(Planilha1!C349="","",Planilha1!C349)</f>
        <v>Brooklyn Nets</v>
      </c>
      <c r="J352" s="10">
        <f>IF(Planilha1!D349="","",Planilha1!D349)</f>
        <v>116</v>
      </c>
      <c r="K352" s="10" t="str">
        <f>IF(Planilha1!E349="","",IF(Planilha1!E349=0,"",Planilha1!E349))</f>
        <v>Phoenix Suns</v>
      </c>
      <c r="L352" s="10">
        <f>IF(Planilha1!F349="","",Planilha1!F349)</f>
        <v>112</v>
      </c>
      <c r="M352" s="10">
        <f>IF(Planilha1!G349="","",IF(Planilha1!G349=0,"",Planilha1!G349))</f>
        <v>112</v>
      </c>
      <c r="N352" s="5">
        <f t="shared" si="47"/>
        <v>1</v>
      </c>
      <c r="O352" s="5">
        <f t="shared" si="48"/>
        <v>0</v>
      </c>
      <c r="P352" s="5">
        <f t="shared" si="41"/>
        <v>0</v>
      </c>
      <c r="Q352" s="5">
        <f t="shared" si="42"/>
        <v>2</v>
      </c>
      <c r="R352" s="7">
        <f t="shared" si="43"/>
        <v>0</v>
      </c>
      <c r="S352" s="7">
        <f t="shared" si="44"/>
        <v>0</v>
      </c>
      <c r="T352" s="3">
        <f t="shared" si="45"/>
        <v>1</v>
      </c>
      <c r="V352" s="1" t="e">
        <f t="shared" si="46"/>
        <v>#DIV/0!</v>
      </c>
    </row>
    <row r="353" spans="8:22" x14ac:dyDescent="0.3">
      <c r="H353" s="10" t="str">
        <f>IF(Planilha1!B350="","",Planilha1!B350)</f>
        <v>9:00p</v>
      </c>
      <c r="I353" s="10" t="str">
        <f>IF(Planilha1!C350="","",Planilha1!C350)</f>
        <v>New York Knicks</v>
      </c>
      <c r="J353" s="10">
        <f>IF(Planilha1!D350="","",Planilha1!D350)</f>
        <v>113</v>
      </c>
      <c r="K353" s="10" t="str">
        <f>IF(Planilha1!E350="","",IF(Planilha1!E350=0,"",Planilha1!E350))</f>
        <v>Utah Jazz</v>
      </c>
      <c r="L353" s="10">
        <f>IF(Planilha1!F350="","",Planilha1!F350)</f>
        <v>117</v>
      </c>
      <c r="M353" s="10">
        <f>IF(Planilha1!G350="","",IF(Planilha1!G350=0,"",Planilha1!G350))</f>
        <v>117</v>
      </c>
      <c r="N353" s="5">
        <f t="shared" si="47"/>
        <v>1</v>
      </c>
      <c r="O353" s="5">
        <f t="shared" si="48"/>
        <v>0</v>
      </c>
      <c r="P353" s="5">
        <f t="shared" si="41"/>
        <v>0</v>
      </c>
      <c r="Q353" s="5">
        <f t="shared" si="42"/>
        <v>2</v>
      </c>
      <c r="R353" s="7">
        <f t="shared" si="43"/>
        <v>0</v>
      </c>
      <c r="S353" s="7">
        <f t="shared" si="44"/>
        <v>0</v>
      </c>
      <c r="T353" s="3">
        <f t="shared" si="45"/>
        <v>1</v>
      </c>
      <c r="V353" s="1" t="e">
        <f t="shared" si="46"/>
        <v>#DIV/0!</v>
      </c>
    </row>
    <row r="354" spans="8:22" x14ac:dyDescent="0.3">
      <c r="H354" s="10" t="str">
        <f>IF(Planilha1!B351="","",Planilha1!B351)</f>
        <v>7:30p</v>
      </c>
      <c r="I354" s="10" t="str">
        <f>IF(Planilha1!C351="","",Planilha1!C351)</f>
        <v>Cleveland Cavaliers</v>
      </c>
      <c r="J354" s="10">
        <f>IF(Planilha1!D351="","",Planilha1!D351)</f>
        <v>107</v>
      </c>
      <c r="K354" s="10" t="str">
        <f>IF(Planilha1!E351="","",IF(Planilha1!E351=0,"",Planilha1!E351))</f>
        <v>Boston Celtics</v>
      </c>
      <c r="L354" s="10">
        <f>IF(Planilha1!F351="","",Planilha1!F351)</f>
        <v>116</v>
      </c>
      <c r="M354" s="10">
        <f>IF(Planilha1!G351="","",IF(Planilha1!G351=0,"",Planilha1!G351))</f>
        <v>116</v>
      </c>
      <c r="N354" s="5">
        <f t="shared" si="47"/>
        <v>1</v>
      </c>
      <c r="O354" s="5">
        <f t="shared" si="48"/>
        <v>0</v>
      </c>
      <c r="P354" s="5">
        <f t="shared" si="41"/>
        <v>0</v>
      </c>
      <c r="Q354" s="5">
        <f t="shared" si="42"/>
        <v>2</v>
      </c>
      <c r="R354" s="7">
        <f t="shared" si="43"/>
        <v>0</v>
      </c>
      <c r="S354" s="7">
        <f t="shared" si="44"/>
        <v>0</v>
      </c>
      <c r="T354" s="3">
        <f t="shared" si="45"/>
        <v>1</v>
      </c>
      <c r="V354" s="1" t="e">
        <f t="shared" si="46"/>
        <v>#DIV/0!</v>
      </c>
    </row>
    <row r="355" spans="8:22" x14ac:dyDescent="0.3">
      <c r="H355" s="10" t="str">
        <f>IF(Planilha1!B352="","",Planilha1!B352)</f>
        <v>7:30p</v>
      </c>
      <c r="I355" s="10" t="str">
        <f>IF(Planilha1!C352="","",Planilha1!C352)</f>
        <v>Chicago Bulls</v>
      </c>
      <c r="J355" s="10">
        <f>IF(Planilha1!D352="","",Planilha1!D352)</f>
        <v>124</v>
      </c>
      <c r="K355" s="10" t="str">
        <f>IF(Planilha1!E352="","",IF(Planilha1!E352=0,"",Planilha1!E352))</f>
        <v>Miami Heat</v>
      </c>
      <c r="L355" s="10">
        <f>IF(Planilha1!F352="","",Planilha1!F352)</f>
        <v>116</v>
      </c>
      <c r="M355" s="10">
        <f>IF(Planilha1!G352="","",IF(Planilha1!G352=0,"",Planilha1!G352))</f>
        <v>116</v>
      </c>
      <c r="N355" s="5">
        <f t="shared" si="47"/>
        <v>1</v>
      </c>
      <c r="O355" s="5">
        <f t="shared" si="48"/>
        <v>0</v>
      </c>
      <c r="P355" s="5">
        <f t="shared" si="41"/>
        <v>0</v>
      </c>
      <c r="Q355" s="5">
        <f t="shared" si="42"/>
        <v>2</v>
      </c>
      <c r="R355" s="7">
        <f t="shared" si="43"/>
        <v>0</v>
      </c>
      <c r="S355" s="7">
        <f t="shared" si="44"/>
        <v>0</v>
      </c>
      <c r="T355" s="3">
        <f t="shared" si="45"/>
        <v>1</v>
      </c>
      <c r="V355" s="1" t="e">
        <f t="shared" si="46"/>
        <v>#DIV/0!</v>
      </c>
    </row>
    <row r="356" spans="8:22" x14ac:dyDescent="0.3">
      <c r="H356" s="10" t="str">
        <f>IF(Planilha1!B353="","",Planilha1!B353)</f>
        <v>8:30p</v>
      </c>
      <c r="I356" s="10" t="str">
        <f>IF(Planilha1!C353="","",Planilha1!C353)</f>
        <v>Minnesota Timberwolves</v>
      </c>
      <c r="J356" s="10">
        <f>IF(Planilha1!D353="","",Planilha1!D353)</f>
        <v>119</v>
      </c>
      <c r="K356" s="10" t="str">
        <f>IF(Planilha1!E353="","",IF(Planilha1!E353=0,"",Planilha1!E353))</f>
        <v>Dallas Mavericks</v>
      </c>
      <c r="L356" s="10">
        <f>IF(Planilha1!F353="","",Planilha1!F353)</f>
        <v>101</v>
      </c>
      <c r="M356" s="10">
        <f>IF(Planilha1!G353="","",IF(Planilha1!G353=0,"",Planilha1!G353))</f>
        <v>101</v>
      </c>
      <c r="N356" s="5">
        <f t="shared" si="47"/>
        <v>1</v>
      </c>
      <c r="O356" s="5">
        <f t="shared" si="48"/>
        <v>0</v>
      </c>
      <c r="P356" s="5">
        <f t="shared" si="41"/>
        <v>0</v>
      </c>
      <c r="Q356" s="5">
        <f t="shared" si="42"/>
        <v>2</v>
      </c>
      <c r="R356" s="7">
        <f t="shared" si="43"/>
        <v>0</v>
      </c>
      <c r="S356" s="7">
        <f t="shared" si="44"/>
        <v>0</v>
      </c>
      <c r="T356" s="3">
        <f t="shared" si="45"/>
        <v>1</v>
      </c>
      <c r="V356" s="1" t="e">
        <f t="shared" si="46"/>
        <v>#DIV/0!</v>
      </c>
    </row>
    <row r="357" spans="8:22" x14ac:dyDescent="0.3">
      <c r="H357" s="10" t="str">
        <f>IF(Planilha1!B354="","",Planilha1!B354)</f>
        <v>9:00p</v>
      </c>
      <c r="I357" s="10" t="str">
        <f>IF(Planilha1!C354="","",Planilha1!C354)</f>
        <v>Brooklyn Nets</v>
      </c>
      <c r="J357" s="10">
        <f>IF(Planilha1!D354="","",Planilha1!D354)</f>
        <v>101</v>
      </c>
      <c r="K357" s="10" t="str">
        <f>IF(Planilha1!E354="","",IF(Planilha1!E354=0,"",Planilha1!E354))</f>
        <v>Denver Nuggets</v>
      </c>
      <c r="L357" s="10">
        <f>IF(Planilha1!F354="","",Planilha1!F354)</f>
        <v>124</v>
      </c>
      <c r="M357" s="10">
        <f>IF(Planilha1!G354="","",IF(Planilha1!G354=0,"",Planilha1!G354))</f>
        <v>124</v>
      </c>
      <c r="N357" s="5">
        <f t="shared" si="47"/>
        <v>1</v>
      </c>
      <c r="O357" s="5">
        <f t="shared" si="48"/>
        <v>0</v>
      </c>
      <c r="P357" s="5">
        <f t="shared" si="41"/>
        <v>0</v>
      </c>
      <c r="Q357" s="5">
        <f t="shared" si="42"/>
        <v>2</v>
      </c>
      <c r="R357" s="7">
        <f t="shared" si="43"/>
        <v>0</v>
      </c>
      <c r="S357" s="7">
        <f t="shared" si="44"/>
        <v>0</v>
      </c>
      <c r="T357" s="3">
        <f t="shared" si="45"/>
        <v>1</v>
      </c>
      <c r="V357" s="1" t="e">
        <f t="shared" si="46"/>
        <v>#DIV/0!</v>
      </c>
    </row>
    <row r="358" spans="8:22" x14ac:dyDescent="0.3">
      <c r="H358" s="10" t="str">
        <f>IF(Planilha1!B355="","",Planilha1!B355)</f>
        <v>10:00p</v>
      </c>
      <c r="I358" s="10" t="str">
        <f>IF(Planilha1!C355="","",Planilha1!C355)</f>
        <v>Utah Jazz</v>
      </c>
      <c r="J358" s="10">
        <f>IF(Planilha1!D355="","",Planilha1!D355)</f>
        <v>122</v>
      </c>
      <c r="K358" s="10" t="str">
        <f>IF(Planilha1!E355="","",IF(Planilha1!E355=0,"",Planilha1!E355))</f>
        <v>Portland Trail Blazers</v>
      </c>
      <c r="L358" s="10">
        <f>IF(Planilha1!F355="","",Planilha1!F355)</f>
        <v>114</v>
      </c>
      <c r="M358" s="10">
        <f>IF(Planilha1!G355="","",IF(Planilha1!G355=0,"",Planilha1!G355))</f>
        <v>114</v>
      </c>
      <c r="N358" s="5">
        <f t="shared" si="47"/>
        <v>1</v>
      </c>
      <c r="O358" s="5">
        <f t="shared" si="48"/>
        <v>0</v>
      </c>
      <c r="P358" s="5">
        <f t="shared" si="41"/>
        <v>0</v>
      </c>
      <c r="Q358" s="5">
        <f t="shared" si="42"/>
        <v>2</v>
      </c>
      <c r="R358" s="7">
        <f t="shared" si="43"/>
        <v>0</v>
      </c>
      <c r="S358" s="7">
        <f t="shared" si="44"/>
        <v>0</v>
      </c>
      <c r="T358" s="3">
        <f t="shared" si="45"/>
        <v>1</v>
      </c>
      <c r="V358" s="1" t="e">
        <f t="shared" si="46"/>
        <v>#DIV/0!</v>
      </c>
    </row>
    <row r="359" spans="8:22" x14ac:dyDescent="0.3">
      <c r="H359" s="10" t="str">
        <f>IF(Planilha1!B356="","",Planilha1!B356)</f>
        <v>10:00p</v>
      </c>
      <c r="I359" s="10" t="str">
        <f>IF(Planilha1!C356="","",Planilha1!C356)</f>
        <v>Oklahoma City Thunder</v>
      </c>
      <c r="J359" s="10">
        <f>IF(Planilha1!D356="","",Planilha1!D356)</f>
        <v>123</v>
      </c>
      <c r="K359" s="10" t="str">
        <f>IF(Planilha1!E356="","",IF(Planilha1!E356=0,"",Planilha1!E356))</f>
        <v>Sacramento Kings</v>
      </c>
      <c r="L359" s="10">
        <f>IF(Planilha1!F356="","",Planilha1!F356)</f>
        <v>128</v>
      </c>
      <c r="M359" s="10">
        <f>IF(Planilha1!G356="","",IF(Planilha1!G356=0,"",Planilha1!G356))</f>
        <v>128</v>
      </c>
      <c r="N359" s="5">
        <f t="shared" si="47"/>
        <v>1</v>
      </c>
      <c r="O359" s="5">
        <f t="shared" si="48"/>
        <v>0</v>
      </c>
      <c r="P359" s="5">
        <f t="shared" si="41"/>
        <v>0</v>
      </c>
      <c r="Q359" s="5">
        <f t="shared" si="42"/>
        <v>2</v>
      </c>
      <c r="R359" s="7">
        <f t="shared" si="43"/>
        <v>0</v>
      </c>
      <c r="S359" s="7">
        <f t="shared" si="44"/>
        <v>0</v>
      </c>
      <c r="T359" s="3">
        <f t="shared" si="45"/>
        <v>1</v>
      </c>
      <c r="V359" s="1" t="e">
        <f t="shared" si="46"/>
        <v>#DIV/0!</v>
      </c>
    </row>
    <row r="360" spans="8:22" x14ac:dyDescent="0.3">
      <c r="H360" s="10" t="str">
        <f>IF(Planilha1!B357="","",Planilha1!B357)</f>
        <v>10:30p</v>
      </c>
      <c r="I360" s="10" t="str">
        <f>IF(Planilha1!C357="","",Planilha1!C357)</f>
        <v>Golden State Warriors</v>
      </c>
      <c r="J360" s="10">
        <f>IF(Planilha1!D357="","",Planilha1!D357)</f>
        <v>113</v>
      </c>
      <c r="K360" s="10" t="str">
        <f>IF(Planilha1!E357="","",IF(Planilha1!E357=0,"",Planilha1!E357))</f>
        <v>Los Angeles Clippers</v>
      </c>
      <c r="L360" s="10">
        <f>IF(Planilha1!F357="","",Planilha1!F357)</f>
        <v>121</v>
      </c>
      <c r="M360" s="10">
        <f>IF(Planilha1!G357="","",IF(Planilha1!G357=0,"",Planilha1!G357))</f>
        <v>121</v>
      </c>
      <c r="N360" s="5">
        <f t="shared" si="47"/>
        <v>1</v>
      </c>
      <c r="O360" s="5">
        <f t="shared" si="48"/>
        <v>0</v>
      </c>
      <c r="P360" s="5">
        <f t="shared" si="41"/>
        <v>0</v>
      </c>
      <c r="Q360" s="5">
        <f t="shared" si="42"/>
        <v>2</v>
      </c>
      <c r="R360" s="7">
        <f t="shared" si="43"/>
        <v>0</v>
      </c>
      <c r="S360" s="7">
        <f t="shared" si="44"/>
        <v>0</v>
      </c>
      <c r="T360" s="3">
        <f t="shared" si="45"/>
        <v>1</v>
      </c>
      <c r="V360" s="1" t="e">
        <f t="shared" si="46"/>
        <v>#DIV/0!</v>
      </c>
    </row>
    <row r="361" spans="8:22" x14ac:dyDescent="0.3">
      <c r="H361" s="10" t="str">
        <f>IF(Planilha1!B358="","",Planilha1!B358)</f>
        <v>7:00p</v>
      </c>
      <c r="I361" s="10" t="str">
        <f>IF(Planilha1!C358="","",Planilha1!C358)</f>
        <v>New Orleans Pelicans</v>
      </c>
      <c r="J361" s="10">
        <f>IF(Planilha1!D358="","",Planilha1!D358)</f>
        <v>112</v>
      </c>
      <c r="K361" s="10" t="str">
        <f>IF(Planilha1!E358="","",IF(Planilha1!E358=0,"",Planilha1!E358))</f>
        <v>Charlotte Hornets</v>
      </c>
      <c r="L361" s="10">
        <f>IF(Planilha1!F358="","",Planilha1!F358)</f>
        <v>107</v>
      </c>
      <c r="M361" s="10">
        <f>IF(Planilha1!G358="","",IF(Planilha1!G358=0,"",Planilha1!G358))</f>
        <v>107</v>
      </c>
      <c r="N361" s="5">
        <f t="shared" si="47"/>
        <v>1</v>
      </c>
      <c r="O361" s="5">
        <f t="shared" si="48"/>
        <v>0</v>
      </c>
      <c r="P361" s="5">
        <f t="shared" si="41"/>
        <v>0</v>
      </c>
      <c r="Q361" s="5">
        <f t="shared" si="42"/>
        <v>2</v>
      </c>
      <c r="R361" s="7">
        <f t="shared" si="43"/>
        <v>0</v>
      </c>
      <c r="S361" s="7">
        <f t="shared" si="44"/>
        <v>0</v>
      </c>
      <c r="T361" s="3">
        <f t="shared" si="45"/>
        <v>1</v>
      </c>
      <c r="V361" s="1" t="e">
        <f t="shared" si="46"/>
        <v>#DIV/0!</v>
      </c>
    </row>
    <row r="362" spans="8:22" x14ac:dyDescent="0.3">
      <c r="H362" s="10" t="str">
        <f>IF(Planilha1!B359="","",Planilha1!B359)</f>
        <v>7:00p</v>
      </c>
      <c r="I362" s="10" t="str">
        <f>IF(Planilha1!C359="","",Planilha1!C359)</f>
        <v>Detroit Pistons</v>
      </c>
      <c r="J362" s="10">
        <f>IF(Planilha1!D359="","",Planilha1!D359)</f>
        <v>92</v>
      </c>
      <c r="K362" s="10" t="str">
        <f>IF(Planilha1!E359="","",IF(Planilha1!E359=0,"",Planilha1!E359))</f>
        <v>Philadelphia 76ers</v>
      </c>
      <c r="L362" s="10">
        <f>IF(Planilha1!F359="","",Planilha1!F359)</f>
        <v>124</v>
      </c>
      <c r="M362" s="10">
        <f>IF(Planilha1!G359="","",IF(Planilha1!G359=0,"",Planilha1!G359))</f>
        <v>124</v>
      </c>
      <c r="N362" s="5">
        <f t="shared" si="47"/>
        <v>1</v>
      </c>
      <c r="O362" s="5">
        <f t="shared" si="48"/>
        <v>0</v>
      </c>
      <c r="P362" s="5">
        <f t="shared" si="41"/>
        <v>0</v>
      </c>
      <c r="Q362" s="5">
        <f t="shared" si="42"/>
        <v>2</v>
      </c>
      <c r="R362" s="7">
        <f t="shared" si="43"/>
        <v>0</v>
      </c>
      <c r="S362" s="7">
        <f t="shared" si="44"/>
        <v>0</v>
      </c>
      <c r="T362" s="3">
        <f t="shared" si="45"/>
        <v>1</v>
      </c>
      <c r="V362" s="1" t="e">
        <f t="shared" si="46"/>
        <v>#DIV/0!</v>
      </c>
    </row>
    <row r="363" spans="8:22" x14ac:dyDescent="0.3">
      <c r="H363" s="10" t="str">
        <f>IF(Planilha1!B360="","",Planilha1!B360)</f>
        <v>7:00p</v>
      </c>
      <c r="I363" s="10" t="str">
        <f>IF(Planilha1!C360="","",Planilha1!C360)</f>
        <v>Indiana Pacers</v>
      </c>
      <c r="J363" s="10">
        <f>IF(Planilha1!D360="","",Planilha1!D360)</f>
        <v>123</v>
      </c>
      <c r="K363" s="10" t="str">
        <f>IF(Planilha1!E360="","",IF(Planilha1!E360=0,"",Planilha1!E360))</f>
        <v>Washington Wizards</v>
      </c>
      <c r="L363" s="10">
        <f>IF(Planilha1!F360="","",Planilha1!F360)</f>
        <v>137</v>
      </c>
      <c r="M363" s="10">
        <f>IF(Planilha1!G360="","",IF(Planilha1!G360=0,"",Planilha1!G360))</f>
        <v>137</v>
      </c>
      <c r="N363" s="5">
        <f t="shared" si="47"/>
        <v>1</v>
      </c>
      <c r="O363" s="5">
        <f t="shared" si="48"/>
        <v>0</v>
      </c>
      <c r="P363" s="5">
        <f t="shared" si="41"/>
        <v>0</v>
      </c>
      <c r="Q363" s="5">
        <f t="shared" si="42"/>
        <v>2</v>
      </c>
      <c r="R363" s="7">
        <f t="shared" si="43"/>
        <v>0</v>
      </c>
      <c r="S363" s="7">
        <f t="shared" si="44"/>
        <v>0</v>
      </c>
      <c r="T363" s="3">
        <f t="shared" si="45"/>
        <v>1</v>
      </c>
      <c r="V363" s="1" t="e">
        <f t="shared" si="46"/>
        <v>#DIV/0!</v>
      </c>
    </row>
    <row r="364" spans="8:22" x14ac:dyDescent="0.3">
      <c r="H364" s="10" t="str">
        <f>IF(Planilha1!B361="","",Planilha1!B361)</f>
        <v>7:30p</v>
      </c>
      <c r="I364" s="10" t="str">
        <f>IF(Planilha1!C361="","",Planilha1!C361)</f>
        <v>Orlando Magic</v>
      </c>
      <c r="J364" s="10">
        <f>IF(Planilha1!D361="","",Planilha1!D361)</f>
        <v>111</v>
      </c>
      <c r="K364" s="10" t="str">
        <f>IF(Planilha1!E361="","",IF(Planilha1!E361=0,"",Planilha1!E361))</f>
        <v>Boston Celtics</v>
      </c>
      <c r="L364" s="10">
        <f>IF(Planilha1!F361="","",Planilha1!F361)</f>
        <v>128</v>
      </c>
      <c r="M364" s="10">
        <f>IF(Planilha1!G361="","",IF(Planilha1!G361=0,"",Planilha1!G361))</f>
        <v>128</v>
      </c>
      <c r="N364" s="5">
        <f t="shared" si="47"/>
        <v>1</v>
      </c>
      <c r="O364" s="5">
        <f t="shared" si="48"/>
        <v>0</v>
      </c>
      <c r="P364" s="5">
        <f t="shared" si="41"/>
        <v>0</v>
      </c>
      <c r="Q364" s="5">
        <f t="shared" si="42"/>
        <v>2</v>
      </c>
      <c r="R364" s="7">
        <f t="shared" si="43"/>
        <v>0</v>
      </c>
      <c r="S364" s="7">
        <f t="shared" si="44"/>
        <v>0</v>
      </c>
      <c r="T364" s="3">
        <f t="shared" si="45"/>
        <v>1</v>
      </c>
      <c r="V364" s="1" t="e">
        <f t="shared" si="46"/>
        <v>#DIV/0!</v>
      </c>
    </row>
    <row r="365" spans="8:22" x14ac:dyDescent="0.3">
      <c r="H365" s="10" t="str">
        <f>IF(Planilha1!B362="","",Planilha1!B362)</f>
        <v>7:30p</v>
      </c>
      <c r="I365" s="10" t="str">
        <f>IF(Planilha1!C362="","",Planilha1!C362)</f>
        <v>Los Angeles Lakers</v>
      </c>
      <c r="J365" s="10">
        <f>IF(Planilha1!D362="","",Planilha1!D362)</f>
        <v>115</v>
      </c>
      <c r="K365" s="10" t="str">
        <f>IF(Planilha1!E362="","",IF(Planilha1!E362=0,"",Planilha1!E362))</f>
        <v>San Antonio Spurs</v>
      </c>
      <c r="L365" s="10">
        <f>IF(Planilha1!F362="","",Planilha1!F362)</f>
        <v>129</v>
      </c>
      <c r="M365" s="10">
        <f>IF(Planilha1!G362="","",IF(Planilha1!G362=0,"",Planilha1!G362))</f>
        <v>129</v>
      </c>
      <c r="N365" s="5">
        <f t="shared" si="47"/>
        <v>1</v>
      </c>
      <c r="O365" s="5">
        <f t="shared" si="48"/>
        <v>0</v>
      </c>
      <c r="P365" s="5">
        <f t="shared" si="41"/>
        <v>0</v>
      </c>
      <c r="Q365" s="5">
        <f t="shared" si="42"/>
        <v>2</v>
      </c>
      <c r="R365" s="7">
        <f t="shared" si="43"/>
        <v>0</v>
      </c>
      <c r="S365" s="7">
        <f t="shared" si="44"/>
        <v>0</v>
      </c>
      <c r="T365" s="3">
        <f t="shared" si="45"/>
        <v>1</v>
      </c>
      <c r="V365" s="1" t="e">
        <f t="shared" si="46"/>
        <v>#DIV/0!</v>
      </c>
    </row>
    <row r="366" spans="8:22" x14ac:dyDescent="0.3">
      <c r="H366" s="10" t="str">
        <f>IF(Planilha1!B363="","",Planilha1!B363)</f>
        <v>7:30p</v>
      </c>
      <c r="I366" s="10" t="str">
        <f>IF(Planilha1!C363="","",Planilha1!C363)</f>
        <v>Atlanta Hawks</v>
      </c>
      <c r="J366" s="10">
        <f>IF(Planilha1!D363="","",Planilha1!D363)</f>
        <v>125</v>
      </c>
      <c r="K366" s="10" t="str">
        <f>IF(Planilha1!E363="","",IF(Planilha1!E363=0,"",Planilha1!E363))</f>
        <v>Toronto Raptors</v>
      </c>
      <c r="L366" s="10">
        <f>IF(Planilha1!F363="","",Planilha1!F363)</f>
        <v>104</v>
      </c>
      <c r="M366" s="10">
        <f>IF(Planilha1!G363="","",IF(Planilha1!G363=0,"",Planilha1!G363))</f>
        <v>104</v>
      </c>
      <c r="N366" s="5">
        <f t="shared" si="47"/>
        <v>1</v>
      </c>
      <c r="O366" s="5">
        <f t="shared" si="48"/>
        <v>0</v>
      </c>
      <c r="P366" s="5">
        <f t="shared" si="41"/>
        <v>0</v>
      </c>
      <c r="Q366" s="5">
        <f t="shared" si="42"/>
        <v>2</v>
      </c>
      <c r="R366" s="7">
        <f t="shared" si="43"/>
        <v>0</v>
      </c>
      <c r="S366" s="7">
        <f t="shared" si="44"/>
        <v>0</v>
      </c>
      <c r="T366" s="3">
        <f t="shared" si="45"/>
        <v>1</v>
      </c>
      <c r="V366" s="1" t="e">
        <f t="shared" si="46"/>
        <v>#DIV/0!</v>
      </c>
    </row>
    <row r="367" spans="8:22" x14ac:dyDescent="0.3">
      <c r="H367" s="10" t="str">
        <f>IF(Planilha1!B364="","",Planilha1!B364)</f>
        <v>8:00p</v>
      </c>
      <c r="I367" s="10" t="str">
        <f>IF(Planilha1!C364="","",Planilha1!C364)</f>
        <v>Houston Rockets</v>
      </c>
      <c r="J367" s="10">
        <f>IF(Planilha1!D364="","",Planilha1!D364)</f>
        <v>103</v>
      </c>
      <c r="K367" s="10" t="str">
        <f>IF(Planilha1!E364="","",IF(Planilha1!E364=0,"",Planilha1!E364))</f>
        <v>Memphis Grizzlies</v>
      </c>
      <c r="L367" s="10">
        <f>IF(Planilha1!F364="","",Planilha1!F364)</f>
        <v>96</v>
      </c>
      <c r="M367" s="10">
        <f>IF(Planilha1!G364="","",IF(Planilha1!G364=0,"",Planilha1!G364))</f>
        <v>96</v>
      </c>
      <c r="N367" s="5">
        <f t="shared" si="47"/>
        <v>1</v>
      </c>
      <c r="O367" s="5">
        <f t="shared" si="48"/>
        <v>0</v>
      </c>
      <c r="P367" s="5">
        <f t="shared" si="41"/>
        <v>0</v>
      </c>
      <c r="Q367" s="5">
        <f t="shared" si="42"/>
        <v>2</v>
      </c>
      <c r="R367" s="7">
        <f t="shared" si="43"/>
        <v>0</v>
      </c>
      <c r="S367" s="7">
        <f t="shared" si="44"/>
        <v>0</v>
      </c>
      <c r="T367" s="3">
        <f t="shared" si="45"/>
        <v>1</v>
      </c>
      <c r="V367" s="1" t="e">
        <f t="shared" si="46"/>
        <v>#DIV/0!</v>
      </c>
    </row>
    <row r="368" spans="8:22" x14ac:dyDescent="0.3">
      <c r="H368" s="10" t="str">
        <f>IF(Planilha1!B365="","",Planilha1!B365)</f>
        <v>10:00p</v>
      </c>
      <c r="I368" s="10" t="str">
        <f>IF(Planilha1!C365="","",Planilha1!C365)</f>
        <v>New York Knicks</v>
      </c>
      <c r="J368" s="10">
        <f>IF(Planilha1!D365="","",Planilha1!D365)</f>
        <v>139</v>
      </c>
      <c r="K368" s="10" t="str">
        <f>IF(Planilha1!E365="","",IF(Planilha1!E365=0,"",Planilha1!E365))</f>
        <v>Phoenix Suns</v>
      </c>
      <c r="L368" s="10">
        <f>IF(Planilha1!F365="","",Planilha1!F365)</f>
        <v>122</v>
      </c>
      <c r="M368" s="10">
        <f>IF(Planilha1!G365="","",IF(Planilha1!G365=0,"",Planilha1!G365))</f>
        <v>122</v>
      </c>
      <c r="N368" s="5">
        <f t="shared" si="47"/>
        <v>1</v>
      </c>
      <c r="O368" s="5">
        <f t="shared" si="48"/>
        <v>0</v>
      </c>
      <c r="P368" s="5">
        <f t="shared" si="41"/>
        <v>0</v>
      </c>
      <c r="Q368" s="5">
        <f t="shared" si="42"/>
        <v>2</v>
      </c>
      <c r="R368" s="7">
        <f t="shared" si="43"/>
        <v>0</v>
      </c>
      <c r="S368" s="7">
        <f t="shared" si="44"/>
        <v>0</v>
      </c>
      <c r="T368" s="3">
        <f t="shared" si="45"/>
        <v>1</v>
      </c>
      <c r="V368" s="1" t="e">
        <f t="shared" si="46"/>
        <v>#DIV/0!</v>
      </c>
    </row>
    <row r="369" spans="8:22" x14ac:dyDescent="0.3">
      <c r="H369" s="10" t="str">
        <f>IF(Planilha1!B366="","",Planilha1!B366)</f>
        <v>6:00p</v>
      </c>
      <c r="I369" s="10" t="str">
        <f>IF(Planilha1!C366="","",Planilha1!C366)</f>
        <v>Detroit Pistons</v>
      </c>
      <c r="J369" s="10">
        <f>IF(Planilha1!D366="","",Planilha1!D366)</f>
        <v>114</v>
      </c>
      <c r="K369" s="10" t="str">
        <f>IF(Planilha1!E366="","",IF(Planilha1!E366=0,"",Planilha1!E366))</f>
        <v>Milwaukee Bucks</v>
      </c>
      <c r="L369" s="10">
        <f>IF(Planilha1!F366="","",Planilha1!F366)</f>
        <v>146</v>
      </c>
      <c r="M369" s="10">
        <f>IF(Planilha1!G366="","",IF(Planilha1!G366=0,"",Planilha1!G366))</f>
        <v>146</v>
      </c>
      <c r="N369" s="5">
        <f t="shared" si="47"/>
        <v>1</v>
      </c>
      <c r="O369" s="5">
        <f t="shared" si="48"/>
        <v>0</v>
      </c>
      <c r="P369" s="5">
        <f t="shared" si="41"/>
        <v>0</v>
      </c>
      <c r="Q369" s="5">
        <f t="shared" si="42"/>
        <v>2</v>
      </c>
      <c r="R369" s="7">
        <f t="shared" si="43"/>
        <v>0</v>
      </c>
      <c r="S369" s="7">
        <f t="shared" si="44"/>
        <v>0</v>
      </c>
      <c r="T369" s="3">
        <f t="shared" si="45"/>
        <v>1</v>
      </c>
      <c r="V369" s="1" t="e">
        <f t="shared" si="46"/>
        <v>#DIV/0!</v>
      </c>
    </row>
    <row r="370" spans="8:22" x14ac:dyDescent="0.3">
      <c r="H370" s="10" t="str">
        <f>IF(Planilha1!B367="","",Planilha1!B367)</f>
        <v>7:00p</v>
      </c>
      <c r="I370" s="10" t="str">
        <f>IF(Planilha1!C367="","",Planilha1!C367)</f>
        <v>Philadelphia 76ers</v>
      </c>
      <c r="J370" s="10">
        <f>IF(Planilha1!D367="","",Planilha1!D367)</f>
        <v>135</v>
      </c>
      <c r="K370" s="10" t="str">
        <f>IF(Planilha1!E367="","",IF(Planilha1!E367=0,"",Planilha1!E367))</f>
        <v>Charlotte Hornets</v>
      </c>
      <c r="L370" s="10">
        <f>IF(Planilha1!F367="","",Planilha1!F367)</f>
        <v>82</v>
      </c>
      <c r="M370" s="10">
        <f>IF(Planilha1!G367="","",IF(Planilha1!G367=0,"",Planilha1!G367))</f>
        <v>82</v>
      </c>
      <c r="N370" s="5">
        <f t="shared" si="47"/>
        <v>1</v>
      </c>
      <c r="O370" s="5">
        <f t="shared" si="48"/>
        <v>0</v>
      </c>
      <c r="P370" s="5">
        <f t="shared" si="41"/>
        <v>0</v>
      </c>
      <c r="Q370" s="5">
        <f t="shared" si="42"/>
        <v>2</v>
      </c>
      <c r="R370" s="7">
        <f t="shared" si="43"/>
        <v>0</v>
      </c>
      <c r="S370" s="7">
        <f t="shared" si="44"/>
        <v>0</v>
      </c>
      <c r="T370" s="3">
        <f t="shared" si="45"/>
        <v>1</v>
      </c>
      <c r="V370" s="1" t="e">
        <f t="shared" si="46"/>
        <v>#DIV/0!</v>
      </c>
    </row>
    <row r="371" spans="8:22" x14ac:dyDescent="0.3">
      <c r="H371" s="10" t="str">
        <f>IF(Planilha1!B368="","",Planilha1!B368)</f>
        <v>7:30p</v>
      </c>
      <c r="I371" s="10" t="str">
        <f>IF(Planilha1!C368="","",Planilha1!C368)</f>
        <v>Atlanta Hawks</v>
      </c>
      <c r="J371" s="10">
        <f>IF(Planilha1!D368="","",Planilha1!D368)</f>
        <v>119</v>
      </c>
      <c r="K371" s="10" t="str">
        <f>IF(Planilha1!E368="","",IF(Planilha1!E368=0,"",Planilha1!E368))</f>
        <v>Cleveland Cavaliers</v>
      </c>
      <c r="L371" s="10">
        <f>IF(Planilha1!F368="","",Planilha1!F368)</f>
        <v>127</v>
      </c>
      <c r="M371" s="10">
        <f>IF(Planilha1!G368="","",IF(Planilha1!G368=0,"",Planilha1!G368))</f>
        <v>127</v>
      </c>
      <c r="N371" s="5">
        <f t="shared" si="47"/>
        <v>1</v>
      </c>
      <c r="O371" s="5">
        <f t="shared" si="48"/>
        <v>0</v>
      </c>
      <c r="P371" s="5">
        <f t="shared" si="41"/>
        <v>0</v>
      </c>
      <c r="Q371" s="5">
        <f t="shared" si="42"/>
        <v>2</v>
      </c>
      <c r="R371" s="7">
        <f t="shared" si="43"/>
        <v>0</v>
      </c>
      <c r="S371" s="7">
        <f t="shared" si="44"/>
        <v>0</v>
      </c>
      <c r="T371" s="3">
        <f t="shared" si="45"/>
        <v>1</v>
      </c>
      <c r="V371" s="1" t="e">
        <f t="shared" si="46"/>
        <v>#DIV/0!</v>
      </c>
    </row>
    <row r="372" spans="8:22" x14ac:dyDescent="0.3">
      <c r="H372" s="10" t="str">
        <f>IF(Planilha1!B369="","",Planilha1!B369)</f>
        <v>8:00p</v>
      </c>
      <c r="I372" s="10" t="str">
        <f>IF(Planilha1!C369="","",Planilha1!C369)</f>
        <v>Chicago Bulls</v>
      </c>
      <c r="J372" s="10">
        <f>IF(Planilha1!D369="","",Planilha1!D369)</f>
        <v>116</v>
      </c>
      <c r="K372" s="10" t="str">
        <f>IF(Planilha1!E369="","",IF(Planilha1!E369=0,"",Planilha1!E369))</f>
        <v>Miami Heat</v>
      </c>
      <c r="L372" s="10">
        <f>IF(Planilha1!F369="","",Planilha1!F369)</f>
        <v>118</v>
      </c>
      <c r="M372" s="10">
        <f>IF(Planilha1!G369="","",IF(Planilha1!G369=0,"",Planilha1!G369))</f>
        <v>118</v>
      </c>
      <c r="N372" s="5">
        <f t="shared" si="47"/>
        <v>1</v>
      </c>
      <c r="O372" s="5">
        <f t="shared" si="48"/>
        <v>0</v>
      </c>
      <c r="P372" s="5">
        <f t="shared" si="41"/>
        <v>0</v>
      </c>
      <c r="Q372" s="5">
        <f t="shared" si="42"/>
        <v>2</v>
      </c>
      <c r="R372" s="7">
        <f t="shared" si="43"/>
        <v>0</v>
      </c>
      <c r="S372" s="7">
        <f t="shared" si="44"/>
        <v>0</v>
      </c>
      <c r="T372" s="3">
        <f t="shared" si="45"/>
        <v>1</v>
      </c>
      <c r="V372" s="1" t="e">
        <f t="shared" si="46"/>
        <v>#DIV/0!</v>
      </c>
    </row>
    <row r="373" spans="8:22" x14ac:dyDescent="0.3">
      <c r="H373" s="10" t="str">
        <f>IF(Planilha1!B370="","",Planilha1!B370)</f>
        <v>8:00p</v>
      </c>
      <c r="I373" s="10" t="str">
        <f>IF(Planilha1!C370="","",Planilha1!C370)</f>
        <v>Indiana Pacers</v>
      </c>
      <c r="J373" s="10">
        <f>IF(Planilha1!D370="","",Planilha1!D370)</f>
        <v>109</v>
      </c>
      <c r="K373" s="10" t="str">
        <f>IF(Planilha1!E370="","",IF(Planilha1!E370=0,"",Planilha1!E370))</f>
        <v>Minnesota Timberwolves</v>
      </c>
      <c r="L373" s="10">
        <f>IF(Planilha1!F370="","",Planilha1!F370)</f>
        <v>127</v>
      </c>
      <c r="M373" s="10">
        <f>IF(Planilha1!G370="","",IF(Planilha1!G370=0,"",Planilha1!G370))</f>
        <v>127</v>
      </c>
      <c r="N373" s="5">
        <f t="shared" si="47"/>
        <v>1</v>
      </c>
      <c r="O373" s="5">
        <f t="shared" si="48"/>
        <v>0</v>
      </c>
      <c r="P373" s="5">
        <f t="shared" si="41"/>
        <v>0</v>
      </c>
      <c r="Q373" s="5">
        <f t="shared" si="42"/>
        <v>2</v>
      </c>
      <c r="R373" s="7">
        <f t="shared" si="43"/>
        <v>0</v>
      </c>
      <c r="S373" s="7">
        <f t="shared" si="44"/>
        <v>0</v>
      </c>
      <c r="T373" s="3">
        <f t="shared" si="45"/>
        <v>1</v>
      </c>
      <c r="V373" s="1" t="e">
        <f t="shared" si="46"/>
        <v>#DIV/0!</v>
      </c>
    </row>
    <row r="374" spans="8:22" x14ac:dyDescent="0.3">
      <c r="H374" s="10" t="str">
        <f>IF(Planilha1!B371="","",Planilha1!B371)</f>
        <v>8:30p</v>
      </c>
      <c r="I374" s="10" t="str">
        <f>IF(Planilha1!C371="","",Planilha1!C371)</f>
        <v>Brooklyn Nets</v>
      </c>
      <c r="J374" s="10">
        <f>IF(Planilha1!D371="","",Planilha1!D371)</f>
        <v>120</v>
      </c>
      <c r="K374" s="10" t="str">
        <f>IF(Planilha1!E371="","",IF(Planilha1!E371=0,"",Planilha1!E371))</f>
        <v>Golden State Warriors</v>
      </c>
      <c r="L374" s="10">
        <f>IF(Planilha1!F371="","",Planilha1!F371)</f>
        <v>124</v>
      </c>
      <c r="M374" s="10">
        <f>IF(Planilha1!G371="","",IF(Planilha1!G371=0,"",Planilha1!G371))</f>
        <v>124</v>
      </c>
      <c r="N374" s="5">
        <f t="shared" si="47"/>
        <v>1</v>
      </c>
      <c r="O374" s="5">
        <f t="shared" si="48"/>
        <v>0</v>
      </c>
      <c r="P374" s="5">
        <f t="shared" si="41"/>
        <v>0</v>
      </c>
      <c r="Q374" s="5">
        <f t="shared" si="42"/>
        <v>2</v>
      </c>
      <c r="R374" s="7">
        <f t="shared" si="43"/>
        <v>0</v>
      </c>
      <c r="S374" s="7">
        <f t="shared" si="44"/>
        <v>0</v>
      </c>
      <c r="T374" s="3">
        <f t="shared" si="45"/>
        <v>1</v>
      </c>
      <c r="V374" s="1" t="e">
        <f t="shared" si="46"/>
        <v>#DIV/0!</v>
      </c>
    </row>
    <row r="375" spans="8:22" x14ac:dyDescent="0.3">
      <c r="H375" s="10" t="str">
        <f>IF(Planilha1!B372="","",Planilha1!B372)</f>
        <v>9:00p</v>
      </c>
      <c r="I375" s="10" t="str">
        <f>IF(Planilha1!C372="","",Planilha1!C372)</f>
        <v>Oklahoma City Thunder</v>
      </c>
      <c r="J375" s="10">
        <f>IF(Planilha1!D372="","",Planilha1!D372)</f>
        <v>118</v>
      </c>
      <c r="K375" s="10" t="str">
        <f>IF(Planilha1!E372="","",IF(Planilha1!E372=0,"",Planilha1!E372))</f>
        <v>Denver Nuggets</v>
      </c>
      <c r="L375" s="10">
        <f>IF(Planilha1!F372="","",Planilha1!F372)</f>
        <v>117</v>
      </c>
      <c r="M375" s="10">
        <f>IF(Planilha1!G372="","",IF(Planilha1!G372=0,"",Planilha1!G372))</f>
        <v>117</v>
      </c>
      <c r="N375" s="5">
        <f t="shared" si="47"/>
        <v>1</v>
      </c>
      <c r="O375" s="5">
        <f t="shared" si="48"/>
        <v>0</v>
      </c>
      <c r="P375" s="5">
        <f t="shared" si="41"/>
        <v>0</v>
      </c>
      <c r="Q375" s="5">
        <f t="shared" si="42"/>
        <v>2</v>
      </c>
      <c r="R375" s="7">
        <f t="shared" si="43"/>
        <v>0</v>
      </c>
      <c r="S375" s="7">
        <f t="shared" si="44"/>
        <v>0</v>
      </c>
      <c r="T375" s="3">
        <f t="shared" si="45"/>
        <v>1</v>
      </c>
      <c r="V375" s="1" t="e">
        <f t="shared" si="46"/>
        <v>#DIV/0!</v>
      </c>
    </row>
    <row r="376" spans="8:22" x14ac:dyDescent="0.3">
      <c r="H376" s="10" t="str">
        <f>IF(Planilha1!B373="","",Planilha1!B373)</f>
        <v>9:00p</v>
      </c>
      <c r="I376" s="10" t="str">
        <f>IF(Planilha1!C373="","",Planilha1!C373)</f>
        <v>Dallas Mavericks</v>
      </c>
      <c r="J376" s="10">
        <f>IF(Planilha1!D373="","",Planilha1!D373)</f>
        <v>131</v>
      </c>
      <c r="K376" s="10" t="str">
        <f>IF(Planilha1!E373="","",IF(Planilha1!E373=0,"",Planilha1!E373))</f>
        <v>Portland Trail Blazers</v>
      </c>
      <c r="L376" s="10">
        <f>IF(Planilha1!F373="","",Planilha1!F373)</f>
        <v>120</v>
      </c>
      <c r="M376" s="10">
        <f>IF(Planilha1!G373="","",IF(Planilha1!G373=0,"",Planilha1!G373))</f>
        <v>120</v>
      </c>
      <c r="N376" s="5">
        <f t="shared" si="47"/>
        <v>1</v>
      </c>
      <c r="O376" s="5">
        <f t="shared" si="48"/>
        <v>0</v>
      </c>
      <c r="P376" s="5">
        <f t="shared" si="41"/>
        <v>0</v>
      </c>
      <c r="Q376" s="5">
        <f t="shared" si="42"/>
        <v>2</v>
      </c>
      <c r="R376" s="7">
        <f t="shared" si="43"/>
        <v>0</v>
      </c>
      <c r="S376" s="7">
        <f t="shared" si="44"/>
        <v>0</v>
      </c>
      <c r="T376" s="3">
        <f t="shared" si="45"/>
        <v>1</v>
      </c>
      <c r="V376" s="1" t="e">
        <f t="shared" si="46"/>
        <v>#DIV/0!</v>
      </c>
    </row>
    <row r="377" spans="8:22" x14ac:dyDescent="0.3">
      <c r="H377" s="10" t="str">
        <f>IF(Planilha1!B374="","",Planilha1!B374)</f>
        <v>10:00p</v>
      </c>
      <c r="I377" s="10" t="str">
        <f>IF(Planilha1!C374="","",Planilha1!C374)</f>
        <v>Utah Jazz</v>
      </c>
      <c r="J377" s="10">
        <f>IF(Planilha1!D374="","",Planilha1!D374)</f>
        <v>104</v>
      </c>
      <c r="K377" s="10" t="str">
        <f>IF(Planilha1!E374="","",IF(Planilha1!E374=0,"",Planilha1!E374))</f>
        <v>Sacramento Kings</v>
      </c>
      <c r="L377" s="10">
        <f>IF(Planilha1!F374="","",Planilha1!F374)</f>
        <v>125</v>
      </c>
      <c r="M377" s="10">
        <f>IF(Planilha1!G374="","",IF(Planilha1!G374=0,"",Planilha1!G374))</f>
        <v>125</v>
      </c>
      <c r="N377" s="5">
        <f t="shared" si="47"/>
        <v>1</v>
      </c>
      <c r="O377" s="5">
        <f t="shared" si="48"/>
        <v>0</v>
      </c>
      <c r="P377" s="5">
        <f t="shared" si="41"/>
        <v>0</v>
      </c>
      <c r="Q377" s="5">
        <f t="shared" si="42"/>
        <v>2</v>
      </c>
      <c r="R377" s="7">
        <f t="shared" si="43"/>
        <v>0</v>
      </c>
      <c r="S377" s="7">
        <f t="shared" si="44"/>
        <v>0</v>
      </c>
      <c r="T377" s="3">
        <f t="shared" si="45"/>
        <v>1</v>
      </c>
      <c r="V377" s="1" t="e">
        <f t="shared" si="46"/>
        <v>#DIV/0!</v>
      </c>
    </row>
    <row r="378" spans="8:22" x14ac:dyDescent="0.3">
      <c r="H378" s="10" t="str">
        <f>IF(Planilha1!B375="","",Planilha1!B375)</f>
        <v>10:30p</v>
      </c>
      <c r="I378" s="10" t="str">
        <f>IF(Planilha1!C375="","",Planilha1!C375)</f>
        <v>New York Knicks</v>
      </c>
      <c r="J378" s="10">
        <f>IF(Planilha1!D375="","",Planilha1!D375)</f>
        <v>122</v>
      </c>
      <c r="K378" s="10" t="str">
        <f>IF(Planilha1!E375="","",IF(Planilha1!E375=0,"",Planilha1!E375))</f>
        <v>Los Angeles Clippers</v>
      </c>
      <c r="L378" s="10">
        <f>IF(Planilha1!F375="","",Planilha1!F375)</f>
        <v>144</v>
      </c>
      <c r="M378" s="10">
        <f>IF(Planilha1!G375="","",IF(Planilha1!G375=0,"",Planilha1!G375))</f>
        <v>144</v>
      </c>
      <c r="N378" s="5">
        <f t="shared" si="47"/>
        <v>1</v>
      </c>
      <c r="O378" s="5">
        <f t="shared" si="48"/>
        <v>0</v>
      </c>
      <c r="P378" s="5">
        <f t="shared" si="41"/>
        <v>0</v>
      </c>
      <c r="Q378" s="5">
        <f t="shared" si="42"/>
        <v>2</v>
      </c>
      <c r="R378" s="7">
        <f t="shared" si="43"/>
        <v>0</v>
      </c>
      <c r="S378" s="7">
        <f t="shared" si="44"/>
        <v>0</v>
      </c>
      <c r="T378" s="3">
        <f t="shared" si="45"/>
        <v>1</v>
      </c>
      <c r="V378" s="1" t="e">
        <f t="shared" si="46"/>
        <v>#DIV/0!</v>
      </c>
    </row>
    <row r="379" spans="8:22" x14ac:dyDescent="0.3">
      <c r="H379" s="10" t="str">
        <f>IF(Planilha1!B376="","",Planilha1!B376)</f>
        <v>3:00p</v>
      </c>
      <c r="I379" s="10" t="str">
        <f>IF(Planilha1!C376="","",Planilha1!C376)</f>
        <v>Orlando Magic</v>
      </c>
      <c r="J379" s="10">
        <f>IF(Planilha1!D376="","",Planilha1!D376)</f>
        <v>97</v>
      </c>
      <c r="K379" s="10" t="str">
        <f>IF(Planilha1!E376="","",IF(Planilha1!E376=0,"",Planilha1!E376))</f>
        <v>Boston Celtics</v>
      </c>
      <c r="L379" s="10">
        <f>IF(Planilha1!F376="","",Planilha1!F376)</f>
        <v>114</v>
      </c>
      <c r="M379" s="10">
        <f>IF(Planilha1!G376="","",IF(Planilha1!G376=0,"",Planilha1!G376))</f>
        <v>114</v>
      </c>
      <c r="N379" s="5">
        <f t="shared" si="47"/>
        <v>1</v>
      </c>
      <c r="O379" s="5">
        <f t="shared" si="48"/>
        <v>0</v>
      </c>
      <c r="P379" s="5">
        <f t="shared" si="41"/>
        <v>0</v>
      </c>
      <c r="Q379" s="5">
        <f t="shared" si="42"/>
        <v>2</v>
      </c>
      <c r="R379" s="7">
        <f t="shared" si="43"/>
        <v>0</v>
      </c>
      <c r="S379" s="7">
        <f t="shared" si="44"/>
        <v>0</v>
      </c>
      <c r="T379" s="3">
        <f t="shared" si="45"/>
        <v>1</v>
      </c>
      <c r="V379" s="1" t="e">
        <f t="shared" si="46"/>
        <v>#DIV/0!</v>
      </c>
    </row>
    <row r="380" spans="8:22" x14ac:dyDescent="0.3">
      <c r="H380" s="10" t="str">
        <f>IF(Planilha1!B377="","",Planilha1!B377)</f>
        <v>3:30p</v>
      </c>
      <c r="I380" s="10" t="str">
        <f>IF(Planilha1!C377="","",Planilha1!C377)</f>
        <v>New Orleans Pelicans</v>
      </c>
      <c r="J380" s="10">
        <f>IF(Planilha1!D377="","",Planilha1!D377)</f>
        <v>146</v>
      </c>
      <c r="K380" s="10" t="str">
        <f>IF(Planilha1!E377="","",IF(Planilha1!E377=0,"",Planilha1!E377))</f>
        <v>San Antonio Spurs</v>
      </c>
      <c r="L380" s="10">
        <f>IF(Planilha1!F377="","",Planilha1!F377)</f>
        <v>110</v>
      </c>
      <c r="M380" s="10">
        <f>IF(Planilha1!G377="","",IF(Planilha1!G377=0,"",Planilha1!G377))</f>
        <v>110</v>
      </c>
      <c r="N380" s="5">
        <f t="shared" si="47"/>
        <v>1</v>
      </c>
      <c r="O380" s="5">
        <f t="shared" si="48"/>
        <v>0</v>
      </c>
      <c r="P380" s="5">
        <f t="shared" si="41"/>
        <v>0</v>
      </c>
      <c r="Q380" s="5">
        <f t="shared" si="42"/>
        <v>2</v>
      </c>
      <c r="R380" s="7">
        <f t="shared" si="43"/>
        <v>0</v>
      </c>
      <c r="S380" s="7">
        <f t="shared" si="44"/>
        <v>0</v>
      </c>
      <c r="T380" s="3">
        <f t="shared" si="45"/>
        <v>1</v>
      </c>
      <c r="V380" s="1" t="e">
        <f t="shared" si="46"/>
        <v>#DIV/0!</v>
      </c>
    </row>
    <row r="381" spans="8:22" x14ac:dyDescent="0.3">
      <c r="H381" s="10" t="str">
        <f>IF(Planilha1!B378="","",Planilha1!B378)</f>
        <v>7:00p</v>
      </c>
      <c r="I381" s="10" t="str">
        <f>IF(Planilha1!C378="","",Planilha1!C378)</f>
        <v>Houston Rockets</v>
      </c>
      <c r="J381" s="10">
        <f>IF(Planilha1!D378="","",Planilha1!D378)</f>
        <v>119</v>
      </c>
      <c r="K381" s="10" t="str">
        <f>IF(Planilha1!E378="","",IF(Planilha1!E378=0,"",Planilha1!E378))</f>
        <v>Milwaukee Bucks</v>
      </c>
      <c r="L381" s="10">
        <f>IF(Planilha1!F378="","",Planilha1!F378)</f>
        <v>128</v>
      </c>
      <c r="M381" s="10">
        <f>IF(Planilha1!G378="","",IF(Planilha1!G378=0,"",Planilha1!G378))</f>
        <v>128</v>
      </c>
      <c r="N381" s="5">
        <f t="shared" si="47"/>
        <v>1</v>
      </c>
      <c r="O381" s="5">
        <f t="shared" si="48"/>
        <v>0</v>
      </c>
      <c r="P381" s="5">
        <f t="shared" si="41"/>
        <v>0</v>
      </c>
      <c r="Q381" s="5">
        <f t="shared" si="42"/>
        <v>2</v>
      </c>
      <c r="R381" s="7">
        <f t="shared" si="43"/>
        <v>0</v>
      </c>
      <c r="S381" s="7">
        <f t="shared" si="44"/>
        <v>0</v>
      </c>
      <c r="T381" s="3">
        <f t="shared" si="45"/>
        <v>1</v>
      </c>
      <c r="V381" s="1" t="e">
        <f t="shared" si="46"/>
        <v>#DIV/0!</v>
      </c>
    </row>
    <row r="382" spans="8:22" x14ac:dyDescent="0.3">
      <c r="H382" s="10" t="str">
        <f>IF(Planilha1!B379="","",Planilha1!B379)</f>
        <v>8:00p</v>
      </c>
      <c r="I382" s="10" t="str">
        <f>IF(Planilha1!C379="","",Planilha1!C379)</f>
        <v>Washington Wizards</v>
      </c>
      <c r="J382" s="10">
        <f>IF(Planilha1!D379="","",Planilha1!D379)</f>
        <v>108</v>
      </c>
      <c r="K382" s="10" t="str">
        <f>IF(Planilha1!E379="","",IF(Planilha1!E379=0,"",Planilha1!E379))</f>
        <v>Phoenix Suns</v>
      </c>
      <c r="L382" s="10">
        <f>IF(Planilha1!F379="","",Planilha1!F379)</f>
        <v>112</v>
      </c>
      <c r="M382" s="10">
        <f>IF(Planilha1!G379="","",IF(Planilha1!G379=0,"",Planilha1!G379))</f>
        <v>112</v>
      </c>
      <c r="N382" s="5">
        <f t="shared" si="47"/>
        <v>1</v>
      </c>
      <c r="O382" s="5">
        <f t="shared" si="48"/>
        <v>0</v>
      </c>
      <c r="P382" s="5">
        <f t="shared" si="41"/>
        <v>0</v>
      </c>
      <c r="Q382" s="5">
        <f t="shared" si="42"/>
        <v>2</v>
      </c>
      <c r="R382" s="7">
        <f t="shared" si="43"/>
        <v>0</v>
      </c>
      <c r="S382" s="7">
        <f t="shared" si="44"/>
        <v>0</v>
      </c>
      <c r="T382" s="3">
        <f t="shared" si="45"/>
        <v>1</v>
      </c>
      <c r="V382" s="1" t="e">
        <f t="shared" si="46"/>
        <v>#DIV/0!</v>
      </c>
    </row>
    <row r="383" spans="8:22" x14ac:dyDescent="0.3">
      <c r="H383" s="10" t="str">
        <f>IF(Planilha1!B380="","",Planilha1!B380)</f>
        <v>9:00p</v>
      </c>
      <c r="I383" s="10" t="str">
        <f>IF(Planilha1!C380="","",Planilha1!C380)</f>
        <v>Golden State Warriors</v>
      </c>
      <c r="J383" s="10">
        <f>IF(Planilha1!D380="","",Planilha1!D380)</f>
        <v>118</v>
      </c>
      <c r="K383" s="10" t="str">
        <f>IF(Planilha1!E380="","",IF(Planilha1!E380=0,"",Planilha1!E380))</f>
        <v>Portland Trail Blazers</v>
      </c>
      <c r="L383" s="10">
        <f>IF(Planilha1!F380="","",Planilha1!F380)</f>
        <v>114</v>
      </c>
      <c r="M383" s="10">
        <f>IF(Planilha1!G380="","",IF(Planilha1!G380=0,"",Planilha1!G380))</f>
        <v>114</v>
      </c>
      <c r="N383" s="5">
        <f t="shared" si="47"/>
        <v>1</v>
      </c>
      <c r="O383" s="5">
        <f t="shared" si="48"/>
        <v>0</v>
      </c>
      <c r="P383" s="5">
        <f t="shared" si="41"/>
        <v>0</v>
      </c>
      <c r="Q383" s="5">
        <f t="shared" si="42"/>
        <v>2</v>
      </c>
      <c r="R383" s="7">
        <f t="shared" si="43"/>
        <v>0</v>
      </c>
      <c r="S383" s="7">
        <f t="shared" si="44"/>
        <v>0</v>
      </c>
      <c r="T383" s="3">
        <f t="shared" si="45"/>
        <v>1</v>
      </c>
      <c r="V383" s="1" t="e">
        <f t="shared" si="46"/>
        <v>#DIV/0!</v>
      </c>
    </row>
    <row r="384" spans="8:22" x14ac:dyDescent="0.3">
      <c r="H384" s="10" t="str">
        <f>IF(Planilha1!B381="","",Planilha1!B381)</f>
        <v>7:00p</v>
      </c>
      <c r="I384" s="10" t="str">
        <f>IF(Planilha1!C381="","",Planilha1!C381)</f>
        <v>Houston Rockets</v>
      </c>
      <c r="J384" s="10">
        <f>IF(Planilha1!D381="","",Planilha1!D381)</f>
        <v>130</v>
      </c>
      <c r="K384" s="10" t="str">
        <f>IF(Planilha1!E381="","",IF(Planilha1!E381=0,"",Planilha1!E381))</f>
        <v>Cleveland Cavaliers</v>
      </c>
      <c r="L384" s="10">
        <f>IF(Planilha1!F381="","",Planilha1!F381)</f>
        <v>135</v>
      </c>
      <c r="M384" s="10">
        <f>IF(Planilha1!G381="","",IF(Planilha1!G381=0,"",Planilha1!G381))</f>
        <v>135</v>
      </c>
      <c r="N384" s="5">
        <f t="shared" si="47"/>
        <v>1</v>
      </c>
      <c r="O384" s="5">
        <f t="shared" si="48"/>
        <v>0</v>
      </c>
      <c r="P384" s="5">
        <f t="shared" si="41"/>
        <v>0</v>
      </c>
      <c r="Q384" s="5">
        <f t="shared" si="42"/>
        <v>2</v>
      </c>
      <c r="R384" s="7">
        <f t="shared" si="43"/>
        <v>0</v>
      </c>
      <c r="S384" s="7">
        <f t="shared" si="44"/>
        <v>0</v>
      </c>
      <c r="T384" s="3">
        <f t="shared" si="45"/>
        <v>1</v>
      </c>
      <c r="V384" s="1" t="e">
        <f t="shared" si="46"/>
        <v>#DIV/0!</v>
      </c>
    </row>
    <row r="385" spans="8:22" x14ac:dyDescent="0.3">
      <c r="H385" s="10" t="str">
        <f>IF(Planilha1!B382="","",Planilha1!B382)</f>
        <v>7:00p</v>
      </c>
      <c r="I385" s="10" t="str">
        <f>IF(Planilha1!C382="","",Planilha1!C382)</f>
        <v>Los Angeles Clippers</v>
      </c>
      <c r="J385" s="10">
        <f>IF(Planilha1!D382="","",Planilha1!D382)</f>
        <v>151</v>
      </c>
      <c r="K385" s="10" t="str">
        <f>IF(Planilha1!E382="","",IF(Planilha1!E382=0,"",Planilha1!E382))</f>
        <v>Indiana Pacers</v>
      </c>
      <c r="L385" s="10">
        <f>IF(Planilha1!F382="","",Planilha1!F382)</f>
        <v>127</v>
      </c>
      <c r="M385" s="10">
        <f>IF(Planilha1!G382="","",IF(Planilha1!G382=0,"",Planilha1!G382))</f>
        <v>127</v>
      </c>
      <c r="N385" s="5">
        <f t="shared" si="47"/>
        <v>1</v>
      </c>
      <c r="O385" s="5">
        <f t="shared" si="48"/>
        <v>0</v>
      </c>
      <c r="P385" s="5">
        <f t="shared" si="41"/>
        <v>0</v>
      </c>
      <c r="Q385" s="5">
        <f t="shared" si="42"/>
        <v>2</v>
      </c>
      <c r="R385" s="7">
        <f t="shared" si="43"/>
        <v>0</v>
      </c>
      <c r="S385" s="7">
        <f t="shared" si="44"/>
        <v>0</v>
      </c>
      <c r="T385" s="3">
        <f t="shared" si="45"/>
        <v>1</v>
      </c>
      <c r="V385" s="1" t="e">
        <f t="shared" si="46"/>
        <v>#DIV/0!</v>
      </c>
    </row>
    <row r="386" spans="8:22" x14ac:dyDescent="0.3">
      <c r="H386" s="10" t="str">
        <f>IF(Planilha1!B383="","",Planilha1!B383)</f>
        <v>7:00p</v>
      </c>
      <c r="I386" s="10" t="str">
        <f>IF(Planilha1!C383="","",Planilha1!C383)</f>
        <v>Chicago Bulls</v>
      </c>
      <c r="J386" s="10">
        <f>IF(Planilha1!D383="","",Planilha1!D383)</f>
        <v>108</v>
      </c>
      <c r="K386" s="10" t="str">
        <f>IF(Planilha1!E383="","",IF(Planilha1!E383=0,"",Planilha1!E383))</f>
        <v>Philadelphia 76ers</v>
      </c>
      <c r="L386" s="10">
        <f>IF(Planilha1!F383="","",Planilha1!F383)</f>
        <v>104</v>
      </c>
      <c r="M386" s="10">
        <f>IF(Planilha1!G383="","",IF(Planilha1!G383=0,"",Planilha1!G383))</f>
        <v>104</v>
      </c>
      <c r="N386" s="5">
        <f t="shared" si="47"/>
        <v>1</v>
      </c>
      <c r="O386" s="5">
        <f t="shared" si="48"/>
        <v>0</v>
      </c>
      <c r="P386" s="5">
        <f t="shared" si="41"/>
        <v>0</v>
      </c>
      <c r="Q386" s="5">
        <f t="shared" si="42"/>
        <v>2</v>
      </c>
      <c r="R386" s="7">
        <f t="shared" si="43"/>
        <v>0</v>
      </c>
      <c r="S386" s="7">
        <f t="shared" si="44"/>
        <v>0</v>
      </c>
      <c r="T386" s="3">
        <f t="shared" si="45"/>
        <v>1</v>
      </c>
      <c r="V386" s="1" t="e">
        <f t="shared" si="46"/>
        <v>#DIV/0!</v>
      </c>
    </row>
    <row r="387" spans="8:22" x14ac:dyDescent="0.3">
      <c r="H387" s="10" t="str">
        <f>IF(Planilha1!B384="","",Planilha1!B384)</f>
        <v>7:30p</v>
      </c>
      <c r="I387" s="10" t="str">
        <f>IF(Planilha1!C384="","",Planilha1!C384)</f>
        <v>Detroit Pistons</v>
      </c>
      <c r="J387" s="10">
        <f>IF(Planilha1!D384="","",Planilha1!D384)</f>
        <v>124</v>
      </c>
      <c r="K387" s="10" t="str">
        <f>IF(Planilha1!E384="","",IF(Planilha1!E384=0,"",Planilha1!E384))</f>
        <v>Atlanta Hawks</v>
      </c>
      <c r="L387" s="10">
        <f>IF(Planilha1!F384="","",Planilha1!F384)</f>
        <v>130</v>
      </c>
      <c r="M387" s="10">
        <f>IF(Planilha1!G384="","",IF(Planilha1!G384=0,"",Planilha1!G384))</f>
        <v>130</v>
      </c>
      <c r="N387" s="5">
        <f t="shared" si="47"/>
        <v>1</v>
      </c>
      <c r="O387" s="5">
        <f t="shared" si="48"/>
        <v>0</v>
      </c>
      <c r="P387" s="5">
        <f t="shared" si="41"/>
        <v>0</v>
      </c>
      <c r="Q387" s="5">
        <f t="shared" si="42"/>
        <v>2</v>
      </c>
      <c r="R387" s="7">
        <f t="shared" si="43"/>
        <v>0</v>
      </c>
      <c r="S387" s="7">
        <f t="shared" si="44"/>
        <v>0</v>
      </c>
      <c r="T387" s="3">
        <f t="shared" si="45"/>
        <v>1</v>
      </c>
      <c r="V387" s="1" t="e">
        <f t="shared" si="46"/>
        <v>#DIV/0!</v>
      </c>
    </row>
    <row r="388" spans="8:22" x14ac:dyDescent="0.3">
      <c r="H388" s="10" t="str">
        <f>IF(Planilha1!B385="","",Planilha1!B385)</f>
        <v>7:30p</v>
      </c>
      <c r="I388" s="10" t="str">
        <f>IF(Planilha1!C385="","",Planilha1!C385)</f>
        <v>Minnesota Timberwolves</v>
      </c>
      <c r="J388" s="10">
        <f>IF(Planilha1!D385="","",Planilha1!D385)</f>
        <v>112</v>
      </c>
      <c r="K388" s="10" t="str">
        <f>IF(Planilha1!E385="","",IF(Planilha1!E385=0,"",Planilha1!E385))</f>
        <v>Miami Heat</v>
      </c>
      <c r="L388" s="10">
        <f>IF(Planilha1!F385="","",Planilha1!F385)</f>
        <v>108</v>
      </c>
      <c r="M388" s="10">
        <f>IF(Planilha1!G385="","",IF(Planilha1!G385=0,"",Planilha1!G385))</f>
        <v>108</v>
      </c>
      <c r="N388" s="5">
        <f t="shared" si="47"/>
        <v>1</v>
      </c>
      <c r="O388" s="5">
        <f t="shared" si="48"/>
        <v>0</v>
      </c>
      <c r="P388" s="5">
        <f t="shared" si="41"/>
        <v>0</v>
      </c>
      <c r="Q388" s="5">
        <f t="shared" si="42"/>
        <v>2</v>
      </c>
      <c r="R388" s="7">
        <f t="shared" si="43"/>
        <v>0</v>
      </c>
      <c r="S388" s="7">
        <f t="shared" si="44"/>
        <v>0</v>
      </c>
      <c r="T388" s="3">
        <f t="shared" si="45"/>
        <v>1</v>
      </c>
      <c r="V388" s="1" t="e">
        <f t="shared" si="46"/>
        <v>#DIV/0!</v>
      </c>
    </row>
    <row r="389" spans="8:22" x14ac:dyDescent="0.3">
      <c r="H389" s="10" t="str">
        <f>IF(Planilha1!B386="","",Planilha1!B386)</f>
        <v>7:30p</v>
      </c>
      <c r="I389" s="10" t="str">
        <f>IF(Planilha1!C386="","",Planilha1!C386)</f>
        <v>Charlotte Hornets</v>
      </c>
      <c r="J389" s="10">
        <f>IF(Planilha1!D386="","",Planilha1!D386)</f>
        <v>99</v>
      </c>
      <c r="K389" s="10" t="str">
        <f>IF(Planilha1!E386="","",IF(Planilha1!E386=0,"",Planilha1!E386))</f>
        <v>Toronto Raptors</v>
      </c>
      <c r="L389" s="10">
        <f>IF(Planilha1!F386="","",Planilha1!F386)</f>
        <v>114</v>
      </c>
      <c r="M389" s="10">
        <f>IF(Planilha1!G386="","",IF(Planilha1!G386=0,"",Planilha1!G386))</f>
        <v>114</v>
      </c>
      <c r="N389" s="5">
        <f t="shared" si="47"/>
        <v>1</v>
      </c>
      <c r="O389" s="5">
        <f t="shared" si="48"/>
        <v>0</v>
      </c>
      <c r="P389" s="5">
        <f t="shared" ref="P389:P452" si="49">IF(M389="",IF(R389&gt;S389,2,0),IF(K389&lt;M389,2,0))</f>
        <v>0</v>
      </c>
      <c r="Q389" s="5">
        <f t="shared" ref="Q389:Q452" si="50">IF(M389="",IF(R389&gt;S389,0,2),IF(K389&gt;M389,2,0))</f>
        <v>2</v>
      </c>
      <c r="R389" s="7">
        <f t="shared" ref="R389:R452" si="51">SUMIF($B:$B,J389,$C:$C)+(SUMIF($B:$B,L389,$F:$F))</f>
        <v>0</v>
      </c>
      <c r="S389" s="7">
        <f t="shared" ref="S389:S452" si="52">SUMIF($B:$B,L389,$E:$E)+(SUMIF($B:$B,J389,$D:$D))</f>
        <v>0</v>
      </c>
      <c r="T389" s="3">
        <f t="shared" ref="T389:T452" si="53">IF(M389="","",(N389-S389)^2+(O389-R389)^2)</f>
        <v>1</v>
      </c>
      <c r="V389" s="1" t="e">
        <f t="shared" ref="V389:V452" si="54">IF(O389="","",1/((O389-N389)/(R389-S389)))</f>
        <v>#DIV/0!</v>
      </c>
    </row>
    <row r="390" spans="8:22" x14ac:dyDescent="0.3">
      <c r="H390" s="10" t="str">
        <f>IF(Planilha1!B387="","",Planilha1!B387)</f>
        <v>8:00p</v>
      </c>
      <c r="I390" s="10" t="str">
        <f>IF(Planilha1!C387="","",Planilha1!C387)</f>
        <v>Memphis Grizzlies</v>
      </c>
      <c r="J390" s="10">
        <f>IF(Planilha1!D387="","",Planilha1!D387)</f>
        <v>97</v>
      </c>
      <c r="K390" s="10" t="str">
        <f>IF(Planilha1!E387="","",IF(Planilha1!E387=0,"",Planilha1!E387))</f>
        <v>Oklahoma City Thunder</v>
      </c>
      <c r="L390" s="10">
        <f>IF(Planilha1!F387="","",Planilha1!F387)</f>
        <v>116</v>
      </c>
      <c r="M390" s="10">
        <f>IF(Planilha1!G387="","",IF(Planilha1!G387=0,"",Planilha1!G387))</f>
        <v>116</v>
      </c>
      <c r="N390" s="5">
        <f t="shared" ref="N390:N453" si="55">IF(K390="","",IF(K390&gt;M390,100%,0%))</f>
        <v>1</v>
      </c>
      <c r="O390" s="5">
        <f t="shared" ref="O390:O453" si="56">IF(K390="","",IF(K390&lt;M390,100%,0%))</f>
        <v>0</v>
      </c>
      <c r="P390" s="5">
        <f t="shared" si="49"/>
        <v>0</v>
      </c>
      <c r="Q390" s="5">
        <f t="shared" si="50"/>
        <v>2</v>
      </c>
      <c r="R390" s="7">
        <f t="shared" si="51"/>
        <v>0</v>
      </c>
      <c r="S390" s="7">
        <f t="shared" si="52"/>
        <v>0</v>
      </c>
      <c r="T390" s="3">
        <f t="shared" si="53"/>
        <v>1</v>
      </c>
      <c r="V390" s="1" t="e">
        <f t="shared" si="54"/>
        <v>#DIV/0!</v>
      </c>
    </row>
    <row r="391" spans="8:22" x14ac:dyDescent="0.3">
      <c r="H391" s="10" t="str">
        <f>IF(Planilha1!B388="","",Planilha1!B388)</f>
        <v>9:00p</v>
      </c>
      <c r="I391" s="10" t="str">
        <f>IF(Planilha1!C388="","",Planilha1!C388)</f>
        <v>Dallas Mavericks</v>
      </c>
      <c r="J391" s="10">
        <f>IF(Planilha1!D388="","",Planilha1!D388)</f>
        <v>104</v>
      </c>
      <c r="K391" s="10" t="str">
        <f>IF(Planilha1!E388="","",IF(Planilha1!E388=0,"",Planilha1!E388))</f>
        <v>Denver Nuggets</v>
      </c>
      <c r="L391" s="10">
        <f>IF(Planilha1!F388="","",Planilha1!F388)</f>
        <v>130</v>
      </c>
      <c r="M391" s="10">
        <f>IF(Planilha1!G388="","",IF(Planilha1!G388=0,"",Planilha1!G388))</f>
        <v>130</v>
      </c>
      <c r="N391" s="5">
        <f t="shared" si="55"/>
        <v>1</v>
      </c>
      <c r="O391" s="5">
        <f t="shared" si="56"/>
        <v>0</v>
      </c>
      <c r="P391" s="5">
        <f t="shared" si="49"/>
        <v>0</v>
      </c>
      <c r="Q391" s="5">
        <f t="shared" si="50"/>
        <v>2</v>
      </c>
      <c r="R391" s="7">
        <f t="shared" si="51"/>
        <v>0</v>
      </c>
      <c r="S391" s="7">
        <f t="shared" si="52"/>
        <v>0</v>
      </c>
      <c r="T391" s="3">
        <f t="shared" si="53"/>
        <v>1</v>
      </c>
      <c r="V391" s="1" t="e">
        <f t="shared" si="54"/>
        <v>#DIV/0!</v>
      </c>
    </row>
    <row r="392" spans="8:22" ht="13.8" customHeight="1" x14ac:dyDescent="0.3">
      <c r="H392" s="10" t="str">
        <f>IF(Planilha1!B389="","",Planilha1!B389)</f>
        <v>9:00p</v>
      </c>
      <c r="I392" s="10" t="str">
        <f>IF(Planilha1!C389="","",Planilha1!C389)</f>
        <v>Brooklyn Nets</v>
      </c>
      <c r="J392" s="10">
        <f>IF(Planilha1!D389="","",Planilha1!D389)</f>
        <v>108</v>
      </c>
      <c r="K392" s="10" t="str">
        <f>IF(Planilha1!E389="","",IF(Planilha1!E389=0,"",Planilha1!E389))</f>
        <v>Utah Jazz</v>
      </c>
      <c r="L392" s="10">
        <f>IF(Planilha1!F389="","",Planilha1!F389)</f>
        <v>125</v>
      </c>
      <c r="M392" s="10">
        <f>IF(Planilha1!G389="","",IF(Planilha1!G389=0,"",Planilha1!G389))</f>
        <v>125</v>
      </c>
      <c r="N392" s="5">
        <f t="shared" si="55"/>
        <v>1</v>
      </c>
      <c r="O392" s="5">
        <f t="shared" si="56"/>
        <v>0</v>
      </c>
      <c r="P392" s="5">
        <f t="shared" si="49"/>
        <v>0</v>
      </c>
      <c r="Q392" s="5">
        <f t="shared" si="50"/>
        <v>2</v>
      </c>
      <c r="R392" s="7">
        <f t="shared" si="51"/>
        <v>0</v>
      </c>
      <c r="S392" s="7">
        <f t="shared" si="52"/>
        <v>0</v>
      </c>
      <c r="T392" s="3">
        <f t="shared" si="53"/>
        <v>1</v>
      </c>
      <c r="V392" s="1" t="e">
        <f t="shared" si="54"/>
        <v>#DIV/0!</v>
      </c>
    </row>
    <row r="393" spans="8:22" x14ac:dyDescent="0.3">
      <c r="H393" s="10" t="str">
        <f>IF(Planilha1!B390="","",Planilha1!B390)</f>
        <v>10:00p</v>
      </c>
      <c r="I393" s="10" t="str">
        <f>IF(Planilha1!C390="","",Planilha1!C390)</f>
        <v>Washington Wizards</v>
      </c>
      <c r="J393" s="10">
        <f>IF(Planilha1!D390="","",Planilha1!D390)</f>
        <v>131</v>
      </c>
      <c r="K393" s="10" t="str">
        <f>IF(Planilha1!E390="","",IF(Planilha1!E390=0,"",Planilha1!E390))</f>
        <v>Sacramento Kings</v>
      </c>
      <c r="L393" s="10">
        <f>IF(Planilha1!F390="","",Planilha1!F390)</f>
        <v>143</v>
      </c>
      <c r="M393" s="10">
        <f>IF(Planilha1!G390="","",IF(Planilha1!G390=0,"",Planilha1!G390))</f>
        <v>143</v>
      </c>
      <c r="N393" s="5">
        <f t="shared" si="55"/>
        <v>1</v>
      </c>
      <c r="O393" s="5">
        <f t="shared" si="56"/>
        <v>0</v>
      </c>
      <c r="P393" s="5">
        <f t="shared" si="49"/>
        <v>0</v>
      </c>
      <c r="Q393" s="5">
        <f t="shared" si="50"/>
        <v>2</v>
      </c>
      <c r="R393" s="7">
        <f t="shared" si="51"/>
        <v>0</v>
      </c>
      <c r="S393" s="7">
        <f t="shared" si="52"/>
        <v>0</v>
      </c>
      <c r="T393" s="3">
        <f t="shared" si="53"/>
        <v>1</v>
      </c>
      <c r="V393" s="1" t="e">
        <f t="shared" si="54"/>
        <v>#DIV/0!</v>
      </c>
    </row>
    <row r="394" spans="8:22" x14ac:dyDescent="0.3">
      <c r="H394" s="10" t="str">
        <f>IF(Planilha1!B391="","",Planilha1!B391)</f>
        <v>10:30p</v>
      </c>
      <c r="I394" s="10" t="str">
        <f>IF(Planilha1!C391="","",Planilha1!C391)</f>
        <v>New York Knicks</v>
      </c>
      <c r="J394" s="10">
        <f>IF(Planilha1!D391="","",Planilha1!D391)</f>
        <v>114</v>
      </c>
      <c r="K394" s="10" t="str">
        <f>IF(Planilha1!E391="","",IF(Planilha1!E391=0,"",Planilha1!E391))</f>
        <v>Los Angeles Lakers</v>
      </c>
      <c r="L394" s="10">
        <f>IF(Planilha1!F391="","",Planilha1!F391)</f>
        <v>109</v>
      </c>
      <c r="M394" s="10">
        <f>IF(Planilha1!G391="","",IF(Planilha1!G391=0,"",Planilha1!G391))</f>
        <v>109</v>
      </c>
      <c r="N394" s="5">
        <f t="shared" si="55"/>
        <v>1</v>
      </c>
      <c r="O394" s="5">
        <f t="shared" si="56"/>
        <v>0</v>
      </c>
      <c r="P394" s="5">
        <f t="shared" si="49"/>
        <v>0</v>
      </c>
      <c r="Q394" s="5">
        <f t="shared" si="50"/>
        <v>2</v>
      </c>
      <c r="R394" s="7">
        <f t="shared" si="51"/>
        <v>0</v>
      </c>
      <c r="S394" s="7">
        <f t="shared" si="52"/>
        <v>0</v>
      </c>
      <c r="T394" s="3">
        <f t="shared" si="53"/>
        <v>1</v>
      </c>
      <c r="V394" s="1" t="e">
        <f t="shared" si="54"/>
        <v>#DIV/0!</v>
      </c>
    </row>
    <row r="395" spans="8:22" x14ac:dyDescent="0.3">
      <c r="H395" s="10" t="str">
        <f>IF(Planilha1!B392="","",Planilha1!B392)</f>
        <v>7:30p</v>
      </c>
      <c r="I395" s="10" t="str">
        <f>IF(Planilha1!C392="","",Planilha1!C392)</f>
        <v>Memphis Grizzlies</v>
      </c>
      <c r="J395" s="10">
        <f>IF(Planilha1!D392="","",Planilha1!D392)</f>
        <v>115</v>
      </c>
      <c r="K395" s="10" t="str">
        <f>IF(Planilha1!E392="","",IF(Planilha1!E392=0,"",Planilha1!E392))</f>
        <v>New Orleans Pelicans</v>
      </c>
      <c r="L395" s="10">
        <f>IF(Planilha1!F392="","",Planilha1!F392)</f>
        <v>113</v>
      </c>
      <c r="M395" s="10">
        <f>IF(Planilha1!G392="","",IF(Planilha1!G392=0,"",Planilha1!G392))</f>
        <v>113</v>
      </c>
      <c r="N395" s="5">
        <f t="shared" si="55"/>
        <v>1</v>
      </c>
      <c r="O395" s="5">
        <f t="shared" si="56"/>
        <v>0</v>
      </c>
      <c r="P395" s="5">
        <f t="shared" si="49"/>
        <v>0</v>
      </c>
      <c r="Q395" s="5">
        <f t="shared" si="50"/>
        <v>2</v>
      </c>
      <c r="R395" s="7">
        <f t="shared" si="51"/>
        <v>0</v>
      </c>
      <c r="S395" s="7">
        <f t="shared" si="52"/>
        <v>0</v>
      </c>
      <c r="T395" s="3">
        <f t="shared" si="53"/>
        <v>1</v>
      </c>
      <c r="V395" s="1" t="e">
        <f t="shared" si="54"/>
        <v>#DIV/0!</v>
      </c>
    </row>
    <row r="396" spans="8:22" x14ac:dyDescent="0.3">
      <c r="H396" s="10" t="str">
        <f>IF(Planilha1!B393="","",Planilha1!B393)</f>
        <v>8:00p</v>
      </c>
      <c r="I396" s="10" t="str">
        <f>IF(Planilha1!C393="","",Planilha1!C393)</f>
        <v>San Antonio Spurs</v>
      </c>
      <c r="J396" s="10">
        <f>IF(Planilha1!D393="","",Planilha1!D393)</f>
        <v>119</v>
      </c>
      <c r="K396" s="10" t="str">
        <f>IF(Planilha1!E393="","",IF(Planilha1!E393=0,"",Planilha1!E393))</f>
        <v>Milwaukee Bucks</v>
      </c>
      <c r="L396" s="10">
        <f>IF(Planilha1!F393="","",Planilha1!F393)</f>
        <v>132</v>
      </c>
      <c r="M396" s="10">
        <f>IF(Planilha1!G393="","",IF(Planilha1!G393=0,"",Planilha1!G393))</f>
        <v>132</v>
      </c>
      <c r="N396" s="5">
        <f t="shared" si="55"/>
        <v>1</v>
      </c>
      <c r="O396" s="5">
        <f t="shared" si="56"/>
        <v>0</v>
      </c>
      <c r="P396" s="5">
        <f t="shared" si="49"/>
        <v>0</v>
      </c>
      <c r="Q396" s="5">
        <f t="shared" si="50"/>
        <v>2</v>
      </c>
      <c r="R396" s="7">
        <f t="shared" si="51"/>
        <v>0</v>
      </c>
      <c r="S396" s="7">
        <f t="shared" si="52"/>
        <v>0</v>
      </c>
      <c r="T396" s="3">
        <f t="shared" si="53"/>
        <v>1</v>
      </c>
      <c r="V396" s="1" t="e">
        <f t="shared" si="54"/>
        <v>#DIV/0!</v>
      </c>
    </row>
    <row r="397" spans="8:22" x14ac:dyDescent="0.3">
      <c r="H397" s="10" t="str">
        <f>IF(Planilha1!B394="","",Planilha1!B394)</f>
        <v>10:00p</v>
      </c>
      <c r="I397" s="10" t="str">
        <f>IF(Planilha1!C394="","",Planilha1!C394)</f>
        <v>Boston Celtics</v>
      </c>
      <c r="J397" s="10">
        <f>IF(Planilha1!D394="","",Planilha1!D394)</f>
        <v>126</v>
      </c>
      <c r="K397" s="10" t="str">
        <f>IF(Planilha1!E394="","",IF(Planilha1!E394=0,"",Planilha1!E394))</f>
        <v>Golden State Warriors</v>
      </c>
      <c r="L397" s="10">
        <f>IF(Planilha1!F394="","",Planilha1!F394)</f>
        <v>132</v>
      </c>
      <c r="M397" s="10">
        <f>IF(Planilha1!G394="","",IF(Planilha1!G394=0,"",Planilha1!G394))</f>
        <v>132</v>
      </c>
      <c r="N397" s="5">
        <f t="shared" si="55"/>
        <v>1</v>
      </c>
      <c r="O397" s="5">
        <f t="shared" si="56"/>
        <v>0</v>
      </c>
      <c r="P397" s="5">
        <f t="shared" si="49"/>
        <v>0</v>
      </c>
      <c r="Q397" s="5">
        <f t="shared" si="50"/>
        <v>2</v>
      </c>
      <c r="R397" s="7">
        <f t="shared" si="51"/>
        <v>0</v>
      </c>
      <c r="S397" s="7">
        <f t="shared" si="52"/>
        <v>0</v>
      </c>
      <c r="T397" s="3">
        <f t="shared" si="53"/>
        <v>1</v>
      </c>
      <c r="V397" s="1" t="e">
        <f t="shared" si="54"/>
        <v>#DIV/0!</v>
      </c>
    </row>
    <row r="398" spans="8:22" x14ac:dyDescent="0.3">
      <c r="H398" s="10" t="str">
        <f>IF(Planilha1!B395="","",Planilha1!B395)</f>
        <v>10:00p</v>
      </c>
      <c r="I398" s="10" t="str">
        <f>IF(Planilha1!C395="","",Planilha1!C395)</f>
        <v>Phoenix Suns</v>
      </c>
      <c r="J398" s="10">
        <f>IF(Planilha1!D395="","",Planilha1!D395)</f>
        <v>104</v>
      </c>
      <c r="K398" s="10" t="str">
        <f>IF(Planilha1!E395="","",IF(Planilha1!E395=0,"",Planilha1!E395))</f>
        <v>Portland Trail Blazers</v>
      </c>
      <c r="L398" s="10">
        <f>IF(Planilha1!F395="","",Planilha1!F395)</f>
        <v>109</v>
      </c>
      <c r="M398" s="10">
        <f>IF(Planilha1!G395="","",IF(Planilha1!G395=0,"",Planilha1!G395))</f>
        <v>109</v>
      </c>
      <c r="N398" s="5">
        <f t="shared" si="55"/>
        <v>1</v>
      </c>
      <c r="O398" s="5">
        <f t="shared" si="56"/>
        <v>0</v>
      </c>
      <c r="P398" s="5">
        <f t="shared" si="49"/>
        <v>0</v>
      </c>
      <c r="Q398" s="5">
        <f t="shared" si="50"/>
        <v>2</v>
      </c>
      <c r="R398" s="7">
        <f t="shared" si="51"/>
        <v>0</v>
      </c>
      <c r="S398" s="7">
        <f t="shared" si="52"/>
        <v>0</v>
      </c>
      <c r="T398" s="3">
        <f t="shared" si="53"/>
        <v>1</v>
      </c>
      <c r="V398" s="1" t="e">
        <f t="shared" si="54"/>
        <v>#DIV/0!</v>
      </c>
    </row>
    <row r="399" spans="8:22" x14ac:dyDescent="0.3">
      <c r="H399" s="10" t="str">
        <f>IF(Planilha1!B396="","",Planilha1!B396)</f>
        <v>7:00p</v>
      </c>
      <c r="I399" s="10" t="str">
        <f>IF(Planilha1!C396="","",Planilha1!C396)</f>
        <v>Utah Jazz</v>
      </c>
      <c r="J399" s="10">
        <f>IF(Planilha1!D396="","",Planilha1!D396)</f>
        <v>116</v>
      </c>
      <c r="K399" s="10" t="str">
        <f>IF(Planilha1!E396="","",IF(Planilha1!E396=0,"",Planilha1!E396))</f>
        <v>Cleveland Cavaliers</v>
      </c>
      <c r="L399" s="10">
        <f>IF(Planilha1!F396="","",Planilha1!F396)</f>
        <v>124</v>
      </c>
      <c r="M399" s="10">
        <f>IF(Planilha1!G396="","",IF(Planilha1!G396=0,"",Planilha1!G396))</f>
        <v>124</v>
      </c>
      <c r="N399" s="5">
        <f t="shared" si="55"/>
        <v>1</v>
      </c>
      <c r="O399" s="5">
        <f t="shared" si="56"/>
        <v>0</v>
      </c>
      <c r="P399" s="5">
        <f t="shared" si="49"/>
        <v>0</v>
      </c>
      <c r="Q399" s="5">
        <f t="shared" si="50"/>
        <v>2</v>
      </c>
      <c r="R399" s="7">
        <f t="shared" si="51"/>
        <v>0</v>
      </c>
      <c r="S399" s="7">
        <f t="shared" si="52"/>
        <v>0</v>
      </c>
      <c r="T399" s="3">
        <f t="shared" si="53"/>
        <v>1</v>
      </c>
      <c r="V399" s="1" t="e">
        <f t="shared" si="54"/>
        <v>#DIV/0!</v>
      </c>
    </row>
    <row r="400" spans="8:22" x14ac:dyDescent="0.3">
      <c r="H400" s="10" t="str">
        <f>IF(Planilha1!B397="","",Planilha1!B397)</f>
        <v>7:00p</v>
      </c>
      <c r="I400" s="10" t="str">
        <f>IF(Planilha1!C397="","",Planilha1!C397)</f>
        <v>Charlotte Hornets</v>
      </c>
      <c r="J400" s="10">
        <f>IF(Planilha1!D397="","",Planilha1!D397)</f>
        <v>113</v>
      </c>
      <c r="K400" s="10" t="str">
        <f>IF(Planilha1!E397="","",IF(Planilha1!E397=0,"",Planilha1!E397))</f>
        <v>Indiana Pacers</v>
      </c>
      <c r="L400" s="10">
        <f>IF(Planilha1!F397="","",Planilha1!F397)</f>
        <v>144</v>
      </c>
      <c r="M400" s="10">
        <f>IF(Planilha1!G397="","",IF(Planilha1!G397=0,"",Planilha1!G397))</f>
        <v>144</v>
      </c>
      <c r="N400" s="5">
        <f t="shared" si="55"/>
        <v>1</v>
      </c>
      <c r="O400" s="5">
        <f t="shared" si="56"/>
        <v>0</v>
      </c>
      <c r="P400" s="5">
        <f t="shared" si="49"/>
        <v>0</v>
      </c>
      <c r="Q400" s="5">
        <f t="shared" si="50"/>
        <v>2</v>
      </c>
      <c r="R400" s="7">
        <f t="shared" si="51"/>
        <v>0</v>
      </c>
      <c r="S400" s="7">
        <f t="shared" si="52"/>
        <v>0</v>
      </c>
      <c r="T400" s="3">
        <f t="shared" si="53"/>
        <v>1</v>
      </c>
      <c r="V400" s="1" t="e">
        <f t="shared" si="54"/>
        <v>#DIV/0!</v>
      </c>
    </row>
    <row r="401" spans="8:22" x14ac:dyDescent="0.3">
      <c r="H401" s="10" t="str">
        <f>IF(Planilha1!B398="","",Planilha1!B398)</f>
        <v>7:00p</v>
      </c>
      <c r="I401" s="10" t="str">
        <f>IF(Planilha1!C398="","",Planilha1!C398)</f>
        <v>Miami Heat</v>
      </c>
      <c r="J401" s="10">
        <f>IF(Planilha1!D398="","",Planilha1!D398)</f>
        <v>115</v>
      </c>
      <c r="K401" s="10" t="str">
        <f>IF(Planilha1!E398="","",IF(Planilha1!E398=0,"",Planilha1!E398))</f>
        <v>Orlando Magic</v>
      </c>
      <c r="L401" s="10">
        <f>IF(Planilha1!F398="","",Planilha1!F398)</f>
        <v>106</v>
      </c>
      <c r="M401" s="10">
        <f>IF(Planilha1!G398="","",IF(Planilha1!G398=0,"",Planilha1!G398))</f>
        <v>106</v>
      </c>
      <c r="N401" s="5">
        <f t="shared" si="55"/>
        <v>1</v>
      </c>
      <c r="O401" s="5">
        <f t="shared" si="56"/>
        <v>0</v>
      </c>
      <c r="P401" s="5">
        <f t="shared" si="49"/>
        <v>0</v>
      </c>
      <c r="Q401" s="5">
        <f t="shared" si="50"/>
        <v>2</v>
      </c>
      <c r="R401" s="7">
        <f t="shared" si="51"/>
        <v>0</v>
      </c>
      <c r="S401" s="7">
        <f t="shared" si="52"/>
        <v>0</v>
      </c>
      <c r="T401" s="3">
        <f t="shared" si="53"/>
        <v>1</v>
      </c>
      <c r="V401" s="1" t="e">
        <f t="shared" si="54"/>
        <v>#DIV/0!</v>
      </c>
    </row>
    <row r="402" spans="8:22" x14ac:dyDescent="0.3">
      <c r="H402" s="10" t="str">
        <f>IF(Planilha1!B399="","",Planilha1!B399)</f>
        <v>7:00p</v>
      </c>
      <c r="I402" s="10" t="str">
        <f>IF(Planilha1!C399="","",Planilha1!C399)</f>
        <v>Minnesota Timberwolves</v>
      </c>
      <c r="J402" s="10">
        <f>IF(Planilha1!D399="","",Planilha1!D399)</f>
        <v>113</v>
      </c>
      <c r="K402" s="10" t="str">
        <f>IF(Planilha1!E399="","",IF(Planilha1!E399=0,"",Planilha1!E399))</f>
        <v>Philadelphia 76ers</v>
      </c>
      <c r="L402" s="10">
        <f>IF(Planilha1!F399="","",Planilha1!F399)</f>
        <v>127</v>
      </c>
      <c r="M402" s="10">
        <f>IF(Planilha1!G399="","",IF(Planilha1!G399=0,"",Planilha1!G399))</f>
        <v>127</v>
      </c>
      <c r="N402" s="5">
        <f t="shared" si="55"/>
        <v>1</v>
      </c>
      <c r="O402" s="5">
        <f t="shared" si="56"/>
        <v>0</v>
      </c>
      <c r="P402" s="5">
        <f t="shared" si="49"/>
        <v>0</v>
      </c>
      <c r="Q402" s="5">
        <f t="shared" si="50"/>
        <v>2</v>
      </c>
      <c r="R402" s="7">
        <f t="shared" si="51"/>
        <v>0</v>
      </c>
      <c r="S402" s="7">
        <f t="shared" si="52"/>
        <v>0</v>
      </c>
      <c r="T402" s="3">
        <f t="shared" si="53"/>
        <v>1</v>
      </c>
      <c r="V402" s="1" t="e">
        <f t="shared" si="54"/>
        <v>#DIV/0!</v>
      </c>
    </row>
    <row r="403" spans="8:22" x14ac:dyDescent="0.3">
      <c r="H403" s="10" t="str">
        <f>IF(Planilha1!B400="","",Planilha1!B400)</f>
        <v>7:30p</v>
      </c>
      <c r="I403" s="10" t="str">
        <f>IF(Planilha1!C400="","",Planilha1!C400)</f>
        <v>New York Knicks</v>
      </c>
      <c r="J403" s="10">
        <f>IF(Planilha1!D400="","",Planilha1!D400)</f>
        <v>121</v>
      </c>
      <c r="K403" s="10" t="str">
        <f>IF(Planilha1!E400="","",IF(Planilha1!E400=0,"",Planilha1!E400))</f>
        <v>Brooklyn Nets</v>
      </c>
      <c r="L403" s="10">
        <f>IF(Planilha1!F400="","",Planilha1!F400)</f>
        <v>102</v>
      </c>
      <c r="M403" s="10">
        <f>IF(Planilha1!G400="","",IF(Planilha1!G400=0,"",Planilha1!G400))</f>
        <v>102</v>
      </c>
      <c r="N403" s="5">
        <f t="shared" si="55"/>
        <v>1</v>
      </c>
      <c r="O403" s="5">
        <f t="shared" si="56"/>
        <v>0</v>
      </c>
      <c r="P403" s="5">
        <f t="shared" si="49"/>
        <v>0</v>
      </c>
      <c r="Q403" s="5">
        <f t="shared" si="50"/>
        <v>2</v>
      </c>
      <c r="R403" s="7">
        <f t="shared" si="51"/>
        <v>0</v>
      </c>
      <c r="S403" s="7">
        <f t="shared" si="52"/>
        <v>0</v>
      </c>
      <c r="T403" s="3">
        <f t="shared" si="53"/>
        <v>1</v>
      </c>
      <c r="V403" s="1" t="e">
        <f t="shared" si="54"/>
        <v>#DIV/0!</v>
      </c>
    </row>
    <row r="404" spans="8:22" x14ac:dyDescent="0.3">
      <c r="H404" s="10" t="str">
        <f>IF(Planilha1!B401="","",Planilha1!B401)</f>
        <v>7:30p</v>
      </c>
      <c r="I404" s="10" t="str">
        <f>IF(Planilha1!C401="","",Planilha1!C401)</f>
        <v>Denver Nuggets</v>
      </c>
      <c r="J404" s="10">
        <f>IF(Planilha1!D401="","",Planilha1!D401)</f>
        <v>113</v>
      </c>
      <c r="K404" s="10" t="str">
        <f>IF(Planilha1!E401="","",IF(Planilha1!E401=0,"",Planilha1!E401))</f>
        <v>Toronto Raptors</v>
      </c>
      <c r="L404" s="10">
        <f>IF(Planilha1!F401="","",Planilha1!F401)</f>
        <v>104</v>
      </c>
      <c r="M404" s="10">
        <f>IF(Planilha1!G401="","",IF(Planilha1!G401=0,"",Planilha1!G401))</f>
        <v>104</v>
      </c>
      <c r="N404" s="5">
        <f t="shared" si="55"/>
        <v>1</v>
      </c>
      <c r="O404" s="5">
        <f t="shared" si="56"/>
        <v>0</v>
      </c>
      <c r="P404" s="5">
        <f t="shared" si="49"/>
        <v>0</v>
      </c>
      <c r="Q404" s="5">
        <f t="shared" si="50"/>
        <v>2</v>
      </c>
      <c r="R404" s="7">
        <f t="shared" si="51"/>
        <v>0</v>
      </c>
      <c r="S404" s="7">
        <f t="shared" si="52"/>
        <v>0</v>
      </c>
      <c r="T404" s="3">
        <f t="shared" si="53"/>
        <v>1</v>
      </c>
      <c r="V404" s="1" t="e">
        <f t="shared" si="54"/>
        <v>#DIV/0!</v>
      </c>
    </row>
    <row r="405" spans="8:22" x14ac:dyDescent="0.3">
      <c r="H405" s="10" t="str">
        <f>IF(Planilha1!B402="","",Planilha1!B402)</f>
        <v>8:00p</v>
      </c>
      <c r="I405" s="10" t="str">
        <f>IF(Planilha1!C402="","",Planilha1!C402)</f>
        <v>Los Angeles Lakers</v>
      </c>
      <c r="J405" s="10">
        <f>IF(Planilha1!D402="","",Planilha1!D402)</f>
        <v>108</v>
      </c>
      <c r="K405" s="10" t="str">
        <f>IF(Planilha1!E402="","",IF(Planilha1!E402=0,"",Planilha1!E402))</f>
        <v>Chicago Bulls</v>
      </c>
      <c r="L405" s="10">
        <f>IF(Planilha1!F402="","",Planilha1!F402)</f>
        <v>124</v>
      </c>
      <c r="M405" s="10">
        <f>IF(Planilha1!G402="","",IF(Planilha1!G402=0,"",Planilha1!G402))</f>
        <v>124</v>
      </c>
      <c r="N405" s="5">
        <f t="shared" si="55"/>
        <v>1</v>
      </c>
      <c r="O405" s="5">
        <f t="shared" si="56"/>
        <v>0</v>
      </c>
      <c r="P405" s="5">
        <f t="shared" si="49"/>
        <v>0</v>
      </c>
      <c r="Q405" s="5">
        <f t="shared" si="50"/>
        <v>2</v>
      </c>
      <c r="R405" s="7">
        <f t="shared" si="51"/>
        <v>0</v>
      </c>
      <c r="S405" s="7">
        <f t="shared" si="52"/>
        <v>0</v>
      </c>
      <c r="T405" s="3">
        <f t="shared" si="53"/>
        <v>1</v>
      </c>
      <c r="V405" s="1" t="e">
        <f t="shared" si="54"/>
        <v>#DIV/0!</v>
      </c>
    </row>
    <row r="406" spans="8:22" x14ac:dyDescent="0.3">
      <c r="H406" s="10" t="str">
        <f>IF(Planilha1!B403="","",Planilha1!B403)</f>
        <v>8:00p</v>
      </c>
      <c r="I406" s="10" t="str">
        <f>IF(Planilha1!C403="","",Planilha1!C403)</f>
        <v>Atlanta Hawks</v>
      </c>
      <c r="J406" s="10">
        <f>IF(Planilha1!D403="","",Planilha1!D403)</f>
        <v>134</v>
      </c>
      <c r="K406" s="10" t="str">
        <f>IF(Planilha1!E403="","",IF(Planilha1!E403=0,"",Planilha1!E403))</f>
        <v>Houston Rockets</v>
      </c>
      <c r="L406" s="10">
        <f>IF(Planilha1!F403="","",Planilha1!F403)</f>
        <v>127</v>
      </c>
      <c r="M406" s="10">
        <f>IF(Planilha1!G403="","",IF(Planilha1!G403=0,"",Planilha1!G403))</f>
        <v>127</v>
      </c>
      <c r="N406" s="5">
        <f t="shared" si="55"/>
        <v>1</v>
      </c>
      <c r="O406" s="5">
        <f t="shared" si="56"/>
        <v>0</v>
      </c>
      <c r="P406" s="5">
        <f t="shared" si="49"/>
        <v>0</v>
      </c>
      <c r="Q406" s="5">
        <f t="shared" si="50"/>
        <v>2</v>
      </c>
      <c r="R406" s="7">
        <f t="shared" si="51"/>
        <v>0</v>
      </c>
      <c r="S406" s="7">
        <f t="shared" si="52"/>
        <v>0</v>
      </c>
      <c r="T406" s="3">
        <f t="shared" si="53"/>
        <v>1</v>
      </c>
      <c r="V406" s="1" t="e">
        <f t="shared" si="54"/>
        <v>#DIV/0!</v>
      </c>
    </row>
    <row r="407" spans="8:22" x14ac:dyDescent="0.3">
      <c r="H407" s="10" t="str">
        <f>IF(Planilha1!B404="","",Planilha1!B404)</f>
        <v>8:30p</v>
      </c>
      <c r="I407" s="10" t="str">
        <f>IF(Planilha1!C404="","",Planilha1!C404)</f>
        <v>Los Angeles Clippers</v>
      </c>
      <c r="J407" s="10">
        <f>IF(Planilha1!D404="","",Planilha1!D404)</f>
        <v>120</v>
      </c>
      <c r="K407" s="10" t="str">
        <f>IF(Planilha1!E404="","",IF(Planilha1!E404=0,"",Planilha1!E404))</f>
        <v>Dallas Mavericks</v>
      </c>
      <c r="L407" s="10">
        <f>IF(Planilha1!F404="","",Planilha1!F404)</f>
        <v>111</v>
      </c>
      <c r="M407" s="10">
        <f>IF(Planilha1!G404="","",IF(Planilha1!G404=0,"",Planilha1!G404))</f>
        <v>111</v>
      </c>
      <c r="N407" s="5">
        <f t="shared" si="55"/>
        <v>1</v>
      </c>
      <c r="O407" s="5">
        <f t="shared" si="56"/>
        <v>0</v>
      </c>
      <c r="P407" s="5">
        <f t="shared" si="49"/>
        <v>0</v>
      </c>
      <c r="Q407" s="5">
        <f t="shared" si="50"/>
        <v>2</v>
      </c>
      <c r="R407" s="7">
        <f t="shared" si="51"/>
        <v>0</v>
      </c>
      <c r="S407" s="7">
        <f t="shared" si="52"/>
        <v>0</v>
      </c>
      <c r="T407" s="3">
        <f t="shared" si="53"/>
        <v>1</v>
      </c>
      <c r="V407" s="1" t="e">
        <f t="shared" si="54"/>
        <v>#DIV/0!</v>
      </c>
    </row>
    <row r="408" spans="8:22" x14ac:dyDescent="0.3">
      <c r="H408" s="10" t="str">
        <f>IF(Planilha1!B405="","",Planilha1!B405)</f>
        <v>10:00p</v>
      </c>
      <c r="I408" s="10" t="str">
        <f>IF(Planilha1!C405="","",Planilha1!C405)</f>
        <v>Boston Celtics</v>
      </c>
      <c r="J408" s="10">
        <f>IF(Planilha1!D405="","",Planilha1!D405)</f>
        <v>144</v>
      </c>
      <c r="K408" s="10" t="str">
        <f>IF(Planilha1!E405="","",IF(Planilha1!E405=0,"",Planilha1!E405))</f>
        <v>Sacramento Kings</v>
      </c>
      <c r="L408" s="10">
        <f>IF(Planilha1!F405="","",Planilha1!F405)</f>
        <v>119</v>
      </c>
      <c r="M408" s="10">
        <f>IF(Planilha1!G405="","",IF(Planilha1!G405=0,"",Planilha1!G405))</f>
        <v>119</v>
      </c>
      <c r="N408" s="5">
        <f t="shared" si="55"/>
        <v>1</v>
      </c>
      <c r="O408" s="5">
        <f t="shared" si="56"/>
        <v>0</v>
      </c>
      <c r="P408" s="5">
        <f t="shared" si="49"/>
        <v>0</v>
      </c>
      <c r="Q408" s="5">
        <f t="shared" si="50"/>
        <v>2</v>
      </c>
      <c r="R408" s="7">
        <f t="shared" si="51"/>
        <v>0</v>
      </c>
      <c r="S408" s="7">
        <f t="shared" si="52"/>
        <v>0</v>
      </c>
      <c r="T408" s="3">
        <f t="shared" si="53"/>
        <v>1</v>
      </c>
      <c r="V408" s="1" t="e">
        <f t="shared" si="54"/>
        <v>#DIV/0!</v>
      </c>
    </row>
    <row r="409" spans="8:22" x14ac:dyDescent="0.3">
      <c r="H409" s="10" t="str">
        <f>IF(Planilha1!B406="","",Planilha1!B406)</f>
        <v>7:00p</v>
      </c>
      <c r="I409" s="10" t="str">
        <f>IF(Planilha1!C406="","",Planilha1!C406)</f>
        <v>Utah Jazz</v>
      </c>
      <c r="J409" s="10">
        <f>IF(Planilha1!D406="","",Planilha1!D406)</f>
        <v>119</v>
      </c>
      <c r="K409" s="10" t="str">
        <f>IF(Planilha1!E406="","",IF(Planilha1!E406=0,"",Planilha1!E406))</f>
        <v>Detroit Pistons</v>
      </c>
      <c r="L409" s="10">
        <f>IF(Planilha1!F406="","",Planilha1!F406)</f>
        <v>111</v>
      </c>
      <c r="M409" s="10">
        <f>IF(Planilha1!G406="","",IF(Planilha1!G406=0,"",Planilha1!G406))</f>
        <v>111</v>
      </c>
      <c r="N409" s="5">
        <f t="shared" si="55"/>
        <v>1</v>
      </c>
      <c r="O409" s="5">
        <f t="shared" si="56"/>
        <v>0</v>
      </c>
      <c r="P409" s="5">
        <f t="shared" si="49"/>
        <v>0</v>
      </c>
      <c r="Q409" s="5">
        <f t="shared" si="50"/>
        <v>2</v>
      </c>
      <c r="R409" s="7">
        <f t="shared" si="51"/>
        <v>0</v>
      </c>
      <c r="S409" s="7">
        <f t="shared" si="52"/>
        <v>0</v>
      </c>
      <c r="T409" s="3">
        <f t="shared" si="53"/>
        <v>1</v>
      </c>
      <c r="V409" s="1" t="e">
        <f t="shared" si="54"/>
        <v>#DIV/0!</v>
      </c>
    </row>
    <row r="410" spans="8:22" x14ac:dyDescent="0.3">
      <c r="H410" s="10" t="str">
        <f>IF(Planilha1!B407="","",Planilha1!B407)</f>
        <v>7:30p</v>
      </c>
      <c r="I410" s="10" t="str">
        <f>IF(Planilha1!C407="","",Planilha1!C407)</f>
        <v>New Orleans Pelicans</v>
      </c>
      <c r="J410" s="10">
        <f>IF(Planilha1!D407="","",Planilha1!D407)</f>
        <v>123</v>
      </c>
      <c r="K410" s="10" t="str">
        <f>IF(Planilha1!E407="","",IF(Planilha1!E407=0,"",Planilha1!E407))</f>
        <v>Cleveland Cavaliers</v>
      </c>
      <c r="L410" s="10">
        <f>IF(Planilha1!F407="","",Planilha1!F407)</f>
        <v>104</v>
      </c>
      <c r="M410" s="10">
        <f>IF(Planilha1!G407="","",IF(Planilha1!G407=0,"",Planilha1!G407))</f>
        <v>104</v>
      </c>
      <c r="N410" s="5">
        <f t="shared" si="55"/>
        <v>1</v>
      </c>
      <c r="O410" s="5">
        <f t="shared" si="56"/>
        <v>0</v>
      </c>
      <c r="P410" s="5">
        <f t="shared" si="49"/>
        <v>0</v>
      </c>
      <c r="Q410" s="5">
        <f t="shared" si="50"/>
        <v>2</v>
      </c>
      <c r="R410" s="7">
        <f t="shared" si="51"/>
        <v>0</v>
      </c>
      <c r="S410" s="7">
        <f t="shared" si="52"/>
        <v>0</v>
      </c>
      <c r="T410" s="3">
        <f t="shared" si="53"/>
        <v>1</v>
      </c>
      <c r="V410" s="1" t="e">
        <f t="shared" si="54"/>
        <v>#DIV/0!</v>
      </c>
    </row>
    <row r="411" spans="8:22" x14ac:dyDescent="0.3">
      <c r="H411" s="10" t="str">
        <f>IF(Planilha1!B408="","",Planilha1!B408)</f>
        <v>8:00p</v>
      </c>
      <c r="I411" s="10" t="str">
        <f>IF(Planilha1!C408="","",Planilha1!C408)</f>
        <v>San Antonio Spurs</v>
      </c>
      <c r="J411" s="10">
        <f>IF(Planilha1!D408="","",Planilha1!D408)</f>
        <v>95</v>
      </c>
      <c r="K411" s="10" t="str">
        <f>IF(Planilha1!E408="","",IF(Planilha1!E408=0,"",Planilha1!E408))</f>
        <v>Chicago Bulls</v>
      </c>
      <c r="L411" s="10">
        <f>IF(Planilha1!F408="","",Planilha1!F408)</f>
        <v>114</v>
      </c>
      <c r="M411" s="10">
        <f>IF(Planilha1!G408="","",IF(Planilha1!G408=0,"",Planilha1!G408))</f>
        <v>114</v>
      </c>
      <c r="N411" s="5">
        <f t="shared" si="55"/>
        <v>1</v>
      </c>
      <c r="O411" s="5">
        <f t="shared" si="56"/>
        <v>0</v>
      </c>
      <c r="P411" s="5">
        <f t="shared" si="49"/>
        <v>0</v>
      </c>
      <c r="Q411" s="5">
        <f t="shared" si="50"/>
        <v>2</v>
      </c>
      <c r="R411" s="7">
        <f t="shared" si="51"/>
        <v>0</v>
      </c>
      <c r="S411" s="7">
        <f t="shared" si="52"/>
        <v>0</v>
      </c>
      <c r="T411" s="3">
        <f t="shared" si="53"/>
        <v>1</v>
      </c>
      <c r="V411" s="1" t="e">
        <f t="shared" si="54"/>
        <v>#DIV/0!</v>
      </c>
    </row>
    <row r="412" spans="8:22" x14ac:dyDescent="0.3">
      <c r="H412" s="10" t="str">
        <f>IF(Planilha1!B409="","",Planilha1!B409)</f>
        <v>8:00p</v>
      </c>
      <c r="I412" s="10" t="str">
        <f>IF(Planilha1!C409="","",Planilha1!C409)</f>
        <v>Indiana Pacers</v>
      </c>
      <c r="J412" s="10">
        <f>IF(Planilha1!D409="","",Planilha1!D409)</f>
        <v>103</v>
      </c>
      <c r="K412" s="10" t="str">
        <f>IF(Planilha1!E409="","",IF(Planilha1!E409=0,"",Planilha1!E409))</f>
        <v>Memphis Grizzlies</v>
      </c>
      <c r="L412" s="10">
        <f>IF(Planilha1!F409="","",Planilha1!F409)</f>
        <v>116</v>
      </c>
      <c r="M412" s="10">
        <f>IF(Planilha1!G409="","",IF(Planilha1!G409=0,"",Planilha1!G409))</f>
        <v>116</v>
      </c>
      <c r="N412" s="5">
        <f t="shared" si="55"/>
        <v>1</v>
      </c>
      <c r="O412" s="5">
        <f t="shared" si="56"/>
        <v>0</v>
      </c>
      <c r="P412" s="5">
        <f t="shared" si="49"/>
        <v>0</v>
      </c>
      <c r="Q412" s="5">
        <f t="shared" si="50"/>
        <v>2</v>
      </c>
      <c r="R412" s="7">
        <f t="shared" si="51"/>
        <v>0</v>
      </c>
      <c r="S412" s="7">
        <f t="shared" si="52"/>
        <v>0</v>
      </c>
      <c r="T412" s="3">
        <f t="shared" si="53"/>
        <v>1</v>
      </c>
      <c r="V412" s="1" t="e">
        <f t="shared" si="54"/>
        <v>#DIV/0!</v>
      </c>
    </row>
    <row r="413" spans="8:22" x14ac:dyDescent="0.3">
      <c r="H413" s="10" t="str">
        <f>IF(Planilha1!B410="","",Planilha1!B410)</f>
        <v>8:00p</v>
      </c>
      <c r="I413" s="10" t="str">
        <f>IF(Planilha1!C410="","",Planilha1!C410)</f>
        <v>Orlando Magic</v>
      </c>
      <c r="J413" s="10">
        <f>IF(Planilha1!D410="","",Planilha1!D410)</f>
        <v>114</v>
      </c>
      <c r="K413" s="10" t="str">
        <f>IF(Planilha1!E410="","",IF(Planilha1!E410=0,"",Planilha1!E410))</f>
        <v>Milwaukee Bucks</v>
      </c>
      <c r="L413" s="10">
        <f>IF(Planilha1!F410="","",Planilha1!F410)</f>
        <v>118</v>
      </c>
      <c r="M413" s="10">
        <f>IF(Planilha1!G410="","",IF(Planilha1!G410=0,"",Planilha1!G410))</f>
        <v>118</v>
      </c>
      <c r="N413" s="5">
        <f t="shared" si="55"/>
        <v>1</v>
      </c>
      <c r="O413" s="5">
        <f t="shared" si="56"/>
        <v>0</v>
      </c>
      <c r="P413" s="5">
        <f t="shared" si="49"/>
        <v>0</v>
      </c>
      <c r="Q413" s="5">
        <f t="shared" si="50"/>
        <v>2</v>
      </c>
      <c r="R413" s="7">
        <f t="shared" si="51"/>
        <v>0</v>
      </c>
      <c r="S413" s="7">
        <f t="shared" si="52"/>
        <v>0</v>
      </c>
      <c r="T413" s="3">
        <f t="shared" si="53"/>
        <v>1</v>
      </c>
      <c r="V413" s="1" t="e">
        <f t="shared" si="54"/>
        <v>#DIV/0!</v>
      </c>
    </row>
    <row r="414" spans="8:22" x14ac:dyDescent="0.3">
      <c r="H414" s="10" t="str">
        <f>IF(Planilha1!B411="","",Planilha1!B411)</f>
        <v>8:00p</v>
      </c>
      <c r="I414" s="10" t="str">
        <f>IF(Planilha1!C411="","",Planilha1!C411)</f>
        <v>Los Angeles Clippers</v>
      </c>
      <c r="J414" s="10">
        <f>IF(Planilha1!D411="","",Planilha1!D411)</f>
        <v>115</v>
      </c>
      <c r="K414" s="10" t="str">
        <f>IF(Planilha1!E411="","",IF(Planilha1!E411=0,"",Planilha1!E411))</f>
        <v>Oklahoma City Thunder</v>
      </c>
      <c r="L414" s="10">
        <f>IF(Planilha1!F411="","",Planilha1!F411)</f>
        <v>134</v>
      </c>
      <c r="M414" s="10">
        <f>IF(Planilha1!G411="","",IF(Planilha1!G411=0,"",Planilha1!G411))</f>
        <v>134</v>
      </c>
      <c r="N414" s="5">
        <f t="shared" si="55"/>
        <v>1</v>
      </c>
      <c r="O414" s="5">
        <f t="shared" si="56"/>
        <v>0</v>
      </c>
      <c r="P414" s="5">
        <f t="shared" si="49"/>
        <v>0</v>
      </c>
      <c r="Q414" s="5">
        <f t="shared" si="50"/>
        <v>2</v>
      </c>
      <c r="R414" s="7">
        <f t="shared" si="51"/>
        <v>0</v>
      </c>
      <c r="S414" s="7">
        <f t="shared" si="52"/>
        <v>0</v>
      </c>
      <c r="T414" s="3">
        <f t="shared" si="53"/>
        <v>1</v>
      </c>
      <c r="V414" s="1" t="e">
        <f t="shared" si="54"/>
        <v>#DIV/0!</v>
      </c>
    </row>
    <row r="415" spans="8:22" x14ac:dyDescent="0.3">
      <c r="H415" s="10" t="str">
        <f>IF(Planilha1!B412="","",Planilha1!B412)</f>
        <v>9:00p</v>
      </c>
      <c r="I415" s="10" t="str">
        <f>IF(Planilha1!C412="","",Planilha1!C412)</f>
        <v>Los Angeles Lakers</v>
      </c>
      <c r="J415" s="10">
        <f>IF(Planilha1!D412="","",Planilha1!D412)</f>
        <v>111</v>
      </c>
      <c r="K415" s="10" t="str">
        <f>IF(Planilha1!E412="","",IF(Planilha1!E412=0,"",Planilha1!E412))</f>
        <v>Minnesota Timberwolves</v>
      </c>
      <c r="L415" s="10">
        <f>IF(Planilha1!F412="","",Planilha1!F412)</f>
        <v>118</v>
      </c>
      <c r="M415" s="10">
        <f>IF(Planilha1!G412="","",IF(Planilha1!G412=0,"",Planilha1!G412))</f>
        <v>118</v>
      </c>
      <c r="N415" s="5">
        <f t="shared" si="55"/>
        <v>1</v>
      </c>
      <c r="O415" s="5">
        <f t="shared" si="56"/>
        <v>0</v>
      </c>
      <c r="P415" s="5">
        <f t="shared" si="49"/>
        <v>0</v>
      </c>
      <c r="Q415" s="5">
        <f t="shared" si="50"/>
        <v>2</v>
      </c>
      <c r="R415" s="7">
        <f t="shared" si="51"/>
        <v>0</v>
      </c>
      <c r="S415" s="7">
        <f t="shared" si="52"/>
        <v>0</v>
      </c>
      <c r="T415" s="3">
        <f t="shared" si="53"/>
        <v>1</v>
      </c>
      <c r="V415" s="1" t="e">
        <f t="shared" si="54"/>
        <v>#DIV/0!</v>
      </c>
    </row>
    <row r="416" spans="8:22" x14ac:dyDescent="0.3">
      <c r="H416" s="10" t="str">
        <f>IF(Planilha1!B413="","",Planilha1!B413)</f>
        <v>10:00p</v>
      </c>
      <c r="I416" s="10" t="str">
        <f>IF(Planilha1!C413="","",Planilha1!C413)</f>
        <v>Washington Wizards</v>
      </c>
      <c r="J416" s="10">
        <f>IF(Planilha1!D413="","",Planilha1!D413)</f>
        <v>118</v>
      </c>
      <c r="K416" s="10" t="str">
        <f>IF(Planilha1!E413="","",IF(Planilha1!E413=0,"",Planilha1!E413))</f>
        <v>Portland Trail Blazers</v>
      </c>
      <c r="L416" s="10">
        <f>IF(Planilha1!F413="","",Planilha1!F413)</f>
        <v>117</v>
      </c>
      <c r="M416" s="10">
        <f>IF(Planilha1!G413="","",IF(Planilha1!G413=0,"",Planilha1!G413))</f>
        <v>117</v>
      </c>
      <c r="N416" s="5">
        <f t="shared" si="55"/>
        <v>1</v>
      </c>
      <c r="O416" s="5">
        <f t="shared" si="56"/>
        <v>0</v>
      </c>
      <c r="P416" s="5">
        <f t="shared" si="49"/>
        <v>0</v>
      </c>
      <c r="Q416" s="5">
        <f t="shared" si="50"/>
        <v>2</v>
      </c>
      <c r="R416" s="7">
        <f t="shared" si="51"/>
        <v>0</v>
      </c>
      <c r="S416" s="7">
        <f t="shared" si="52"/>
        <v>0</v>
      </c>
      <c r="T416" s="3">
        <f t="shared" si="53"/>
        <v>1</v>
      </c>
      <c r="V416" s="1" t="e">
        <f t="shared" si="54"/>
        <v>#DIV/0!</v>
      </c>
    </row>
    <row r="417" spans="8:22" x14ac:dyDescent="0.3">
      <c r="H417" s="10" t="str">
        <f>IF(Planilha1!B414="","",Planilha1!B414)</f>
        <v>7:00p</v>
      </c>
      <c r="I417" s="10" t="str">
        <f>IF(Planilha1!C414="","",Planilha1!C414)</f>
        <v>Toronto Raptors</v>
      </c>
      <c r="J417" s="10">
        <f>IF(Planilha1!D414="","",Planilha1!D414)</f>
        <v>111</v>
      </c>
      <c r="K417" s="10" t="str">
        <f>IF(Planilha1!E414="","",IF(Planilha1!E414=0,"",Planilha1!E414))</f>
        <v>Philadelphia 76ers</v>
      </c>
      <c r="L417" s="10">
        <f>IF(Planilha1!F414="","",Planilha1!F414)</f>
        <v>121</v>
      </c>
      <c r="M417" s="10">
        <f>IF(Planilha1!G414="","",IF(Planilha1!G414=0,"",Planilha1!G414))</f>
        <v>121</v>
      </c>
      <c r="N417" s="5">
        <f t="shared" si="55"/>
        <v>1</v>
      </c>
      <c r="O417" s="5">
        <f t="shared" si="56"/>
        <v>0</v>
      </c>
      <c r="P417" s="5">
        <f t="shared" si="49"/>
        <v>0</v>
      </c>
      <c r="Q417" s="5">
        <f t="shared" si="50"/>
        <v>2</v>
      </c>
      <c r="R417" s="7">
        <f t="shared" si="51"/>
        <v>0</v>
      </c>
      <c r="S417" s="7">
        <f t="shared" si="52"/>
        <v>0</v>
      </c>
      <c r="T417" s="3">
        <f t="shared" si="53"/>
        <v>1</v>
      </c>
      <c r="V417" s="1" t="e">
        <f t="shared" si="54"/>
        <v>#DIV/0!</v>
      </c>
    </row>
    <row r="418" spans="8:22" x14ac:dyDescent="0.3">
      <c r="H418" s="10" t="str">
        <f>IF(Planilha1!B415="","",Planilha1!B415)</f>
        <v>7:30p</v>
      </c>
      <c r="I418" s="10" t="str">
        <f>IF(Planilha1!C415="","",Planilha1!C415)</f>
        <v>Denver Nuggets</v>
      </c>
      <c r="J418" s="10">
        <f>IF(Planilha1!D415="","",Planilha1!D415)</f>
        <v>122</v>
      </c>
      <c r="K418" s="10" t="str">
        <f>IF(Planilha1!E415="","",IF(Planilha1!E415=0,"",Planilha1!E415))</f>
        <v>Brooklyn Nets</v>
      </c>
      <c r="L418" s="10">
        <f>IF(Planilha1!F415="","",Planilha1!F415)</f>
        <v>117</v>
      </c>
      <c r="M418" s="10">
        <f>IF(Planilha1!G415="","",IF(Planilha1!G415=0,"",Planilha1!G415))</f>
        <v>117</v>
      </c>
      <c r="N418" s="5">
        <f t="shared" si="55"/>
        <v>1</v>
      </c>
      <c r="O418" s="5">
        <f t="shared" si="56"/>
        <v>0</v>
      </c>
      <c r="P418" s="5">
        <f t="shared" si="49"/>
        <v>0</v>
      </c>
      <c r="Q418" s="5">
        <f t="shared" si="50"/>
        <v>2</v>
      </c>
      <c r="R418" s="7">
        <f t="shared" si="51"/>
        <v>0</v>
      </c>
      <c r="S418" s="7">
        <f t="shared" si="52"/>
        <v>0</v>
      </c>
      <c r="T418" s="3">
        <f t="shared" si="53"/>
        <v>1</v>
      </c>
      <c r="V418" s="1" t="e">
        <f t="shared" si="54"/>
        <v>#DIV/0!</v>
      </c>
    </row>
    <row r="419" spans="8:22" x14ac:dyDescent="0.3">
      <c r="H419" s="10" t="str">
        <f>IF(Planilha1!B416="","",Planilha1!B416)</f>
        <v>8:00p</v>
      </c>
      <c r="I419" s="10" t="str">
        <f>IF(Planilha1!C416="","",Planilha1!C416)</f>
        <v>Dallas Mavericks</v>
      </c>
      <c r="J419" s="10">
        <f>IF(Planilha1!D416="","",Planilha1!D416)</f>
        <v>96</v>
      </c>
      <c r="K419" s="10" t="str">
        <f>IF(Planilha1!E416="","",IF(Planilha1!E416=0,"",Planilha1!E416))</f>
        <v>Houston Rockets</v>
      </c>
      <c r="L419" s="10">
        <f>IF(Planilha1!F416="","",Planilha1!F416)</f>
        <v>122</v>
      </c>
      <c r="M419" s="10">
        <f>IF(Planilha1!G416="","",IF(Planilha1!G416=0,"",Planilha1!G416))</f>
        <v>122</v>
      </c>
      <c r="N419" s="5">
        <f t="shared" si="55"/>
        <v>1</v>
      </c>
      <c r="O419" s="5">
        <f t="shared" si="56"/>
        <v>0</v>
      </c>
      <c r="P419" s="5">
        <f t="shared" si="49"/>
        <v>0</v>
      </c>
      <c r="Q419" s="5">
        <f t="shared" si="50"/>
        <v>2</v>
      </c>
      <c r="R419" s="7">
        <f t="shared" si="51"/>
        <v>0</v>
      </c>
      <c r="S419" s="7">
        <f t="shared" si="52"/>
        <v>0</v>
      </c>
      <c r="T419" s="3">
        <f t="shared" si="53"/>
        <v>1</v>
      </c>
      <c r="V419" s="1" t="e">
        <f t="shared" si="54"/>
        <v>#DIV/0!</v>
      </c>
    </row>
    <row r="420" spans="8:22" x14ac:dyDescent="0.3">
      <c r="H420" s="10" t="str">
        <f>IF(Planilha1!B417="","",Planilha1!B417)</f>
        <v>8:00p</v>
      </c>
      <c r="I420" s="10" t="str">
        <f>IF(Planilha1!C417="","",Planilha1!C417)</f>
        <v>Atlanta Hawks</v>
      </c>
      <c r="J420" s="10">
        <f>IF(Planilha1!D417="","",Planilha1!D417)</f>
        <v>113</v>
      </c>
      <c r="K420" s="10" t="str">
        <f>IF(Planilha1!E417="","",IF(Planilha1!E417=0,"",Planilha1!E417))</f>
        <v>Miami Heat</v>
      </c>
      <c r="L420" s="10">
        <f>IF(Planilha1!F417="","",Planilha1!F417)</f>
        <v>122</v>
      </c>
      <c r="M420" s="10">
        <f>IF(Planilha1!G417="","",IF(Planilha1!G417=0,"",Planilha1!G417))</f>
        <v>122</v>
      </c>
      <c r="N420" s="5">
        <f t="shared" si="55"/>
        <v>1</v>
      </c>
      <c r="O420" s="5">
        <f t="shared" si="56"/>
        <v>0</v>
      </c>
      <c r="P420" s="5">
        <f t="shared" si="49"/>
        <v>0</v>
      </c>
      <c r="Q420" s="5">
        <f t="shared" si="50"/>
        <v>2</v>
      </c>
      <c r="R420" s="7">
        <f t="shared" si="51"/>
        <v>0</v>
      </c>
      <c r="S420" s="7">
        <f t="shared" si="52"/>
        <v>0</v>
      </c>
      <c r="T420" s="3">
        <f t="shared" si="53"/>
        <v>1</v>
      </c>
      <c r="V420" s="1" t="e">
        <f t="shared" si="54"/>
        <v>#DIV/0!</v>
      </c>
    </row>
    <row r="421" spans="8:22" x14ac:dyDescent="0.3">
      <c r="H421" s="10" t="str">
        <f>IF(Planilha1!B418="","",Planilha1!B418)</f>
        <v>10:00p</v>
      </c>
      <c r="I421" s="10" t="str">
        <f>IF(Planilha1!C418="","",Planilha1!C418)</f>
        <v>Washington Wizards</v>
      </c>
      <c r="J421" s="10">
        <f>IF(Planilha1!D418="","",Planilha1!D418)</f>
        <v>118</v>
      </c>
      <c r="K421" s="10" t="str">
        <f>IF(Planilha1!E418="","",IF(Planilha1!E418=0,"",Planilha1!E418))</f>
        <v>Golden State Warriors</v>
      </c>
      <c r="L421" s="10">
        <f>IF(Planilha1!F418="","",Planilha1!F418)</f>
        <v>129</v>
      </c>
      <c r="M421" s="10">
        <f>IF(Planilha1!G418="","",IF(Planilha1!G418=0,"",Planilha1!G418))</f>
        <v>129</v>
      </c>
      <c r="N421" s="5">
        <f t="shared" si="55"/>
        <v>1</v>
      </c>
      <c r="O421" s="5">
        <f t="shared" si="56"/>
        <v>0</v>
      </c>
      <c r="P421" s="5">
        <f t="shared" si="49"/>
        <v>0</v>
      </c>
      <c r="Q421" s="5">
        <f t="shared" si="50"/>
        <v>2</v>
      </c>
      <c r="R421" s="7">
        <f t="shared" si="51"/>
        <v>0</v>
      </c>
      <c r="S421" s="7">
        <f t="shared" si="52"/>
        <v>0</v>
      </c>
      <c r="T421" s="3">
        <f t="shared" si="53"/>
        <v>1</v>
      </c>
      <c r="V421" s="1" t="e">
        <f t="shared" si="54"/>
        <v>#DIV/0!</v>
      </c>
    </row>
    <row r="422" spans="8:22" x14ac:dyDescent="0.3">
      <c r="H422" s="10" t="str">
        <f>IF(Planilha1!B419="","",Planilha1!B419)</f>
        <v>10:00p</v>
      </c>
      <c r="I422" s="10" t="str">
        <f>IF(Planilha1!C419="","",Planilha1!C419)</f>
        <v>Phoenix Suns</v>
      </c>
      <c r="J422" s="10">
        <f>IF(Planilha1!D419="","",Planilha1!D419)</f>
        <v>105</v>
      </c>
      <c r="K422" s="10" t="str">
        <f>IF(Planilha1!E419="","",IF(Planilha1!E419=0,"",Planilha1!E419))</f>
        <v>Sacramento Kings</v>
      </c>
      <c r="L422" s="10">
        <f>IF(Planilha1!F419="","",Planilha1!F419)</f>
        <v>120</v>
      </c>
      <c r="M422" s="10">
        <f>IF(Planilha1!G419="","",IF(Planilha1!G419=0,"",Planilha1!G419))</f>
        <v>120</v>
      </c>
      <c r="N422" s="5">
        <f t="shared" si="55"/>
        <v>1</v>
      </c>
      <c r="O422" s="5">
        <f t="shared" si="56"/>
        <v>0</v>
      </c>
      <c r="P422" s="5">
        <f t="shared" si="49"/>
        <v>0</v>
      </c>
      <c r="Q422" s="5">
        <f t="shared" si="50"/>
        <v>2</v>
      </c>
      <c r="R422" s="7">
        <f t="shared" si="51"/>
        <v>0</v>
      </c>
      <c r="S422" s="7">
        <f t="shared" si="52"/>
        <v>0</v>
      </c>
      <c r="T422" s="3">
        <f t="shared" si="53"/>
        <v>1</v>
      </c>
      <c r="V422" s="1" t="e">
        <f t="shared" si="54"/>
        <v>#DIV/0!</v>
      </c>
    </row>
    <row r="423" spans="8:22" x14ac:dyDescent="0.3">
      <c r="H423" s="10" t="str">
        <f>IF(Planilha1!B420="","",Planilha1!B420)</f>
        <v>12:30p</v>
      </c>
      <c r="I423" s="10" t="str">
        <f>IF(Planilha1!C420="","",Planilha1!C420)</f>
        <v>Milwaukee Bucks</v>
      </c>
      <c r="J423" s="10">
        <f>IF(Planilha1!D420="","",Planilha1!D420)</f>
        <v>130</v>
      </c>
      <c r="K423" s="10" t="str">
        <f>IF(Planilha1!E420="","",IF(Planilha1!E420=0,"",Planilha1!E420))</f>
        <v>New York Knicks</v>
      </c>
      <c r="L423" s="10">
        <f>IF(Planilha1!F420="","",Planilha1!F420)</f>
        <v>111</v>
      </c>
      <c r="M423" s="10">
        <f>IF(Planilha1!G420="","",IF(Planilha1!G420=0,"",Planilha1!G420))</f>
        <v>111</v>
      </c>
      <c r="N423" s="5">
        <f t="shared" si="55"/>
        <v>1</v>
      </c>
      <c r="O423" s="5">
        <f t="shared" si="56"/>
        <v>0</v>
      </c>
      <c r="P423" s="5">
        <f t="shared" si="49"/>
        <v>0</v>
      </c>
      <c r="Q423" s="5">
        <f t="shared" si="50"/>
        <v>2</v>
      </c>
      <c r="R423" s="7">
        <f t="shared" si="51"/>
        <v>0</v>
      </c>
      <c r="S423" s="7">
        <f t="shared" si="52"/>
        <v>0</v>
      </c>
      <c r="T423" s="3">
        <f t="shared" si="53"/>
        <v>1</v>
      </c>
      <c r="V423" s="1" t="e">
        <f t="shared" si="54"/>
        <v>#DIV/0!</v>
      </c>
    </row>
    <row r="424" spans="8:22" x14ac:dyDescent="0.3">
      <c r="H424" s="10" t="str">
        <f>IF(Planilha1!B421="","",Planilha1!B421)</f>
        <v>3:30p</v>
      </c>
      <c r="I424" s="10" t="str">
        <f>IF(Planilha1!C421="","",Planilha1!C421)</f>
        <v>Boston Celtics</v>
      </c>
      <c r="J424" s="10">
        <f>IF(Planilha1!D421="","",Planilha1!D421)</f>
        <v>145</v>
      </c>
      <c r="K424" s="10" t="str">
        <f>IF(Planilha1!E421="","",IF(Planilha1!E421=0,"",Planilha1!E421))</f>
        <v>Los Angeles Clippers</v>
      </c>
      <c r="L424" s="10">
        <f>IF(Planilha1!F421="","",Planilha1!F421)</f>
        <v>108</v>
      </c>
      <c r="M424" s="10">
        <f>IF(Planilha1!G421="","",IF(Planilha1!G421=0,"",Planilha1!G421))</f>
        <v>108</v>
      </c>
      <c r="N424" s="5">
        <f t="shared" si="55"/>
        <v>1</v>
      </c>
      <c r="O424" s="5">
        <f t="shared" si="56"/>
        <v>0</v>
      </c>
      <c r="P424" s="5">
        <f t="shared" si="49"/>
        <v>0</v>
      </c>
      <c r="Q424" s="5">
        <f t="shared" si="50"/>
        <v>2</v>
      </c>
      <c r="R424" s="7">
        <f t="shared" si="51"/>
        <v>0</v>
      </c>
      <c r="S424" s="7">
        <f t="shared" si="52"/>
        <v>0</v>
      </c>
      <c r="T424" s="3">
        <f t="shared" si="53"/>
        <v>1</v>
      </c>
      <c r="V424" s="1" t="e">
        <f t="shared" si="54"/>
        <v>#DIV/0!</v>
      </c>
    </row>
    <row r="425" spans="8:22" x14ac:dyDescent="0.3">
      <c r="H425" s="10" t="str">
        <f>IF(Planilha1!B422="","",Planilha1!B422)</f>
        <v>7:00p</v>
      </c>
      <c r="I425" s="10" t="str">
        <f>IF(Planilha1!C422="","",Planilha1!C422)</f>
        <v>Denver Nuggets</v>
      </c>
      <c r="J425" s="10">
        <f>IF(Planilha1!D422="","",Planilha1!D422)</f>
        <v>102</v>
      </c>
      <c r="K425" s="10" t="str">
        <f>IF(Planilha1!E422="","",IF(Planilha1!E422=0,"",Planilha1!E422))</f>
        <v>Charlotte Hornets</v>
      </c>
      <c r="L425" s="10">
        <f>IF(Planilha1!F422="","",Planilha1!F422)</f>
        <v>95</v>
      </c>
      <c r="M425" s="10">
        <f>IF(Planilha1!G422="","",IF(Planilha1!G422=0,"",Planilha1!G422))</f>
        <v>95</v>
      </c>
      <c r="N425" s="5">
        <f t="shared" si="55"/>
        <v>1</v>
      </c>
      <c r="O425" s="5">
        <f t="shared" si="56"/>
        <v>0</v>
      </c>
      <c r="P425" s="5">
        <f t="shared" si="49"/>
        <v>0</v>
      </c>
      <c r="Q425" s="5">
        <f t="shared" si="50"/>
        <v>2</v>
      </c>
      <c r="R425" s="7">
        <f t="shared" si="51"/>
        <v>0</v>
      </c>
      <c r="S425" s="7">
        <f t="shared" si="52"/>
        <v>0</v>
      </c>
      <c r="T425" s="3">
        <f t="shared" si="53"/>
        <v>1</v>
      </c>
      <c r="V425" s="1" t="e">
        <f t="shared" si="54"/>
        <v>#DIV/0!</v>
      </c>
    </row>
    <row r="426" spans="8:22" x14ac:dyDescent="0.3">
      <c r="H426" s="10" t="str">
        <f>IF(Planilha1!B423="","",Planilha1!B423)</f>
        <v>7:00p</v>
      </c>
      <c r="I426" s="10" t="str">
        <f>IF(Planilha1!C423="","",Planilha1!C423)</f>
        <v>Orlando Magic</v>
      </c>
      <c r="J426" s="10">
        <f>IF(Planilha1!D423="","",Planilha1!D423)</f>
        <v>117</v>
      </c>
      <c r="K426" s="10" t="str">
        <f>IF(Planilha1!E423="","",IF(Planilha1!E423=0,"",Planilha1!E423))</f>
        <v>Indiana Pacers</v>
      </c>
      <c r="L426" s="10">
        <f>IF(Planilha1!F423="","",Planilha1!F423)</f>
        <v>110</v>
      </c>
      <c r="M426" s="10">
        <f>IF(Planilha1!G423="","",IF(Planilha1!G423=0,"",Planilha1!G423))</f>
        <v>110</v>
      </c>
      <c r="N426" s="5">
        <f t="shared" si="55"/>
        <v>1</v>
      </c>
      <c r="O426" s="5">
        <f t="shared" si="56"/>
        <v>0</v>
      </c>
      <c r="P426" s="5">
        <f t="shared" si="49"/>
        <v>0</v>
      </c>
      <c r="Q426" s="5">
        <f t="shared" si="50"/>
        <v>2</v>
      </c>
      <c r="R426" s="7">
        <f t="shared" si="51"/>
        <v>0</v>
      </c>
      <c r="S426" s="7">
        <f t="shared" si="52"/>
        <v>0</v>
      </c>
      <c r="T426" s="3">
        <f t="shared" si="53"/>
        <v>1</v>
      </c>
      <c r="V426" s="1" t="e">
        <f t="shared" si="54"/>
        <v>#DIV/0!</v>
      </c>
    </row>
    <row r="427" spans="8:22" x14ac:dyDescent="0.3">
      <c r="H427" s="10" t="str">
        <f>IF(Planilha1!B424="","",Planilha1!B424)</f>
        <v>7:00p</v>
      </c>
      <c r="I427" s="10" t="str">
        <f>IF(Planilha1!C424="","",Planilha1!C424)</f>
        <v>Houston Rockets</v>
      </c>
      <c r="J427" s="10">
        <f>IF(Planilha1!D424="","",Planilha1!D424)</f>
        <v>106</v>
      </c>
      <c r="K427" s="10" t="str">
        <f>IF(Planilha1!E424="","",IF(Planilha1!E424=0,"",Planilha1!E424))</f>
        <v>New Orleans Pelicans</v>
      </c>
      <c r="L427" s="10">
        <f>IF(Planilha1!F424="","",Planilha1!F424)</f>
        <v>104</v>
      </c>
      <c r="M427" s="10">
        <f>IF(Planilha1!G424="","",IF(Planilha1!G424=0,"",Planilha1!G424))</f>
        <v>104</v>
      </c>
      <c r="N427" s="5">
        <f t="shared" si="55"/>
        <v>1</v>
      </c>
      <c r="O427" s="5">
        <f t="shared" si="56"/>
        <v>0</v>
      </c>
      <c r="P427" s="5">
        <f t="shared" si="49"/>
        <v>0</v>
      </c>
      <c r="Q427" s="5">
        <f t="shared" si="50"/>
        <v>2</v>
      </c>
      <c r="R427" s="7">
        <f t="shared" si="51"/>
        <v>0</v>
      </c>
      <c r="S427" s="7">
        <f t="shared" si="52"/>
        <v>0</v>
      </c>
      <c r="T427" s="3">
        <f t="shared" si="53"/>
        <v>1</v>
      </c>
      <c r="V427" s="1" t="e">
        <f t="shared" si="54"/>
        <v>#DIV/0!</v>
      </c>
    </row>
    <row r="428" spans="8:22" x14ac:dyDescent="0.3">
      <c r="H428" s="10" t="str">
        <f>IF(Planilha1!B425="","",Planilha1!B425)</f>
        <v>7:30p</v>
      </c>
      <c r="I428" s="10" t="str">
        <f>IF(Planilha1!C425="","",Planilha1!C425)</f>
        <v>Memphis Grizzlies</v>
      </c>
      <c r="J428" s="10">
        <f>IF(Planilha1!D425="","",Planilha1!D425)</f>
        <v>125</v>
      </c>
      <c r="K428" s="10" t="str">
        <f>IF(Planilha1!E425="","",IF(Planilha1!E425=0,"",Planilha1!E425))</f>
        <v>Atlanta Hawks</v>
      </c>
      <c r="L428" s="10">
        <f>IF(Planilha1!F425="","",Planilha1!F425)</f>
        <v>119</v>
      </c>
      <c r="M428" s="10">
        <f>IF(Planilha1!G425="","",IF(Planilha1!G425=0,"",Planilha1!G425))</f>
        <v>119</v>
      </c>
      <c r="N428" s="5">
        <f t="shared" si="55"/>
        <v>1</v>
      </c>
      <c r="O428" s="5">
        <f t="shared" si="56"/>
        <v>0</v>
      </c>
      <c r="P428" s="5">
        <f t="shared" si="49"/>
        <v>0</v>
      </c>
      <c r="Q428" s="5">
        <f t="shared" si="50"/>
        <v>2</v>
      </c>
      <c r="R428" s="7">
        <f t="shared" si="51"/>
        <v>0</v>
      </c>
      <c r="S428" s="7">
        <f t="shared" si="52"/>
        <v>0</v>
      </c>
      <c r="T428" s="3">
        <f t="shared" si="53"/>
        <v>1</v>
      </c>
      <c r="V428" s="1" t="e">
        <f t="shared" si="54"/>
        <v>#DIV/0!</v>
      </c>
    </row>
    <row r="429" spans="8:22" x14ac:dyDescent="0.3">
      <c r="H429" s="10" t="str">
        <f>IF(Planilha1!B426="","",Planilha1!B426)</f>
        <v>7:30p</v>
      </c>
      <c r="I429" s="10" t="str">
        <f>IF(Planilha1!C426="","",Planilha1!C426)</f>
        <v>Detroit Pistons</v>
      </c>
      <c r="J429" s="10">
        <f>IF(Planilha1!D426="","",Planilha1!D426)</f>
        <v>115</v>
      </c>
      <c r="K429" s="10" t="str">
        <f>IF(Planilha1!E426="","",IF(Planilha1!E426=0,"",Planilha1!E426))</f>
        <v>Brooklyn Nets</v>
      </c>
      <c r="L429" s="10">
        <f>IF(Planilha1!F426="","",Planilha1!F426)</f>
        <v>126</v>
      </c>
      <c r="M429" s="10">
        <f>IF(Planilha1!G426="","",IF(Planilha1!G426=0,"",Planilha1!G426))</f>
        <v>126</v>
      </c>
      <c r="N429" s="5">
        <f t="shared" si="55"/>
        <v>1</v>
      </c>
      <c r="O429" s="5">
        <f t="shared" si="56"/>
        <v>0</v>
      </c>
      <c r="P429" s="5">
        <f t="shared" si="49"/>
        <v>0</v>
      </c>
      <c r="Q429" s="5">
        <f t="shared" si="50"/>
        <v>2</v>
      </c>
      <c r="R429" s="7">
        <f t="shared" si="51"/>
        <v>0</v>
      </c>
      <c r="S429" s="7">
        <f t="shared" si="52"/>
        <v>0</v>
      </c>
      <c r="T429" s="3">
        <f t="shared" si="53"/>
        <v>1</v>
      </c>
      <c r="V429" s="1" t="e">
        <f t="shared" si="54"/>
        <v>#DIV/0!</v>
      </c>
    </row>
    <row r="430" spans="8:22" x14ac:dyDescent="0.3">
      <c r="H430" s="10" t="str">
        <f>IF(Planilha1!B427="","",Planilha1!B427)</f>
        <v>7:30p</v>
      </c>
      <c r="I430" s="10" t="str">
        <f>IF(Planilha1!C427="","",Planilha1!C427)</f>
        <v>Utah Jazz</v>
      </c>
      <c r="J430" s="10">
        <f>IF(Planilha1!D427="","",Planilha1!D427)</f>
        <v>126</v>
      </c>
      <c r="K430" s="10" t="str">
        <f>IF(Planilha1!E427="","",IF(Planilha1!E427=0,"",Planilha1!E427))</f>
        <v>Toronto Raptors</v>
      </c>
      <c r="L430" s="10">
        <f>IF(Planilha1!F427="","",Planilha1!F427)</f>
        <v>119</v>
      </c>
      <c r="M430" s="10">
        <f>IF(Planilha1!G427="","",IF(Planilha1!G427=0,"",Planilha1!G427))</f>
        <v>119</v>
      </c>
      <c r="N430" s="5">
        <f t="shared" si="55"/>
        <v>1</v>
      </c>
      <c r="O430" s="5">
        <f t="shared" si="56"/>
        <v>0</v>
      </c>
      <c r="P430" s="5">
        <f t="shared" si="49"/>
        <v>0</v>
      </c>
      <c r="Q430" s="5">
        <f t="shared" si="50"/>
        <v>2</v>
      </c>
      <c r="R430" s="7">
        <f t="shared" si="51"/>
        <v>0</v>
      </c>
      <c r="S430" s="7">
        <f t="shared" si="52"/>
        <v>0</v>
      </c>
      <c r="T430" s="3">
        <f t="shared" si="53"/>
        <v>1</v>
      </c>
      <c r="V430" s="1" t="e">
        <f t="shared" si="54"/>
        <v>#DIV/0!</v>
      </c>
    </row>
    <row r="431" spans="8:22" x14ac:dyDescent="0.3">
      <c r="H431" s="10" t="str">
        <f>IF(Planilha1!B428="","",Planilha1!B428)</f>
        <v>8:00p</v>
      </c>
      <c r="I431" s="10" t="str">
        <f>IF(Planilha1!C428="","",Planilha1!C428)</f>
        <v>Cleveland Cavaliers</v>
      </c>
      <c r="J431" s="10">
        <f>IF(Planilha1!D428="","",Planilha1!D428)</f>
        <v>109</v>
      </c>
      <c r="K431" s="10" t="str">
        <f>IF(Planilha1!E428="","",IF(Planilha1!E428=0,"",Planilha1!E428))</f>
        <v>Chicago Bulls</v>
      </c>
      <c r="L431" s="10">
        <f>IF(Planilha1!F428="","",Planilha1!F428)</f>
        <v>95</v>
      </c>
      <c r="M431" s="10">
        <f>IF(Planilha1!G428="","",IF(Planilha1!G428=0,"",Planilha1!G428))</f>
        <v>95</v>
      </c>
      <c r="N431" s="5">
        <f t="shared" si="55"/>
        <v>1</v>
      </c>
      <c r="O431" s="5">
        <f t="shared" si="56"/>
        <v>0</v>
      </c>
      <c r="P431" s="5">
        <f t="shared" si="49"/>
        <v>0</v>
      </c>
      <c r="Q431" s="5">
        <f t="shared" si="50"/>
        <v>2</v>
      </c>
      <c r="R431" s="7">
        <f t="shared" si="51"/>
        <v>0</v>
      </c>
      <c r="S431" s="7">
        <f t="shared" si="52"/>
        <v>0</v>
      </c>
      <c r="T431" s="3">
        <f t="shared" si="53"/>
        <v>1</v>
      </c>
      <c r="V431" s="1" t="e">
        <f t="shared" si="54"/>
        <v>#DIV/0!</v>
      </c>
    </row>
    <row r="432" spans="8:22" x14ac:dyDescent="0.3">
      <c r="H432" s="10" t="str">
        <f>IF(Planilha1!B429="","",Planilha1!B429)</f>
        <v>8:00p</v>
      </c>
      <c r="I432" s="10" t="str">
        <f>IF(Planilha1!C429="","",Planilha1!C429)</f>
        <v>Los Angeles Lakers</v>
      </c>
      <c r="J432" s="10">
        <f>IF(Planilha1!D429="","",Planilha1!D429)</f>
        <v>129</v>
      </c>
      <c r="K432" s="10" t="str">
        <f>IF(Planilha1!E429="","",IF(Planilha1!E429=0,"",Planilha1!E429))</f>
        <v>Oklahoma City Thunder</v>
      </c>
      <c r="L432" s="10">
        <f>IF(Planilha1!F429="","",Planilha1!F429)</f>
        <v>120</v>
      </c>
      <c r="M432" s="10">
        <f>IF(Planilha1!G429="","",IF(Planilha1!G429=0,"",Planilha1!G429))</f>
        <v>120</v>
      </c>
      <c r="N432" s="5">
        <f t="shared" si="55"/>
        <v>1</v>
      </c>
      <c r="O432" s="5">
        <f t="shared" si="56"/>
        <v>0</v>
      </c>
      <c r="P432" s="5">
        <f t="shared" si="49"/>
        <v>0</v>
      </c>
      <c r="Q432" s="5">
        <f t="shared" si="50"/>
        <v>2</v>
      </c>
      <c r="R432" s="7">
        <f t="shared" si="51"/>
        <v>0</v>
      </c>
      <c r="S432" s="7">
        <f t="shared" si="52"/>
        <v>0</v>
      </c>
      <c r="T432" s="3">
        <f t="shared" si="53"/>
        <v>1</v>
      </c>
      <c r="V432" s="1" t="e">
        <f t="shared" si="54"/>
        <v>#DIV/0!</v>
      </c>
    </row>
    <row r="433" spans="8:22" x14ac:dyDescent="0.3">
      <c r="H433" s="10" t="str">
        <f>IF(Planilha1!B430="","",Planilha1!B430)</f>
        <v>8:30p</v>
      </c>
      <c r="I433" s="10" t="str">
        <f>IF(Planilha1!C430="","",Planilha1!C430)</f>
        <v>San Antonio Spurs</v>
      </c>
      <c r="J433" s="10">
        <f>IF(Planilha1!D430="","",Planilha1!D430)</f>
        <v>119</v>
      </c>
      <c r="K433" s="10" t="str">
        <f>IF(Planilha1!E430="","",IF(Planilha1!E430=0,"",Planilha1!E430))</f>
        <v>Dallas Mavericks</v>
      </c>
      <c r="L433" s="10">
        <f>IF(Planilha1!F430="","",Planilha1!F430)</f>
        <v>144</v>
      </c>
      <c r="M433" s="10">
        <f>IF(Planilha1!G430="","",IF(Planilha1!G430=0,"",Planilha1!G430))</f>
        <v>144</v>
      </c>
      <c r="N433" s="5">
        <f t="shared" si="55"/>
        <v>1</v>
      </c>
      <c r="O433" s="5">
        <f t="shared" si="56"/>
        <v>0</v>
      </c>
      <c r="P433" s="5">
        <f t="shared" si="49"/>
        <v>0</v>
      </c>
      <c r="Q433" s="5">
        <f t="shared" si="50"/>
        <v>2</v>
      </c>
      <c r="R433" s="7">
        <f t="shared" si="51"/>
        <v>0</v>
      </c>
      <c r="S433" s="7">
        <f t="shared" si="52"/>
        <v>0</v>
      </c>
      <c r="T433" s="3">
        <f t="shared" si="53"/>
        <v>1</v>
      </c>
      <c r="V433" s="1" t="e">
        <f t="shared" si="54"/>
        <v>#DIV/0!</v>
      </c>
    </row>
    <row r="434" spans="8:22" x14ac:dyDescent="0.3">
      <c r="H434" s="10" t="str">
        <f>IF(Planilha1!B431="","",Planilha1!B431)</f>
        <v>8:30p</v>
      </c>
      <c r="I434" s="10" t="str">
        <f>IF(Planilha1!C431="","",Planilha1!C431)</f>
        <v>Portland Trail Blazers</v>
      </c>
      <c r="J434" s="10">
        <f>IF(Planilha1!D431="","",Planilha1!D431)</f>
        <v>106</v>
      </c>
      <c r="K434" s="10" t="str">
        <f>IF(Planilha1!E431="","",IF(Planilha1!E431=0,"",Planilha1!E431))</f>
        <v>Golden State Warriors</v>
      </c>
      <c r="L434" s="10">
        <f>IF(Planilha1!F431="","",Planilha1!F431)</f>
        <v>126</v>
      </c>
      <c r="M434" s="10">
        <f>IF(Planilha1!G431="","",IF(Planilha1!G431=0,"",Planilha1!G431))</f>
        <v>126</v>
      </c>
      <c r="N434" s="5">
        <f t="shared" si="55"/>
        <v>1</v>
      </c>
      <c r="O434" s="5">
        <f t="shared" si="56"/>
        <v>0</v>
      </c>
      <c r="P434" s="5">
        <f t="shared" si="49"/>
        <v>0</v>
      </c>
      <c r="Q434" s="5">
        <f t="shared" si="50"/>
        <v>2</v>
      </c>
      <c r="R434" s="7">
        <f t="shared" si="51"/>
        <v>0</v>
      </c>
      <c r="S434" s="7">
        <f t="shared" si="52"/>
        <v>0</v>
      </c>
      <c r="T434" s="3">
        <f t="shared" si="53"/>
        <v>1</v>
      </c>
      <c r="V434" s="1" t="e">
        <f t="shared" si="54"/>
        <v>#DIV/0!</v>
      </c>
    </row>
    <row r="435" spans="8:22" x14ac:dyDescent="0.3">
      <c r="H435" s="10" t="str">
        <f>IF(Planilha1!B432="","",Planilha1!B432)</f>
        <v>10:00p</v>
      </c>
      <c r="I435" s="10" t="str">
        <f>IF(Planilha1!C432="","",Planilha1!C432)</f>
        <v>Minnesota Timberwolves</v>
      </c>
      <c r="J435" s="10">
        <f>IF(Planilha1!D432="","",Planilha1!D432)</f>
        <v>110</v>
      </c>
      <c r="K435" s="10" t="str">
        <f>IF(Planilha1!E432="","",IF(Planilha1!E432=0,"",Planilha1!E432))</f>
        <v>Sacramento Kings</v>
      </c>
      <c r="L435" s="10">
        <f>IF(Planilha1!F432="","",Planilha1!F432)</f>
        <v>98</v>
      </c>
      <c r="M435" s="10">
        <f>IF(Planilha1!G432="","",IF(Planilha1!G432=0,"",Planilha1!G432))</f>
        <v>98</v>
      </c>
      <c r="N435" s="5">
        <f t="shared" si="55"/>
        <v>1</v>
      </c>
      <c r="O435" s="5">
        <f t="shared" si="56"/>
        <v>0</v>
      </c>
      <c r="P435" s="5">
        <f t="shared" si="49"/>
        <v>0</v>
      </c>
      <c r="Q435" s="5">
        <f t="shared" si="50"/>
        <v>2</v>
      </c>
      <c r="R435" s="7">
        <f t="shared" si="51"/>
        <v>0</v>
      </c>
      <c r="S435" s="7">
        <f t="shared" si="52"/>
        <v>0</v>
      </c>
      <c r="T435" s="3">
        <f t="shared" si="53"/>
        <v>1</v>
      </c>
      <c r="V435" s="1" t="e">
        <f t="shared" si="54"/>
        <v>#DIV/0!</v>
      </c>
    </row>
    <row r="436" spans="8:22" x14ac:dyDescent="0.3">
      <c r="H436" s="10" t="str">
        <f>IF(Planilha1!B433="","",Planilha1!B433)</f>
        <v>12:00p</v>
      </c>
      <c r="I436" s="10" t="str">
        <f>IF(Planilha1!C433="","",Planilha1!C433)</f>
        <v>Milwaukee Bucks</v>
      </c>
      <c r="J436" s="10">
        <f>IF(Planilha1!D433="","",Planilha1!D433)</f>
        <v>122</v>
      </c>
      <c r="K436" s="10" t="str">
        <f>IF(Planilha1!E433="","",IF(Planilha1!E433=0,"",Planilha1!E433))</f>
        <v>New York Knicks</v>
      </c>
      <c r="L436" s="10">
        <f>IF(Planilha1!F433="","",Planilha1!F433)</f>
        <v>129</v>
      </c>
      <c r="M436" s="10">
        <f>IF(Planilha1!G433="","",IF(Planilha1!G433=0,"",Planilha1!G433))</f>
        <v>129</v>
      </c>
      <c r="N436" s="5">
        <f t="shared" si="55"/>
        <v>1</v>
      </c>
      <c r="O436" s="5">
        <f t="shared" si="56"/>
        <v>0</v>
      </c>
      <c r="P436" s="5">
        <f t="shared" si="49"/>
        <v>0</v>
      </c>
      <c r="Q436" s="5">
        <f t="shared" si="50"/>
        <v>2</v>
      </c>
      <c r="R436" s="7">
        <f t="shared" si="51"/>
        <v>0</v>
      </c>
      <c r="S436" s="7">
        <f t="shared" si="52"/>
        <v>0</v>
      </c>
      <c r="T436" s="3">
        <f t="shared" si="53"/>
        <v>1</v>
      </c>
      <c r="V436" s="1" t="e">
        <f t="shared" si="54"/>
        <v>#DIV/0!</v>
      </c>
    </row>
    <row r="437" spans="8:22" x14ac:dyDescent="0.3">
      <c r="H437" s="10" t="str">
        <f>IF(Planilha1!B434="","",Planilha1!B434)</f>
        <v>2:30p</v>
      </c>
      <c r="I437" s="10" t="str">
        <f>IF(Planilha1!C434="","",Planilha1!C434)</f>
        <v>Golden State Warriors</v>
      </c>
      <c r="J437" s="10">
        <f>IF(Planilha1!D434="","",Planilha1!D434)</f>
        <v>114</v>
      </c>
      <c r="K437" s="10" t="str">
        <f>IF(Planilha1!E434="","",IF(Planilha1!E434=0,"",Planilha1!E434))</f>
        <v>Denver Nuggets</v>
      </c>
      <c r="L437" s="10">
        <f>IF(Planilha1!F434="","",Planilha1!F434)</f>
        <v>120</v>
      </c>
      <c r="M437" s="10">
        <f>IF(Planilha1!G434="","",IF(Planilha1!G434=0,"",Planilha1!G434))</f>
        <v>120</v>
      </c>
      <c r="N437" s="5">
        <f t="shared" si="55"/>
        <v>1</v>
      </c>
      <c r="O437" s="5">
        <f t="shared" si="56"/>
        <v>0</v>
      </c>
      <c r="P437" s="5">
        <f t="shared" si="49"/>
        <v>0</v>
      </c>
      <c r="Q437" s="5">
        <f t="shared" si="50"/>
        <v>2</v>
      </c>
      <c r="R437" s="7">
        <f t="shared" si="51"/>
        <v>0</v>
      </c>
      <c r="S437" s="7">
        <f t="shared" si="52"/>
        <v>0</v>
      </c>
      <c r="T437" s="3">
        <f t="shared" si="53"/>
        <v>1</v>
      </c>
      <c r="V437" s="1" t="e">
        <f t="shared" si="54"/>
        <v>#DIV/0!</v>
      </c>
    </row>
    <row r="438" spans="8:22" x14ac:dyDescent="0.3">
      <c r="H438" s="10" t="str">
        <f>IF(Planilha1!B435="","",Planilha1!B435)</f>
        <v>5:00p</v>
      </c>
      <c r="I438" s="10" t="str">
        <f>IF(Planilha1!C435="","",Planilha1!C435)</f>
        <v>Boston Celtics</v>
      </c>
      <c r="J438" s="10">
        <f>IF(Planilha1!D435="","",Planilha1!D435)</f>
        <v>126</v>
      </c>
      <c r="K438" s="10" t="str">
        <f>IF(Planilha1!E435="","",IF(Planilha1!E435=0,"",Planilha1!E435))</f>
        <v>Los Angeles Lakers</v>
      </c>
      <c r="L438" s="10">
        <f>IF(Planilha1!F435="","",Planilha1!F435)</f>
        <v>115</v>
      </c>
      <c r="M438" s="10">
        <f>IF(Planilha1!G435="","",IF(Planilha1!G435=0,"",Planilha1!G435))</f>
        <v>115</v>
      </c>
      <c r="N438" s="5">
        <f t="shared" si="55"/>
        <v>1</v>
      </c>
      <c r="O438" s="5">
        <f t="shared" si="56"/>
        <v>0</v>
      </c>
      <c r="P438" s="5">
        <f t="shared" si="49"/>
        <v>0</v>
      </c>
      <c r="Q438" s="5">
        <f t="shared" si="50"/>
        <v>2</v>
      </c>
      <c r="R438" s="7">
        <f t="shared" si="51"/>
        <v>0</v>
      </c>
      <c r="S438" s="7">
        <f t="shared" si="52"/>
        <v>0</v>
      </c>
      <c r="T438" s="3">
        <f t="shared" si="53"/>
        <v>1</v>
      </c>
      <c r="V438" s="1" t="e">
        <f t="shared" si="54"/>
        <v>#DIV/0!</v>
      </c>
    </row>
    <row r="439" spans="8:22" x14ac:dyDescent="0.3">
      <c r="H439" s="10" t="str">
        <f>IF(Planilha1!B436="","",Planilha1!B436)</f>
        <v>8:00p</v>
      </c>
      <c r="I439" s="10" t="str">
        <f>IF(Planilha1!C436="","",Planilha1!C436)</f>
        <v>Philadelphia 76ers</v>
      </c>
      <c r="J439" s="10">
        <f>IF(Planilha1!D436="","",Planilha1!D436)</f>
        <v>113</v>
      </c>
      <c r="K439" s="10" t="str">
        <f>IF(Planilha1!E436="","",IF(Planilha1!E436=0,"",Planilha1!E436))</f>
        <v>Miami Heat</v>
      </c>
      <c r="L439" s="10">
        <f>IF(Planilha1!F436="","",Planilha1!F436)</f>
        <v>119</v>
      </c>
      <c r="M439" s="10">
        <f>IF(Planilha1!G436="","",IF(Planilha1!G436=0,"",Planilha1!G436))</f>
        <v>119</v>
      </c>
      <c r="N439" s="5">
        <f t="shared" si="55"/>
        <v>1</v>
      </c>
      <c r="O439" s="5">
        <f t="shared" si="56"/>
        <v>0</v>
      </c>
      <c r="P439" s="5">
        <f t="shared" si="49"/>
        <v>0</v>
      </c>
      <c r="Q439" s="5">
        <f t="shared" si="50"/>
        <v>2</v>
      </c>
      <c r="R439" s="7">
        <f t="shared" si="51"/>
        <v>0</v>
      </c>
      <c r="S439" s="7">
        <f t="shared" si="52"/>
        <v>0</v>
      </c>
      <c r="T439" s="3">
        <f t="shared" si="53"/>
        <v>1</v>
      </c>
      <c r="V439" s="1" t="e">
        <f t="shared" si="54"/>
        <v>#DIV/0!</v>
      </c>
    </row>
    <row r="440" spans="8:22" x14ac:dyDescent="0.3">
      <c r="H440" s="10" t="str">
        <f>IF(Planilha1!B437="","",Planilha1!B437)</f>
        <v>10:30p</v>
      </c>
      <c r="I440" s="10" t="str">
        <f>IF(Planilha1!C437="","",Planilha1!C437)</f>
        <v>Dallas Mavericks</v>
      </c>
      <c r="J440" s="10">
        <f>IF(Planilha1!D437="","",Planilha1!D437)</f>
        <v>128</v>
      </c>
      <c r="K440" s="10" t="str">
        <f>IF(Planilha1!E437="","",IF(Planilha1!E437=0,"",Planilha1!E437))</f>
        <v>Phoenix Suns</v>
      </c>
      <c r="L440" s="10">
        <f>IF(Planilha1!F437="","",Planilha1!F437)</f>
        <v>114</v>
      </c>
      <c r="M440" s="10">
        <f>IF(Planilha1!G437="","",IF(Planilha1!G437=0,"",Planilha1!G437))</f>
        <v>114</v>
      </c>
      <c r="N440" s="5">
        <f t="shared" si="55"/>
        <v>1</v>
      </c>
      <c r="O440" s="5">
        <f t="shared" si="56"/>
        <v>0</v>
      </c>
      <c r="P440" s="5">
        <f t="shared" si="49"/>
        <v>0</v>
      </c>
      <c r="Q440" s="5">
        <f t="shared" si="50"/>
        <v>2</v>
      </c>
      <c r="R440" s="7">
        <f t="shared" si="51"/>
        <v>0</v>
      </c>
      <c r="S440" s="7">
        <f t="shared" si="52"/>
        <v>0</v>
      </c>
      <c r="T440" s="3">
        <f t="shared" si="53"/>
        <v>1</v>
      </c>
      <c r="V440" s="1" t="e">
        <f t="shared" si="54"/>
        <v>#DIV/0!</v>
      </c>
    </row>
    <row r="441" spans="8:22" x14ac:dyDescent="0.3">
      <c r="H441" s="10" t="str">
        <f>IF(Planilha1!B438="","",Planilha1!B438)</f>
        <v>7:00p</v>
      </c>
      <c r="I441" s="10" t="str">
        <f>IF(Planilha1!C438="","",Planilha1!C438)</f>
        <v>Brooklyn Nets</v>
      </c>
      <c r="J441" s="10">
        <f>IF(Planilha1!D438="","",Planilha1!D438)</f>
        <v>118</v>
      </c>
      <c r="K441" s="10" t="str">
        <f>IF(Planilha1!E438="","",IF(Planilha1!E438=0,"",Planilha1!E438))</f>
        <v>Detroit Pistons</v>
      </c>
      <c r="L441" s="10">
        <f>IF(Planilha1!F438="","",Planilha1!F438)</f>
        <v>112</v>
      </c>
      <c r="M441" s="10">
        <f>IF(Planilha1!G438="","",IF(Planilha1!G438=0,"",Planilha1!G438))</f>
        <v>112</v>
      </c>
      <c r="N441" s="5">
        <f t="shared" si="55"/>
        <v>1</v>
      </c>
      <c r="O441" s="5">
        <f t="shared" si="56"/>
        <v>0</v>
      </c>
      <c r="P441" s="5">
        <f t="shared" si="49"/>
        <v>0</v>
      </c>
      <c r="Q441" s="5">
        <f t="shared" si="50"/>
        <v>2</v>
      </c>
      <c r="R441" s="7">
        <f t="shared" si="51"/>
        <v>0</v>
      </c>
      <c r="S441" s="7">
        <f t="shared" si="52"/>
        <v>0</v>
      </c>
      <c r="T441" s="3">
        <f t="shared" si="53"/>
        <v>1</v>
      </c>
      <c r="V441" s="1" t="e">
        <f t="shared" si="54"/>
        <v>#DIV/0!</v>
      </c>
    </row>
    <row r="442" spans="8:22" x14ac:dyDescent="0.3">
      <c r="H442" s="10" t="str">
        <f>IF(Planilha1!B439="","",Planilha1!B439)</f>
        <v>7:00p</v>
      </c>
      <c r="I442" s="10" t="str">
        <f>IF(Planilha1!C439="","",Planilha1!C439)</f>
        <v>Orlando Magic</v>
      </c>
      <c r="J442" s="10">
        <f>IF(Planilha1!D439="","",Planilha1!D439)</f>
        <v>127</v>
      </c>
      <c r="K442" s="10" t="str">
        <f>IF(Planilha1!E439="","",IF(Planilha1!E439=0,"",Planilha1!E439))</f>
        <v>Washington Wizards</v>
      </c>
      <c r="L442" s="10">
        <f>IF(Planilha1!F439="","",Planilha1!F439)</f>
        <v>119</v>
      </c>
      <c r="M442" s="10">
        <f>IF(Planilha1!G439="","",IF(Planilha1!G439=0,"",Planilha1!G439))</f>
        <v>119</v>
      </c>
      <c r="N442" s="5">
        <f t="shared" si="55"/>
        <v>1</v>
      </c>
      <c r="O442" s="5">
        <f t="shared" si="56"/>
        <v>0</v>
      </c>
      <c r="P442" s="5">
        <f t="shared" si="49"/>
        <v>0</v>
      </c>
      <c r="Q442" s="5">
        <f t="shared" si="50"/>
        <v>2</v>
      </c>
      <c r="R442" s="7">
        <f t="shared" si="51"/>
        <v>0</v>
      </c>
      <c r="S442" s="7">
        <f t="shared" si="52"/>
        <v>0</v>
      </c>
      <c r="T442" s="3">
        <f t="shared" si="53"/>
        <v>1</v>
      </c>
      <c r="V442" s="1" t="e">
        <f t="shared" si="54"/>
        <v>#DIV/0!</v>
      </c>
    </row>
    <row r="443" spans="8:22" x14ac:dyDescent="0.3">
      <c r="H443" s="10" t="str">
        <f>IF(Planilha1!B440="","",Planilha1!B440)</f>
        <v>8:00p</v>
      </c>
      <c r="I443" s="10" t="str">
        <f>IF(Planilha1!C440="","",Planilha1!C440)</f>
        <v>Atlanta Hawks</v>
      </c>
      <c r="J443" s="10">
        <f>IF(Planilha1!D440="","",Planilha1!D440)</f>
        <v>113</v>
      </c>
      <c r="K443" s="10" t="str">
        <f>IF(Planilha1!E440="","",IF(Planilha1!E440=0,"",Planilha1!E440))</f>
        <v>Chicago Bulls</v>
      </c>
      <c r="L443" s="10">
        <f>IF(Planilha1!F440="","",Planilha1!F440)</f>
        <v>118</v>
      </c>
      <c r="M443" s="10">
        <f>IF(Planilha1!G440="","",IF(Planilha1!G440=0,"",Planilha1!G440))</f>
        <v>118</v>
      </c>
      <c r="N443" s="5">
        <f t="shared" si="55"/>
        <v>1</v>
      </c>
      <c r="O443" s="5">
        <f t="shared" si="56"/>
        <v>0</v>
      </c>
      <c r="P443" s="5">
        <f t="shared" si="49"/>
        <v>0</v>
      </c>
      <c r="Q443" s="5">
        <f t="shared" si="50"/>
        <v>2</v>
      </c>
      <c r="R443" s="7">
        <f t="shared" si="51"/>
        <v>0</v>
      </c>
      <c r="S443" s="7">
        <f t="shared" si="52"/>
        <v>0</v>
      </c>
      <c r="T443" s="3">
        <f t="shared" si="53"/>
        <v>1</v>
      </c>
      <c r="V443" s="1" t="e">
        <f t="shared" si="54"/>
        <v>#DIV/0!</v>
      </c>
    </row>
    <row r="444" spans="8:22" x14ac:dyDescent="0.3">
      <c r="H444" s="10" t="str">
        <f>IF(Planilha1!B441="","",Planilha1!B441)</f>
        <v>8:00p</v>
      </c>
      <c r="I444" s="10" t="str">
        <f>IF(Planilha1!C441="","",Planilha1!C441)</f>
        <v>Indiana Pacers</v>
      </c>
      <c r="J444" s="10">
        <f>IF(Planilha1!D441="","",Planilha1!D441)</f>
        <v>123</v>
      </c>
      <c r="K444" s="10" t="str">
        <f>IF(Planilha1!E441="","",IF(Planilha1!E441=0,"",Planilha1!E441))</f>
        <v>Houston Rockets</v>
      </c>
      <c r="L444" s="10">
        <f>IF(Planilha1!F441="","",Planilha1!F441)</f>
        <v>117</v>
      </c>
      <c r="M444" s="10">
        <f>IF(Planilha1!G441="","",IF(Planilha1!G441=0,"",Planilha1!G441))</f>
        <v>117</v>
      </c>
      <c r="N444" s="5">
        <f t="shared" si="55"/>
        <v>1</v>
      </c>
      <c r="O444" s="5">
        <f t="shared" si="56"/>
        <v>0</v>
      </c>
      <c r="P444" s="5">
        <f t="shared" si="49"/>
        <v>0</v>
      </c>
      <c r="Q444" s="5">
        <f t="shared" si="50"/>
        <v>2</v>
      </c>
      <c r="R444" s="7">
        <f t="shared" si="51"/>
        <v>0</v>
      </c>
      <c r="S444" s="7">
        <f t="shared" si="52"/>
        <v>0</v>
      </c>
      <c r="T444" s="3">
        <f t="shared" si="53"/>
        <v>1</v>
      </c>
      <c r="V444" s="1" t="e">
        <f t="shared" si="54"/>
        <v>#DIV/0!</v>
      </c>
    </row>
    <row r="445" spans="8:22" x14ac:dyDescent="0.3">
      <c r="H445" s="10" t="str">
        <f>IF(Planilha1!B442="","",Planilha1!B442)</f>
        <v>8:00p</v>
      </c>
      <c r="I445" s="10" t="str">
        <f>IF(Planilha1!C442="","",Planilha1!C442)</f>
        <v>Memphis Grizzlies</v>
      </c>
      <c r="J445" s="10">
        <f>IF(Planilha1!D442="","",Planilha1!D442)</f>
        <v>116</v>
      </c>
      <c r="K445" s="10" t="str">
        <f>IF(Planilha1!E442="","",IF(Planilha1!E442=0,"",Planilha1!E442))</f>
        <v>New Orleans Pelicans</v>
      </c>
      <c r="L445" s="10">
        <f>IF(Planilha1!F442="","",Planilha1!F442)</f>
        <v>115</v>
      </c>
      <c r="M445" s="10">
        <f>IF(Planilha1!G442="","",IF(Planilha1!G442=0,"",Planilha1!G442))</f>
        <v>115</v>
      </c>
      <c r="N445" s="5">
        <f t="shared" si="55"/>
        <v>1</v>
      </c>
      <c r="O445" s="5">
        <f t="shared" si="56"/>
        <v>0</v>
      </c>
      <c r="P445" s="5">
        <f t="shared" si="49"/>
        <v>0</v>
      </c>
      <c r="Q445" s="5">
        <f t="shared" si="50"/>
        <v>2</v>
      </c>
      <c r="R445" s="7">
        <f t="shared" si="51"/>
        <v>0</v>
      </c>
      <c r="S445" s="7">
        <f t="shared" si="52"/>
        <v>0</v>
      </c>
      <c r="T445" s="3">
        <f t="shared" si="53"/>
        <v>1</v>
      </c>
      <c r="V445" s="1" t="e">
        <f t="shared" si="54"/>
        <v>#DIV/0!</v>
      </c>
    </row>
    <row r="446" spans="8:22" x14ac:dyDescent="0.3">
      <c r="H446" s="10" t="str">
        <f>IF(Planilha1!B443="","",Planilha1!B443)</f>
        <v>8:00p</v>
      </c>
      <c r="I446" s="10" t="str">
        <f>IF(Planilha1!C443="","",Planilha1!C443)</f>
        <v>Minnesota Timberwolves</v>
      </c>
      <c r="J446" s="10">
        <f>IF(Planilha1!D443="","",Planilha1!D443)</f>
        <v>106</v>
      </c>
      <c r="K446" s="10" t="str">
        <f>IF(Planilha1!E443="","",IF(Planilha1!E443=0,"",Planilha1!E443))</f>
        <v>Oklahoma City Thunder</v>
      </c>
      <c r="L446" s="10">
        <f>IF(Planilha1!F443="","",Planilha1!F443)</f>
        <v>129</v>
      </c>
      <c r="M446" s="10">
        <f>IF(Planilha1!G443="","",IF(Planilha1!G443=0,"",Planilha1!G443))</f>
        <v>129</v>
      </c>
      <c r="N446" s="5">
        <f t="shared" si="55"/>
        <v>1</v>
      </c>
      <c r="O446" s="5">
        <f t="shared" si="56"/>
        <v>0</v>
      </c>
      <c r="P446" s="5">
        <f t="shared" si="49"/>
        <v>0</v>
      </c>
      <c r="Q446" s="5">
        <f t="shared" si="50"/>
        <v>2</v>
      </c>
      <c r="R446" s="7">
        <f t="shared" si="51"/>
        <v>0</v>
      </c>
      <c r="S446" s="7">
        <f t="shared" si="52"/>
        <v>0</v>
      </c>
      <c r="T446" s="3">
        <f t="shared" si="53"/>
        <v>1</v>
      </c>
      <c r="V446" s="1" t="e">
        <f t="shared" si="54"/>
        <v>#DIV/0!</v>
      </c>
    </row>
    <row r="447" spans="8:22" x14ac:dyDescent="0.3">
      <c r="H447" s="10" t="str">
        <f>IF(Planilha1!B444="","",Planilha1!B444)</f>
        <v>8:00p</v>
      </c>
      <c r="I447" s="10" t="str">
        <f>IF(Planilha1!C444="","",Planilha1!C444)</f>
        <v>Utah Jazz</v>
      </c>
      <c r="J447" s="10">
        <f>IF(Planilha1!D444="","",Planilha1!D444)</f>
        <v>130</v>
      </c>
      <c r="K447" s="10" t="str">
        <f>IF(Planilha1!E444="","",IF(Planilha1!E444=0,"",Planilha1!E444))</f>
        <v>San Antonio Spurs</v>
      </c>
      <c r="L447" s="10">
        <f>IF(Planilha1!F444="","",Planilha1!F444)</f>
        <v>118</v>
      </c>
      <c r="M447" s="10">
        <f>IF(Planilha1!G444="","",IF(Planilha1!G444=0,"",Planilha1!G444))</f>
        <v>118</v>
      </c>
      <c r="N447" s="5">
        <f t="shared" si="55"/>
        <v>1</v>
      </c>
      <c r="O447" s="5">
        <f t="shared" si="56"/>
        <v>0</v>
      </c>
      <c r="P447" s="5">
        <f t="shared" si="49"/>
        <v>0</v>
      </c>
      <c r="Q447" s="5">
        <f t="shared" si="50"/>
        <v>2</v>
      </c>
      <c r="R447" s="7">
        <f t="shared" si="51"/>
        <v>0</v>
      </c>
      <c r="S447" s="7">
        <f t="shared" si="52"/>
        <v>0</v>
      </c>
      <c r="T447" s="3">
        <f t="shared" si="53"/>
        <v>1</v>
      </c>
      <c r="V447" s="1" t="e">
        <f t="shared" si="54"/>
        <v>#DIV/0!</v>
      </c>
    </row>
    <row r="448" spans="8:22" x14ac:dyDescent="0.3">
      <c r="H448" s="10" t="str">
        <f>IF(Planilha1!B445="","",Planilha1!B445)</f>
        <v>10:00p</v>
      </c>
      <c r="I448" s="10" t="str">
        <f>IF(Planilha1!C445="","",Planilha1!C445)</f>
        <v>Sacramento Kings</v>
      </c>
      <c r="J448" s="10">
        <f>IF(Planilha1!D445="","",Planilha1!D445)</f>
        <v>113</v>
      </c>
      <c r="K448" s="10" t="str">
        <f>IF(Planilha1!E445="","",IF(Planilha1!E445=0,"",Planilha1!E445))</f>
        <v>Portland Trail Blazers</v>
      </c>
      <c r="L448" s="10">
        <f>IF(Planilha1!F445="","",Planilha1!F445)</f>
        <v>130</v>
      </c>
      <c r="M448" s="10">
        <f>IF(Planilha1!G445="","",IF(Planilha1!G445=0,"",Planilha1!G445))</f>
        <v>130</v>
      </c>
      <c r="N448" s="5">
        <f t="shared" si="55"/>
        <v>1</v>
      </c>
      <c r="O448" s="5">
        <f t="shared" si="56"/>
        <v>0</v>
      </c>
      <c r="P448" s="5">
        <f t="shared" si="49"/>
        <v>0</v>
      </c>
      <c r="Q448" s="5">
        <f t="shared" si="50"/>
        <v>2</v>
      </c>
      <c r="R448" s="7">
        <f t="shared" si="51"/>
        <v>0</v>
      </c>
      <c r="S448" s="7">
        <f t="shared" si="52"/>
        <v>0</v>
      </c>
      <c r="T448" s="3">
        <f t="shared" si="53"/>
        <v>1</v>
      </c>
      <c r="V448" s="1" t="e">
        <f t="shared" si="54"/>
        <v>#DIV/0!</v>
      </c>
    </row>
    <row r="449" spans="8:22" x14ac:dyDescent="0.3">
      <c r="H449" s="10" t="str">
        <f>IF(Planilha1!B446="","",Planilha1!B446)</f>
        <v>10:30p</v>
      </c>
      <c r="I449" s="10" t="str">
        <f>IF(Planilha1!C446="","",Planilha1!C446)</f>
        <v>Charlotte Hornets</v>
      </c>
      <c r="J449" s="10">
        <f>IF(Planilha1!D446="","",Planilha1!D446)</f>
        <v>104</v>
      </c>
      <c r="K449" s="10" t="str">
        <f>IF(Planilha1!E446="","",IF(Planilha1!E446=0,"",Planilha1!E446))</f>
        <v>Los Angeles Clippers</v>
      </c>
      <c r="L449" s="10">
        <f>IF(Planilha1!F446="","",Planilha1!F446)</f>
        <v>113</v>
      </c>
      <c r="M449" s="10">
        <f>IF(Planilha1!G446="","",IF(Planilha1!G446=0,"",Planilha1!G446))</f>
        <v>113</v>
      </c>
      <c r="N449" s="5">
        <f t="shared" si="55"/>
        <v>1</v>
      </c>
      <c r="O449" s="5">
        <f t="shared" si="56"/>
        <v>0</v>
      </c>
      <c r="P449" s="5">
        <f t="shared" si="49"/>
        <v>0</v>
      </c>
      <c r="Q449" s="5">
        <f t="shared" si="50"/>
        <v>2</v>
      </c>
      <c r="R449" s="7">
        <f t="shared" si="51"/>
        <v>0</v>
      </c>
      <c r="S449" s="7">
        <f t="shared" si="52"/>
        <v>0</v>
      </c>
      <c r="T449" s="3">
        <f t="shared" si="53"/>
        <v>1</v>
      </c>
      <c r="V449" s="1" t="e">
        <f t="shared" si="54"/>
        <v>#DIV/0!</v>
      </c>
    </row>
    <row r="450" spans="8:22" x14ac:dyDescent="0.3">
      <c r="H450" s="10" t="str">
        <f>IF(Planilha1!B447="","",Planilha1!B447)</f>
        <v>7:00p</v>
      </c>
      <c r="I450" s="10" t="str">
        <f>IF(Planilha1!C447="","",Planilha1!C447)</f>
        <v>Philadelphia 76ers</v>
      </c>
      <c r="J450" s="10">
        <f>IF(Planilha1!D447="","",Planilha1!D447)</f>
        <v>112</v>
      </c>
      <c r="K450" s="10" t="str">
        <f>IF(Planilha1!E447="","",IF(Planilha1!E447=0,"",Planilha1!E447))</f>
        <v>Orlando Magic</v>
      </c>
      <c r="L450" s="10">
        <f>IF(Planilha1!F447="","",Planilha1!F447)</f>
        <v>92</v>
      </c>
      <c r="M450" s="10">
        <f>IF(Planilha1!G447="","",IF(Planilha1!G447=0,"",Planilha1!G447))</f>
        <v>92</v>
      </c>
      <c r="N450" s="5">
        <f t="shared" si="55"/>
        <v>1</v>
      </c>
      <c r="O450" s="5">
        <f t="shared" si="56"/>
        <v>0</v>
      </c>
      <c r="P450" s="5">
        <f t="shared" si="49"/>
        <v>0</v>
      </c>
      <c r="Q450" s="5">
        <f t="shared" si="50"/>
        <v>2</v>
      </c>
      <c r="R450" s="7">
        <f t="shared" si="51"/>
        <v>0</v>
      </c>
      <c r="S450" s="7">
        <f t="shared" si="52"/>
        <v>0</v>
      </c>
      <c r="T450" s="3">
        <f t="shared" si="53"/>
        <v>1</v>
      </c>
      <c r="V450" s="1" t="e">
        <f t="shared" si="54"/>
        <v>#DIV/0!</v>
      </c>
    </row>
    <row r="451" spans="8:22" x14ac:dyDescent="0.3">
      <c r="H451" s="10" t="str">
        <f>IF(Planilha1!B448="","",Planilha1!B448)</f>
        <v>7:00p</v>
      </c>
      <c r="I451" s="10" t="str">
        <f>IF(Planilha1!C448="","",Planilha1!C448)</f>
        <v>Toronto Raptors</v>
      </c>
      <c r="J451" s="10">
        <f>IF(Planilha1!D448="","",Planilha1!D448)</f>
        <v>132</v>
      </c>
      <c r="K451" s="10" t="str">
        <f>IF(Planilha1!E448="","",IF(Planilha1!E448=0,"",Planilha1!E448))</f>
        <v>Washington Wizards</v>
      </c>
      <c r="L451" s="10">
        <f>IF(Planilha1!F448="","",Planilha1!F448)</f>
        <v>102</v>
      </c>
      <c r="M451" s="10">
        <f>IF(Planilha1!G448="","",IF(Planilha1!G448=0,"",Planilha1!G448))</f>
        <v>102</v>
      </c>
      <c r="N451" s="5">
        <f t="shared" si="55"/>
        <v>1</v>
      </c>
      <c r="O451" s="5">
        <f t="shared" si="56"/>
        <v>0</v>
      </c>
      <c r="P451" s="5">
        <f t="shared" si="49"/>
        <v>0</v>
      </c>
      <c r="Q451" s="5">
        <f t="shared" si="50"/>
        <v>2</v>
      </c>
      <c r="R451" s="7">
        <f t="shared" si="51"/>
        <v>0</v>
      </c>
      <c r="S451" s="7">
        <f t="shared" si="52"/>
        <v>0</v>
      </c>
      <c r="T451" s="3">
        <f t="shared" si="53"/>
        <v>1</v>
      </c>
      <c r="V451" s="1" t="e">
        <f t="shared" si="54"/>
        <v>#DIV/0!</v>
      </c>
    </row>
    <row r="452" spans="8:22" x14ac:dyDescent="0.3">
      <c r="H452" s="10" t="str">
        <f>IF(Planilha1!B449="","",Planilha1!B449)</f>
        <v>7:30p</v>
      </c>
      <c r="I452" s="10" t="str">
        <f>IF(Planilha1!C449="","",Planilha1!C449)</f>
        <v>Milwaukee Bucks</v>
      </c>
      <c r="J452" s="10">
        <f>IF(Planilha1!D449="","",Planilha1!D449)</f>
        <v>144</v>
      </c>
      <c r="K452" s="10" t="str">
        <f>IF(Planilha1!E449="","",IF(Planilha1!E449=0,"",Planilha1!E449))</f>
        <v>Brooklyn Nets</v>
      </c>
      <c r="L452" s="10">
        <f>IF(Planilha1!F449="","",Planilha1!F449)</f>
        <v>122</v>
      </c>
      <c r="M452" s="10">
        <f>IF(Planilha1!G449="","",IF(Planilha1!G449=0,"",Planilha1!G449))</f>
        <v>122</v>
      </c>
      <c r="N452" s="5">
        <f t="shared" si="55"/>
        <v>1</v>
      </c>
      <c r="O452" s="5">
        <f t="shared" si="56"/>
        <v>0</v>
      </c>
      <c r="P452" s="5">
        <f t="shared" si="49"/>
        <v>0</v>
      </c>
      <c r="Q452" s="5">
        <f t="shared" si="50"/>
        <v>2</v>
      </c>
      <c r="R452" s="7">
        <f t="shared" si="51"/>
        <v>0</v>
      </c>
      <c r="S452" s="7">
        <f t="shared" si="52"/>
        <v>0</v>
      </c>
      <c r="T452" s="3">
        <f t="shared" si="53"/>
        <v>1</v>
      </c>
      <c r="V452" s="1" t="e">
        <f t="shared" si="54"/>
        <v>#DIV/0!</v>
      </c>
    </row>
    <row r="453" spans="8:22" x14ac:dyDescent="0.3">
      <c r="H453" s="10" t="str">
        <f>IF(Planilha1!B450="","",Planilha1!B450)</f>
        <v>8:00p</v>
      </c>
      <c r="I453" s="10" t="str">
        <f>IF(Planilha1!C450="","",Planilha1!C450)</f>
        <v>Phoenix Suns</v>
      </c>
      <c r="J453" s="10">
        <f>IF(Planilha1!D450="","",Planilha1!D450)</f>
        <v>129</v>
      </c>
      <c r="K453" s="10" t="str">
        <f>IF(Planilha1!E450="","",IF(Planilha1!E450=0,"",Planilha1!E450))</f>
        <v>Houston Rockets</v>
      </c>
      <c r="L453" s="10">
        <f>IF(Planilha1!F450="","",Planilha1!F450)</f>
        <v>113</v>
      </c>
      <c r="M453" s="10">
        <f>IF(Planilha1!G450="","",IF(Planilha1!G450=0,"",Planilha1!G450))</f>
        <v>113</v>
      </c>
      <c r="N453" s="5">
        <f t="shared" si="55"/>
        <v>1</v>
      </c>
      <c r="O453" s="5">
        <f t="shared" si="56"/>
        <v>0</v>
      </c>
      <c r="P453" s="5">
        <f t="shared" ref="P453:P516" si="57">IF(M453="",IF(R453&gt;S453,2,0),IF(K453&lt;M453,2,0))</f>
        <v>0</v>
      </c>
      <c r="Q453" s="5">
        <f t="shared" ref="Q453:Q516" si="58">IF(M453="",IF(R453&gt;S453,0,2),IF(K453&gt;M453,2,0))</f>
        <v>2</v>
      </c>
      <c r="R453" s="7">
        <f t="shared" ref="R453:R516" si="59">SUMIF($B:$B,J453,$C:$C)+(SUMIF($B:$B,L453,$F:$F))</f>
        <v>0</v>
      </c>
      <c r="S453" s="7">
        <f t="shared" ref="S453:S516" si="60">SUMIF($B:$B,L453,$E:$E)+(SUMIF($B:$B,J453,$D:$D))</f>
        <v>0</v>
      </c>
      <c r="T453" s="3">
        <f t="shared" ref="T453:T516" si="61">IF(M453="","",(N453-S453)^2+(O453-R453)^2)</f>
        <v>1</v>
      </c>
      <c r="V453" s="1" t="e">
        <f t="shared" ref="V453:V516" si="62">IF(O453="","",1/((O453-N453)/(R453-S453)))</f>
        <v>#DIV/0!</v>
      </c>
    </row>
    <row r="454" spans="8:22" x14ac:dyDescent="0.3">
      <c r="H454" s="10" t="str">
        <f>IF(Planilha1!B451="","",Planilha1!B451)</f>
        <v>8:00p</v>
      </c>
      <c r="I454" s="10" t="str">
        <f>IF(Planilha1!C451="","",Planilha1!C451)</f>
        <v>New York Knicks</v>
      </c>
      <c r="J454" s="10">
        <f>IF(Planilha1!D451="","",Planilha1!D451)</f>
        <v>120</v>
      </c>
      <c r="K454" s="10" t="str">
        <f>IF(Planilha1!E451="","",IF(Planilha1!E451=0,"",Planilha1!E451))</f>
        <v>Oklahoma City Thunder</v>
      </c>
      <c r="L454" s="10">
        <f>IF(Planilha1!F451="","",Planilha1!F451)</f>
        <v>129</v>
      </c>
      <c r="M454" s="10">
        <f>IF(Planilha1!G451="","",IF(Planilha1!G451=0,"",Planilha1!G451))</f>
        <v>129</v>
      </c>
      <c r="N454" s="5">
        <f t="shared" ref="N454:N517" si="63">IF(K454="","",IF(K454&gt;M454,100%,0%))</f>
        <v>1</v>
      </c>
      <c r="O454" s="5">
        <f t="shared" ref="O454:O517" si="64">IF(K454="","",IF(K454&lt;M454,100%,0%))</f>
        <v>0</v>
      </c>
      <c r="P454" s="5">
        <f t="shared" si="57"/>
        <v>0</v>
      </c>
      <c r="Q454" s="5">
        <f t="shared" si="58"/>
        <v>2</v>
      </c>
      <c r="R454" s="7">
        <f t="shared" si="59"/>
        <v>0</v>
      </c>
      <c r="S454" s="7">
        <f t="shared" si="60"/>
        <v>0</v>
      </c>
      <c r="T454" s="3">
        <f t="shared" si="61"/>
        <v>1</v>
      </c>
      <c r="V454" s="1" t="e">
        <f t="shared" si="62"/>
        <v>#DIV/0!</v>
      </c>
    </row>
    <row r="455" spans="8:22" x14ac:dyDescent="0.3">
      <c r="H455" s="10" t="str">
        <f>IF(Planilha1!B452="","",Planilha1!B452)</f>
        <v>8:30p</v>
      </c>
      <c r="I455" s="10" t="str">
        <f>IF(Planilha1!C452="","",Planilha1!C452)</f>
        <v>Cleveland Cavaliers</v>
      </c>
      <c r="J455" s="10">
        <f>IF(Planilha1!D452="","",Planilha1!D452)</f>
        <v>113</v>
      </c>
      <c r="K455" s="10" t="str">
        <f>IF(Planilha1!E452="","",IF(Planilha1!E452=0,"",Planilha1!E452))</f>
        <v>Dallas Mavericks</v>
      </c>
      <c r="L455" s="10">
        <f>IF(Planilha1!F452="","",Planilha1!F452)</f>
        <v>110</v>
      </c>
      <c r="M455" s="10">
        <f>IF(Planilha1!G452="","",IF(Planilha1!G452=0,"",Planilha1!G452))</f>
        <v>110</v>
      </c>
      <c r="N455" s="5">
        <f t="shared" si="63"/>
        <v>1</v>
      </c>
      <c r="O455" s="5">
        <f t="shared" si="64"/>
        <v>0</v>
      </c>
      <c r="P455" s="5">
        <f t="shared" si="57"/>
        <v>0</v>
      </c>
      <c r="Q455" s="5">
        <f t="shared" si="58"/>
        <v>2</v>
      </c>
      <c r="R455" s="7">
        <f t="shared" si="59"/>
        <v>0</v>
      </c>
      <c r="S455" s="7">
        <f t="shared" si="60"/>
        <v>0</v>
      </c>
      <c r="T455" s="3">
        <f t="shared" si="61"/>
        <v>1</v>
      </c>
      <c r="V455" s="1" t="e">
        <f t="shared" si="62"/>
        <v>#DIV/0!</v>
      </c>
    </row>
    <row r="456" spans="8:22" x14ac:dyDescent="0.3">
      <c r="H456" s="10" t="str">
        <f>IF(Planilha1!B453="","",Planilha1!B453)</f>
        <v>7:30p</v>
      </c>
      <c r="I456" s="10" t="str">
        <f>IF(Planilha1!C453="","",Planilha1!C453)</f>
        <v>Detroit Pistons</v>
      </c>
      <c r="J456" s="10">
        <f>IF(Planilha1!D453="","",Planilha1!D453)</f>
        <v>122</v>
      </c>
      <c r="K456" s="10" t="str">
        <f>IF(Planilha1!E453="","",IF(Planilha1!E453=0,"",Planilha1!E453))</f>
        <v>Boston Celtics</v>
      </c>
      <c r="L456" s="10">
        <f>IF(Planilha1!F453="","",Planilha1!F453)</f>
        <v>128</v>
      </c>
      <c r="M456" s="10">
        <f>IF(Planilha1!G453="","",IF(Planilha1!G453=0,"",Planilha1!G453))</f>
        <v>128</v>
      </c>
      <c r="N456" s="5">
        <f t="shared" si="63"/>
        <v>1</v>
      </c>
      <c r="O456" s="5">
        <f t="shared" si="64"/>
        <v>0</v>
      </c>
      <c r="P456" s="5">
        <f t="shared" si="57"/>
        <v>0</v>
      </c>
      <c r="Q456" s="5">
        <f t="shared" si="58"/>
        <v>2</v>
      </c>
      <c r="R456" s="7">
        <f t="shared" si="59"/>
        <v>0</v>
      </c>
      <c r="S456" s="7">
        <f t="shared" si="60"/>
        <v>0</v>
      </c>
      <c r="T456" s="3">
        <f t="shared" si="61"/>
        <v>1</v>
      </c>
      <c r="V456" s="1" t="e">
        <f t="shared" si="62"/>
        <v>#DIV/0!</v>
      </c>
    </row>
    <row r="457" spans="8:22" x14ac:dyDescent="0.3">
      <c r="H457" s="10" t="str">
        <f>IF(Planilha1!B454="","",Planilha1!B454)</f>
        <v>8:00p</v>
      </c>
      <c r="I457" s="10" t="str">
        <f>IF(Planilha1!C454="","",Planilha1!C454)</f>
        <v>Indiana Pacers</v>
      </c>
      <c r="J457" s="10">
        <f>IF(Planilha1!D454="","",Planilha1!D454)</f>
        <v>120</v>
      </c>
      <c r="K457" s="10" t="str">
        <f>IF(Planilha1!E454="","",IF(Planilha1!E454=0,"",Planilha1!E454))</f>
        <v>Chicago Bulls</v>
      </c>
      <c r="L457" s="10">
        <f>IF(Planilha1!F454="","",Planilha1!F454)</f>
        <v>104</v>
      </c>
      <c r="M457" s="10">
        <f>IF(Planilha1!G454="","",IF(Planilha1!G454=0,"",Planilha1!G454))</f>
        <v>104</v>
      </c>
      <c r="N457" s="5">
        <f t="shared" si="63"/>
        <v>1</v>
      </c>
      <c r="O457" s="5">
        <f t="shared" si="64"/>
        <v>0</v>
      </c>
      <c r="P457" s="5">
        <f t="shared" si="57"/>
        <v>0</v>
      </c>
      <c r="Q457" s="5">
        <f t="shared" si="58"/>
        <v>2</v>
      </c>
      <c r="R457" s="7">
        <f t="shared" si="59"/>
        <v>0</v>
      </c>
      <c r="S457" s="7">
        <f t="shared" si="60"/>
        <v>0</v>
      </c>
      <c r="T457" s="3">
        <f t="shared" si="61"/>
        <v>1</v>
      </c>
      <c r="V457" s="1" t="e">
        <f t="shared" si="62"/>
        <v>#DIV/0!</v>
      </c>
    </row>
    <row r="458" spans="8:22" x14ac:dyDescent="0.3">
      <c r="H458" s="10" t="str">
        <f>IF(Planilha1!B455="","",Planilha1!B455)</f>
        <v>8:00p</v>
      </c>
      <c r="I458" s="10" t="str">
        <f>IF(Planilha1!C455="","",Planilha1!C455)</f>
        <v>Dallas Mavericks</v>
      </c>
      <c r="J458" s="10">
        <f>IF(Planilha1!D455="","",Planilha1!D455)</f>
        <v>110</v>
      </c>
      <c r="K458" s="10" t="str">
        <f>IF(Planilha1!E455="","",IF(Planilha1!E455=0,"",Planilha1!E455))</f>
        <v>Minnesota Timberwolves</v>
      </c>
      <c r="L458" s="10">
        <f>IF(Planilha1!F455="","",Planilha1!F455)</f>
        <v>118</v>
      </c>
      <c r="M458" s="10">
        <f>IF(Planilha1!G455="","",IF(Planilha1!G455=0,"",Planilha1!G455))</f>
        <v>118</v>
      </c>
      <c r="N458" s="5">
        <f t="shared" si="63"/>
        <v>1</v>
      </c>
      <c r="O458" s="5">
        <f t="shared" si="64"/>
        <v>0</v>
      </c>
      <c r="P458" s="5">
        <f t="shared" si="57"/>
        <v>0</v>
      </c>
      <c r="Q458" s="5">
        <f t="shared" si="58"/>
        <v>2</v>
      </c>
      <c r="R458" s="7">
        <f t="shared" si="59"/>
        <v>0</v>
      </c>
      <c r="S458" s="7">
        <f t="shared" si="60"/>
        <v>0</v>
      </c>
      <c r="T458" s="3">
        <f t="shared" si="61"/>
        <v>1</v>
      </c>
      <c r="V458" s="1" t="e">
        <f t="shared" si="62"/>
        <v>#DIV/0!</v>
      </c>
    </row>
    <row r="459" spans="8:22" x14ac:dyDescent="0.3">
      <c r="H459" s="10" t="str">
        <f>IF(Planilha1!B456="","",Planilha1!B456)</f>
        <v>8:00p</v>
      </c>
      <c r="I459" s="10" t="str">
        <f>IF(Planilha1!C456="","",Planilha1!C456)</f>
        <v>Utah Jazz</v>
      </c>
      <c r="J459" s="10">
        <f>IF(Planilha1!D456="","",Planilha1!D456)</f>
        <v>105</v>
      </c>
      <c r="K459" s="10" t="str">
        <f>IF(Planilha1!E456="","",IF(Planilha1!E456=0,"",Planilha1!E456))</f>
        <v>New Orleans Pelicans</v>
      </c>
      <c r="L459" s="10">
        <f>IF(Planilha1!F456="","",Planilha1!F456)</f>
        <v>112</v>
      </c>
      <c r="M459" s="10">
        <f>IF(Planilha1!G456="","",IF(Planilha1!G456=0,"",Planilha1!G456))</f>
        <v>112</v>
      </c>
      <c r="N459" s="5">
        <f t="shared" si="63"/>
        <v>1</v>
      </c>
      <c r="O459" s="5">
        <f t="shared" si="64"/>
        <v>0</v>
      </c>
      <c r="P459" s="5">
        <f t="shared" si="57"/>
        <v>0</v>
      </c>
      <c r="Q459" s="5">
        <f t="shared" si="58"/>
        <v>2</v>
      </c>
      <c r="R459" s="7">
        <f t="shared" si="59"/>
        <v>0</v>
      </c>
      <c r="S459" s="7">
        <f t="shared" si="60"/>
        <v>0</v>
      </c>
      <c r="T459" s="3">
        <f t="shared" si="61"/>
        <v>1</v>
      </c>
      <c r="V459" s="1" t="e">
        <f t="shared" si="62"/>
        <v>#DIV/0!</v>
      </c>
    </row>
    <row r="460" spans="8:22" x14ac:dyDescent="0.3">
      <c r="H460" s="10" t="str">
        <f>IF(Planilha1!B457="","",Planilha1!B457)</f>
        <v>9:00p</v>
      </c>
      <c r="I460" s="10" t="str">
        <f>IF(Planilha1!C457="","",Planilha1!C457)</f>
        <v>Memphis Grizzlies</v>
      </c>
      <c r="J460" s="10">
        <f>IF(Planilha1!D457="","",Planilha1!D457)</f>
        <v>105</v>
      </c>
      <c r="K460" s="10" t="str">
        <f>IF(Planilha1!E457="","",IF(Planilha1!E457=0,"",Planilha1!E457))</f>
        <v>Denver Nuggets</v>
      </c>
      <c r="L460" s="10">
        <f>IF(Planilha1!F457="","",Planilha1!F457)</f>
        <v>142</v>
      </c>
      <c r="M460" s="10">
        <f>IF(Planilha1!G457="","",IF(Planilha1!G457=0,"",Planilha1!G457))</f>
        <v>142</v>
      </c>
      <c r="N460" s="5">
        <f t="shared" si="63"/>
        <v>1</v>
      </c>
      <c r="O460" s="5">
        <f t="shared" si="64"/>
        <v>0</v>
      </c>
      <c r="P460" s="5">
        <f t="shared" si="57"/>
        <v>0</v>
      </c>
      <c r="Q460" s="5">
        <f t="shared" si="58"/>
        <v>2</v>
      </c>
      <c r="R460" s="7">
        <f t="shared" si="59"/>
        <v>0</v>
      </c>
      <c r="S460" s="7">
        <f t="shared" si="60"/>
        <v>0</v>
      </c>
      <c r="T460" s="3">
        <f t="shared" si="61"/>
        <v>1</v>
      </c>
      <c r="V460" s="1" t="e">
        <f t="shared" si="62"/>
        <v>#DIV/0!</v>
      </c>
    </row>
    <row r="461" spans="8:22" x14ac:dyDescent="0.3">
      <c r="H461" s="10" t="str">
        <f>IF(Planilha1!B458="","",Planilha1!B458)</f>
        <v>10:00p</v>
      </c>
      <c r="I461" s="10" t="str">
        <f>IF(Planilha1!C458="","",Planilha1!C458)</f>
        <v>Miami Heat</v>
      </c>
      <c r="J461" s="10">
        <f>IF(Planilha1!D458="","",Planilha1!D458)</f>
        <v>114</v>
      </c>
      <c r="K461" s="10" t="str">
        <f>IF(Planilha1!E458="","",IF(Planilha1!E458=0,"",Planilha1!E458))</f>
        <v>Golden State Warriors</v>
      </c>
      <c r="L461" s="10">
        <f>IF(Planilha1!F458="","",Planilha1!F458)</f>
        <v>102</v>
      </c>
      <c r="M461" s="10">
        <f>IF(Planilha1!G458="","",IF(Planilha1!G458=0,"",Planilha1!G458))</f>
        <v>102</v>
      </c>
      <c r="N461" s="5">
        <f t="shared" si="63"/>
        <v>1</v>
      </c>
      <c r="O461" s="5">
        <f t="shared" si="64"/>
        <v>0</v>
      </c>
      <c r="P461" s="5">
        <f t="shared" si="57"/>
        <v>0</v>
      </c>
      <c r="Q461" s="5">
        <f t="shared" si="58"/>
        <v>2</v>
      </c>
      <c r="R461" s="7">
        <f t="shared" si="59"/>
        <v>0</v>
      </c>
      <c r="S461" s="7">
        <f t="shared" si="60"/>
        <v>0</v>
      </c>
      <c r="T461" s="3">
        <f t="shared" si="61"/>
        <v>1</v>
      </c>
      <c r="V461" s="1" t="e">
        <f t="shared" si="62"/>
        <v>#DIV/0!</v>
      </c>
    </row>
    <row r="462" spans="8:22" x14ac:dyDescent="0.3">
      <c r="H462" s="10" t="str">
        <f>IF(Planilha1!B459="","",Planilha1!B459)</f>
        <v>10:00p</v>
      </c>
      <c r="I462" s="10" t="str">
        <f>IF(Planilha1!C459="","",Planilha1!C459)</f>
        <v>San Antonio Spurs</v>
      </c>
      <c r="J462" s="10">
        <f>IF(Planilha1!D459="","",Planilha1!D459)</f>
        <v>118</v>
      </c>
      <c r="K462" s="10" t="str">
        <f>IF(Planilha1!E459="","",IF(Planilha1!E459=0,"",Planilha1!E459))</f>
        <v>Portland Trail Blazers</v>
      </c>
      <c r="L462" s="10">
        <f>IF(Planilha1!F459="","",Planilha1!F459)</f>
        <v>105</v>
      </c>
      <c r="M462" s="10">
        <f>IF(Planilha1!G459="","",IF(Planilha1!G459=0,"",Planilha1!G459))</f>
        <v>105</v>
      </c>
      <c r="N462" s="5">
        <f t="shared" si="63"/>
        <v>1</v>
      </c>
      <c r="O462" s="5">
        <f t="shared" si="64"/>
        <v>0</v>
      </c>
      <c r="P462" s="5">
        <f t="shared" si="57"/>
        <v>0</v>
      </c>
      <c r="Q462" s="5">
        <f t="shared" si="58"/>
        <v>2</v>
      </c>
      <c r="R462" s="7">
        <f t="shared" si="59"/>
        <v>0</v>
      </c>
      <c r="S462" s="7">
        <f t="shared" si="60"/>
        <v>0</v>
      </c>
      <c r="T462" s="3">
        <f t="shared" si="61"/>
        <v>1</v>
      </c>
      <c r="V462" s="1" t="e">
        <f t="shared" si="62"/>
        <v>#DIV/0!</v>
      </c>
    </row>
    <row r="463" spans="8:22" x14ac:dyDescent="0.3">
      <c r="H463" s="10" t="str">
        <f>IF(Planilha1!B460="","",Planilha1!B460)</f>
        <v>10:30p</v>
      </c>
      <c r="I463" s="10" t="str">
        <f>IF(Planilha1!C460="","",Planilha1!C460)</f>
        <v>Charlotte Hornets</v>
      </c>
      <c r="J463" s="10">
        <f>IF(Planilha1!D460="","",Planilha1!D460)</f>
        <v>112</v>
      </c>
      <c r="K463" s="10" t="str">
        <f>IF(Planilha1!E460="","",IF(Planilha1!E460=0,"",Planilha1!E460))</f>
        <v>Los Angeles Lakers</v>
      </c>
      <c r="L463" s="10">
        <f>IF(Planilha1!F460="","",Planilha1!F460)</f>
        <v>133</v>
      </c>
      <c r="M463" s="10">
        <f>IF(Planilha1!G460="","",IF(Planilha1!G460=0,"",Planilha1!G460))</f>
        <v>133</v>
      </c>
      <c r="N463" s="5">
        <f t="shared" si="63"/>
        <v>1</v>
      </c>
      <c r="O463" s="5">
        <f t="shared" si="64"/>
        <v>0</v>
      </c>
      <c r="P463" s="5">
        <f t="shared" si="57"/>
        <v>0</v>
      </c>
      <c r="Q463" s="5">
        <f t="shared" si="58"/>
        <v>2</v>
      </c>
      <c r="R463" s="7">
        <f t="shared" si="59"/>
        <v>0</v>
      </c>
      <c r="S463" s="7">
        <f t="shared" si="60"/>
        <v>0</v>
      </c>
      <c r="T463" s="3">
        <f t="shared" si="61"/>
        <v>1</v>
      </c>
      <c r="V463" s="1" t="e">
        <f t="shared" si="62"/>
        <v>#DIV/0!</v>
      </c>
    </row>
    <row r="464" spans="8:22" x14ac:dyDescent="0.3">
      <c r="H464" s="10" t="str">
        <f>IF(Planilha1!B461="","",Planilha1!B461)</f>
        <v>7:00p</v>
      </c>
      <c r="I464" s="10" t="str">
        <f>IF(Planilha1!C461="","",Planilha1!C461)</f>
        <v>New York Knicks</v>
      </c>
      <c r="J464" s="10">
        <f>IF(Planilha1!D461="","",Planilha1!D461)</f>
        <v>108</v>
      </c>
      <c r="K464" s="10" t="str">
        <f>IF(Planilha1!E461="","",IF(Planilha1!E461=0,"",Planilha1!E461))</f>
        <v>Orlando Magic</v>
      </c>
      <c r="L464" s="10">
        <f>IF(Planilha1!F461="","",Planilha1!F461)</f>
        <v>117</v>
      </c>
      <c r="M464" s="10">
        <f>IF(Planilha1!G461="","",IF(Planilha1!G461=0,"",Planilha1!G461))</f>
        <v>117</v>
      </c>
      <c r="N464" s="5">
        <f t="shared" si="63"/>
        <v>1</v>
      </c>
      <c r="O464" s="5">
        <f t="shared" si="64"/>
        <v>0</v>
      </c>
      <c r="P464" s="5">
        <f t="shared" si="57"/>
        <v>0</v>
      </c>
      <c r="Q464" s="5">
        <f t="shared" si="58"/>
        <v>2</v>
      </c>
      <c r="R464" s="7">
        <f t="shared" si="59"/>
        <v>0</v>
      </c>
      <c r="S464" s="7">
        <f t="shared" si="60"/>
        <v>0</v>
      </c>
      <c r="T464" s="3">
        <f t="shared" si="61"/>
        <v>1</v>
      </c>
      <c r="V464" s="1" t="e">
        <f t="shared" si="62"/>
        <v>#DIV/0!</v>
      </c>
    </row>
    <row r="465" spans="8:22" x14ac:dyDescent="0.3">
      <c r="H465" s="10" t="str">
        <f>IF(Planilha1!B462="","",Planilha1!B462)</f>
        <v>7:00p</v>
      </c>
      <c r="I465" s="10" t="str">
        <f>IF(Planilha1!C462="","",Planilha1!C462)</f>
        <v>Brooklyn Nets</v>
      </c>
      <c r="J465" s="10">
        <f>IF(Planilha1!D462="","",Planilha1!D462)</f>
        <v>104</v>
      </c>
      <c r="K465" s="10" t="str">
        <f>IF(Planilha1!E462="","",IF(Planilha1!E462=0,"",Planilha1!E462))</f>
        <v>Washington Wizards</v>
      </c>
      <c r="L465" s="10">
        <f>IF(Planilha1!F462="","",Planilha1!F462)</f>
        <v>110</v>
      </c>
      <c r="M465" s="10">
        <f>IF(Planilha1!G462="","",IF(Planilha1!G462=0,"",Planilha1!G462))</f>
        <v>110</v>
      </c>
      <c r="N465" s="5">
        <f t="shared" si="63"/>
        <v>1</v>
      </c>
      <c r="O465" s="5">
        <f t="shared" si="64"/>
        <v>0</v>
      </c>
      <c r="P465" s="5">
        <f t="shared" si="57"/>
        <v>0</v>
      </c>
      <c r="Q465" s="5">
        <f t="shared" si="58"/>
        <v>2</v>
      </c>
      <c r="R465" s="7">
        <f t="shared" si="59"/>
        <v>0</v>
      </c>
      <c r="S465" s="7">
        <f t="shared" si="60"/>
        <v>0</v>
      </c>
      <c r="T465" s="3">
        <f t="shared" si="61"/>
        <v>1</v>
      </c>
      <c r="V465" s="1" t="e">
        <f t="shared" si="62"/>
        <v>#DIV/0!</v>
      </c>
    </row>
    <row r="466" spans="8:22" x14ac:dyDescent="0.3">
      <c r="H466" s="10" t="str">
        <f>IF(Planilha1!B463="","",Planilha1!B463)</f>
        <v>7:30p</v>
      </c>
      <c r="I466" s="10" t="str">
        <f>IF(Planilha1!C463="","",Planilha1!C463)</f>
        <v>Sacramento Kings</v>
      </c>
      <c r="J466" s="10">
        <f>IF(Planilha1!D463="","",Planilha1!D463)</f>
        <v>117</v>
      </c>
      <c r="K466" s="10" t="str">
        <f>IF(Planilha1!E463="","",IF(Planilha1!E463=0,"",Planilha1!E463))</f>
        <v>Atlanta Hawks</v>
      </c>
      <c r="L466" s="10">
        <f>IF(Planilha1!F463="","",Planilha1!F463)</f>
        <v>110</v>
      </c>
      <c r="M466" s="10">
        <f>IF(Planilha1!G463="","",IF(Planilha1!G463=0,"",Planilha1!G463))</f>
        <v>110</v>
      </c>
      <c r="N466" s="5">
        <f t="shared" si="63"/>
        <v>1</v>
      </c>
      <c r="O466" s="5">
        <f t="shared" si="64"/>
        <v>0</v>
      </c>
      <c r="P466" s="5">
        <f t="shared" si="57"/>
        <v>0</v>
      </c>
      <c r="Q466" s="5">
        <f t="shared" si="58"/>
        <v>2</v>
      </c>
      <c r="R466" s="7">
        <f t="shared" si="59"/>
        <v>0</v>
      </c>
      <c r="S466" s="7">
        <f t="shared" si="60"/>
        <v>0</v>
      </c>
      <c r="T466" s="3">
        <f t="shared" si="61"/>
        <v>1</v>
      </c>
      <c r="V466" s="1" t="e">
        <f t="shared" si="62"/>
        <v>#DIV/0!</v>
      </c>
    </row>
    <row r="467" spans="8:22" x14ac:dyDescent="0.3">
      <c r="H467" s="10" t="str">
        <f>IF(Planilha1!B464="","",Planilha1!B464)</f>
        <v>7:30p</v>
      </c>
      <c r="I467" s="10" t="str">
        <f>IF(Planilha1!C464="","",Planilha1!C464)</f>
        <v>Toronto Raptors</v>
      </c>
      <c r="J467" s="10">
        <f>IF(Planilha1!D464="","",Planilha1!D464)</f>
        <v>118</v>
      </c>
      <c r="K467" s="10" t="str">
        <f>IF(Planilha1!E464="","",IF(Planilha1!E464=0,"",Planilha1!E464))</f>
        <v>Boston Celtics</v>
      </c>
      <c r="L467" s="10">
        <f>IF(Planilha1!F464="","",Planilha1!F464)</f>
        <v>120</v>
      </c>
      <c r="M467" s="10">
        <f>IF(Planilha1!G464="","",IF(Planilha1!G464=0,"",Planilha1!G464))</f>
        <v>120</v>
      </c>
      <c r="N467" s="5">
        <f t="shared" si="63"/>
        <v>1</v>
      </c>
      <c r="O467" s="5">
        <f t="shared" si="64"/>
        <v>0</v>
      </c>
      <c r="P467" s="5">
        <f t="shared" si="57"/>
        <v>0</v>
      </c>
      <c r="Q467" s="5">
        <f t="shared" si="58"/>
        <v>2</v>
      </c>
      <c r="R467" s="7">
        <f t="shared" si="59"/>
        <v>0</v>
      </c>
      <c r="S467" s="7">
        <f t="shared" si="60"/>
        <v>0</v>
      </c>
      <c r="T467" s="3">
        <f t="shared" si="61"/>
        <v>1</v>
      </c>
      <c r="V467" s="1" t="e">
        <f t="shared" si="62"/>
        <v>#DIV/0!</v>
      </c>
    </row>
    <row r="468" spans="8:22" x14ac:dyDescent="0.3">
      <c r="H468" s="10" t="str">
        <f>IF(Planilha1!B465="","",Planilha1!B465)</f>
        <v>7:30p</v>
      </c>
      <c r="I468" s="10" t="str">
        <f>IF(Planilha1!C465="","",Planilha1!C465)</f>
        <v>Milwaukee Bucks</v>
      </c>
      <c r="J468" s="10">
        <f>IF(Planilha1!D465="","",Planilha1!D465)</f>
        <v>119</v>
      </c>
      <c r="K468" s="10" t="str">
        <f>IF(Planilha1!E465="","",IF(Planilha1!E465=0,"",Planilha1!E465))</f>
        <v>Cleveland Cavaliers</v>
      </c>
      <c r="L468" s="10">
        <f>IF(Planilha1!F465="","",Planilha1!F465)</f>
        <v>111</v>
      </c>
      <c r="M468" s="10">
        <f>IF(Planilha1!G465="","",IF(Planilha1!G465=0,"",Planilha1!G465))</f>
        <v>111</v>
      </c>
      <c r="N468" s="5">
        <f t="shared" si="63"/>
        <v>1</v>
      </c>
      <c r="O468" s="5">
        <f t="shared" si="64"/>
        <v>0</v>
      </c>
      <c r="P468" s="5">
        <f t="shared" si="57"/>
        <v>0</v>
      </c>
      <c r="Q468" s="5">
        <f t="shared" si="58"/>
        <v>2</v>
      </c>
      <c r="R468" s="7">
        <f t="shared" si="59"/>
        <v>0</v>
      </c>
      <c r="S468" s="7">
        <f t="shared" si="60"/>
        <v>0</v>
      </c>
      <c r="T468" s="3">
        <f t="shared" si="61"/>
        <v>1</v>
      </c>
      <c r="V468" s="1" t="e">
        <f t="shared" si="62"/>
        <v>#DIV/0!</v>
      </c>
    </row>
    <row r="469" spans="8:22" x14ac:dyDescent="0.3">
      <c r="H469" s="10" t="str">
        <f>IF(Planilha1!B466="","",Planilha1!B466)</f>
        <v>8:00p</v>
      </c>
      <c r="I469" s="10" t="str">
        <f>IF(Planilha1!C466="","",Planilha1!C466)</f>
        <v>Philadelphia 76ers</v>
      </c>
      <c r="J469" s="10">
        <f>IF(Planilha1!D466="","",Planilha1!D466)</f>
        <v>131</v>
      </c>
      <c r="K469" s="10" t="str">
        <f>IF(Planilha1!E466="","",IF(Planilha1!E466=0,"",Planilha1!E466))</f>
        <v>Houston Rockets</v>
      </c>
      <c r="L469" s="10">
        <f>IF(Planilha1!F466="","",Planilha1!F466)</f>
        <v>127</v>
      </c>
      <c r="M469" s="10">
        <f>IF(Planilha1!G466="","",IF(Planilha1!G466=0,"",Planilha1!G466))</f>
        <v>127</v>
      </c>
      <c r="N469" s="5">
        <f t="shared" si="63"/>
        <v>1</v>
      </c>
      <c r="O469" s="5">
        <f t="shared" si="64"/>
        <v>0</v>
      </c>
      <c r="P469" s="5">
        <f t="shared" si="57"/>
        <v>0</v>
      </c>
      <c r="Q469" s="5">
        <f t="shared" si="58"/>
        <v>2</v>
      </c>
      <c r="R469" s="7">
        <f t="shared" si="59"/>
        <v>0</v>
      </c>
      <c r="S469" s="7">
        <f t="shared" si="60"/>
        <v>0</v>
      </c>
      <c r="T469" s="3">
        <f t="shared" si="61"/>
        <v>1</v>
      </c>
      <c r="V469" s="1" t="e">
        <f t="shared" si="62"/>
        <v>#DIV/0!</v>
      </c>
    </row>
    <row r="470" spans="8:22" x14ac:dyDescent="0.3">
      <c r="H470" s="10" t="str">
        <f>IF(Planilha1!B467="","",Planilha1!B467)</f>
        <v>9:00p</v>
      </c>
      <c r="I470" s="10" t="str">
        <f>IF(Planilha1!C467="","",Planilha1!C467)</f>
        <v>Oklahoma City Thunder</v>
      </c>
      <c r="J470" s="10">
        <f>IF(Planilha1!D467="","",Planilha1!D467)</f>
        <v>119</v>
      </c>
      <c r="K470" s="10" t="str">
        <f>IF(Planilha1!E467="","",IF(Planilha1!E467=0,"",Planilha1!E467))</f>
        <v>Denver Nuggets</v>
      </c>
      <c r="L470" s="10">
        <f>IF(Planilha1!F467="","",Planilha1!F467)</f>
        <v>93</v>
      </c>
      <c r="M470" s="10">
        <f>IF(Planilha1!G467="","",IF(Planilha1!G467=0,"",Planilha1!G467))</f>
        <v>93</v>
      </c>
      <c r="N470" s="5">
        <f t="shared" si="63"/>
        <v>1</v>
      </c>
      <c r="O470" s="5">
        <f t="shared" si="64"/>
        <v>0</v>
      </c>
      <c r="P470" s="5">
        <f t="shared" si="57"/>
        <v>0</v>
      </c>
      <c r="Q470" s="5">
        <f t="shared" si="58"/>
        <v>2</v>
      </c>
      <c r="R470" s="7">
        <f t="shared" si="59"/>
        <v>0</v>
      </c>
      <c r="S470" s="7">
        <f t="shared" si="60"/>
        <v>0</v>
      </c>
      <c r="T470" s="3">
        <f t="shared" si="61"/>
        <v>1</v>
      </c>
      <c r="V470" s="1" t="e">
        <f t="shared" si="62"/>
        <v>#DIV/0!</v>
      </c>
    </row>
    <row r="471" spans="8:22" x14ac:dyDescent="0.3">
      <c r="H471" s="10" t="str">
        <f>IF(Planilha1!B468="","",Planilha1!B468)</f>
        <v>9:00p</v>
      </c>
      <c r="I471" s="10" t="str">
        <f>IF(Planilha1!C468="","",Planilha1!C468)</f>
        <v>Charlotte Hornets</v>
      </c>
      <c r="J471" s="10">
        <f>IF(Planilha1!D468="","",Planilha1!D468)</f>
        <v>119</v>
      </c>
      <c r="K471" s="10" t="str">
        <f>IF(Planilha1!E468="","",IF(Planilha1!E468=0,"",Planilha1!E468))</f>
        <v>Phoenix Suns</v>
      </c>
      <c r="L471" s="10">
        <f>IF(Planilha1!F468="","",Planilha1!F468)</f>
        <v>133</v>
      </c>
      <c r="M471" s="10">
        <f>IF(Planilha1!G468="","",IF(Planilha1!G468=0,"",Planilha1!G468))</f>
        <v>133</v>
      </c>
      <c r="N471" s="5">
        <f t="shared" si="63"/>
        <v>1</v>
      </c>
      <c r="O471" s="5">
        <f t="shared" si="64"/>
        <v>0</v>
      </c>
      <c r="P471" s="5">
        <f t="shared" si="57"/>
        <v>0</v>
      </c>
      <c r="Q471" s="5">
        <f t="shared" si="58"/>
        <v>2</v>
      </c>
      <c r="R471" s="7">
        <f t="shared" si="59"/>
        <v>0</v>
      </c>
      <c r="S471" s="7">
        <f t="shared" si="60"/>
        <v>0</v>
      </c>
      <c r="T471" s="3">
        <f t="shared" si="61"/>
        <v>1</v>
      </c>
      <c r="V471" s="1" t="e">
        <f t="shared" si="62"/>
        <v>#DIV/0!</v>
      </c>
    </row>
    <row r="472" spans="8:22" x14ac:dyDescent="0.3">
      <c r="H472" s="10" t="str">
        <f>IF(Planilha1!B469="","",Planilha1!B469)</f>
        <v>10:00p</v>
      </c>
      <c r="I472" s="10" t="str">
        <f>IF(Planilha1!C469="","",Planilha1!C469)</f>
        <v>San Antonio Spurs</v>
      </c>
      <c r="J472" s="10">
        <f>IF(Planilha1!D469="","",Planilha1!D469)</f>
        <v>128</v>
      </c>
      <c r="K472" s="10" t="str">
        <f>IF(Planilha1!E469="","",IF(Planilha1!E469=0,"",Planilha1!E469))</f>
        <v>Portland Trail Blazers</v>
      </c>
      <c r="L472" s="10">
        <f>IF(Planilha1!F469="","",Planilha1!F469)</f>
        <v>134</v>
      </c>
      <c r="M472" s="10">
        <f>IF(Planilha1!G469="","",IF(Planilha1!G469=0,"",Planilha1!G469))</f>
        <v>134</v>
      </c>
      <c r="N472" s="5">
        <f t="shared" si="63"/>
        <v>1</v>
      </c>
      <c r="O472" s="5">
        <f t="shared" si="64"/>
        <v>0</v>
      </c>
      <c r="P472" s="5">
        <f t="shared" si="57"/>
        <v>0</v>
      </c>
      <c r="Q472" s="5">
        <f t="shared" si="58"/>
        <v>2</v>
      </c>
      <c r="R472" s="7">
        <f t="shared" si="59"/>
        <v>0</v>
      </c>
      <c r="S472" s="7">
        <f t="shared" si="60"/>
        <v>0</v>
      </c>
      <c r="T472" s="3">
        <f t="shared" si="61"/>
        <v>1</v>
      </c>
      <c r="V472" s="1" t="e">
        <f t="shared" si="62"/>
        <v>#DIV/0!</v>
      </c>
    </row>
    <row r="473" spans="8:22" x14ac:dyDescent="0.3">
      <c r="H473" s="10" t="str">
        <f>IF(Planilha1!B470="","",Planilha1!B470)</f>
        <v>10:30p</v>
      </c>
      <c r="I473" s="10" t="str">
        <f>IF(Planilha1!C470="","",Planilha1!C470)</f>
        <v>Memphis Grizzlies</v>
      </c>
      <c r="J473" s="10">
        <f>IF(Planilha1!D470="","",Planilha1!D470)</f>
        <v>106</v>
      </c>
      <c r="K473" s="10" t="str">
        <f>IF(Planilha1!E470="","",IF(Planilha1!E470=0,"",Planilha1!E470))</f>
        <v>Los Angeles Clippers</v>
      </c>
      <c r="L473" s="10">
        <f>IF(Planilha1!F470="","",Planilha1!F470)</f>
        <v>117</v>
      </c>
      <c r="M473" s="10">
        <f>IF(Planilha1!G470="","",IF(Planilha1!G470=0,"",Planilha1!G470))</f>
        <v>117</v>
      </c>
      <c r="N473" s="5">
        <f t="shared" si="63"/>
        <v>1</v>
      </c>
      <c r="O473" s="5">
        <f t="shared" si="64"/>
        <v>0</v>
      </c>
      <c r="P473" s="5">
        <f t="shared" si="57"/>
        <v>0</v>
      </c>
      <c r="Q473" s="5">
        <f t="shared" si="58"/>
        <v>2</v>
      </c>
      <c r="R473" s="7">
        <f t="shared" si="59"/>
        <v>0</v>
      </c>
      <c r="S473" s="7">
        <f t="shared" si="60"/>
        <v>0</v>
      </c>
      <c r="T473" s="3">
        <f t="shared" si="61"/>
        <v>1</v>
      </c>
      <c r="V473" s="1" t="e">
        <f t="shared" si="62"/>
        <v>#DIV/0!</v>
      </c>
    </row>
    <row r="474" spans="8:22" x14ac:dyDescent="0.3">
      <c r="H474" s="10" t="str">
        <f>IF(Planilha1!B471="","",Planilha1!B471)</f>
        <v>5:00p</v>
      </c>
      <c r="I474" s="10" t="str">
        <f>IF(Planilha1!C471="","",Planilha1!C471)</f>
        <v>Miami Heat</v>
      </c>
      <c r="J474" s="10">
        <f>IF(Planilha1!D471="","",Planilha1!D471)</f>
        <v>109</v>
      </c>
      <c r="K474" s="10" t="str">
        <f>IF(Planilha1!E471="","",IF(Planilha1!E471=0,"",Planilha1!E471))</f>
        <v>Utah Jazz</v>
      </c>
      <c r="L474" s="10">
        <f>IF(Planilha1!F471="","",Planilha1!F471)</f>
        <v>117</v>
      </c>
      <c r="M474" s="10">
        <f>IF(Planilha1!G471="","",IF(Planilha1!G471=0,"",Planilha1!G471))</f>
        <v>117</v>
      </c>
      <c r="N474" s="5">
        <f t="shared" si="63"/>
        <v>1</v>
      </c>
      <c r="O474" s="5">
        <f t="shared" si="64"/>
        <v>0</v>
      </c>
      <c r="P474" s="5">
        <f t="shared" si="57"/>
        <v>0</v>
      </c>
      <c r="Q474" s="5">
        <f t="shared" si="58"/>
        <v>2</v>
      </c>
      <c r="R474" s="7">
        <f t="shared" si="59"/>
        <v>0</v>
      </c>
      <c r="S474" s="7">
        <f t="shared" si="60"/>
        <v>0</v>
      </c>
      <c r="T474" s="3">
        <f t="shared" si="61"/>
        <v>1</v>
      </c>
      <c r="V474" s="1" t="e">
        <f t="shared" si="62"/>
        <v>#DIV/0!</v>
      </c>
    </row>
    <row r="475" spans="8:22" x14ac:dyDescent="0.3">
      <c r="H475" s="10" t="str">
        <f>IF(Planilha1!B472="","",Planilha1!B472)</f>
        <v>6:00p</v>
      </c>
      <c r="I475" s="10" t="str">
        <f>IF(Planilha1!C472="","",Planilha1!C472)</f>
        <v>Toronto Raptors</v>
      </c>
      <c r="J475" s="10">
        <f>IF(Planilha1!D472="","",Planilha1!D472)</f>
        <v>127</v>
      </c>
      <c r="K475" s="10" t="str">
        <f>IF(Planilha1!E472="","",IF(Planilha1!E472=0,"",Planilha1!E472))</f>
        <v>Detroit Pistons</v>
      </c>
      <c r="L475" s="10">
        <f>IF(Planilha1!F472="","",Planilha1!F472)</f>
        <v>129</v>
      </c>
      <c r="M475" s="10">
        <f>IF(Planilha1!G472="","",IF(Planilha1!G472=0,"",Planilha1!G472))</f>
        <v>129</v>
      </c>
      <c r="N475" s="5">
        <f t="shared" si="63"/>
        <v>1</v>
      </c>
      <c r="O475" s="5">
        <f t="shared" si="64"/>
        <v>0</v>
      </c>
      <c r="P475" s="5">
        <f t="shared" si="57"/>
        <v>0</v>
      </c>
      <c r="Q475" s="5">
        <f t="shared" si="58"/>
        <v>2</v>
      </c>
      <c r="R475" s="7">
        <f t="shared" si="59"/>
        <v>0</v>
      </c>
      <c r="S475" s="7">
        <f t="shared" si="60"/>
        <v>0</v>
      </c>
      <c r="T475" s="3">
        <f t="shared" si="61"/>
        <v>1</v>
      </c>
      <c r="V475" s="1" t="e">
        <f t="shared" si="62"/>
        <v>#DIV/0!</v>
      </c>
    </row>
    <row r="476" spans="8:22" x14ac:dyDescent="0.3">
      <c r="H476" s="10" t="str">
        <f>IF(Planilha1!B473="","",Planilha1!B473)</f>
        <v>7:00p</v>
      </c>
      <c r="I476" s="10" t="str">
        <f>IF(Planilha1!C473="","",Planilha1!C473)</f>
        <v>New York Knicks</v>
      </c>
      <c r="J476" s="10">
        <f>IF(Planilha1!D473="","",Planilha1!D473)</f>
        <v>126</v>
      </c>
      <c r="K476" s="10" t="str">
        <f>IF(Planilha1!E473="","",IF(Planilha1!E473=0,"",Planilha1!E473))</f>
        <v>Indiana Pacers</v>
      </c>
      <c r="L476" s="10">
        <f>IF(Planilha1!F473="","",Planilha1!F473)</f>
        <v>140</v>
      </c>
      <c r="M476" s="10">
        <f>IF(Planilha1!G473="","",IF(Planilha1!G473=0,"",Planilha1!G473))</f>
        <v>140</v>
      </c>
      <c r="N476" s="5">
        <f t="shared" si="63"/>
        <v>1</v>
      </c>
      <c r="O476" s="5">
        <f t="shared" si="64"/>
        <v>0</v>
      </c>
      <c r="P476" s="5">
        <f t="shared" si="57"/>
        <v>0</v>
      </c>
      <c r="Q476" s="5">
        <f t="shared" si="58"/>
        <v>2</v>
      </c>
      <c r="R476" s="7">
        <f t="shared" si="59"/>
        <v>0</v>
      </c>
      <c r="S476" s="7">
        <f t="shared" si="60"/>
        <v>0</v>
      </c>
      <c r="T476" s="3">
        <f t="shared" si="61"/>
        <v>1</v>
      </c>
      <c r="V476" s="1" t="e">
        <f t="shared" si="62"/>
        <v>#DIV/0!</v>
      </c>
    </row>
    <row r="477" spans="8:22" x14ac:dyDescent="0.3">
      <c r="H477" s="10" t="str">
        <f>IF(Planilha1!B474="","",Planilha1!B474)</f>
        <v>8:00p</v>
      </c>
      <c r="I477" s="10" t="str">
        <f>IF(Planilha1!C474="","",Planilha1!C474)</f>
        <v>Philadelphia 76ers</v>
      </c>
      <c r="J477" s="10">
        <f>IF(Planilha1!D474="","",Planilha1!D474)</f>
        <v>92</v>
      </c>
      <c r="K477" s="10" t="str">
        <f>IF(Planilha1!E474="","",IF(Planilha1!E474=0,"",Planilha1!E474))</f>
        <v>Chicago Bulls</v>
      </c>
      <c r="L477" s="10">
        <f>IF(Planilha1!F474="","",Planilha1!F474)</f>
        <v>105</v>
      </c>
      <c r="M477" s="10">
        <f>IF(Planilha1!G474="","",IF(Planilha1!G474=0,"",Planilha1!G474))</f>
        <v>105</v>
      </c>
      <c r="N477" s="5">
        <f t="shared" si="63"/>
        <v>1</v>
      </c>
      <c r="O477" s="5">
        <f t="shared" si="64"/>
        <v>0</v>
      </c>
      <c r="P477" s="5">
        <f t="shared" si="57"/>
        <v>0</v>
      </c>
      <c r="Q477" s="5">
        <f t="shared" si="58"/>
        <v>2</v>
      </c>
      <c r="R477" s="7">
        <f t="shared" si="59"/>
        <v>0</v>
      </c>
      <c r="S477" s="7">
        <f t="shared" si="60"/>
        <v>0</v>
      </c>
      <c r="T477" s="3">
        <f t="shared" si="61"/>
        <v>1</v>
      </c>
      <c r="V477" s="1" t="e">
        <f t="shared" si="62"/>
        <v>#DIV/0!</v>
      </c>
    </row>
    <row r="478" spans="8:22" x14ac:dyDescent="0.3">
      <c r="H478" s="10" t="str">
        <f>IF(Planilha1!B475="","",Planilha1!B475)</f>
        <v>8:00p</v>
      </c>
      <c r="I478" s="10" t="str">
        <f>IF(Planilha1!C475="","",Planilha1!C475)</f>
        <v>Los Angeles Lakers</v>
      </c>
      <c r="J478" s="10">
        <f>IF(Planilha1!D475="","",Planilha1!D475)</f>
        <v>106</v>
      </c>
      <c r="K478" s="10" t="str">
        <f>IF(Planilha1!E475="","",IF(Planilha1!E475=0,"",Planilha1!E475))</f>
        <v>Minnesota Timberwolves</v>
      </c>
      <c r="L478" s="10">
        <f>IF(Planilha1!F475="","",Planilha1!F475)</f>
        <v>108</v>
      </c>
      <c r="M478" s="10">
        <f>IF(Planilha1!G475="","",IF(Planilha1!G475=0,"",Planilha1!G475))</f>
        <v>108</v>
      </c>
      <c r="N478" s="5">
        <f t="shared" si="63"/>
        <v>1</v>
      </c>
      <c r="O478" s="5">
        <f t="shared" si="64"/>
        <v>0</v>
      </c>
      <c r="P478" s="5">
        <f t="shared" si="57"/>
        <v>0</v>
      </c>
      <c r="Q478" s="5">
        <f t="shared" si="58"/>
        <v>2</v>
      </c>
      <c r="R478" s="7">
        <f t="shared" si="59"/>
        <v>0</v>
      </c>
      <c r="S478" s="7">
        <f t="shared" si="60"/>
        <v>0</v>
      </c>
      <c r="T478" s="3">
        <f t="shared" si="61"/>
        <v>1</v>
      </c>
      <c r="V478" s="1" t="e">
        <f t="shared" si="62"/>
        <v>#DIV/0!</v>
      </c>
    </row>
    <row r="479" spans="8:22" x14ac:dyDescent="0.3">
      <c r="H479" s="10" t="str">
        <f>IF(Planilha1!B476="","",Planilha1!B476)</f>
        <v>8:30p</v>
      </c>
      <c r="I479" s="10" t="str">
        <f>IF(Planilha1!C476="","",Planilha1!C476)</f>
        <v>Dallas Mavericks</v>
      </c>
      <c r="J479" s="10">
        <f>IF(Planilha1!D476="","",Planilha1!D476)</f>
        <v>132</v>
      </c>
      <c r="K479" s="10" t="str">
        <f>IF(Planilha1!E476="","",IF(Planilha1!E476=0,"",Planilha1!E476))</f>
        <v>Golden State Warriors</v>
      </c>
      <c r="L479" s="10">
        <f>IF(Planilha1!F476="","",Planilha1!F476)</f>
        <v>122</v>
      </c>
      <c r="M479" s="10">
        <f>IF(Planilha1!G476="","",IF(Planilha1!G476=0,"",Planilha1!G476))</f>
        <v>122</v>
      </c>
      <c r="N479" s="5">
        <f t="shared" si="63"/>
        <v>1</v>
      </c>
      <c r="O479" s="5">
        <f t="shared" si="64"/>
        <v>0</v>
      </c>
      <c r="P479" s="5">
        <f t="shared" si="57"/>
        <v>0</v>
      </c>
      <c r="Q479" s="5">
        <f t="shared" si="58"/>
        <v>2</v>
      </c>
      <c r="R479" s="7">
        <f t="shared" si="59"/>
        <v>0</v>
      </c>
      <c r="S479" s="7">
        <f t="shared" si="60"/>
        <v>0</v>
      </c>
      <c r="T479" s="3">
        <f t="shared" si="61"/>
        <v>1</v>
      </c>
      <c r="V479" s="1" t="e">
        <f t="shared" si="62"/>
        <v>#DIV/0!</v>
      </c>
    </row>
    <row r="480" spans="8:22" x14ac:dyDescent="0.3">
      <c r="H480" s="10" t="str">
        <f>IF(Planilha1!B477="","",Planilha1!B477)</f>
        <v>3:00p</v>
      </c>
      <c r="I480" s="10" t="str">
        <f>IF(Planilha1!C477="","",Planilha1!C477)</f>
        <v>Atlanta Hawks</v>
      </c>
      <c r="J480" s="10">
        <f>IF(Planilha1!D477="","",Planilha1!D477)</f>
        <v>130</v>
      </c>
      <c r="K480" s="10" t="str">
        <f>IF(Planilha1!E477="","",IF(Planilha1!E477=0,"",Planilha1!E477))</f>
        <v>Washington Wizards</v>
      </c>
      <c r="L480" s="10">
        <f>IF(Planilha1!F477="","",Planilha1!F477)</f>
        <v>126</v>
      </c>
      <c r="M480" s="10">
        <f>IF(Planilha1!G477="","",IF(Planilha1!G477=0,"",Planilha1!G477))</f>
        <v>126</v>
      </c>
      <c r="N480" s="5">
        <f t="shared" si="63"/>
        <v>1</v>
      </c>
      <c r="O480" s="5">
        <f t="shared" si="64"/>
        <v>0</v>
      </c>
      <c r="P480" s="5">
        <f t="shared" si="57"/>
        <v>0</v>
      </c>
      <c r="Q480" s="5">
        <f t="shared" si="58"/>
        <v>2</v>
      </c>
      <c r="R480" s="7">
        <f t="shared" si="59"/>
        <v>0</v>
      </c>
      <c r="S480" s="7">
        <f t="shared" si="60"/>
        <v>0</v>
      </c>
      <c r="T480" s="3">
        <f t="shared" si="61"/>
        <v>1</v>
      </c>
      <c r="V480" s="1" t="e">
        <f t="shared" si="62"/>
        <v>#DIV/0!</v>
      </c>
    </row>
    <row r="481" spans="8:22" x14ac:dyDescent="0.3">
      <c r="H481" s="10" t="str">
        <f>IF(Planilha1!B478="","",Planilha1!B478)</f>
        <v>7:00p</v>
      </c>
      <c r="I481" s="10" t="str">
        <f>IF(Planilha1!C478="","",Planilha1!C478)</f>
        <v>Los Angeles Lakers</v>
      </c>
      <c r="J481" s="10">
        <f>IF(Planilha1!D478="","",Planilha1!D478)</f>
        <v>109</v>
      </c>
      <c r="K481" s="10" t="str">
        <f>IF(Planilha1!E478="","",IF(Planilha1!E478=0,"",Planilha1!E478))</f>
        <v>New Orleans Pelicans</v>
      </c>
      <c r="L481" s="10">
        <f>IF(Planilha1!F478="","",Planilha1!F478)</f>
        <v>129</v>
      </c>
      <c r="M481" s="10">
        <f>IF(Planilha1!G478="","",IF(Planilha1!G478=0,"",Planilha1!G478))</f>
        <v>129</v>
      </c>
      <c r="N481" s="5">
        <f t="shared" si="63"/>
        <v>1</v>
      </c>
      <c r="O481" s="5">
        <f t="shared" si="64"/>
        <v>0</v>
      </c>
      <c r="P481" s="5">
        <f t="shared" si="57"/>
        <v>0</v>
      </c>
      <c r="Q481" s="5">
        <f t="shared" si="58"/>
        <v>2</v>
      </c>
      <c r="R481" s="7">
        <f t="shared" si="59"/>
        <v>0</v>
      </c>
      <c r="S481" s="7">
        <f t="shared" si="60"/>
        <v>0</v>
      </c>
      <c r="T481" s="3">
        <f t="shared" si="61"/>
        <v>1</v>
      </c>
      <c r="V481" s="1" t="e">
        <f t="shared" si="62"/>
        <v>#DIV/0!</v>
      </c>
    </row>
    <row r="482" spans="8:22" x14ac:dyDescent="0.3">
      <c r="H482" s="10" t="str">
        <f>IF(Planilha1!B479="","",Planilha1!B479)</f>
        <v>7:00p</v>
      </c>
      <c r="I482" s="10" t="str">
        <f>IF(Planilha1!C479="","",Planilha1!C479)</f>
        <v>Brooklyn Nets</v>
      </c>
      <c r="J482" s="10">
        <f>IF(Planilha1!D479="","",Planilha1!D479)</f>
        <v>108</v>
      </c>
      <c r="K482" s="10" t="str">
        <f>IF(Planilha1!E479="","",IF(Planilha1!E479=0,"",Planilha1!E479))</f>
        <v>Oklahoma City Thunder</v>
      </c>
      <c r="L482" s="10">
        <f>IF(Planilha1!F479="","",Planilha1!F479)</f>
        <v>124</v>
      </c>
      <c r="M482" s="10">
        <f>IF(Planilha1!G479="","",IF(Planilha1!G479=0,"",Planilha1!G479))</f>
        <v>124</v>
      </c>
      <c r="N482" s="5">
        <f t="shared" si="63"/>
        <v>1</v>
      </c>
      <c r="O482" s="5">
        <f t="shared" si="64"/>
        <v>0</v>
      </c>
      <c r="P482" s="5">
        <f t="shared" si="57"/>
        <v>0</v>
      </c>
      <c r="Q482" s="5">
        <f t="shared" si="58"/>
        <v>2</v>
      </c>
      <c r="R482" s="7">
        <f t="shared" si="59"/>
        <v>0</v>
      </c>
      <c r="S482" s="7">
        <f t="shared" si="60"/>
        <v>0</v>
      </c>
      <c r="T482" s="3">
        <f t="shared" si="61"/>
        <v>1</v>
      </c>
      <c r="V482" s="1" t="e">
        <f t="shared" si="62"/>
        <v>#DIV/0!</v>
      </c>
    </row>
    <row r="483" spans="8:22" x14ac:dyDescent="0.3">
      <c r="H483" s="10" t="str">
        <f>IF(Planilha1!B480="","",Planilha1!B480)</f>
        <v>7:00p</v>
      </c>
      <c r="I483" s="10" t="str">
        <f>IF(Planilha1!C480="","",Planilha1!C480)</f>
        <v>Boston Celtics</v>
      </c>
      <c r="J483" s="10">
        <f>IF(Planilha1!D480="","",Planilha1!D480)</f>
        <v>134</v>
      </c>
      <c r="K483" s="10" t="str">
        <f>IF(Planilha1!E480="","",IF(Planilha1!E480=0,"",Planilha1!E480))</f>
        <v>San Antonio Spurs</v>
      </c>
      <c r="L483" s="10">
        <f>IF(Planilha1!F480="","",Planilha1!F480)</f>
        <v>101</v>
      </c>
      <c r="M483" s="10">
        <f>IF(Planilha1!G480="","",IF(Planilha1!G480=0,"",Planilha1!G480))</f>
        <v>101</v>
      </c>
      <c r="N483" s="5">
        <f t="shared" si="63"/>
        <v>1</v>
      </c>
      <c r="O483" s="5">
        <f t="shared" si="64"/>
        <v>0</v>
      </c>
      <c r="P483" s="5">
        <f t="shared" si="57"/>
        <v>0</v>
      </c>
      <c r="Q483" s="5">
        <f t="shared" si="58"/>
        <v>2</v>
      </c>
      <c r="R483" s="7">
        <f t="shared" si="59"/>
        <v>0</v>
      </c>
      <c r="S483" s="7">
        <f t="shared" si="60"/>
        <v>0</v>
      </c>
      <c r="T483" s="3">
        <f t="shared" si="61"/>
        <v>1</v>
      </c>
      <c r="V483" s="1" t="e">
        <f t="shared" si="62"/>
        <v>#DIV/0!</v>
      </c>
    </row>
    <row r="484" spans="8:22" x14ac:dyDescent="0.3">
      <c r="H484" s="10" t="str">
        <f>IF(Planilha1!B481="","",Planilha1!B481)</f>
        <v>8:00p</v>
      </c>
      <c r="I484" s="10" t="str">
        <f>IF(Planilha1!C481="","",Planilha1!C481)</f>
        <v>Sacramento Kings</v>
      </c>
      <c r="J484" s="10">
        <f>IF(Planilha1!D481="","",Planilha1!D481)</f>
        <v>123</v>
      </c>
      <c r="K484" s="10" t="str">
        <f>IF(Planilha1!E481="","",IF(Planilha1!E481=0,"",Planilha1!E481))</f>
        <v>Memphis Grizzlies</v>
      </c>
      <c r="L484" s="10">
        <f>IF(Planilha1!F481="","",Planilha1!F481)</f>
        <v>92</v>
      </c>
      <c r="M484" s="10">
        <f>IF(Planilha1!G481="","",IF(Planilha1!G481=0,"",Planilha1!G481))</f>
        <v>92</v>
      </c>
      <c r="N484" s="5">
        <f t="shared" si="63"/>
        <v>1</v>
      </c>
      <c r="O484" s="5">
        <f t="shared" si="64"/>
        <v>0</v>
      </c>
      <c r="P484" s="5">
        <f t="shared" si="57"/>
        <v>0</v>
      </c>
      <c r="Q484" s="5">
        <f t="shared" si="58"/>
        <v>2</v>
      </c>
      <c r="R484" s="7">
        <f t="shared" si="59"/>
        <v>0</v>
      </c>
      <c r="S484" s="7">
        <f t="shared" si="60"/>
        <v>0</v>
      </c>
      <c r="T484" s="3">
        <f t="shared" si="61"/>
        <v>1</v>
      </c>
      <c r="V484" s="1" t="e">
        <f t="shared" si="62"/>
        <v>#DIV/0!</v>
      </c>
    </row>
    <row r="485" spans="8:22" x14ac:dyDescent="0.3">
      <c r="H485" s="10" t="str">
        <f>IF(Planilha1!B482="","",Planilha1!B482)</f>
        <v>8:00p</v>
      </c>
      <c r="I485" s="10" t="str">
        <f>IF(Planilha1!C482="","",Planilha1!C482)</f>
        <v>Orlando Magic</v>
      </c>
      <c r="J485" s="10">
        <f>IF(Planilha1!D482="","",Planilha1!D482)</f>
        <v>107</v>
      </c>
      <c r="K485" s="10" t="str">
        <f>IF(Planilha1!E482="","",IF(Planilha1!E482=0,"",Planilha1!E482))</f>
        <v>Phoenix Suns</v>
      </c>
      <c r="L485" s="10">
        <f>IF(Planilha1!F482="","",Planilha1!F482)</f>
        <v>112</v>
      </c>
      <c r="M485" s="10">
        <f>IF(Planilha1!G482="","",IF(Planilha1!G482=0,"",Planilha1!G482))</f>
        <v>112</v>
      </c>
      <c r="N485" s="5">
        <f t="shared" si="63"/>
        <v>1</v>
      </c>
      <c r="O485" s="5">
        <f t="shared" si="64"/>
        <v>0</v>
      </c>
      <c r="P485" s="5">
        <f t="shared" si="57"/>
        <v>0</v>
      </c>
      <c r="Q485" s="5">
        <f t="shared" si="58"/>
        <v>2</v>
      </c>
      <c r="R485" s="7">
        <f t="shared" si="59"/>
        <v>0</v>
      </c>
      <c r="S485" s="7">
        <f t="shared" si="60"/>
        <v>0</v>
      </c>
      <c r="T485" s="3">
        <f t="shared" si="61"/>
        <v>1</v>
      </c>
      <c r="V485" s="1" t="e">
        <f t="shared" si="62"/>
        <v>#DIV/0!</v>
      </c>
    </row>
    <row r="486" spans="8:22" x14ac:dyDescent="0.3">
      <c r="H486" s="10" t="str">
        <f>IF(Planilha1!B483="","",Planilha1!B483)</f>
        <v>3:00p</v>
      </c>
      <c r="I486" s="10" t="str">
        <f>IF(Planilha1!C483="","",Planilha1!C483)</f>
        <v>Minnesota Timberwolves</v>
      </c>
      <c r="J486" s="10">
        <f>IF(Planilha1!D483="","",Planilha1!D483)</f>
        <v>106</v>
      </c>
      <c r="K486" s="10" t="str">
        <f>IF(Planilha1!E483="","",IF(Planilha1!E483=0,"",Planilha1!E483))</f>
        <v>New York Knicks</v>
      </c>
      <c r="L486" s="10">
        <f>IF(Planilha1!F483="","",Planilha1!F483)</f>
        <v>112</v>
      </c>
      <c r="M486" s="10">
        <f>IF(Planilha1!G483="","",IF(Planilha1!G483=0,"",Planilha1!G483))</f>
        <v>112</v>
      </c>
      <c r="N486" s="5">
        <f t="shared" si="63"/>
        <v>1</v>
      </c>
      <c r="O486" s="5">
        <f t="shared" si="64"/>
        <v>0</v>
      </c>
      <c r="P486" s="5">
        <f t="shared" si="57"/>
        <v>0</v>
      </c>
      <c r="Q486" s="5">
        <f t="shared" si="58"/>
        <v>2</v>
      </c>
      <c r="R486" s="7">
        <f t="shared" si="59"/>
        <v>0</v>
      </c>
      <c r="S486" s="7">
        <f t="shared" si="60"/>
        <v>0</v>
      </c>
      <c r="T486" s="3">
        <f t="shared" si="61"/>
        <v>1</v>
      </c>
      <c r="V486" s="1" t="e">
        <f t="shared" si="62"/>
        <v>#DIV/0!</v>
      </c>
    </row>
    <row r="487" spans="8:22" x14ac:dyDescent="0.3">
      <c r="H487" s="10" t="str">
        <f>IF(Planilha1!B484="","",Planilha1!B484)</f>
        <v>7:30p</v>
      </c>
      <c r="I487" s="10" t="str">
        <f>IF(Planilha1!C484="","",Planilha1!C484)</f>
        <v>Cleveland Cavaliers</v>
      </c>
      <c r="J487" s="10">
        <f>IF(Planilha1!D484="","",Planilha1!D484)</f>
        <v>121</v>
      </c>
      <c r="K487" s="10" t="str">
        <f>IF(Planilha1!E484="","",IF(Planilha1!E484=0,"",Planilha1!E484))</f>
        <v>Toronto Raptors</v>
      </c>
      <c r="L487" s="10">
        <f>IF(Planilha1!F484="","",Planilha1!F484)</f>
        <v>124</v>
      </c>
      <c r="M487" s="10">
        <f>IF(Planilha1!G484="","",IF(Planilha1!G484=0,"",Planilha1!G484))</f>
        <v>124</v>
      </c>
      <c r="N487" s="5">
        <f t="shared" si="63"/>
        <v>1</v>
      </c>
      <c r="O487" s="5">
        <f t="shared" si="64"/>
        <v>0</v>
      </c>
      <c r="P487" s="5">
        <f t="shared" si="57"/>
        <v>0</v>
      </c>
      <c r="Q487" s="5">
        <f t="shared" si="58"/>
        <v>2</v>
      </c>
      <c r="R487" s="7">
        <f t="shared" si="59"/>
        <v>0</v>
      </c>
      <c r="S487" s="7">
        <f t="shared" si="60"/>
        <v>0</v>
      </c>
      <c r="T487" s="3">
        <f t="shared" si="61"/>
        <v>1</v>
      </c>
      <c r="V487" s="1" t="e">
        <f t="shared" si="62"/>
        <v>#DIV/0!</v>
      </c>
    </row>
    <row r="488" spans="8:22" x14ac:dyDescent="0.3">
      <c r="H488" s="10" t="str">
        <f>IF(Planilha1!B485="","",Planilha1!B485)</f>
        <v>8:00p</v>
      </c>
      <c r="I488" s="10" t="str">
        <f>IF(Planilha1!C485="","",Planilha1!C485)</f>
        <v>Detroit Pistons</v>
      </c>
      <c r="J488" s="10">
        <f>IF(Planilha1!D485="","",Planilha1!D485)</f>
        <v>113</v>
      </c>
      <c r="K488" s="10" t="str">
        <f>IF(Planilha1!E485="","",IF(Planilha1!E485=0,"",Planilha1!E485))</f>
        <v>Houston Rockets</v>
      </c>
      <c r="L488" s="10">
        <f>IF(Planilha1!F485="","",Planilha1!F485)</f>
        <v>136</v>
      </c>
      <c r="M488" s="10">
        <f>IF(Planilha1!G485="","",IF(Planilha1!G485=0,"",Planilha1!G485))</f>
        <v>136</v>
      </c>
      <c r="N488" s="5">
        <f t="shared" si="63"/>
        <v>1</v>
      </c>
      <c r="O488" s="5">
        <f t="shared" si="64"/>
        <v>0</v>
      </c>
      <c r="P488" s="5">
        <f t="shared" si="57"/>
        <v>0</v>
      </c>
      <c r="Q488" s="5">
        <f t="shared" si="58"/>
        <v>2</v>
      </c>
      <c r="R488" s="7">
        <f t="shared" si="59"/>
        <v>0</v>
      </c>
      <c r="S488" s="7">
        <f t="shared" si="60"/>
        <v>0</v>
      </c>
      <c r="T488" s="3">
        <f t="shared" si="61"/>
        <v>1</v>
      </c>
      <c r="V488" s="1" t="e">
        <f t="shared" si="62"/>
        <v>#DIV/0!</v>
      </c>
    </row>
    <row r="489" spans="8:22" x14ac:dyDescent="0.3">
      <c r="H489" s="10" t="str">
        <f>IF(Planilha1!B486="","",Planilha1!B486)</f>
        <v>8:00p</v>
      </c>
      <c r="I489" s="10" t="str">
        <f>IF(Planilha1!C486="","",Planilha1!C486)</f>
        <v>Indiana Pacers</v>
      </c>
      <c r="J489" s="10">
        <f>IF(Planilha1!D486="","",Planilha1!D486)</f>
        <v>122</v>
      </c>
      <c r="K489" s="10" t="str">
        <f>IF(Planilha1!E486="","",IF(Planilha1!E486=0,"",Planilha1!E486))</f>
        <v>Milwaukee Bucks</v>
      </c>
      <c r="L489" s="10">
        <f>IF(Planilha1!F486="","",Planilha1!F486)</f>
        <v>113</v>
      </c>
      <c r="M489" s="10">
        <f>IF(Planilha1!G486="","",IF(Planilha1!G486=0,"",Planilha1!G486))</f>
        <v>113</v>
      </c>
      <c r="N489" s="5">
        <f t="shared" si="63"/>
        <v>1</v>
      </c>
      <c r="O489" s="5">
        <f t="shared" si="64"/>
        <v>0</v>
      </c>
      <c r="P489" s="5">
        <f t="shared" si="57"/>
        <v>0</v>
      </c>
      <c r="Q489" s="5">
        <f t="shared" si="58"/>
        <v>2</v>
      </c>
      <c r="R489" s="7">
        <f t="shared" si="59"/>
        <v>0</v>
      </c>
      <c r="S489" s="7">
        <f t="shared" si="60"/>
        <v>0</v>
      </c>
      <c r="T489" s="3">
        <f t="shared" si="61"/>
        <v>1</v>
      </c>
      <c r="V489" s="1" t="e">
        <f t="shared" si="62"/>
        <v>#DIV/0!</v>
      </c>
    </row>
    <row r="490" spans="8:22" x14ac:dyDescent="0.3">
      <c r="H490" s="10" t="str">
        <f>IF(Planilha1!B487="","",Planilha1!B487)</f>
        <v>9:00p</v>
      </c>
      <c r="I490" s="10" t="str">
        <f>IF(Planilha1!C487="","",Planilha1!C487)</f>
        <v>Charlotte Hornets</v>
      </c>
      <c r="J490" s="10">
        <f>IF(Planilha1!D487="","",Planilha1!D487)</f>
        <v>93</v>
      </c>
      <c r="K490" s="10" t="str">
        <f>IF(Planilha1!E487="","",IF(Planilha1!E487=0,"",Planilha1!E487))</f>
        <v>Denver Nuggets</v>
      </c>
      <c r="L490" s="10">
        <f>IF(Planilha1!F487="","",Planilha1!F487)</f>
        <v>111</v>
      </c>
      <c r="M490" s="10">
        <f>IF(Planilha1!G487="","",IF(Planilha1!G487=0,"",Planilha1!G487))</f>
        <v>111</v>
      </c>
      <c r="N490" s="5">
        <f t="shared" si="63"/>
        <v>1</v>
      </c>
      <c r="O490" s="5">
        <f t="shared" si="64"/>
        <v>0</v>
      </c>
      <c r="P490" s="5">
        <f t="shared" si="57"/>
        <v>0</v>
      </c>
      <c r="Q490" s="5">
        <f t="shared" si="58"/>
        <v>2</v>
      </c>
      <c r="R490" s="7">
        <f t="shared" si="59"/>
        <v>0</v>
      </c>
      <c r="S490" s="7">
        <f t="shared" si="60"/>
        <v>0</v>
      </c>
      <c r="T490" s="3">
        <f t="shared" si="61"/>
        <v>1</v>
      </c>
      <c r="V490" s="1" t="e">
        <f t="shared" si="62"/>
        <v>#DIV/0!</v>
      </c>
    </row>
    <row r="491" spans="8:22" x14ac:dyDescent="0.3">
      <c r="H491" s="10" t="str">
        <f>IF(Planilha1!B488="","",Planilha1!B488)</f>
        <v>9:00p</v>
      </c>
      <c r="I491" s="10" t="str">
        <f>IF(Planilha1!C488="","",Planilha1!C488)</f>
        <v>Portland Trail Blazers</v>
      </c>
      <c r="J491" s="10">
        <f>IF(Planilha1!D488="","",Planilha1!D488)</f>
        <v>88</v>
      </c>
      <c r="K491" s="10" t="str">
        <f>IF(Planilha1!E488="","",IF(Planilha1!E488=0,"",Planilha1!E488))</f>
        <v>Phoenix Suns</v>
      </c>
      <c r="L491" s="10">
        <f>IF(Planilha1!F488="","",Planilha1!F488)</f>
        <v>109</v>
      </c>
      <c r="M491" s="10">
        <f>IF(Planilha1!G488="","",IF(Planilha1!G488=0,"",Planilha1!G488))</f>
        <v>109</v>
      </c>
      <c r="N491" s="5">
        <f t="shared" si="63"/>
        <v>1</v>
      </c>
      <c r="O491" s="5">
        <f t="shared" si="64"/>
        <v>0</v>
      </c>
      <c r="P491" s="5">
        <f t="shared" si="57"/>
        <v>0</v>
      </c>
      <c r="Q491" s="5">
        <f t="shared" si="58"/>
        <v>2</v>
      </c>
      <c r="R491" s="7">
        <f t="shared" si="59"/>
        <v>0</v>
      </c>
      <c r="S491" s="7">
        <f t="shared" si="60"/>
        <v>0</v>
      </c>
      <c r="T491" s="3">
        <f t="shared" si="61"/>
        <v>1</v>
      </c>
      <c r="V491" s="1" t="e">
        <f t="shared" si="62"/>
        <v>#DIV/0!</v>
      </c>
    </row>
    <row r="492" spans="8:22" x14ac:dyDescent="0.3">
      <c r="H492" s="10" t="str">
        <f>IF(Planilha1!B489="","",Planilha1!B489)</f>
        <v>9:00p</v>
      </c>
      <c r="I492" s="10" t="str">
        <f>IF(Planilha1!C489="","",Planilha1!C489)</f>
        <v>Dallas Mavericks</v>
      </c>
      <c r="J492" s="10">
        <f>IF(Planilha1!D489="","",Planilha1!D489)</f>
        <v>90</v>
      </c>
      <c r="K492" s="10" t="str">
        <f>IF(Planilha1!E489="","",IF(Planilha1!E489=0,"",Planilha1!E489))</f>
        <v>Utah Jazz</v>
      </c>
      <c r="L492" s="10">
        <f>IF(Planilha1!F489="","",Planilha1!F489)</f>
        <v>127</v>
      </c>
      <c r="M492" s="10">
        <f>IF(Planilha1!G489="","",IF(Planilha1!G489=0,"",Planilha1!G489))</f>
        <v>127</v>
      </c>
      <c r="N492" s="5">
        <f t="shared" si="63"/>
        <v>1</v>
      </c>
      <c r="O492" s="5">
        <f t="shared" si="64"/>
        <v>0</v>
      </c>
      <c r="P492" s="5">
        <f t="shared" si="57"/>
        <v>0</v>
      </c>
      <c r="Q492" s="5">
        <f t="shared" si="58"/>
        <v>2</v>
      </c>
      <c r="R492" s="7">
        <f t="shared" si="59"/>
        <v>0</v>
      </c>
      <c r="S492" s="7">
        <f t="shared" si="60"/>
        <v>0</v>
      </c>
      <c r="T492" s="3">
        <f t="shared" si="61"/>
        <v>1</v>
      </c>
      <c r="V492" s="1" t="e">
        <f t="shared" si="62"/>
        <v>#DIV/0!</v>
      </c>
    </row>
    <row r="493" spans="8:22" x14ac:dyDescent="0.3">
      <c r="H493" s="10" t="str">
        <f>IF(Planilha1!B490="","",Planilha1!B490)</f>
        <v>10:30p</v>
      </c>
      <c r="I493" s="10" t="str">
        <f>IF(Planilha1!C490="","",Planilha1!C490)</f>
        <v>Miami Heat</v>
      </c>
      <c r="J493" s="10">
        <f>IF(Planilha1!D490="","",Planilha1!D490)</f>
        <v>104</v>
      </c>
      <c r="K493" s="10" t="str">
        <f>IF(Planilha1!E490="","",IF(Planilha1!E490=0,"",Planilha1!E490))</f>
        <v>Los Angeles Clippers</v>
      </c>
      <c r="L493" s="10">
        <f>IF(Planilha1!F490="","",Planilha1!F490)</f>
        <v>121</v>
      </c>
      <c r="M493" s="10">
        <f>IF(Planilha1!G490="","",IF(Planilha1!G490=0,"",Planilha1!G490))</f>
        <v>121</v>
      </c>
      <c r="N493" s="5">
        <f t="shared" si="63"/>
        <v>1</v>
      </c>
      <c r="O493" s="5">
        <f t="shared" si="64"/>
        <v>0</v>
      </c>
      <c r="P493" s="5">
        <f t="shared" si="57"/>
        <v>0</v>
      </c>
      <c r="Q493" s="5">
        <f t="shared" si="58"/>
        <v>2</v>
      </c>
      <c r="R493" s="7">
        <f t="shared" si="59"/>
        <v>0</v>
      </c>
      <c r="S493" s="7">
        <f t="shared" si="60"/>
        <v>0</v>
      </c>
      <c r="T493" s="3">
        <f t="shared" si="61"/>
        <v>1</v>
      </c>
      <c r="V493" s="1" t="e">
        <f t="shared" si="62"/>
        <v>#DIV/0!</v>
      </c>
    </row>
    <row r="494" spans="8:22" x14ac:dyDescent="0.3">
      <c r="H494" s="10" t="str">
        <f>IF(Planilha1!B491="","",Planilha1!B491)</f>
        <v>7:00p</v>
      </c>
      <c r="I494" s="10" t="str">
        <f>IF(Planilha1!C491="","",Planilha1!C491)</f>
        <v>Chicago Bulls</v>
      </c>
      <c r="J494" s="10">
        <f>IF(Planilha1!D491="","",Planilha1!D491)</f>
        <v>97</v>
      </c>
      <c r="K494" s="10" t="str">
        <f>IF(Planilha1!E491="","",IF(Planilha1!E491=0,"",Planilha1!E491))</f>
        <v>Philadelphia 76ers</v>
      </c>
      <c r="L494" s="10">
        <f>IF(Planilha1!F491="","",Planilha1!F491)</f>
        <v>110</v>
      </c>
      <c r="M494" s="10">
        <f>IF(Planilha1!G491="","",IF(Planilha1!G491=0,"",Planilha1!G491))</f>
        <v>110</v>
      </c>
      <c r="N494" s="5">
        <f t="shared" si="63"/>
        <v>1</v>
      </c>
      <c r="O494" s="5">
        <f t="shared" si="64"/>
        <v>0</v>
      </c>
      <c r="P494" s="5">
        <f t="shared" si="57"/>
        <v>0</v>
      </c>
      <c r="Q494" s="5">
        <f t="shared" si="58"/>
        <v>2</v>
      </c>
      <c r="R494" s="7">
        <f t="shared" si="59"/>
        <v>0</v>
      </c>
      <c r="S494" s="7">
        <f t="shared" si="60"/>
        <v>0</v>
      </c>
      <c r="T494" s="3">
        <f t="shared" si="61"/>
        <v>1</v>
      </c>
      <c r="V494" s="1" t="e">
        <f t="shared" si="62"/>
        <v>#DIV/0!</v>
      </c>
    </row>
    <row r="495" spans="8:22" x14ac:dyDescent="0.3">
      <c r="H495" s="10" t="str">
        <f>IF(Planilha1!B492="","",Planilha1!B492)</f>
        <v>8:00p</v>
      </c>
      <c r="I495" s="10" t="str">
        <f>IF(Planilha1!C492="","",Planilha1!C492)</f>
        <v>San Antonio Spurs</v>
      </c>
      <c r="J495" s="10">
        <f>IF(Planilha1!D492="","",Planilha1!D492)</f>
        <v>98</v>
      </c>
      <c r="K495" s="10" t="str">
        <f>IF(Planilha1!E492="","",IF(Planilha1!E492=0,"",Planilha1!E492))</f>
        <v>Memphis Grizzlies</v>
      </c>
      <c r="L495" s="10">
        <f>IF(Planilha1!F492="","",Planilha1!F492)</f>
        <v>106</v>
      </c>
      <c r="M495" s="10">
        <f>IF(Planilha1!G492="","",IF(Planilha1!G492=0,"",Planilha1!G492))</f>
        <v>106</v>
      </c>
      <c r="N495" s="5">
        <f t="shared" si="63"/>
        <v>1</v>
      </c>
      <c r="O495" s="5">
        <f t="shared" si="64"/>
        <v>0</v>
      </c>
      <c r="P495" s="5">
        <f t="shared" si="57"/>
        <v>0</v>
      </c>
      <c r="Q495" s="5">
        <f t="shared" si="58"/>
        <v>2</v>
      </c>
      <c r="R495" s="7">
        <f t="shared" si="59"/>
        <v>0</v>
      </c>
      <c r="S495" s="7">
        <f t="shared" si="60"/>
        <v>0</v>
      </c>
      <c r="T495" s="3">
        <f t="shared" si="61"/>
        <v>1</v>
      </c>
      <c r="V495" s="1" t="e">
        <f t="shared" si="62"/>
        <v>#DIV/0!</v>
      </c>
    </row>
    <row r="496" spans="8:22" x14ac:dyDescent="0.3">
      <c r="H496" s="10" t="str">
        <f>IF(Planilha1!B493="","",Planilha1!B493)</f>
        <v>8:00p</v>
      </c>
      <c r="I496" s="10" t="str">
        <f>IF(Planilha1!C493="","",Planilha1!C493)</f>
        <v>Brooklyn Nets</v>
      </c>
      <c r="J496" s="10">
        <f>IF(Planilha1!D493="","",Planilha1!D493)</f>
        <v>85</v>
      </c>
      <c r="K496" s="10" t="str">
        <f>IF(Planilha1!E493="","",IF(Planilha1!E493=0,"",Planilha1!E493))</f>
        <v>New Orleans Pelicans</v>
      </c>
      <c r="L496" s="10">
        <f>IF(Planilha1!F493="","",Planilha1!F493)</f>
        <v>112</v>
      </c>
      <c r="M496" s="10">
        <f>IF(Planilha1!G493="","",IF(Planilha1!G493=0,"",Planilha1!G493))</f>
        <v>112</v>
      </c>
      <c r="N496" s="5">
        <f t="shared" si="63"/>
        <v>1</v>
      </c>
      <c r="O496" s="5">
        <f t="shared" si="64"/>
        <v>0</v>
      </c>
      <c r="P496" s="5">
        <f t="shared" si="57"/>
        <v>0</v>
      </c>
      <c r="Q496" s="5">
        <f t="shared" si="58"/>
        <v>2</v>
      </c>
      <c r="R496" s="7">
        <f t="shared" si="59"/>
        <v>0</v>
      </c>
      <c r="S496" s="7">
        <f t="shared" si="60"/>
        <v>0</v>
      </c>
      <c r="T496" s="3">
        <f t="shared" si="61"/>
        <v>1</v>
      </c>
      <c r="V496" s="1" t="e">
        <f t="shared" si="62"/>
        <v>#DIV/0!</v>
      </c>
    </row>
    <row r="497" spans="8:22" x14ac:dyDescent="0.3">
      <c r="H497" s="10" t="str">
        <f>IF(Planilha1!B494="","",Planilha1!B494)</f>
        <v>8:00p</v>
      </c>
      <c r="I497" s="10" t="str">
        <f>IF(Planilha1!C494="","",Planilha1!C494)</f>
        <v>Boston Celtics</v>
      </c>
      <c r="J497" s="10">
        <f>IF(Planilha1!D494="","",Planilha1!D494)</f>
        <v>123</v>
      </c>
      <c r="K497" s="10" t="str">
        <f>IF(Planilha1!E494="","",IF(Planilha1!E494=0,"",Planilha1!E494))</f>
        <v>Oklahoma City Thunder</v>
      </c>
      <c r="L497" s="10">
        <f>IF(Planilha1!F494="","",Planilha1!F494)</f>
        <v>127</v>
      </c>
      <c r="M497" s="10">
        <f>IF(Planilha1!G494="","",IF(Planilha1!G494=0,"",Planilha1!G494))</f>
        <v>127</v>
      </c>
      <c r="N497" s="5">
        <f t="shared" si="63"/>
        <v>1</v>
      </c>
      <c r="O497" s="5">
        <f t="shared" si="64"/>
        <v>0</v>
      </c>
      <c r="P497" s="5">
        <f t="shared" si="57"/>
        <v>0</v>
      </c>
      <c r="Q497" s="5">
        <f t="shared" si="58"/>
        <v>2</v>
      </c>
      <c r="R497" s="7">
        <f t="shared" si="59"/>
        <v>0</v>
      </c>
      <c r="S497" s="7">
        <f t="shared" si="60"/>
        <v>0</v>
      </c>
      <c r="T497" s="3">
        <f t="shared" si="61"/>
        <v>1</v>
      </c>
      <c r="V497" s="1" t="e">
        <f t="shared" si="62"/>
        <v>#DIV/0!</v>
      </c>
    </row>
    <row r="498" spans="8:22" x14ac:dyDescent="0.3">
      <c r="H498" s="10" t="str">
        <f>IF(Planilha1!B495="","",Planilha1!B495)</f>
        <v>10:00p</v>
      </c>
      <c r="I498" s="10" t="str">
        <f>IF(Planilha1!C495="","",Planilha1!C495)</f>
        <v>Orlando Magic</v>
      </c>
      <c r="J498" s="10">
        <f>IF(Planilha1!D495="","",Planilha1!D495)</f>
        <v>115</v>
      </c>
      <c r="K498" s="10" t="str">
        <f>IF(Planilha1!E495="","",IF(Planilha1!E495=0,"",Planilha1!E495))</f>
        <v>Golden State Warriors</v>
      </c>
      <c r="L498" s="10">
        <f>IF(Planilha1!F495="","",Planilha1!F495)</f>
        <v>121</v>
      </c>
      <c r="M498" s="10">
        <f>IF(Planilha1!G495="","",IF(Planilha1!G495=0,"",Planilha1!G495))</f>
        <v>121</v>
      </c>
      <c r="N498" s="5">
        <f t="shared" si="63"/>
        <v>1</v>
      </c>
      <c r="O498" s="5">
        <f t="shared" si="64"/>
        <v>0</v>
      </c>
      <c r="P498" s="5">
        <f t="shared" si="57"/>
        <v>0</v>
      </c>
      <c r="Q498" s="5">
        <f t="shared" si="58"/>
        <v>2</v>
      </c>
      <c r="R498" s="7">
        <f t="shared" si="59"/>
        <v>0</v>
      </c>
      <c r="S498" s="7">
        <f t="shared" si="60"/>
        <v>0</v>
      </c>
      <c r="T498" s="3">
        <f t="shared" si="61"/>
        <v>1</v>
      </c>
      <c r="V498" s="1" t="e">
        <f t="shared" si="62"/>
        <v>#DIV/0!</v>
      </c>
    </row>
    <row r="499" spans="8:22" x14ac:dyDescent="0.3">
      <c r="H499" s="10" t="str">
        <f>IF(Planilha1!B496="","",Planilha1!B496)</f>
        <v>10:00p</v>
      </c>
      <c r="I499" s="10" t="str">
        <f>IF(Planilha1!C496="","",Planilha1!C496)</f>
        <v>Charlotte Hornets</v>
      </c>
      <c r="J499" s="10">
        <f>IF(Planilha1!D496="","",Planilha1!D496)</f>
        <v>111</v>
      </c>
      <c r="K499" s="10" t="str">
        <f>IF(Planilha1!E496="","",IF(Planilha1!E496=0,"",Planilha1!E496))</f>
        <v>Sacramento Kings</v>
      </c>
      <c r="L499" s="10">
        <f>IF(Planilha1!F496="","",Planilha1!F496)</f>
        <v>104</v>
      </c>
      <c r="M499" s="10">
        <f>IF(Planilha1!G496="","",IF(Planilha1!G496=0,"",Planilha1!G496))</f>
        <v>104</v>
      </c>
      <c r="N499" s="5">
        <f t="shared" si="63"/>
        <v>1</v>
      </c>
      <c r="O499" s="5">
        <f t="shared" si="64"/>
        <v>0</v>
      </c>
      <c r="P499" s="5">
        <f t="shared" si="57"/>
        <v>0</v>
      </c>
      <c r="Q499" s="5">
        <f t="shared" si="58"/>
        <v>2</v>
      </c>
      <c r="R499" s="7">
        <f t="shared" si="59"/>
        <v>0</v>
      </c>
      <c r="S499" s="7">
        <f t="shared" si="60"/>
        <v>0</v>
      </c>
      <c r="T499" s="3">
        <f t="shared" si="61"/>
        <v>1</v>
      </c>
      <c r="V499" s="1" t="e">
        <f t="shared" si="62"/>
        <v>#DIV/0!</v>
      </c>
    </row>
    <row r="500" spans="8:22" x14ac:dyDescent="0.3">
      <c r="H500" s="10" t="str">
        <f>IF(Planilha1!B497="","",Planilha1!B497)</f>
        <v>7:00p</v>
      </c>
      <c r="I500" s="10" t="str">
        <f>IF(Planilha1!C497="","",Planilha1!C497)</f>
        <v>Washington Wizards</v>
      </c>
      <c r="J500" s="10">
        <f>IF(Planilha1!D497="","",Planilha1!D497)</f>
        <v>101</v>
      </c>
      <c r="K500" s="10" t="str">
        <f>IF(Planilha1!E497="","",IF(Planilha1!E497=0,"",Planilha1!E497))</f>
        <v>Cleveland Cavaliers</v>
      </c>
      <c r="L500" s="10">
        <f>IF(Planilha1!F497="","",Planilha1!F497)</f>
        <v>140</v>
      </c>
      <c r="M500" s="10">
        <f>IF(Planilha1!G497="","",IF(Planilha1!G497=0,"",Planilha1!G497))</f>
        <v>140</v>
      </c>
      <c r="N500" s="5">
        <f t="shared" si="63"/>
        <v>1</v>
      </c>
      <c r="O500" s="5">
        <f t="shared" si="64"/>
        <v>0</v>
      </c>
      <c r="P500" s="5">
        <f t="shared" si="57"/>
        <v>0</v>
      </c>
      <c r="Q500" s="5">
        <f t="shared" si="58"/>
        <v>2</v>
      </c>
      <c r="R500" s="7">
        <f t="shared" si="59"/>
        <v>0</v>
      </c>
      <c r="S500" s="7">
        <f t="shared" si="60"/>
        <v>0</v>
      </c>
      <c r="T500" s="3">
        <f t="shared" si="61"/>
        <v>1</v>
      </c>
      <c r="V500" s="1" t="e">
        <f t="shared" si="62"/>
        <v>#DIV/0!</v>
      </c>
    </row>
    <row r="501" spans="8:22" x14ac:dyDescent="0.3">
      <c r="H501" s="10" t="str">
        <f>IF(Planilha1!B498="","",Planilha1!B498)</f>
        <v>7:00p</v>
      </c>
      <c r="I501" s="10" t="str">
        <f>IF(Planilha1!C498="","",Planilha1!C498)</f>
        <v>Milwaukee Bucks</v>
      </c>
      <c r="J501" s="10">
        <f>IF(Planilha1!D498="","",Planilha1!D498)</f>
        <v>130</v>
      </c>
      <c r="K501" s="10" t="str">
        <f>IF(Planilha1!E498="","",IF(Planilha1!E498=0,"",Planilha1!E498))</f>
        <v>Indiana Pacers</v>
      </c>
      <c r="L501" s="10">
        <f>IF(Planilha1!F498="","",Planilha1!F498)</f>
        <v>142</v>
      </c>
      <c r="M501" s="10">
        <f>IF(Planilha1!G498="","",IF(Planilha1!G498=0,"",Planilha1!G498))</f>
        <v>142</v>
      </c>
      <c r="N501" s="5">
        <f t="shared" si="63"/>
        <v>1</v>
      </c>
      <c r="O501" s="5">
        <f t="shared" si="64"/>
        <v>0</v>
      </c>
      <c r="P501" s="5">
        <f t="shared" si="57"/>
        <v>0</v>
      </c>
      <c r="Q501" s="5">
        <f t="shared" si="58"/>
        <v>2</v>
      </c>
      <c r="R501" s="7">
        <f t="shared" si="59"/>
        <v>0</v>
      </c>
      <c r="S501" s="7">
        <f t="shared" si="60"/>
        <v>0</v>
      </c>
      <c r="T501" s="3">
        <f t="shared" si="61"/>
        <v>1</v>
      </c>
      <c r="V501" s="1" t="e">
        <f t="shared" si="62"/>
        <v>#DIV/0!</v>
      </c>
    </row>
    <row r="502" spans="8:22" x14ac:dyDescent="0.3">
      <c r="H502" s="10" t="str">
        <f>IF(Planilha1!B499="","",Planilha1!B499)</f>
        <v>7:30p</v>
      </c>
      <c r="I502" s="10" t="str">
        <f>IF(Planilha1!C499="","",Planilha1!C499)</f>
        <v>Oklahoma City Thunder</v>
      </c>
      <c r="J502" s="10">
        <f>IF(Planilha1!D499="","",Planilha1!D499)</f>
        <v>138</v>
      </c>
      <c r="K502" s="10" t="str">
        <f>IF(Planilha1!E499="","",IF(Planilha1!E499=0,"",Planilha1!E499))</f>
        <v>Atlanta Hawks</v>
      </c>
      <c r="L502" s="10">
        <f>IF(Planilha1!F499="","",Planilha1!F499)</f>
        <v>141</v>
      </c>
      <c r="M502" s="10">
        <f>IF(Planilha1!G499="","",IF(Planilha1!G499=0,"",Planilha1!G499))</f>
        <v>141</v>
      </c>
      <c r="N502" s="5">
        <f t="shared" si="63"/>
        <v>1</v>
      </c>
      <c r="O502" s="5">
        <f t="shared" si="64"/>
        <v>0</v>
      </c>
      <c r="P502" s="5">
        <f t="shared" si="57"/>
        <v>0</v>
      </c>
      <c r="Q502" s="5">
        <f t="shared" si="58"/>
        <v>2</v>
      </c>
      <c r="R502" s="7">
        <f t="shared" si="59"/>
        <v>0</v>
      </c>
      <c r="S502" s="7">
        <f t="shared" si="60"/>
        <v>0</v>
      </c>
      <c r="T502" s="3">
        <f t="shared" si="61"/>
        <v>1</v>
      </c>
      <c r="V502" s="1" t="e">
        <f t="shared" si="62"/>
        <v>#DIV/0!</v>
      </c>
    </row>
    <row r="503" spans="8:22" x14ac:dyDescent="0.3">
      <c r="H503" s="10" t="str">
        <f>IF(Planilha1!B500="","",Planilha1!B500)</f>
        <v>8:00p</v>
      </c>
      <c r="I503" s="10" t="str">
        <f>IF(Planilha1!C500="","",Planilha1!C500)</f>
        <v>Brooklyn Nets</v>
      </c>
      <c r="J503" s="10">
        <f>IF(Planilha1!D500="","",Planilha1!D500)</f>
        <v>101</v>
      </c>
      <c r="K503" s="10" t="str">
        <f>IF(Planilha1!E500="","",IF(Planilha1!E500=0,"",Planilha1!E500))</f>
        <v>Houston Rockets</v>
      </c>
      <c r="L503" s="10">
        <f>IF(Planilha1!F500="","",Planilha1!F500)</f>
        <v>112</v>
      </c>
      <c r="M503" s="10">
        <f>IF(Planilha1!G500="","",IF(Planilha1!G500=0,"",Planilha1!G500))</f>
        <v>112</v>
      </c>
      <c r="N503" s="5">
        <f t="shared" si="63"/>
        <v>1</v>
      </c>
      <c r="O503" s="5">
        <f t="shared" si="64"/>
        <v>0</v>
      </c>
      <c r="P503" s="5">
        <f t="shared" si="57"/>
        <v>0</v>
      </c>
      <c r="Q503" s="5">
        <f t="shared" si="58"/>
        <v>2</v>
      </c>
      <c r="R503" s="7">
        <f t="shared" si="59"/>
        <v>0</v>
      </c>
      <c r="S503" s="7">
        <f t="shared" si="60"/>
        <v>0</v>
      </c>
      <c r="T503" s="3">
        <f t="shared" si="61"/>
        <v>1</v>
      </c>
      <c r="V503" s="1" t="e">
        <f t="shared" si="62"/>
        <v>#DIV/0!</v>
      </c>
    </row>
    <row r="504" spans="8:22" x14ac:dyDescent="0.3">
      <c r="H504" s="10" t="str">
        <f>IF(Planilha1!B501="","",Planilha1!B501)</f>
        <v>8:00p</v>
      </c>
      <c r="I504" s="10" t="str">
        <f>IF(Planilha1!C501="","",Planilha1!C501)</f>
        <v>Toronto Raptors</v>
      </c>
      <c r="J504" s="10">
        <f>IF(Planilha1!D501="","",Planilha1!D501)</f>
        <v>116</v>
      </c>
      <c r="K504" s="10" t="str">
        <f>IF(Planilha1!E501="","",IF(Planilha1!E501=0,"",Planilha1!E501))</f>
        <v>Memphis Grizzlies</v>
      </c>
      <c r="L504" s="10">
        <f>IF(Planilha1!F501="","",Planilha1!F501)</f>
        <v>111</v>
      </c>
      <c r="M504" s="10">
        <f>IF(Planilha1!G501="","",IF(Planilha1!G501=0,"",Planilha1!G501))</f>
        <v>111</v>
      </c>
      <c r="N504" s="5">
        <f t="shared" si="63"/>
        <v>1</v>
      </c>
      <c r="O504" s="5">
        <f t="shared" si="64"/>
        <v>0</v>
      </c>
      <c r="P504" s="5">
        <f t="shared" si="57"/>
        <v>0</v>
      </c>
      <c r="Q504" s="5">
        <f t="shared" si="58"/>
        <v>2</v>
      </c>
      <c r="R504" s="7">
        <f t="shared" si="59"/>
        <v>0</v>
      </c>
      <c r="S504" s="7">
        <f t="shared" si="60"/>
        <v>0</v>
      </c>
      <c r="T504" s="3">
        <f t="shared" si="61"/>
        <v>1</v>
      </c>
      <c r="V504" s="1" t="e">
        <f t="shared" si="62"/>
        <v>#DIV/0!</v>
      </c>
    </row>
    <row r="505" spans="8:22" x14ac:dyDescent="0.3">
      <c r="H505" s="10" t="str">
        <f>IF(Planilha1!B502="","",Planilha1!B502)</f>
        <v>8:00p</v>
      </c>
      <c r="I505" s="10" t="str">
        <f>IF(Planilha1!C502="","",Planilha1!C502)</f>
        <v>New Orleans Pelicans</v>
      </c>
      <c r="J505" s="10">
        <f>IF(Planilha1!D502="","",Planilha1!D502)</f>
        <v>117</v>
      </c>
      <c r="K505" s="10" t="str">
        <f>IF(Planilha1!E502="","",IF(Planilha1!E502=0,"",Planilha1!E502))</f>
        <v>Minnesota Timberwolves</v>
      </c>
      <c r="L505" s="10">
        <f>IF(Planilha1!F502="","",Planilha1!F502)</f>
        <v>106</v>
      </c>
      <c r="M505" s="10">
        <f>IF(Planilha1!G502="","",IF(Planilha1!G502=0,"",Planilha1!G502))</f>
        <v>106</v>
      </c>
      <c r="N505" s="5">
        <f t="shared" si="63"/>
        <v>1</v>
      </c>
      <c r="O505" s="5">
        <f t="shared" si="64"/>
        <v>0</v>
      </c>
      <c r="P505" s="5">
        <f t="shared" si="57"/>
        <v>0</v>
      </c>
      <c r="Q505" s="5">
        <f t="shared" si="58"/>
        <v>2</v>
      </c>
      <c r="R505" s="7">
        <f t="shared" si="59"/>
        <v>0</v>
      </c>
      <c r="S505" s="7">
        <f t="shared" si="60"/>
        <v>0</v>
      </c>
      <c r="T505" s="3">
        <f t="shared" si="61"/>
        <v>1</v>
      </c>
      <c r="V505" s="1" t="e">
        <f t="shared" si="62"/>
        <v>#DIV/0!</v>
      </c>
    </row>
    <row r="506" spans="8:22" x14ac:dyDescent="0.3">
      <c r="H506" s="10" t="str">
        <f>IF(Planilha1!B503="","",Planilha1!B503)</f>
        <v>8:30p</v>
      </c>
      <c r="I506" s="10" t="str">
        <f>IF(Planilha1!C503="","",Planilha1!C503)</f>
        <v>Portland Trail Blazers</v>
      </c>
      <c r="J506" s="10">
        <f>IF(Planilha1!D503="","",Planilha1!D503)</f>
        <v>97</v>
      </c>
      <c r="K506" s="10" t="str">
        <f>IF(Planilha1!E503="","",IF(Planilha1!E503=0,"",Planilha1!E503))</f>
        <v>Dallas Mavericks</v>
      </c>
      <c r="L506" s="10">
        <f>IF(Planilha1!F503="","",Planilha1!F503)</f>
        <v>126</v>
      </c>
      <c r="M506" s="10">
        <f>IF(Planilha1!G503="","",IF(Planilha1!G503=0,"",Planilha1!G503))</f>
        <v>126</v>
      </c>
      <c r="N506" s="5">
        <f t="shared" si="63"/>
        <v>1</v>
      </c>
      <c r="O506" s="5">
        <f t="shared" si="64"/>
        <v>0</v>
      </c>
      <c r="P506" s="5">
        <f t="shared" si="57"/>
        <v>0</v>
      </c>
      <c r="Q506" s="5">
        <f t="shared" si="58"/>
        <v>2</v>
      </c>
      <c r="R506" s="7">
        <f t="shared" si="59"/>
        <v>0</v>
      </c>
      <c r="S506" s="7">
        <f t="shared" si="60"/>
        <v>0</v>
      </c>
      <c r="T506" s="3">
        <f t="shared" si="61"/>
        <v>1</v>
      </c>
      <c r="V506" s="1" t="e">
        <f t="shared" si="62"/>
        <v>#DIV/0!</v>
      </c>
    </row>
    <row r="507" spans="8:22" x14ac:dyDescent="0.3">
      <c r="H507" s="10" t="str">
        <f>IF(Planilha1!B504="","",Planilha1!B504)</f>
        <v>8:30p</v>
      </c>
      <c r="I507" s="10" t="str">
        <f>IF(Planilha1!C504="","",Planilha1!C504)</f>
        <v>Chicago Bulls</v>
      </c>
      <c r="J507" s="10">
        <f>IF(Planilha1!D504="","",Planilha1!D504)</f>
        <v>100</v>
      </c>
      <c r="K507" s="10" t="str">
        <f>IF(Planilha1!E504="","",IF(Planilha1!E504=0,"",Planilha1!E504))</f>
        <v>New York Knicks</v>
      </c>
      <c r="L507" s="10">
        <f>IF(Planilha1!F504="","",Planilha1!F504)</f>
        <v>116</v>
      </c>
      <c r="M507" s="10">
        <f>IF(Planilha1!G504="","",IF(Planilha1!G504=0,"",Planilha1!G504))</f>
        <v>116</v>
      </c>
      <c r="N507" s="5">
        <f t="shared" si="63"/>
        <v>1</v>
      </c>
      <c r="O507" s="5">
        <f t="shared" si="64"/>
        <v>0</v>
      </c>
      <c r="P507" s="5">
        <f t="shared" si="57"/>
        <v>0</v>
      </c>
      <c r="Q507" s="5">
        <f t="shared" si="58"/>
        <v>2</v>
      </c>
      <c r="R507" s="7">
        <f t="shared" si="59"/>
        <v>0</v>
      </c>
      <c r="S507" s="7">
        <f t="shared" si="60"/>
        <v>0</v>
      </c>
      <c r="T507" s="3">
        <f t="shared" si="61"/>
        <v>1</v>
      </c>
      <c r="V507" s="1" t="e">
        <f t="shared" si="62"/>
        <v>#DIV/0!</v>
      </c>
    </row>
    <row r="508" spans="8:22" x14ac:dyDescent="0.3">
      <c r="H508" s="10" t="str">
        <f>IF(Planilha1!B505="","",Planilha1!B505)</f>
        <v>9:00p</v>
      </c>
      <c r="I508" s="10" t="str">
        <f>IF(Planilha1!C505="","",Planilha1!C505)</f>
        <v>Los Angeles Clippers</v>
      </c>
      <c r="J508" s="10">
        <f>IF(Planilha1!D505="","",Planilha1!D505)</f>
        <v>131</v>
      </c>
      <c r="K508" s="10" t="str">
        <f>IF(Planilha1!E505="","",IF(Planilha1!E505=0,"",Planilha1!E505))</f>
        <v>Phoenix Suns</v>
      </c>
      <c r="L508" s="10">
        <f>IF(Planilha1!F505="","",Planilha1!F505)</f>
        <v>122</v>
      </c>
      <c r="M508" s="10">
        <f>IF(Planilha1!G505="","",IF(Planilha1!G505=0,"",Planilha1!G505))</f>
        <v>122</v>
      </c>
      <c r="N508" s="5">
        <f t="shared" si="63"/>
        <v>1</v>
      </c>
      <c r="O508" s="5">
        <f t="shared" si="64"/>
        <v>0</v>
      </c>
      <c r="P508" s="5">
        <f t="shared" si="57"/>
        <v>0</v>
      </c>
      <c r="Q508" s="5">
        <f t="shared" si="58"/>
        <v>2</v>
      </c>
      <c r="R508" s="7">
        <f t="shared" si="59"/>
        <v>0</v>
      </c>
      <c r="S508" s="7">
        <f t="shared" si="60"/>
        <v>0</v>
      </c>
      <c r="T508" s="3">
        <f t="shared" si="61"/>
        <v>1</v>
      </c>
      <c r="V508" s="1" t="e">
        <f t="shared" si="62"/>
        <v>#DIV/0!</v>
      </c>
    </row>
    <row r="509" spans="8:22" x14ac:dyDescent="0.3">
      <c r="H509" s="10" t="str">
        <f>IF(Planilha1!B506="","",Planilha1!B506)</f>
        <v>9:00p</v>
      </c>
      <c r="I509" s="10" t="str">
        <f>IF(Planilha1!C506="","",Planilha1!C506)</f>
        <v>Detroit Pistons</v>
      </c>
      <c r="J509" s="10">
        <f>IF(Planilha1!D506="","",Planilha1!D506)</f>
        <v>148</v>
      </c>
      <c r="K509" s="10" t="str">
        <f>IF(Planilha1!E506="","",IF(Planilha1!E506=0,"",Planilha1!E506))</f>
        <v>Utah Jazz</v>
      </c>
      <c r="L509" s="10">
        <f>IF(Planilha1!F506="","",Planilha1!F506)</f>
        <v>154</v>
      </c>
      <c r="M509" s="10">
        <f>IF(Planilha1!G506="","",IF(Planilha1!G506=0,"",Planilha1!G506))</f>
        <v>154</v>
      </c>
      <c r="N509" s="5">
        <f t="shared" si="63"/>
        <v>1</v>
      </c>
      <c r="O509" s="5">
        <f t="shared" si="64"/>
        <v>0</v>
      </c>
      <c r="P509" s="5">
        <f t="shared" si="57"/>
        <v>0</v>
      </c>
      <c r="Q509" s="5">
        <f t="shared" si="58"/>
        <v>2</v>
      </c>
      <c r="R509" s="7">
        <f t="shared" si="59"/>
        <v>0</v>
      </c>
      <c r="S509" s="7">
        <f t="shared" si="60"/>
        <v>0</v>
      </c>
      <c r="T509" s="3">
        <f t="shared" si="61"/>
        <v>1</v>
      </c>
      <c r="V509" s="1" t="e">
        <f t="shared" si="62"/>
        <v>#DIV/0!</v>
      </c>
    </row>
    <row r="510" spans="8:22" x14ac:dyDescent="0.3">
      <c r="H510" s="10" t="str">
        <f>IF(Planilha1!B507="","",Planilha1!B507)</f>
        <v>10:00p</v>
      </c>
      <c r="I510" s="10" t="str">
        <f>IF(Planilha1!C507="","",Planilha1!C507)</f>
        <v>Miami Heat</v>
      </c>
      <c r="J510" s="10">
        <f>IF(Planilha1!D507="","",Planilha1!D507)</f>
        <v>110</v>
      </c>
      <c r="K510" s="10" t="str">
        <f>IF(Planilha1!E507="","",IF(Planilha1!E507=0,"",Planilha1!E507))</f>
        <v>Los Angeles Lakers</v>
      </c>
      <c r="L510" s="10">
        <f>IF(Planilha1!F507="","",Planilha1!F507)</f>
        <v>96</v>
      </c>
      <c r="M510" s="10">
        <f>IF(Planilha1!G507="","",IF(Planilha1!G507=0,"",Planilha1!G507))</f>
        <v>96</v>
      </c>
      <c r="N510" s="5">
        <f t="shared" si="63"/>
        <v>1</v>
      </c>
      <c r="O510" s="5">
        <f t="shared" si="64"/>
        <v>0</v>
      </c>
      <c r="P510" s="5">
        <f t="shared" si="57"/>
        <v>0</v>
      </c>
      <c r="Q510" s="5">
        <f t="shared" si="58"/>
        <v>2</v>
      </c>
      <c r="R510" s="7">
        <f t="shared" si="59"/>
        <v>0</v>
      </c>
      <c r="S510" s="7">
        <f t="shared" si="60"/>
        <v>0</v>
      </c>
      <c r="T510" s="3">
        <f t="shared" si="61"/>
        <v>1</v>
      </c>
      <c r="V510" s="1" t="e">
        <f t="shared" si="62"/>
        <v>#DIV/0!</v>
      </c>
    </row>
    <row r="511" spans="8:22" x14ac:dyDescent="0.3">
      <c r="H511" s="10" t="str">
        <f>IF(Planilha1!B508="","",Planilha1!B508)</f>
        <v>10:00p</v>
      </c>
      <c r="I511" s="10" t="str">
        <f>IF(Planilha1!C508="","",Planilha1!C508)</f>
        <v>Orlando Magic</v>
      </c>
      <c r="J511" s="10">
        <f>IF(Planilha1!D508="","",Planilha1!D508)</f>
        <v>135</v>
      </c>
      <c r="K511" s="10" t="str">
        <f>IF(Planilha1!E508="","",IF(Planilha1!E508=0,"",Planilha1!E508))</f>
        <v>Sacramento Kings</v>
      </c>
      <c r="L511" s="10">
        <f>IF(Planilha1!F508="","",Planilha1!F508)</f>
        <v>138</v>
      </c>
      <c r="M511" s="10">
        <f>IF(Planilha1!G508="","",IF(Planilha1!G508=0,"",Planilha1!G508))</f>
        <v>138</v>
      </c>
      <c r="N511" s="5">
        <f t="shared" si="63"/>
        <v>1</v>
      </c>
      <c r="O511" s="5">
        <f t="shared" si="64"/>
        <v>0</v>
      </c>
      <c r="P511" s="5">
        <f t="shared" si="57"/>
        <v>0</v>
      </c>
      <c r="Q511" s="5">
        <f t="shared" si="58"/>
        <v>2</v>
      </c>
      <c r="R511" s="7">
        <f t="shared" si="59"/>
        <v>0</v>
      </c>
      <c r="S511" s="7">
        <f t="shared" si="60"/>
        <v>0</v>
      </c>
      <c r="T511" s="3">
        <f t="shared" si="61"/>
        <v>1</v>
      </c>
      <c r="V511" s="1" t="e">
        <f t="shared" si="62"/>
        <v>#DIV/0!</v>
      </c>
    </row>
    <row r="512" spans="8:22" x14ac:dyDescent="0.3">
      <c r="H512" s="10" t="str">
        <f>IF(Planilha1!B509="","",Planilha1!B509)</f>
        <v>7:30p</v>
      </c>
      <c r="I512" s="10" t="str">
        <f>IF(Planilha1!C509="","",Planilha1!C509)</f>
        <v>Milwaukee Bucks</v>
      </c>
      <c r="J512" s="10">
        <f>IF(Planilha1!D509="","",Planilha1!D509)</f>
        <v>125</v>
      </c>
      <c r="K512" s="10" t="str">
        <f>IF(Planilha1!E509="","",IF(Planilha1!E509=0,"",Planilha1!E509))</f>
        <v>San Antonio Spurs</v>
      </c>
      <c r="L512" s="10">
        <f>IF(Planilha1!F509="","",Planilha1!F509)</f>
        <v>121</v>
      </c>
      <c r="M512" s="10">
        <f>IF(Planilha1!G509="","",IF(Planilha1!G509=0,"",Planilha1!G509))</f>
        <v>121</v>
      </c>
      <c r="N512" s="5">
        <f t="shared" si="63"/>
        <v>1</v>
      </c>
      <c r="O512" s="5">
        <f t="shared" si="64"/>
        <v>0</v>
      </c>
      <c r="P512" s="5">
        <f t="shared" si="57"/>
        <v>0</v>
      </c>
      <c r="Q512" s="5">
        <f t="shared" si="58"/>
        <v>2</v>
      </c>
      <c r="R512" s="7">
        <f t="shared" si="59"/>
        <v>0</v>
      </c>
      <c r="S512" s="7">
        <f t="shared" si="60"/>
        <v>0</v>
      </c>
      <c r="T512" s="3">
        <f t="shared" si="61"/>
        <v>1</v>
      </c>
      <c r="V512" s="1" t="e">
        <f t="shared" si="62"/>
        <v>#DIV/0!</v>
      </c>
    </row>
    <row r="513" spans="8:22" x14ac:dyDescent="0.3">
      <c r="H513" s="10" t="str">
        <f>IF(Planilha1!B510="","",Planilha1!B510)</f>
        <v>10:00p</v>
      </c>
      <c r="I513" s="10" t="str">
        <f>IF(Planilha1!C510="","",Planilha1!C510)</f>
        <v>Denver Nuggets</v>
      </c>
      <c r="J513" s="10">
        <f>IF(Planilha1!D510="","",Planilha1!D510)</f>
        <v>130</v>
      </c>
      <c r="K513" s="10" t="str">
        <f>IF(Planilha1!E510="","",IF(Planilha1!E510=0,"",Planilha1!E510))</f>
        <v>Golden State Warriors</v>
      </c>
      <c r="L513" s="10">
        <f>IF(Planilha1!F510="","",Planilha1!F510)</f>
        <v>127</v>
      </c>
      <c r="M513" s="10">
        <f>IF(Planilha1!G510="","",IF(Planilha1!G510=0,"",Planilha1!G510))</f>
        <v>127</v>
      </c>
      <c r="N513" s="5">
        <f t="shared" si="63"/>
        <v>1</v>
      </c>
      <c r="O513" s="5">
        <f t="shared" si="64"/>
        <v>0</v>
      </c>
      <c r="P513" s="5">
        <f t="shared" si="57"/>
        <v>0</v>
      </c>
      <c r="Q513" s="5">
        <f t="shared" si="58"/>
        <v>2</v>
      </c>
      <c r="R513" s="7">
        <f t="shared" si="59"/>
        <v>0</v>
      </c>
      <c r="S513" s="7">
        <f t="shared" si="60"/>
        <v>0</v>
      </c>
      <c r="T513" s="3">
        <f t="shared" si="61"/>
        <v>1</v>
      </c>
      <c r="V513" s="1" t="e">
        <f t="shared" si="62"/>
        <v>#DIV/0!</v>
      </c>
    </row>
    <row r="514" spans="8:22" x14ac:dyDescent="0.3">
      <c r="H514" s="10" t="str">
        <f>IF(Planilha1!B511="","",Planilha1!B511)</f>
        <v>7:00p</v>
      </c>
      <c r="I514" s="10" t="str">
        <f>IF(Planilha1!C511="","",Planilha1!C511)</f>
        <v>Utah Jazz</v>
      </c>
      <c r="J514" s="10">
        <f>IF(Planilha1!D511="","",Planilha1!D511)</f>
        <v>97</v>
      </c>
      <c r="K514" s="10" t="str">
        <f>IF(Planilha1!E511="","",IF(Planilha1!E511=0,"",Planilha1!E511))</f>
        <v>Boston Celtics</v>
      </c>
      <c r="L514" s="10">
        <f>IF(Planilha1!F511="","",Planilha1!F511)</f>
        <v>126</v>
      </c>
      <c r="M514" s="10">
        <f>IF(Planilha1!G511="","",IF(Planilha1!G511=0,"",Planilha1!G511))</f>
        <v>126</v>
      </c>
      <c r="N514" s="5">
        <f t="shared" si="63"/>
        <v>1</v>
      </c>
      <c r="O514" s="5">
        <f t="shared" si="64"/>
        <v>0</v>
      </c>
      <c r="P514" s="5">
        <f t="shared" si="57"/>
        <v>0</v>
      </c>
      <c r="Q514" s="5">
        <f t="shared" si="58"/>
        <v>2</v>
      </c>
      <c r="R514" s="7">
        <f t="shared" si="59"/>
        <v>0</v>
      </c>
      <c r="S514" s="7">
        <f t="shared" si="60"/>
        <v>0</v>
      </c>
      <c r="T514" s="3">
        <f t="shared" si="61"/>
        <v>1</v>
      </c>
      <c r="V514" s="1" t="e">
        <f t="shared" si="62"/>
        <v>#DIV/0!</v>
      </c>
    </row>
    <row r="515" spans="8:22" x14ac:dyDescent="0.3">
      <c r="H515" s="10" t="str">
        <f>IF(Planilha1!B512="","",Planilha1!B512)</f>
        <v>7:00p</v>
      </c>
      <c r="I515" s="10" t="str">
        <f>IF(Planilha1!C512="","",Planilha1!C512)</f>
        <v>Atlanta Hawks</v>
      </c>
      <c r="J515" s="10">
        <f>IF(Planilha1!D512="","",Planilha1!D512)</f>
        <v>116</v>
      </c>
      <c r="K515" s="10" t="str">
        <f>IF(Planilha1!E512="","",IF(Planilha1!E512=0,"",Planilha1!E512))</f>
        <v>Indiana Pacers</v>
      </c>
      <c r="L515" s="10">
        <f>IF(Planilha1!F512="","",Planilha1!F512)</f>
        <v>150</v>
      </c>
      <c r="M515" s="10">
        <f>IF(Planilha1!G512="","",IF(Planilha1!G512=0,"",Planilha1!G512))</f>
        <v>150</v>
      </c>
      <c r="N515" s="5">
        <f t="shared" si="63"/>
        <v>1</v>
      </c>
      <c r="O515" s="5">
        <f t="shared" si="64"/>
        <v>0</v>
      </c>
      <c r="P515" s="5">
        <f t="shared" si="57"/>
        <v>0</v>
      </c>
      <c r="Q515" s="5">
        <f t="shared" si="58"/>
        <v>2</v>
      </c>
      <c r="R515" s="7">
        <f t="shared" si="59"/>
        <v>0</v>
      </c>
      <c r="S515" s="7">
        <f t="shared" si="60"/>
        <v>0</v>
      </c>
      <c r="T515" s="3">
        <f t="shared" si="61"/>
        <v>1</v>
      </c>
      <c r="V515" s="1" t="e">
        <f t="shared" si="62"/>
        <v>#DIV/0!</v>
      </c>
    </row>
    <row r="516" spans="8:22" x14ac:dyDescent="0.3">
      <c r="H516" s="10" t="str">
        <f>IF(Planilha1!B513="","",Planilha1!B513)</f>
        <v>7:30p</v>
      </c>
      <c r="I516" s="10" t="str">
        <f>IF(Planilha1!C513="","",Planilha1!C513)</f>
        <v>Oklahoma City Thunder</v>
      </c>
      <c r="J516" s="10">
        <f>IF(Planilha1!D513="","",Planilha1!D513)</f>
        <v>115</v>
      </c>
      <c r="K516" s="10" t="str">
        <f>IF(Planilha1!E513="","",IF(Planilha1!E513=0,"",Planilha1!E513))</f>
        <v>Brooklyn Nets</v>
      </c>
      <c r="L516" s="10">
        <f>IF(Planilha1!F513="","",Planilha1!F513)</f>
        <v>124</v>
      </c>
      <c r="M516" s="10">
        <f>IF(Planilha1!G513="","",IF(Planilha1!G513=0,"",Planilha1!G513))</f>
        <v>124</v>
      </c>
      <c r="N516" s="5">
        <f t="shared" si="63"/>
        <v>1</v>
      </c>
      <c r="O516" s="5">
        <f t="shared" si="64"/>
        <v>0</v>
      </c>
      <c r="P516" s="5">
        <f t="shared" si="57"/>
        <v>0</v>
      </c>
      <c r="Q516" s="5">
        <f t="shared" si="58"/>
        <v>2</v>
      </c>
      <c r="R516" s="7">
        <f t="shared" si="59"/>
        <v>0</v>
      </c>
      <c r="S516" s="7">
        <f t="shared" si="60"/>
        <v>0</v>
      </c>
      <c r="T516" s="3">
        <f t="shared" si="61"/>
        <v>1</v>
      </c>
      <c r="V516" s="1" t="e">
        <f t="shared" si="62"/>
        <v>#DIV/0!</v>
      </c>
    </row>
    <row r="517" spans="8:22" x14ac:dyDescent="0.3">
      <c r="H517" s="10" t="str">
        <f>IF(Planilha1!B514="","",Planilha1!B514)</f>
        <v>7:30p</v>
      </c>
      <c r="I517" s="10" t="str">
        <f>IF(Planilha1!C514="","",Planilha1!C514)</f>
        <v>Washington Wizards</v>
      </c>
      <c r="J517" s="10">
        <f>IF(Planilha1!D514="","",Planilha1!D514)</f>
        <v>90</v>
      </c>
      <c r="K517" s="10" t="str">
        <f>IF(Planilha1!E514="","",IF(Planilha1!E514=0,"",Planilha1!E514))</f>
        <v>Cleveland Cavaliers</v>
      </c>
      <c r="L517" s="10">
        <f>IF(Planilha1!F514="","",Planilha1!F514)</f>
        <v>114</v>
      </c>
      <c r="M517" s="10">
        <f>IF(Planilha1!G514="","",IF(Planilha1!G514=0,"",Planilha1!G514))</f>
        <v>114</v>
      </c>
      <c r="N517" s="5">
        <f t="shared" si="63"/>
        <v>1</v>
      </c>
      <c r="O517" s="5">
        <f t="shared" si="64"/>
        <v>0</v>
      </c>
      <c r="P517" s="5">
        <f t="shared" ref="P517:P580" si="65">IF(M517="",IF(R517&gt;S517,2,0),IF(K517&lt;M517,2,0))</f>
        <v>0</v>
      </c>
      <c r="Q517" s="5">
        <f t="shared" ref="Q517:Q580" si="66">IF(M517="",IF(R517&gt;S517,0,2),IF(K517&gt;M517,2,0))</f>
        <v>2</v>
      </c>
      <c r="R517" s="7">
        <f t="shared" ref="R517:R580" si="67">SUMIF($B:$B,J517,$C:$C)+(SUMIF($B:$B,L517,$F:$F))</f>
        <v>0</v>
      </c>
      <c r="S517" s="7">
        <f t="shared" ref="S517:S580" si="68">SUMIF($B:$B,L517,$E:$E)+(SUMIF($B:$B,J517,$D:$D))</f>
        <v>0</v>
      </c>
      <c r="T517" s="3">
        <f t="shared" ref="T517:T580" si="69">IF(M517="","",(N517-S517)^2+(O517-R517)^2)</f>
        <v>1</v>
      </c>
      <c r="V517" s="1" t="e">
        <f t="shared" ref="V517:V580" si="70">IF(O517="","",1/((O517-N517)/(R517-S517)))</f>
        <v>#DIV/0!</v>
      </c>
    </row>
    <row r="518" spans="8:22" x14ac:dyDescent="0.3">
      <c r="H518" s="10" t="str">
        <f>IF(Planilha1!B515="","",Planilha1!B515)</f>
        <v>7:30p</v>
      </c>
      <c r="I518" s="10" t="str">
        <f>IF(Planilha1!C515="","",Planilha1!C515)</f>
        <v>New York Knicks</v>
      </c>
      <c r="J518" s="10">
        <f>IF(Planilha1!D515="","",Planilha1!D515)</f>
        <v>128</v>
      </c>
      <c r="K518" s="10" t="str">
        <f>IF(Planilha1!E515="","",IF(Planilha1!E515=0,"",Planilha1!E515))</f>
        <v>Philadelphia 76ers</v>
      </c>
      <c r="L518" s="10">
        <f>IF(Planilha1!F515="","",Planilha1!F515)</f>
        <v>92</v>
      </c>
      <c r="M518" s="10">
        <f>IF(Planilha1!G515="","",IF(Planilha1!G515=0,"",Planilha1!G515))</f>
        <v>92</v>
      </c>
      <c r="N518" s="5">
        <f t="shared" ref="N518:N581" si="71">IF(K518="","",IF(K518&gt;M518,100%,0%))</f>
        <v>1</v>
      </c>
      <c r="O518" s="5">
        <f t="shared" ref="O518:O581" si="72">IF(K518="","",IF(K518&lt;M518,100%,0%))</f>
        <v>0</v>
      </c>
      <c r="P518" s="5">
        <f t="shared" si="65"/>
        <v>0</v>
      </c>
      <c r="Q518" s="5">
        <f t="shared" si="66"/>
        <v>2</v>
      </c>
      <c r="R518" s="7">
        <f t="shared" si="67"/>
        <v>0</v>
      </c>
      <c r="S518" s="7">
        <f t="shared" si="68"/>
        <v>0</v>
      </c>
      <c r="T518" s="3">
        <f t="shared" si="69"/>
        <v>1</v>
      </c>
      <c r="V518" s="1" t="e">
        <f t="shared" si="70"/>
        <v>#DIV/0!</v>
      </c>
    </row>
    <row r="519" spans="8:22" x14ac:dyDescent="0.3">
      <c r="H519" s="10" t="str">
        <f>IF(Planilha1!B516="","",Planilha1!B516)</f>
        <v>8:00p</v>
      </c>
      <c r="I519" s="10" t="str">
        <f>IF(Planilha1!C516="","",Planilha1!C516)</f>
        <v>Charlotte Hornets</v>
      </c>
      <c r="J519" s="10">
        <f>IF(Planilha1!D516="","",Planilha1!D516)</f>
        <v>91</v>
      </c>
      <c r="K519" s="10" t="str">
        <f>IF(Planilha1!E516="","",IF(Planilha1!E516=0,"",Planilha1!E516))</f>
        <v>Chicago Bulls</v>
      </c>
      <c r="L519" s="10">
        <f>IF(Planilha1!F516="","",Planilha1!F516)</f>
        <v>104</v>
      </c>
      <c r="M519" s="10">
        <f>IF(Planilha1!G516="","",IF(Planilha1!G516=0,"",Planilha1!G516))</f>
        <v>104</v>
      </c>
      <c r="N519" s="5">
        <f t="shared" si="71"/>
        <v>1</v>
      </c>
      <c r="O519" s="5">
        <f t="shared" si="72"/>
        <v>0</v>
      </c>
      <c r="P519" s="5">
        <f t="shared" si="65"/>
        <v>0</v>
      </c>
      <c r="Q519" s="5">
        <f t="shared" si="66"/>
        <v>2</v>
      </c>
      <c r="R519" s="7">
        <f t="shared" si="67"/>
        <v>0</v>
      </c>
      <c r="S519" s="7">
        <f t="shared" si="68"/>
        <v>0</v>
      </c>
      <c r="T519" s="3">
        <f t="shared" si="69"/>
        <v>1</v>
      </c>
      <c r="V519" s="1" t="e">
        <f t="shared" si="70"/>
        <v>#DIV/0!</v>
      </c>
    </row>
    <row r="520" spans="8:22" x14ac:dyDescent="0.3">
      <c r="H520" s="10" t="str">
        <f>IF(Planilha1!B517="","",Planilha1!B517)</f>
        <v>8:00p</v>
      </c>
      <c r="I520" s="10" t="str">
        <f>IF(Planilha1!C517="","",Planilha1!C517)</f>
        <v>Minnesota Timberwolves</v>
      </c>
      <c r="J520" s="10">
        <f>IF(Planilha1!D517="","",Planilha1!D517)</f>
        <v>122</v>
      </c>
      <c r="K520" s="10" t="str">
        <f>IF(Planilha1!E517="","",IF(Planilha1!E517=0,"",Planilha1!E517))</f>
        <v>Houston Rockets</v>
      </c>
      <c r="L520" s="10">
        <f>IF(Planilha1!F517="","",Planilha1!F517)</f>
        <v>95</v>
      </c>
      <c r="M520" s="10">
        <f>IF(Planilha1!G517="","",IF(Planilha1!G517=0,"",Planilha1!G517))</f>
        <v>95</v>
      </c>
      <c r="N520" s="5">
        <f t="shared" si="71"/>
        <v>1</v>
      </c>
      <c r="O520" s="5">
        <f t="shared" si="72"/>
        <v>0</v>
      </c>
      <c r="P520" s="5">
        <f t="shared" si="65"/>
        <v>0</v>
      </c>
      <c r="Q520" s="5">
        <f t="shared" si="66"/>
        <v>2</v>
      </c>
      <c r="R520" s="7">
        <f t="shared" si="67"/>
        <v>0</v>
      </c>
      <c r="S520" s="7">
        <f t="shared" si="68"/>
        <v>0</v>
      </c>
      <c r="T520" s="3">
        <f t="shared" si="69"/>
        <v>1</v>
      </c>
      <c r="V520" s="1" t="e">
        <f t="shared" si="70"/>
        <v>#DIV/0!</v>
      </c>
    </row>
    <row r="521" spans="8:22" x14ac:dyDescent="0.3">
      <c r="H521" s="10" t="str">
        <f>IF(Planilha1!B518="","",Planilha1!B518)</f>
        <v>8:00p</v>
      </c>
      <c r="I521" s="10" t="str">
        <f>IF(Planilha1!C518="","",Planilha1!C518)</f>
        <v>Los Angeles Clippers</v>
      </c>
      <c r="J521" s="10">
        <f>IF(Planilha1!D518="","",Planilha1!D518)</f>
        <v>111</v>
      </c>
      <c r="K521" s="10" t="str">
        <f>IF(Planilha1!E518="","",IF(Planilha1!E518=0,"",Planilha1!E518))</f>
        <v>New Orleans Pelicans</v>
      </c>
      <c r="L521" s="10">
        <f>IF(Planilha1!F518="","",Planilha1!F518)</f>
        <v>95</v>
      </c>
      <c r="M521" s="10">
        <f>IF(Planilha1!G518="","",IF(Planilha1!G518=0,"",Planilha1!G518))</f>
        <v>95</v>
      </c>
      <c r="N521" s="5">
        <f t="shared" si="71"/>
        <v>1</v>
      </c>
      <c r="O521" s="5">
        <f t="shared" si="72"/>
        <v>0</v>
      </c>
      <c r="P521" s="5">
        <f t="shared" si="65"/>
        <v>0</v>
      </c>
      <c r="Q521" s="5">
        <f t="shared" si="66"/>
        <v>2</v>
      </c>
      <c r="R521" s="7">
        <f t="shared" si="67"/>
        <v>0</v>
      </c>
      <c r="S521" s="7">
        <f t="shared" si="68"/>
        <v>0</v>
      </c>
      <c r="T521" s="3">
        <f t="shared" si="69"/>
        <v>1</v>
      </c>
      <c r="V521" s="1" t="e">
        <f t="shared" si="70"/>
        <v>#DIV/0!</v>
      </c>
    </row>
    <row r="522" spans="8:22" x14ac:dyDescent="0.3">
      <c r="H522" s="10" t="str">
        <f>IF(Planilha1!B519="","",Planilha1!B519)</f>
        <v>8:30p</v>
      </c>
      <c r="I522" s="10" t="str">
        <f>IF(Planilha1!C519="","",Planilha1!C519)</f>
        <v>Portland Trail Blazers</v>
      </c>
      <c r="J522" s="10">
        <f>IF(Planilha1!D519="","",Planilha1!D519)</f>
        <v>103</v>
      </c>
      <c r="K522" s="10" t="str">
        <f>IF(Planilha1!E519="","",IF(Planilha1!E519=0,"",Planilha1!E519))</f>
        <v>Dallas Mavericks</v>
      </c>
      <c r="L522" s="10">
        <f>IF(Planilha1!F519="","",Planilha1!F519)</f>
        <v>139</v>
      </c>
      <c r="M522" s="10">
        <f>IF(Planilha1!G519="","",IF(Planilha1!G519=0,"",Planilha1!G519))</f>
        <v>139</v>
      </c>
      <c r="N522" s="5">
        <f t="shared" si="71"/>
        <v>1</v>
      </c>
      <c r="O522" s="5">
        <f t="shared" si="72"/>
        <v>0</v>
      </c>
      <c r="P522" s="5">
        <f t="shared" si="65"/>
        <v>0</v>
      </c>
      <c r="Q522" s="5">
        <f t="shared" si="66"/>
        <v>2</v>
      </c>
      <c r="R522" s="7">
        <f t="shared" si="67"/>
        <v>0</v>
      </c>
      <c r="S522" s="7">
        <f t="shared" si="68"/>
        <v>0</v>
      </c>
      <c r="T522" s="3">
        <f t="shared" si="69"/>
        <v>1</v>
      </c>
      <c r="V522" s="1" t="e">
        <f t="shared" si="70"/>
        <v>#DIV/0!</v>
      </c>
    </row>
    <row r="523" spans="8:22" x14ac:dyDescent="0.3">
      <c r="H523" s="10" t="str">
        <f>IF(Planilha1!B520="","",Planilha1!B520)</f>
        <v>9:00p</v>
      </c>
      <c r="I523" s="10" t="str">
        <f>IF(Planilha1!C520="","",Planilha1!C520)</f>
        <v>Orlando Magic</v>
      </c>
      <c r="J523" s="10">
        <f>IF(Planilha1!D520="","",Planilha1!D520)</f>
        <v>122</v>
      </c>
      <c r="K523" s="10" t="str">
        <f>IF(Planilha1!E520="","",IF(Planilha1!E520=0,"",Planilha1!E520))</f>
        <v>Denver Nuggets</v>
      </c>
      <c r="L523" s="10">
        <f>IF(Planilha1!F520="","",Planilha1!F520)</f>
        <v>120</v>
      </c>
      <c r="M523" s="10">
        <f>IF(Planilha1!G520="","",IF(Planilha1!G520=0,"",Planilha1!G520))</f>
        <v>120</v>
      </c>
      <c r="N523" s="5">
        <f t="shared" si="71"/>
        <v>1</v>
      </c>
      <c r="O523" s="5">
        <f t="shared" si="72"/>
        <v>0</v>
      </c>
      <c r="P523" s="5">
        <f t="shared" si="65"/>
        <v>0</v>
      </c>
      <c r="Q523" s="5">
        <f t="shared" si="66"/>
        <v>2</v>
      </c>
      <c r="R523" s="7">
        <f t="shared" si="67"/>
        <v>0</v>
      </c>
      <c r="S523" s="7">
        <f t="shared" si="68"/>
        <v>0</v>
      </c>
      <c r="T523" s="3">
        <f t="shared" si="69"/>
        <v>1</v>
      </c>
      <c r="V523" s="1" t="e">
        <f t="shared" si="70"/>
        <v>#DIV/0!</v>
      </c>
    </row>
    <row r="524" spans="8:22" x14ac:dyDescent="0.3">
      <c r="H524" s="10" t="str">
        <f>IF(Planilha1!B521="","",Planilha1!B521)</f>
        <v>9:00p</v>
      </c>
      <c r="I524" s="10" t="str">
        <f>IF(Planilha1!C521="","",Planilha1!C521)</f>
        <v>Miami Heat</v>
      </c>
      <c r="J524" s="10">
        <f>IF(Planilha1!D521="","",Planilha1!D521)</f>
        <v>97</v>
      </c>
      <c r="K524" s="10" t="str">
        <f>IF(Planilha1!E521="","",IF(Planilha1!E521=0,"",Planilha1!E521))</f>
        <v>Phoenix Suns</v>
      </c>
      <c r="L524" s="10">
        <f>IF(Planilha1!F521="","",Planilha1!F521)</f>
        <v>113</v>
      </c>
      <c r="M524" s="10">
        <f>IF(Planilha1!G521="","",IF(Planilha1!G521=0,"",Planilha1!G521))</f>
        <v>113</v>
      </c>
      <c r="N524" s="5">
        <f t="shared" si="71"/>
        <v>1</v>
      </c>
      <c r="O524" s="5">
        <f t="shared" si="72"/>
        <v>0</v>
      </c>
      <c r="P524" s="5">
        <f t="shared" si="65"/>
        <v>0</v>
      </c>
      <c r="Q524" s="5">
        <f t="shared" si="66"/>
        <v>2</v>
      </c>
      <c r="R524" s="7">
        <f t="shared" si="67"/>
        <v>0</v>
      </c>
      <c r="S524" s="7">
        <f t="shared" si="68"/>
        <v>0</v>
      </c>
      <c r="T524" s="3">
        <f t="shared" si="69"/>
        <v>1</v>
      </c>
      <c r="V524" s="1" t="e">
        <f t="shared" si="70"/>
        <v>#DIV/0!</v>
      </c>
    </row>
    <row r="525" spans="8:22" x14ac:dyDescent="0.3">
      <c r="H525" s="10" t="str">
        <f>IF(Planilha1!B522="","",Planilha1!B522)</f>
        <v>10:00p</v>
      </c>
      <c r="I525" s="10" t="str">
        <f>IF(Planilha1!C522="","",Planilha1!C522)</f>
        <v>Detroit Pistons</v>
      </c>
      <c r="J525" s="10">
        <f>IF(Planilha1!D522="","",Planilha1!D522)</f>
        <v>109</v>
      </c>
      <c r="K525" s="10" t="str">
        <f>IF(Planilha1!E522="","",IF(Planilha1!E522=0,"",Planilha1!E522))</f>
        <v>Golden State Warriors</v>
      </c>
      <c r="L525" s="10">
        <f>IF(Planilha1!F522="","",Planilha1!F522)</f>
        <v>113</v>
      </c>
      <c r="M525" s="10">
        <f>IF(Planilha1!G522="","",IF(Planilha1!G522=0,"",Planilha1!G522))</f>
        <v>113</v>
      </c>
      <c r="N525" s="5">
        <f t="shared" si="71"/>
        <v>1</v>
      </c>
      <c r="O525" s="5">
        <f t="shared" si="72"/>
        <v>0</v>
      </c>
      <c r="P525" s="5">
        <f t="shared" si="65"/>
        <v>0</v>
      </c>
      <c r="Q525" s="5">
        <f t="shared" si="66"/>
        <v>2</v>
      </c>
      <c r="R525" s="7">
        <f t="shared" si="67"/>
        <v>0</v>
      </c>
      <c r="S525" s="7">
        <f t="shared" si="68"/>
        <v>0</v>
      </c>
      <c r="T525" s="3">
        <f t="shared" si="69"/>
        <v>1</v>
      </c>
      <c r="V525" s="1" t="e">
        <f t="shared" si="70"/>
        <v>#DIV/0!</v>
      </c>
    </row>
    <row r="526" spans="8:22" x14ac:dyDescent="0.3">
      <c r="H526" s="10" t="str">
        <f>IF(Planilha1!B523="","",Planilha1!B523)</f>
        <v>10:00p</v>
      </c>
      <c r="I526" s="10" t="str">
        <f>IF(Planilha1!C523="","",Planilha1!C523)</f>
        <v>Memphis Grizzlies</v>
      </c>
      <c r="J526" s="10">
        <f>IF(Planilha1!D523="","",Planilha1!D523)</f>
        <v>127</v>
      </c>
      <c r="K526" s="10" t="str">
        <f>IF(Planilha1!E523="","",IF(Planilha1!E523=0,"",Planilha1!E523))</f>
        <v>Los Angeles Lakers</v>
      </c>
      <c r="L526" s="10">
        <f>IF(Planilha1!F523="","",Planilha1!F523)</f>
        <v>113</v>
      </c>
      <c r="M526" s="10">
        <f>IF(Planilha1!G523="","",IF(Planilha1!G523=0,"",Planilha1!G523))</f>
        <v>113</v>
      </c>
      <c r="N526" s="5">
        <f t="shared" si="71"/>
        <v>1</v>
      </c>
      <c r="O526" s="5">
        <f t="shared" si="72"/>
        <v>0</v>
      </c>
      <c r="P526" s="5">
        <f t="shared" si="65"/>
        <v>0</v>
      </c>
      <c r="Q526" s="5">
        <f t="shared" si="66"/>
        <v>2</v>
      </c>
      <c r="R526" s="7">
        <f t="shared" si="67"/>
        <v>0</v>
      </c>
      <c r="S526" s="7">
        <f t="shared" si="68"/>
        <v>0</v>
      </c>
      <c r="T526" s="3">
        <f t="shared" si="69"/>
        <v>1</v>
      </c>
      <c r="V526" s="1" t="e">
        <f t="shared" si="70"/>
        <v>#DIV/0!</v>
      </c>
    </row>
    <row r="527" spans="8:22" x14ac:dyDescent="0.3">
      <c r="H527" s="10" t="str">
        <f>IF(Planilha1!B524="","",Planilha1!B524)</f>
        <v>10:00p</v>
      </c>
      <c r="I527" s="10" t="str">
        <f>IF(Planilha1!C524="","",Planilha1!C524)</f>
        <v>Toronto Raptors</v>
      </c>
      <c r="J527" s="10">
        <f>IF(Planilha1!D524="","",Planilha1!D524)</f>
        <v>130</v>
      </c>
      <c r="K527" s="10" t="str">
        <f>IF(Planilha1!E524="","",IF(Planilha1!E524=0,"",Planilha1!E524))</f>
        <v>Sacramento Kings</v>
      </c>
      <c r="L527" s="10">
        <f>IF(Planilha1!F524="","",Planilha1!F524)</f>
        <v>135</v>
      </c>
      <c r="M527" s="10">
        <f>IF(Planilha1!G524="","",IF(Planilha1!G524=0,"",Planilha1!G524))</f>
        <v>135</v>
      </c>
      <c r="N527" s="5">
        <f t="shared" si="71"/>
        <v>1</v>
      </c>
      <c r="O527" s="5">
        <f t="shared" si="72"/>
        <v>0</v>
      </c>
      <c r="P527" s="5">
        <f t="shared" si="65"/>
        <v>0</v>
      </c>
      <c r="Q527" s="5">
        <f t="shared" si="66"/>
        <v>2</v>
      </c>
      <c r="R527" s="7">
        <f t="shared" si="67"/>
        <v>0</v>
      </c>
      <c r="S527" s="7">
        <f t="shared" si="68"/>
        <v>0</v>
      </c>
      <c r="T527" s="3">
        <f t="shared" si="69"/>
        <v>1</v>
      </c>
      <c r="V527" s="1" t="e">
        <f t="shared" si="70"/>
        <v>#DIV/0!</v>
      </c>
    </row>
    <row r="528" spans="8:22" x14ac:dyDescent="0.3">
      <c r="H528" s="10" t="str">
        <f>IF(Planilha1!B525="","",Planilha1!B525)</f>
        <v>7:00p</v>
      </c>
      <c r="I528" s="10" t="str">
        <f>IF(Planilha1!C525="","",Planilha1!C525)</f>
        <v>Boston Celtics</v>
      </c>
      <c r="J528" s="10">
        <f>IF(Planilha1!D525="","",Planilha1!D525)</f>
        <v>118</v>
      </c>
      <c r="K528" s="10" t="str">
        <f>IF(Planilha1!E525="","",IF(Planilha1!E525=0,"",Planilha1!E525))</f>
        <v>Indiana Pacers</v>
      </c>
      <c r="L528" s="10">
        <f>IF(Planilha1!F525="","",Planilha1!F525)</f>
        <v>101</v>
      </c>
      <c r="M528" s="10">
        <f>IF(Planilha1!G525="","",IF(Planilha1!G525=0,"",Planilha1!G525))</f>
        <v>101</v>
      </c>
      <c r="N528" s="5">
        <f t="shared" si="71"/>
        <v>1</v>
      </c>
      <c r="O528" s="5">
        <f t="shared" si="72"/>
        <v>0</v>
      </c>
      <c r="P528" s="5">
        <f t="shared" si="65"/>
        <v>0</v>
      </c>
      <c r="Q528" s="5">
        <f t="shared" si="66"/>
        <v>2</v>
      </c>
      <c r="R528" s="7">
        <f t="shared" si="67"/>
        <v>0</v>
      </c>
      <c r="S528" s="7">
        <f t="shared" si="68"/>
        <v>0</v>
      </c>
      <c r="T528" s="3">
        <f t="shared" si="69"/>
        <v>1</v>
      </c>
      <c r="V528" s="1" t="e">
        <f t="shared" si="70"/>
        <v>#DIV/0!</v>
      </c>
    </row>
    <row r="529" spans="8:22" x14ac:dyDescent="0.3">
      <c r="H529" s="10" t="str">
        <f>IF(Planilha1!B526="","",Planilha1!B526)</f>
        <v>7:00p</v>
      </c>
      <c r="I529" s="10" t="str">
        <f>IF(Planilha1!C526="","",Planilha1!C526)</f>
        <v>New York Knicks</v>
      </c>
      <c r="J529" s="10">
        <f>IF(Planilha1!D526="","",Planilha1!D526)</f>
        <v>121</v>
      </c>
      <c r="K529" s="10" t="str">
        <f>IF(Planilha1!E526="","",IF(Planilha1!E526=0,"",Planilha1!E526))</f>
        <v>Washington Wizards</v>
      </c>
      <c r="L529" s="10">
        <f>IF(Planilha1!F526="","",Planilha1!F526)</f>
        <v>105</v>
      </c>
      <c r="M529" s="10">
        <f>IF(Planilha1!G526="","",IF(Planilha1!G526=0,"",Planilha1!G526))</f>
        <v>105</v>
      </c>
      <c r="N529" s="5">
        <f t="shared" si="71"/>
        <v>1</v>
      </c>
      <c r="O529" s="5">
        <f t="shared" si="72"/>
        <v>0</v>
      </c>
      <c r="P529" s="5">
        <f t="shared" si="65"/>
        <v>0</v>
      </c>
      <c r="Q529" s="5">
        <f t="shared" si="66"/>
        <v>2</v>
      </c>
      <c r="R529" s="7">
        <f t="shared" si="67"/>
        <v>0</v>
      </c>
      <c r="S529" s="7">
        <f t="shared" si="68"/>
        <v>0</v>
      </c>
      <c r="T529" s="3">
        <f t="shared" si="69"/>
        <v>1</v>
      </c>
      <c r="V529" s="1" t="e">
        <f t="shared" si="70"/>
        <v>#DIV/0!</v>
      </c>
    </row>
    <row r="530" spans="8:22" x14ac:dyDescent="0.3">
      <c r="H530" s="10" t="str">
        <f>IF(Planilha1!B527="","",Planilha1!B527)</f>
        <v>7:30p</v>
      </c>
      <c r="I530" s="10" t="str">
        <f>IF(Planilha1!C527="","",Planilha1!C527)</f>
        <v>Utah Jazz</v>
      </c>
      <c r="J530" s="10">
        <f>IF(Planilha1!D527="","",Planilha1!D527)</f>
        <v>120</v>
      </c>
      <c r="K530" s="10" t="str">
        <f>IF(Planilha1!E527="","",IF(Planilha1!E527=0,"",Planilha1!E527))</f>
        <v>Philadelphia 76ers</v>
      </c>
      <c r="L530" s="10">
        <f>IF(Planilha1!F527="","",Planilha1!F527)</f>
        <v>109</v>
      </c>
      <c r="M530" s="10">
        <f>IF(Planilha1!G527="","",IF(Planilha1!G527=0,"",Planilha1!G527))</f>
        <v>109</v>
      </c>
      <c r="N530" s="5">
        <f t="shared" si="71"/>
        <v>1</v>
      </c>
      <c r="O530" s="5">
        <f t="shared" si="72"/>
        <v>0</v>
      </c>
      <c r="P530" s="5">
        <f t="shared" si="65"/>
        <v>0</v>
      </c>
      <c r="Q530" s="5">
        <f t="shared" si="66"/>
        <v>2</v>
      </c>
      <c r="R530" s="7">
        <f t="shared" si="67"/>
        <v>0</v>
      </c>
      <c r="S530" s="7">
        <f t="shared" si="68"/>
        <v>0</v>
      </c>
      <c r="T530" s="3">
        <f t="shared" si="69"/>
        <v>1</v>
      </c>
      <c r="V530" s="1" t="e">
        <f t="shared" si="70"/>
        <v>#DIV/0!</v>
      </c>
    </row>
    <row r="531" spans="8:22" x14ac:dyDescent="0.3">
      <c r="H531" s="10" t="str">
        <f>IF(Planilha1!B528="","",Planilha1!B528)</f>
        <v>8:00p</v>
      </c>
      <c r="I531" s="10" t="str">
        <f>IF(Planilha1!C528="","",Planilha1!C528)</f>
        <v>Milwaukee Bucks</v>
      </c>
      <c r="J531" s="10">
        <f>IF(Planilha1!D528="","",Planilha1!D528)</f>
        <v>108</v>
      </c>
      <c r="K531" s="10" t="str">
        <f>IF(Planilha1!E528="","",IF(Planilha1!E528=0,"",Planilha1!E528))</f>
        <v>Houston Rockets</v>
      </c>
      <c r="L531" s="10">
        <f>IF(Planilha1!F528="","",Planilha1!F528)</f>
        <v>112</v>
      </c>
      <c r="M531" s="10">
        <f>IF(Planilha1!G528="","",IF(Planilha1!G528=0,"",Planilha1!G528))</f>
        <v>112</v>
      </c>
      <c r="N531" s="5">
        <f t="shared" si="71"/>
        <v>1</v>
      </c>
      <c r="O531" s="5">
        <f t="shared" si="72"/>
        <v>0</v>
      </c>
      <c r="P531" s="5">
        <f t="shared" si="65"/>
        <v>0</v>
      </c>
      <c r="Q531" s="5">
        <f t="shared" si="66"/>
        <v>2</v>
      </c>
      <c r="R531" s="7">
        <f t="shared" si="67"/>
        <v>0</v>
      </c>
      <c r="S531" s="7">
        <f t="shared" si="68"/>
        <v>0</v>
      </c>
      <c r="T531" s="3">
        <f t="shared" si="69"/>
        <v>1</v>
      </c>
      <c r="V531" s="1" t="e">
        <f t="shared" si="70"/>
        <v>#DIV/0!</v>
      </c>
    </row>
    <row r="532" spans="8:22" x14ac:dyDescent="0.3">
      <c r="H532" s="10" t="str">
        <f>IF(Planilha1!B529="","",Planilha1!B529)</f>
        <v>1:00p</v>
      </c>
      <c r="I532" s="10" t="str">
        <f>IF(Planilha1!C529="","",Planilha1!C529)</f>
        <v>San Antonio Spurs</v>
      </c>
      <c r="J532" s="10">
        <f>IF(Planilha1!D529="","",Planilha1!D529)</f>
        <v>115</v>
      </c>
      <c r="K532" s="10" t="str">
        <f>IF(Planilha1!E529="","",IF(Planilha1!E529=0,"",Planilha1!E529))</f>
        <v>Cleveland Cavaliers</v>
      </c>
      <c r="L532" s="10">
        <f>IF(Planilha1!F529="","",Planilha1!F529)</f>
        <v>117</v>
      </c>
      <c r="M532" s="10">
        <f>IF(Planilha1!G529="","",IF(Planilha1!G529=0,"",Planilha1!G529))</f>
        <v>117</v>
      </c>
      <c r="N532" s="5">
        <f t="shared" si="71"/>
        <v>1</v>
      </c>
      <c r="O532" s="5">
        <f t="shared" si="72"/>
        <v>0</v>
      </c>
      <c r="P532" s="5">
        <f t="shared" si="65"/>
        <v>0</v>
      </c>
      <c r="Q532" s="5">
        <f t="shared" si="66"/>
        <v>2</v>
      </c>
      <c r="R532" s="7">
        <f t="shared" si="67"/>
        <v>0</v>
      </c>
      <c r="S532" s="7">
        <f t="shared" si="68"/>
        <v>0</v>
      </c>
      <c r="T532" s="3">
        <f t="shared" si="69"/>
        <v>1</v>
      </c>
      <c r="V532" s="1" t="e">
        <f t="shared" si="70"/>
        <v>#DIV/0!</v>
      </c>
    </row>
    <row r="533" spans="8:22" x14ac:dyDescent="0.3">
      <c r="H533" s="10" t="str">
        <f>IF(Planilha1!B530="","",Planilha1!B530)</f>
        <v>3:00p</v>
      </c>
      <c r="I533" s="10" t="str">
        <f>IF(Planilha1!C530="","",Planilha1!C530)</f>
        <v>Portland Trail Blazers</v>
      </c>
      <c r="J533" s="10">
        <f>IF(Planilha1!D530="","",Planilha1!D530)</f>
        <v>134</v>
      </c>
      <c r="K533" s="10" t="str">
        <f>IF(Planilha1!E530="","",IF(Planilha1!E530=0,"",Planilha1!E530))</f>
        <v>Brooklyn Nets</v>
      </c>
      <c r="L533" s="10">
        <f>IF(Planilha1!F530="","",Planilha1!F530)</f>
        <v>127</v>
      </c>
      <c r="M533" s="10">
        <f>IF(Planilha1!G530="","",IF(Planilha1!G530=0,"",Planilha1!G530))</f>
        <v>127</v>
      </c>
      <c r="N533" s="5">
        <f t="shared" si="71"/>
        <v>1</v>
      </c>
      <c r="O533" s="5">
        <f t="shared" si="72"/>
        <v>0</v>
      </c>
      <c r="P533" s="5">
        <f t="shared" si="65"/>
        <v>0</v>
      </c>
      <c r="Q533" s="5">
        <f t="shared" si="66"/>
        <v>2</v>
      </c>
      <c r="R533" s="7">
        <f t="shared" si="67"/>
        <v>0</v>
      </c>
      <c r="S533" s="7">
        <f t="shared" si="68"/>
        <v>0</v>
      </c>
      <c r="T533" s="3">
        <f t="shared" si="69"/>
        <v>1</v>
      </c>
      <c r="V533" s="1" t="e">
        <f t="shared" si="70"/>
        <v>#DIV/0!</v>
      </c>
    </row>
    <row r="534" spans="8:22" x14ac:dyDescent="0.3">
      <c r="H534" s="10" t="str">
        <f>IF(Planilha1!B531="","",Planilha1!B531)</f>
        <v>6:00p</v>
      </c>
      <c r="I534" s="10" t="str">
        <f>IF(Planilha1!C531="","",Planilha1!C531)</f>
        <v>Atlanta Hawks</v>
      </c>
      <c r="J534" s="10">
        <f>IF(Planilha1!D531="","",Planilha1!D531)</f>
        <v>110</v>
      </c>
      <c r="K534" s="10" t="str">
        <f>IF(Planilha1!E531="","",IF(Planilha1!E531=0,"",Planilha1!E531))</f>
        <v>Orlando Magic</v>
      </c>
      <c r="L534" s="10">
        <f>IF(Planilha1!F531="","",Planilha1!F531)</f>
        <v>117</v>
      </c>
      <c r="M534" s="10">
        <f>IF(Planilha1!G531="","",IF(Planilha1!G531=0,"",Planilha1!G531))</f>
        <v>117</v>
      </c>
      <c r="N534" s="5">
        <f t="shared" si="71"/>
        <v>1</v>
      </c>
      <c r="O534" s="5">
        <f t="shared" si="72"/>
        <v>0</v>
      </c>
      <c r="P534" s="5">
        <f t="shared" si="65"/>
        <v>0</v>
      </c>
      <c r="Q534" s="5">
        <f t="shared" si="66"/>
        <v>2</v>
      </c>
      <c r="R534" s="7">
        <f t="shared" si="67"/>
        <v>0</v>
      </c>
      <c r="S534" s="7">
        <f t="shared" si="68"/>
        <v>0</v>
      </c>
      <c r="T534" s="3">
        <f t="shared" si="69"/>
        <v>1</v>
      </c>
      <c r="V534" s="1" t="e">
        <f t="shared" si="70"/>
        <v>#DIV/0!</v>
      </c>
    </row>
    <row r="535" spans="8:22" x14ac:dyDescent="0.3">
      <c r="H535" s="10" t="str">
        <f>IF(Planilha1!B532="","",Planilha1!B532)</f>
        <v>6:00p</v>
      </c>
      <c r="I535" s="10" t="str">
        <f>IF(Planilha1!C532="","",Planilha1!C532)</f>
        <v>New Orleans Pelicans</v>
      </c>
      <c r="J535" s="10">
        <f>IF(Planilha1!D532="","",Planilha1!D532)</f>
        <v>133</v>
      </c>
      <c r="K535" s="10" t="str">
        <f>IF(Planilha1!E532="","",IF(Planilha1!E532=0,"",Planilha1!E532))</f>
        <v>Sacramento Kings</v>
      </c>
      <c r="L535" s="10">
        <f>IF(Planilha1!F532="","",Planilha1!F532)</f>
        <v>100</v>
      </c>
      <c r="M535" s="10">
        <f>IF(Planilha1!G532="","",IF(Planilha1!G532=0,"",Planilha1!G532))</f>
        <v>100</v>
      </c>
      <c r="N535" s="5">
        <f t="shared" si="71"/>
        <v>1</v>
      </c>
      <c r="O535" s="5">
        <f t="shared" si="72"/>
        <v>0</v>
      </c>
      <c r="P535" s="5">
        <f t="shared" si="65"/>
        <v>0</v>
      </c>
      <c r="Q535" s="5">
        <f t="shared" si="66"/>
        <v>2</v>
      </c>
      <c r="R535" s="7">
        <f t="shared" si="67"/>
        <v>0</v>
      </c>
      <c r="S535" s="7">
        <f t="shared" si="68"/>
        <v>0</v>
      </c>
      <c r="T535" s="3">
        <f t="shared" si="69"/>
        <v>1</v>
      </c>
      <c r="V535" s="1" t="e">
        <f t="shared" si="70"/>
        <v>#DIV/0!</v>
      </c>
    </row>
    <row r="536" spans="8:22" x14ac:dyDescent="0.3">
      <c r="H536" s="10" t="str">
        <f>IF(Planilha1!B533="","",Planilha1!B533)</f>
        <v>7:30p</v>
      </c>
      <c r="I536" s="10" t="str">
        <f>IF(Planilha1!C533="","",Planilha1!C533)</f>
        <v>Minnesota Timberwolves</v>
      </c>
      <c r="J536" s="10">
        <f>IF(Planilha1!D533="","",Planilha1!D533)</f>
        <v>108</v>
      </c>
      <c r="K536" s="10" t="str">
        <f>IF(Planilha1!E533="","",IF(Planilha1!E533=0,"",Planilha1!E533))</f>
        <v>Dallas Mavericks</v>
      </c>
      <c r="L536" s="10">
        <f>IF(Planilha1!F533="","",Planilha1!F533)</f>
        <v>115</v>
      </c>
      <c r="M536" s="10">
        <f>IF(Planilha1!G533="","",IF(Planilha1!G533=0,"",Planilha1!G533))</f>
        <v>115</v>
      </c>
      <c r="N536" s="5">
        <f t="shared" si="71"/>
        <v>1</v>
      </c>
      <c r="O536" s="5">
        <f t="shared" si="72"/>
        <v>0</v>
      </c>
      <c r="P536" s="5">
        <f t="shared" si="65"/>
        <v>0</v>
      </c>
      <c r="Q536" s="5">
        <f t="shared" si="66"/>
        <v>2</v>
      </c>
      <c r="R536" s="7">
        <f t="shared" si="67"/>
        <v>0</v>
      </c>
      <c r="S536" s="7">
        <f t="shared" si="68"/>
        <v>0</v>
      </c>
      <c r="T536" s="3">
        <f t="shared" si="69"/>
        <v>1</v>
      </c>
      <c r="V536" s="1" t="e">
        <f t="shared" si="70"/>
        <v>#DIV/0!</v>
      </c>
    </row>
    <row r="537" spans="8:22" x14ac:dyDescent="0.3">
      <c r="H537" s="10" t="str">
        <f>IF(Planilha1!B534="","",Planilha1!B534)</f>
        <v>8:00p</v>
      </c>
      <c r="I537" s="10" t="str">
        <f>IF(Planilha1!C534="","",Planilha1!C534)</f>
        <v>Detroit Pistons</v>
      </c>
      <c r="J537" s="10">
        <f>IF(Planilha1!D534="","",Planilha1!D534)</f>
        <v>114</v>
      </c>
      <c r="K537" s="10" t="str">
        <f>IF(Planilha1!E534="","",IF(Planilha1!E534=0,"",Planilha1!E534))</f>
        <v>Denver Nuggets</v>
      </c>
      <c r="L537" s="10">
        <f>IF(Planilha1!F534="","",Planilha1!F534)</f>
        <v>131</v>
      </c>
      <c r="M537" s="10">
        <f>IF(Planilha1!G534="","",IF(Planilha1!G534=0,"",Planilha1!G534))</f>
        <v>131</v>
      </c>
      <c r="N537" s="5">
        <f t="shared" si="71"/>
        <v>1</v>
      </c>
      <c r="O537" s="5">
        <f t="shared" si="72"/>
        <v>0</v>
      </c>
      <c r="P537" s="5">
        <f t="shared" si="65"/>
        <v>0</v>
      </c>
      <c r="Q537" s="5">
        <f t="shared" si="66"/>
        <v>2</v>
      </c>
      <c r="R537" s="7">
        <f t="shared" si="67"/>
        <v>0</v>
      </c>
      <c r="S537" s="7">
        <f t="shared" si="68"/>
        <v>0</v>
      </c>
      <c r="T537" s="3">
        <f t="shared" si="69"/>
        <v>1</v>
      </c>
      <c r="V537" s="1" t="e">
        <f t="shared" si="70"/>
        <v>#DIV/0!</v>
      </c>
    </row>
    <row r="538" spans="8:22" x14ac:dyDescent="0.3">
      <c r="H538" s="10" t="str">
        <f>IF(Planilha1!B535="","",Planilha1!B535)</f>
        <v>8:00p</v>
      </c>
      <c r="I538" s="10" t="str">
        <f>IF(Planilha1!C535="","",Planilha1!C535)</f>
        <v>Memphis Grizzlies</v>
      </c>
      <c r="J538" s="10">
        <f>IF(Planilha1!D535="","",Planilha1!D535)</f>
        <v>121</v>
      </c>
      <c r="K538" s="10" t="str">
        <f>IF(Planilha1!E535="","",IF(Planilha1!E535=0,"",Planilha1!E535))</f>
        <v>Phoenix Suns</v>
      </c>
      <c r="L538" s="10">
        <f>IF(Planilha1!F535="","",Planilha1!F535)</f>
        <v>115</v>
      </c>
      <c r="M538" s="10">
        <f>IF(Planilha1!G535="","",IF(Planilha1!G535=0,"",Planilha1!G535))</f>
        <v>115</v>
      </c>
      <c r="N538" s="5">
        <f t="shared" si="71"/>
        <v>1</v>
      </c>
      <c r="O538" s="5">
        <f t="shared" si="72"/>
        <v>0</v>
      </c>
      <c r="P538" s="5">
        <f t="shared" si="65"/>
        <v>0</v>
      </c>
      <c r="Q538" s="5">
        <f t="shared" si="66"/>
        <v>2</v>
      </c>
      <c r="R538" s="7">
        <f t="shared" si="67"/>
        <v>0</v>
      </c>
      <c r="S538" s="7">
        <f t="shared" si="68"/>
        <v>0</v>
      </c>
      <c r="T538" s="3">
        <f t="shared" si="69"/>
        <v>1</v>
      </c>
      <c r="V538" s="1" t="e">
        <f t="shared" si="70"/>
        <v>#DIV/0!</v>
      </c>
    </row>
    <row r="539" spans="8:22" x14ac:dyDescent="0.3">
      <c r="H539" s="10" t="str">
        <f>IF(Planilha1!B536="","",Planilha1!B536)</f>
        <v>8:30p</v>
      </c>
      <c r="I539" s="10" t="str">
        <f>IF(Planilha1!C536="","",Planilha1!C536)</f>
        <v>Toronto Raptors</v>
      </c>
      <c r="J539" s="10">
        <f>IF(Planilha1!D536="","",Planilha1!D536)</f>
        <v>133</v>
      </c>
      <c r="K539" s="10" t="str">
        <f>IF(Planilha1!E536="","",IF(Planilha1!E536=0,"",Planilha1!E536))</f>
        <v>Golden State Warriors</v>
      </c>
      <c r="L539" s="10">
        <f>IF(Planilha1!F536="","",Planilha1!F536)</f>
        <v>118</v>
      </c>
      <c r="M539" s="10">
        <f>IF(Planilha1!G536="","",IF(Planilha1!G536=0,"",Planilha1!G536))</f>
        <v>118</v>
      </c>
      <c r="N539" s="5">
        <f t="shared" si="71"/>
        <v>1</v>
      </c>
      <c r="O539" s="5">
        <f t="shared" si="72"/>
        <v>0</v>
      </c>
      <c r="P539" s="5">
        <f t="shared" si="65"/>
        <v>0</v>
      </c>
      <c r="Q539" s="5">
        <f t="shared" si="66"/>
        <v>2</v>
      </c>
      <c r="R539" s="7">
        <f t="shared" si="67"/>
        <v>0</v>
      </c>
      <c r="S539" s="7">
        <f t="shared" si="68"/>
        <v>0</v>
      </c>
      <c r="T539" s="3">
        <f t="shared" si="69"/>
        <v>1</v>
      </c>
      <c r="V539" s="1" t="e">
        <f t="shared" si="70"/>
        <v>#DIV/0!</v>
      </c>
    </row>
    <row r="540" spans="8:22" x14ac:dyDescent="0.3">
      <c r="H540" s="10" t="str">
        <f>IF(Planilha1!B537="","",Planilha1!B537)</f>
        <v>9:30p</v>
      </c>
      <c r="I540" s="10" t="str">
        <f>IF(Planilha1!C537="","",Planilha1!C537)</f>
        <v>Los Angeles Clippers</v>
      </c>
      <c r="J540" s="10">
        <f>IF(Planilha1!D537="","",Planilha1!D537)</f>
        <v>103</v>
      </c>
      <c r="K540" s="10" t="str">
        <f>IF(Planilha1!E537="","",IF(Planilha1!E537=0,"",Planilha1!E537))</f>
        <v>Los Angeles Lakers</v>
      </c>
      <c r="L540" s="10">
        <f>IF(Planilha1!F537="","",Planilha1!F537)</f>
        <v>106</v>
      </c>
      <c r="M540" s="10">
        <f>IF(Planilha1!G537="","",IF(Planilha1!G537=0,"",Planilha1!G537))</f>
        <v>106</v>
      </c>
      <c r="N540" s="5">
        <f t="shared" si="71"/>
        <v>1</v>
      </c>
      <c r="O540" s="5">
        <f t="shared" si="72"/>
        <v>0</v>
      </c>
      <c r="P540" s="5">
        <f t="shared" si="65"/>
        <v>0</v>
      </c>
      <c r="Q540" s="5">
        <f t="shared" si="66"/>
        <v>2</v>
      </c>
      <c r="R540" s="7">
        <f t="shared" si="67"/>
        <v>0</v>
      </c>
      <c r="S540" s="7">
        <f t="shared" si="68"/>
        <v>0</v>
      </c>
      <c r="T540" s="3">
        <f t="shared" si="69"/>
        <v>1</v>
      </c>
      <c r="V540" s="1" t="e">
        <f t="shared" si="70"/>
        <v>#DIV/0!</v>
      </c>
    </row>
    <row r="541" spans="8:22" x14ac:dyDescent="0.3">
      <c r="H541" s="10" t="str">
        <f>IF(Planilha1!B538="","",Planilha1!B538)</f>
        <v>7:00p</v>
      </c>
      <c r="I541" s="10" t="str">
        <f>IF(Planilha1!C538="","",Planilha1!C538)</f>
        <v>Chicago Bulls</v>
      </c>
      <c r="J541" s="10">
        <f>IF(Planilha1!D538="","",Planilha1!D538)</f>
        <v>119</v>
      </c>
      <c r="K541" s="10" t="str">
        <f>IF(Planilha1!E538="","",IF(Planilha1!E538=0,"",Planilha1!E538))</f>
        <v>Charlotte Hornets</v>
      </c>
      <c r="L541" s="10">
        <f>IF(Planilha1!F538="","",Planilha1!F538)</f>
        <v>112</v>
      </c>
      <c r="M541" s="10">
        <f>IF(Planilha1!G538="","",IF(Planilha1!G538=0,"",Planilha1!G538))</f>
        <v>112</v>
      </c>
      <c r="N541" s="5">
        <f t="shared" si="71"/>
        <v>1</v>
      </c>
      <c r="O541" s="5">
        <f t="shared" si="72"/>
        <v>0</v>
      </c>
      <c r="P541" s="5">
        <f t="shared" si="65"/>
        <v>0</v>
      </c>
      <c r="Q541" s="5">
        <f t="shared" si="66"/>
        <v>2</v>
      </c>
      <c r="R541" s="7">
        <f t="shared" si="67"/>
        <v>0</v>
      </c>
      <c r="S541" s="7">
        <f t="shared" si="68"/>
        <v>0</v>
      </c>
      <c r="T541" s="3">
        <f t="shared" si="69"/>
        <v>1</v>
      </c>
      <c r="V541" s="1" t="e">
        <f t="shared" si="70"/>
        <v>#DIV/0!</v>
      </c>
    </row>
    <row r="542" spans="8:22" x14ac:dyDescent="0.3">
      <c r="H542" s="10" t="str">
        <f>IF(Planilha1!B539="","",Planilha1!B539)</f>
        <v>7:00p</v>
      </c>
      <c r="I542" s="10" t="str">
        <f>IF(Planilha1!C539="","",Planilha1!C539)</f>
        <v>Boston Celtics</v>
      </c>
      <c r="J542" s="10">
        <f>IF(Planilha1!D539="","",Planilha1!D539)</f>
        <v>131</v>
      </c>
      <c r="K542" s="10" t="str">
        <f>IF(Planilha1!E539="","",IF(Planilha1!E539=0,"",Planilha1!E539))</f>
        <v>Indiana Pacers</v>
      </c>
      <c r="L542" s="10">
        <f>IF(Planilha1!F539="","",Planilha1!F539)</f>
        <v>133</v>
      </c>
      <c r="M542" s="10">
        <f>IF(Planilha1!G539="","",IF(Planilha1!G539=0,"",Planilha1!G539))</f>
        <v>133</v>
      </c>
      <c r="N542" s="5">
        <f t="shared" si="71"/>
        <v>1</v>
      </c>
      <c r="O542" s="5">
        <f t="shared" si="72"/>
        <v>0</v>
      </c>
      <c r="P542" s="5">
        <f t="shared" si="65"/>
        <v>0</v>
      </c>
      <c r="Q542" s="5">
        <f t="shared" si="66"/>
        <v>2</v>
      </c>
      <c r="R542" s="7">
        <f t="shared" si="67"/>
        <v>0</v>
      </c>
      <c r="S542" s="7">
        <f t="shared" si="68"/>
        <v>0</v>
      </c>
      <c r="T542" s="3">
        <f t="shared" si="69"/>
        <v>1</v>
      </c>
      <c r="V542" s="1" t="e">
        <f t="shared" si="70"/>
        <v>#DIV/0!</v>
      </c>
    </row>
    <row r="543" spans="8:22" x14ac:dyDescent="0.3">
      <c r="H543" s="10" t="str">
        <f>IF(Planilha1!B540="","",Planilha1!B540)</f>
        <v>7:00p</v>
      </c>
      <c r="I543" s="10" t="str">
        <f>IF(Planilha1!C540="","",Planilha1!C540)</f>
        <v>Oklahoma City Thunder</v>
      </c>
      <c r="J543" s="10">
        <f>IF(Planilha1!D540="","",Planilha1!D540)</f>
        <v>136</v>
      </c>
      <c r="K543" s="10" t="str">
        <f>IF(Planilha1!E540="","",IF(Planilha1!E540=0,"",Planilha1!E540))</f>
        <v>Washington Wizards</v>
      </c>
      <c r="L543" s="10">
        <f>IF(Planilha1!F540="","",Planilha1!F540)</f>
        <v>128</v>
      </c>
      <c r="M543" s="10">
        <f>IF(Planilha1!G540="","",IF(Planilha1!G540=0,"",Planilha1!G540))</f>
        <v>128</v>
      </c>
      <c r="N543" s="5">
        <f t="shared" si="71"/>
        <v>1</v>
      </c>
      <c r="O543" s="5">
        <f t="shared" si="72"/>
        <v>0</v>
      </c>
      <c r="P543" s="5">
        <f t="shared" si="65"/>
        <v>0</v>
      </c>
      <c r="Q543" s="5">
        <f t="shared" si="66"/>
        <v>2</v>
      </c>
      <c r="R543" s="7">
        <f t="shared" si="67"/>
        <v>0</v>
      </c>
      <c r="S543" s="7">
        <f t="shared" si="68"/>
        <v>0</v>
      </c>
      <c r="T543" s="3">
        <f t="shared" si="69"/>
        <v>1</v>
      </c>
      <c r="V543" s="1" t="e">
        <f t="shared" si="70"/>
        <v>#DIV/0!</v>
      </c>
    </row>
    <row r="544" spans="8:22" x14ac:dyDescent="0.3">
      <c r="H544" s="10" t="str">
        <f>IF(Planilha1!B541="","",Planilha1!B541)</f>
        <v>7:30p</v>
      </c>
      <c r="I544" s="10" t="str">
        <f>IF(Planilha1!C541="","",Planilha1!C541)</f>
        <v>Houston Rockets</v>
      </c>
      <c r="J544" s="10">
        <f>IF(Planilha1!D541="","",Planilha1!D541)</f>
        <v>113</v>
      </c>
      <c r="K544" s="10" t="str">
        <f>IF(Planilha1!E541="","",IF(Planilha1!E541=0,"",Planilha1!E541))</f>
        <v>Miami Heat</v>
      </c>
      <c r="L544" s="10">
        <f>IF(Planilha1!F541="","",Planilha1!F541)</f>
        <v>120</v>
      </c>
      <c r="M544" s="10">
        <f>IF(Planilha1!G541="","",IF(Planilha1!G541=0,"",Planilha1!G541))</f>
        <v>120</v>
      </c>
      <c r="N544" s="5">
        <f t="shared" si="71"/>
        <v>1</v>
      </c>
      <c r="O544" s="5">
        <f t="shared" si="72"/>
        <v>0</v>
      </c>
      <c r="P544" s="5">
        <f t="shared" si="65"/>
        <v>0</v>
      </c>
      <c r="Q544" s="5">
        <f t="shared" si="66"/>
        <v>2</v>
      </c>
      <c r="R544" s="7">
        <f t="shared" si="67"/>
        <v>0</v>
      </c>
      <c r="S544" s="7">
        <f t="shared" si="68"/>
        <v>0</v>
      </c>
      <c r="T544" s="3">
        <f t="shared" si="69"/>
        <v>1</v>
      </c>
      <c r="V544" s="1" t="e">
        <f t="shared" si="70"/>
        <v>#DIV/0!</v>
      </c>
    </row>
    <row r="545" spans="8:22" x14ac:dyDescent="0.3">
      <c r="H545" s="10" t="str">
        <f>IF(Planilha1!B542="","",Planilha1!B542)</f>
        <v>8:00p</v>
      </c>
      <c r="I545" s="10" t="str">
        <f>IF(Planilha1!C542="","",Planilha1!C542)</f>
        <v>Utah Jazz</v>
      </c>
      <c r="J545" s="10">
        <f>IF(Planilha1!D542="","",Planilha1!D542)</f>
        <v>132</v>
      </c>
      <c r="K545" s="10" t="str">
        <f>IF(Planilha1!E542="","",IF(Planilha1!E542=0,"",Planilha1!E542))</f>
        <v>Milwaukee Bucks</v>
      </c>
      <c r="L545" s="10">
        <f>IF(Planilha1!F542="","",Planilha1!F542)</f>
        <v>116</v>
      </c>
      <c r="M545" s="10">
        <f>IF(Planilha1!G542="","",IF(Planilha1!G542=0,"",Planilha1!G542))</f>
        <v>116</v>
      </c>
      <c r="N545" s="5">
        <f t="shared" si="71"/>
        <v>1</v>
      </c>
      <c r="O545" s="5">
        <f t="shared" si="72"/>
        <v>0</v>
      </c>
      <c r="P545" s="5">
        <f t="shared" si="65"/>
        <v>0</v>
      </c>
      <c r="Q545" s="5">
        <f t="shared" si="66"/>
        <v>2</v>
      </c>
      <c r="R545" s="7">
        <f t="shared" si="67"/>
        <v>0</v>
      </c>
      <c r="S545" s="7">
        <f t="shared" si="68"/>
        <v>0</v>
      </c>
      <c r="T545" s="3">
        <f t="shared" si="69"/>
        <v>1</v>
      </c>
      <c r="V545" s="1" t="e">
        <f t="shared" si="70"/>
        <v>#DIV/0!</v>
      </c>
    </row>
    <row r="546" spans="8:22" x14ac:dyDescent="0.3">
      <c r="H546" s="10" t="str">
        <f>IF(Planilha1!B543="","",Planilha1!B543)</f>
        <v>10:30p</v>
      </c>
      <c r="I546" s="10" t="str">
        <f>IF(Planilha1!C543="","",Planilha1!C543)</f>
        <v>Phoenix Suns</v>
      </c>
      <c r="J546" s="10">
        <f>IF(Planilha1!D543="","",Planilha1!D543)</f>
        <v>111</v>
      </c>
      <c r="K546" s="10" t="str">
        <f>IF(Planilha1!E543="","",IF(Planilha1!E543=0,"",Planilha1!E543))</f>
        <v>Los Angeles Clippers</v>
      </c>
      <c r="L546" s="10">
        <f>IF(Planilha1!F543="","",Planilha1!F543)</f>
        <v>138</v>
      </c>
      <c r="M546" s="10">
        <f>IF(Planilha1!G543="","",IF(Planilha1!G543=0,"",Planilha1!G543))</f>
        <v>138</v>
      </c>
      <c r="N546" s="5">
        <f t="shared" si="71"/>
        <v>1</v>
      </c>
      <c r="O546" s="5">
        <f t="shared" si="72"/>
        <v>0</v>
      </c>
      <c r="P546" s="5">
        <f t="shared" si="65"/>
        <v>0</v>
      </c>
      <c r="Q546" s="5">
        <f t="shared" si="66"/>
        <v>2</v>
      </c>
      <c r="R546" s="7">
        <f t="shared" si="67"/>
        <v>0</v>
      </c>
      <c r="S546" s="7">
        <f t="shared" si="68"/>
        <v>0</v>
      </c>
      <c r="T546" s="3">
        <f t="shared" si="69"/>
        <v>1</v>
      </c>
      <c r="V546" s="1" t="e">
        <f t="shared" si="70"/>
        <v>#DIV/0!</v>
      </c>
    </row>
    <row r="547" spans="8:22" x14ac:dyDescent="0.3">
      <c r="H547" s="10" t="str">
        <f>IF(Planilha1!B544="","",Planilha1!B544)</f>
        <v>7:00p</v>
      </c>
      <c r="I547" s="10" t="str">
        <f>IF(Planilha1!C544="","",Planilha1!C544)</f>
        <v>Sacramento Kings</v>
      </c>
      <c r="J547" s="10">
        <f>IF(Planilha1!D544="","",Planilha1!D544)</f>
        <v>131</v>
      </c>
      <c r="K547" s="10" t="str">
        <f>IF(Planilha1!E544="","",IF(Planilha1!E544=0,"",Planilha1!E544))</f>
        <v>Detroit Pistons</v>
      </c>
      <c r="L547" s="10">
        <f>IF(Planilha1!F544="","",Planilha1!F544)</f>
        <v>110</v>
      </c>
      <c r="M547" s="10">
        <f>IF(Planilha1!G544="","",IF(Planilha1!G544=0,"",Planilha1!G544))</f>
        <v>110</v>
      </c>
      <c r="N547" s="5">
        <f t="shared" si="71"/>
        <v>1</v>
      </c>
      <c r="O547" s="5">
        <f t="shared" si="72"/>
        <v>0</v>
      </c>
      <c r="P547" s="5">
        <f t="shared" si="65"/>
        <v>0</v>
      </c>
      <c r="Q547" s="5">
        <f t="shared" si="66"/>
        <v>2</v>
      </c>
      <c r="R547" s="7">
        <f t="shared" si="67"/>
        <v>0</v>
      </c>
      <c r="S547" s="7">
        <f t="shared" si="68"/>
        <v>0</v>
      </c>
      <c r="T547" s="3">
        <f t="shared" si="69"/>
        <v>1</v>
      </c>
      <c r="V547" s="1" t="e">
        <f t="shared" si="70"/>
        <v>#DIV/0!</v>
      </c>
    </row>
    <row r="548" spans="8:22" x14ac:dyDescent="0.3">
      <c r="H548" s="10" t="str">
        <f>IF(Planilha1!B545="","",Planilha1!B545)</f>
        <v>7:00p</v>
      </c>
      <c r="I548" s="10" t="str">
        <f>IF(Planilha1!C545="","",Planilha1!C545)</f>
        <v>Minnesota Timberwolves</v>
      </c>
      <c r="J548" s="10">
        <f>IF(Planilha1!D545="","",Planilha1!D545)</f>
        <v>113</v>
      </c>
      <c r="K548" s="10" t="str">
        <f>IF(Planilha1!E545="","",IF(Planilha1!E545=0,"",Planilha1!E545))</f>
        <v>Orlando Magic</v>
      </c>
      <c r="L548" s="10">
        <f>IF(Planilha1!F545="","",Planilha1!F545)</f>
        <v>92</v>
      </c>
      <c r="M548" s="10">
        <f>IF(Planilha1!G545="","",IF(Planilha1!G545=0,"",Planilha1!G545))</f>
        <v>92</v>
      </c>
      <c r="N548" s="5">
        <f t="shared" si="71"/>
        <v>1</v>
      </c>
      <c r="O548" s="5">
        <f t="shared" si="72"/>
        <v>0</v>
      </c>
      <c r="P548" s="5">
        <f t="shared" si="65"/>
        <v>0</v>
      </c>
      <c r="Q548" s="5">
        <f t="shared" si="66"/>
        <v>2</v>
      </c>
      <c r="R548" s="7">
        <f t="shared" si="67"/>
        <v>0</v>
      </c>
      <c r="S548" s="7">
        <f t="shared" si="68"/>
        <v>0</v>
      </c>
      <c r="T548" s="3">
        <f t="shared" si="69"/>
        <v>1</v>
      </c>
      <c r="V548" s="1" t="e">
        <f t="shared" si="70"/>
        <v>#DIV/0!</v>
      </c>
    </row>
    <row r="549" spans="8:22" x14ac:dyDescent="0.3">
      <c r="H549" s="10" t="str">
        <f>IF(Planilha1!B546="","",Planilha1!B546)</f>
        <v>7:30p</v>
      </c>
      <c r="I549" s="10" t="str">
        <f>IF(Planilha1!C546="","",Planilha1!C546)</f>
        <v>Portland Trail Blazers</v>
      </c>
      <c r="J549" s="10">
        <f>IF(Planilha1!D546="","",Planilha1!D546)</f>
        <v>84</v>
      </c>
      <c r="K549" s="10" t="str">
        <f>IF(Planilha1!E546="","",IF(Planilha1!E546=0,"",Planilha1!E546))</f>
        <v>New York Knicks</v>
      </c>
      <c r="L549" s="10">
        <f>IF(Planilha1!F546="","",Planilha1!F546)</f>
        <v>112</v>
      </c>
      <c r="M549" s="10">
        <f>IF(Planilha1!G546="","",IF(Planilha1!G546=0,"",Planilha1!G546))</f>
        <v>112</v>
      </c>
      <c r="N549" s="5">
        <f t="shared" si="71"/>
        <v>1</v>
      </c>
      <c r="O549" s="5">
        <f t="shared" si="72"/>
        <v>0</v>
      </c>
      <c r="P549" s="5">
        <f t="shared" si="65"/>
        <v>0</v>
      </c>
      <c r="Q549" s="5">
        <f t="shared" si="66"/>
        <v>2</v>
      </c>
      <c r="R549" s="7">
        <f t="shared" si="67"/>
        <v>0</v>
      </c>
      <c r="S549" s="7">
        <f t="shared" si="68"/>
        <v>0</v>
      </c>
      <c r="T549" s="3">
        <f t="shared" si="69"/>
        <v>1</v>
      </c>
      <c r="V549" s="1" t="e">
        <f t="shared" si="70"/>
        <v>#DIV/0!</v>
      </c>
    </row>
    <row r="550" spans="8:22" x14ac:dyDescent="0.3">
      <c r="H550" s="10" t="str">
        <f>IF(Planilha1!B547="","",Planilha1!B547)</f>
        <v>8:30p</v>
      </c>
      <c r="I550" s="10" t="str">
        <f>IF(Planilha1!C547="","",Planilha1!C547)</f>
        <v>Memphis Grizzlies</v>
      </c>
      <c r="J550" s="10">
        <f>IF(Planilha1!D547="","",Planilha1!D547)</f>
        <v>120</v>
      </c>
      <c r="K550" s="10" t="str">
        <f>IF(Planilha1!E547="","",IF(Planilha1!E547=0,"",Planilha1!E547))</f>
        <v>Dallas Mavericks</v>
      </c>
      <c r="L550" s="10">
        <f>IF(Planilha1!F547="","",Planilha1!F547)</f>
        <v>103</v>
      </c>
      <c r="M550" s="10">
        <f>IF(Planilha1!G547="","",IF(Planilha1!G547=0,"",Planilha1!G547))</f>
        <v>103</v>
      </c>
      <c r="N550" s="5">
        <f t="shared" si="71"/>
        <v>1</v>
      </c>
      <c r="O550" s="5">
        <f t="shared" si="72"/>
        <v>0</v>
      </c>
      <c r="P550" s="5">
        <f t="shared" si="65"/>
        <v>0</v>
      </c>
      <c r="Q550" s="5">
        <f t="shared" si="66"/>
        <v>2</v>
      </c>
      <c r="R550" s="7">
        <f t="shared" si="67"/>
        <v>0</v>
      </c>
      <c r="S550" s="7">
        <f t="shared" si="68"/>
        <v>0</v>
      </c>
      <c r="T550" s="3">
        <f t="shared" si="69"/>
        <v>1</v>
      </c>
      <c r="V550" s="1" t="e">
        <f t="shared" si="70"/>
        <v>#DIV/0!</v>
      </c>
    </row>
    <row r="551" spans="8:22" x14ac:dyDescent="0.3">
      <c r="H551" s="10" t="str">
        <f>IF(Planilha1!B548="","",Planilha1!B548)</f>
        <v>10:30p</v>
      </c>
      <c r="I551" s="10" t="str">
        <f>IF(Planilha1!C548="","",Planilha1!C548)</f>
        <v>Toronto Raptors</v>
      </c>
      <c r="J551" s="10">
        <f>IF(Planilha1!D548="","",Planilha1!D548)</f>
        <v>131</v>
      </c>
      <c r="K551" s="10" t="str">
        <f>IF(Planilha1!E548="","",IF(Planilha1!E548=0,"",Planilha1!E548))</f>
        <v>Los Angeles Lakers</v>
      </c>
      <c r="L551" s="10">
        <f>IF(Planilha1!F548="","",Planilha1!F548)</f>
        <v>132</v>
      </c>
      <c r="M551" s="10">
        <f>IF(Planilha1!G548="","",IF(Planilha1!G548=0,"",Planilha1!G548))</f>
        <v>132</v>
      </c>
      <c r="N551" s="5">
        <f t="shared" si="71"/>
        <v>1</v>
      </c>
      <c r="O551" s="5">
        <f t="shared" si="72"/>
        <v>0</v>
      </c>
      <c r="P551" s="5">
        <f t="shared" si="65"/>
        <v>0</v>
      </c>
      <c r="Q551" s="5">
        <f t="shared" si="66"/>
        <v>2</v>
      </c>
      <c r="R551" s="7">
        <f t="shared" si="67"/>
        <v>0</v>
      </c>
      <c r="S551" s="7">
        <f t="shared" si="68"/>
        <v>0</v>
      </c>
      <c r="T551" s="3">
        <f t="shared" si="69"/>
        <v>1</v>
      </c>
      <c r="V551" s="1" t="e">
        <f t="shared" si="70"/>
        <v>#DIV/0!</v>
      </c>
    </row>
    <row r="552" spans="8:22" x14ac:dyDescent="0.3">
      <c r="H552" s="10" t="str">
        <f>IF(Planilha1!B549="","",Planilha1!B549)</f>
        <v>7:00p</v>
      </c>
      <c r="I552" s="10" t="str">
        <f>IF(Planilha1!C549="","",Planilha1!C549)</f>
        <v>Minnesota Timberwolves</v>
      </c>
      <c r="J552" s="10">
        <f>IF(Planilha1!D549="","",Planilha1!D549)</f>
        <v>120</v>
      </c>
      <c r="K552" s="10" t="str">
        <f>IF(Planilha1!E549="","",IF(Planilha1!E549=0,"",Planilha1!E549))</f>
        <v>Boston Celtics</v>
      </c>
      <c r="L552" s="10">
        <f>IF(Planilha1!F549="","",Planilha1!F549)</f>
        <v>127</v>
      </c>
      <c r="M552" s="10">
        <f>IF(Planilha1!G549="","",IF(Planilha1!G549=0,"",Planilha1!G549))</f>
        <v>127</v>
      </c>
      <c r="N552" s="5">
        <f t="shared" si="71"/>
        <v>1</v>
      </c>
      <c r="O552" s="5">
        <f t="shared" si="72"/>
        <v>0</v>
      </c>
      <c r="P552" s="5">
        <f t="shared" si="65"/>
        <v>0</v>
      </c>
      <c r="Q552" s="5">
        <f t="shared" si="66"/>
        <v>2</v>
      </c>
      <c r="R552" s="7">
        <f t="shared" si="67"/>
        <v>0</v>
      </c>
      <c r="S552" s="7">
        <f t="shared" si="68"/>
        <v>0</v>
      </c>
      <c r="T552" s="3">
        <f t="shared" si="69"/>
        <v>1</v>
      </c>
      <c r="V552" s="1" t="e">
        <f t="shared" si="70"/>
        <v>#DIV/0!</v>
      </c>
    </row>
    <row r="553" spans="8:22" x14ac:dyDescent="0.3">
      <c r="H553" s="10" t="str">
        <f>IF(Planilha1!B550="","",Planilha1!B550)</f>
        <v>7:00p</v>
      </c>
      <c r="I553" s="10" t="str">
        <f>IF(Planilha1!C550="","",Planilha1!C550)</f>
        <v>Sacramento Kings</v>
      </c>
      <c r="J553" s="10">
        <f>IF(Planilha1!D550="","",Planilha1!D550)</f>
        <v>123</v>
      </c>
      <c r="K553" s="10" t="str">
        <f>IF(Planilha1!E550="","",IF(Planilha1!E550=0,"",Planilha1!E550))</f>
        <v>Charlotte Hornets</v>
      </c>
      <c r="L553" s="10">
        <f>IF(Planilha1!F550="","",Planilha1!F550)</f>
        <v>98</v>
      </c>
      <c r="M553" s="10">
        <f>IF(Planilha1!G550="","",IF(Planilha1!G550=0,"",Planilha1!G550))</f>
        <v>98</v>
      </c>
      <c r="N553" s="5">
        <f t="shared" si="71"/>
        <v>1</v>
      </c>
      <c r="O553" s="5">
        <f t="shared" si="72"/>
        <v>0</v>
      </c>
      <c r="P553" s="5">
        <f t="shared" si="65"/>
        <v>0</v>
      </c>
      <c r="Q553" s="5">
        <f t="shared" si="66"/>
        <v>2</v>
      </c>
      <c r="R553" s="7">
        <f t="shared" si="67"/>
        <v>0</v>
      </c>
      <c r="S553" s="7">
        <f t="shared" si="68"/>
        <v>0</v>
      </c>
      <c r="T553" s="3">
        <f t="shared" si="69"/>
        <v>1</v>
      </c>
      <c r="V553" s="1" t="e">
        <f t="shared" si="70"/>
        <v>#DIV/0!</v>
      </c>
    </row>
    <row r="554" spans="8:22" x14ac:dyDescent="0.3">
      <c r="H554" s="10" t="str">
        <f>IF(Planilha1!B551="","",Planilha1!B551)</f>
        <v>7:00p</v>
      </c>
      <c r="I554" s="10" t="str">
        <f>IF(Planilha1!C551="","",Planilha1!C551)</f>
        <v>San Antonio Spurs</v>
      </c>
      <c r="J554" s="10">
        <f>IF(Planilha1!D551="","",Planilha1!D551)</f>
        <v>130</v>
      </c>
      <c r="K554" s="10" t="str">
        <f>IF(Planilha1!E551="","",IF(Planilha1!E551=0,"",Planilha1!E551))</f>
        <v>Detroit Pistons</v>
      </c>
      <c r="L554" s="10">
        <f>IF(Planilha1!F551="","",Planilha1!F551)</f>
        <v>108</v>
      </c>
      <c r="M554" s="10">
        <f>IF(Planilha1!G551="","",IF(Planilha1!G551=0,"",Planilha1!G551))</f>
        <v>108</v>
      </c>
      <c r="N554" s="5">
        <f t="shared" si="71"/>
        <v>1</v>
      </c>
      <c r="O554" s="5">
        <f t="shared" si="72"/>
        <v>0</v>
      </c>
      <c r="P554" s="5">
        <f t="shared" si="65"/>
        <v>0</v>
      </c>
      <c r="Q554" s="5">
        <f t="shared" si="66"/>
        <v>2</v>
      </c>
      <c r="R554" s="7">
        <f t="shared" si="67"/>
        <v>0</v>
      </c>
      <c r="S554" s="7">
        <f t="shared" si="68"/>
        <v>0</v>
      </c>
      <c r="T554" s="3">
        <f t="shared" si="69"/>
        <v>1</v>
      </c>
      <c r="V554" s="1" t="e">
        <f t="shared" si="70"/>
        <v>#DIV/0!</v>
      </c>
    </row>
    <row r="555" spans="8:22" x14ac:dyDescent="0.3">
      <c r="H555" s="10" t="str">
        <f>IF(Planilha1!B552="","",Planilha1!B552)</f>
        <v>7:00p</v>
      </c>
      <c r="I555" s="10" t="str">
        <f>IF(Planilha1!C552="","",Planilha1!C552)</f>
        <v>Washington Wizards</v>
      </c>
      <c r="J555" s="10">
        <f>IF(Planilha1!D552="","",Planilha1!D552)</f>
        <v>104</v>
      </c>
      <c r="K555" s="10" t="str">
        <f>IF(Planilha1!E552="","",IF(Planilha1!E552=0,"",Planilha1!E552))</f>
        <v>Indiana Pacers</v>
      </c>
      <c r="L555" s="10">
        <f>IF(Planilha1!F552="","",Planilha1!F552)</f>
        <v>112</v>
      </c>
      <c r="M555" s="10">
        <f>IF(Planilha1!G552="","",IF(Planilha1!G552=0,"",Planilha1!G552))</f>
        <v>112</v>
      </c>
      <c r="N555" s="5">
        <f t="shared" si="71"/>
        <v>1</v>
      </c>
      <c r="O555" s="5">
        <f t="shared" si="72"/>
        <v>0</v>
      </c>
      <c r="P555" s="5">
        <f t="shared" si="65"/>
        <v>0</v>
      </c>
      <c r="Q555" s="5">
        <f t="shared" si="66"/>
        <v>2</v>
      </c>
      <c r="R555" s="7">
        <f t="shared" si="67"/>
        <v>0</v>
      </c>
      <c r="S555" s="7">
        <f t="shared" si="68"/>
        <v>0</v>
      </c>
      <c r="T555" s="3">
        <f t="shared" si="69"/>
        <v>1</v>
      </c>
      <c r="V555" s="1" t="e">
        <f t="shared" si="70"/>
        <v>#DIV/0!</v>
      </c>
    </row>
    <row r="556" spans="8:22" x14ac:dyDescent="0.3">
      <c r="H556" s="10" t="str">
        <f>IF(Planilha1!B553="","",Planilha1!B553)</f>
        <v>7:30p</v>
      </c>
      <c r="I556" s="10" t="str">
        <f>IF(Planilha1!C553="","",Planilha1!C553)</f>
        <v>Philadelphia 76ers</v>
      </c>
      <c r="J556" s="10">
        <f>IF(Planilha1!D553="","",Planilha1!D553)</f>
        <v>132</v>
      </c>
      <c r="K556" s="10" t="str">
        <f>IF(Planilha1!E553="","",IF(Planilha1!E553=0,"",Planilha1!E553))</f>
        <v>Atlanta Hawks</v>
      </c>
      <c r="L556" s="10">
        <f>IF(Planilha1!F553="","",Planilha1!F553)</f>
        <v>139</v>
      </c>
      <c r="M556" s="10">
        <f>IF(Planilha1!G553="","",IF(Planilha1!G553=0,"",Planilha1!G553))</f>
        <v>139</v>
      </c>
      <c r="N556" s="5">
        <f t="shared" si="71"/>
        <v>1</v>
      </c>
      <c r="O556" s="5">
        <f t="shared" si="72"/>
        <v>0</v>
      </c>
      <c r="P556" s="5">
        <f t="shared" si="65"/>
        <v>0</v>
      </c>
      <c r="Q556" s="5">
        <f t="shared" si="66"/>
        <v>2</v>
      </c>
      <c r="R556" s="7">
        <f t="shared" si="67"/>
        <v>0</v>
      </c>
      <c r="S556" s="7">
        <f t="shared" si="68"/>
        <v>0</v>
      </c>
      <c r="T556" s="3">
        <f t="shared" si="69"/>
        <v>1</v>
      </c>
      <c r="V556" s="1" t="e">
        <f t="shared" si="70"/>
        <v>#DIV/0!</v>
      </c>
    </row>
    <row r="557" spans="8:22" x14ac:dyDescent="0.3">
      <c r="H557" s="10" t="str">
        <f>IF(Planilha1!B554="","",Planilha1!B554)</f>
        <v>7:30p</v>
      </c>
      <c r="I557" s="10" t="str">
        <f>IF(Planilha1!C554="","",Planilha1!C554)</f>
        <v>Oklahoma City Thunder</v>
      </c>
      <c r="J557" s="10">
        <f>IF(Planilha1!D554="","",Planilha1!D554)</f>
        <v>128</v>
      </c>
      <c r="K557" s="10" t="str">
        <f>IF(Planilha1!E554="","",IF(Planilha1!E554=0,"",Planilha1!E554))</f>
        <v>Miami Heat</v>
      </c>
      <c r="L557" s="10">
        <f>IF(Planilha1!F554="","",Planilha1!F554)</f>
        <v>120</v>
      </c>
      <c r="M557" s="10">
        <f>IF(Planilha1!G554="","",IF(Planilha1!G554=0,"",Planilha1!G554))</f>
        <v>120</v>
      </c>
      <c r="N557" s="5">
        <f t="shared" si="71"/>
        <v>1</v>
      </c>
      <c r="O557" s="5">
        <f t="shared" si="72"/>
        <v>0</v>
      </c>
      <c r="P557" s="5">
        <f t="shared" si="65"/>
        <v>0</v>
      </c>
      <c r="Q557" s="5">
        <f t="shared" si="66"/>
        <v>2</v>
      </c>
      <c r="R557" s="7">
        <f t="shared" si="67"/>
        <v>0</v>
      </c>
      <c r="S557" s="7">
        <f t="shared" si="68"/>
        <v>0</v>
      </c>
      <c r="T557" s="3">
        <f t="shared" si="69"/>
        <v>1</v>
      </c>
      <c r="V557" s="1" t="e">
        <f t="shared" si="70"/>
        <v>#DIV/0!</v>
      </c>
    </row>
    <row r="558" spans="8:22" x14ac:dyDescent="0.3">
      <c r="H558" s="10" t="str">
        <f>IF(Planilha1!B555="","",Planilha1!B555)</f>
        <v>8:00p</v>
      </c>
      <c r="I558" s="10" t="str">
        <f>IF(Planilha1!C555="","",Planilha1!C555)</f>
        <v>Houston Rockets</v>
      </c>
      <c r="J558" s="10">
        <f>IF(Planilha1!D555="","",Planilha1!D555)</f>
        <v>119</v>
      </c>
      <c r="K558" s="10" t="str">
        <f>IF(Planilha1!E555="","",IF(Planilha1!E555=0,"",Planilha1!E555))</f>
        <v>Chicago Bulls</v>
      </c>
      <c r="L558" s="10">
        <f>IF(Planilha1!F555="","",Planilha1!F555)</f>
        <v>124</v>
      </c>
      <c r="M558" s="10">
        <f>IF(Planilha1!G555="","",IF(Planilha1!G555=0,"",Planilha1!G555))</f>
        <v>124</v>
      </c>
      <c r="N558" s="5">
        <f t="shared" si="71"/>
        <v>1</v>
      </c>
      <c r="O558" s="5">
        <f t="shared" si="72"/>
        <v>0</v>
      </c>
      <c r="P558" s="5">
        <f t="shared" si="65"/>
        <v>0</v>
      </c>
      <c r="Q558" s="5">
        <f t="shared" si="66"/>
        <v>2</v>
      </c>
      <c r="R558" s="7">
        <f t="shared" si="67"/>
        <v>0</v>
      </c>
      <c r="S558" s="7">
        <f t="shared" si="68"/>
        <v>0</v>
      </c>
      <c r="T558" s="3">
        <f t="shared" si="69"/>
        <v>1</v>
      </c>
      <c r="V558" s="1" t="e">
        <f t="shared" si="70"/>
        <v>#DIV/0!</v>
      </c>
    </row>
    <row r="559" spans="8:22" x14ac:dyDescent="0.3">
      <c r="H559" s="10" t="str">
        <f>IF(Planilha1!B556="","",Planilha1!B556)</f>
        <v>8:30p</v>
      </c>
      <c r="I559" s="10" t="str">
        <f>IF(Planilha1!C556="","",Planilha1!C556)</f>
        <v>New Orleans Pelicans</v>
      </c>
      <c r="J559" s="10">
        <f>IF(Planilha1!D556="","",Planilha1!D556)</f>
        <v>141</v>
      </c>
      <c r="K559" s="10" t="str">
        <f>IF(Planilha1!E556="","",IF(Planilha1!E556=0,"",Planilha1!E556))</f>
        <v>Golden State Warriors</v>
      </c>
      <c r="L559" s="10">
        <f>IF(Planilha1!F556="","",Planilha1!F556)</f>
        <v>105</v>
      </c>
      <c r="M559" s="10">
        <f>IF(Planilha1!G556="","",IF(Planilha1!G556=0,"",Planilha1!G556))</f>
        <v>105</v>
      </c>
      <c r="N559" s="5">
        <f t="shared" si="71"/>
        <v>1</v>
      </c>
      <c r="O559" s="5">
        <f t="shared" si="72"/>
        <v>0</v>
      </c>
      <c r="P559" s="5">
        <f t="shared" si="65"/>
        <v>0</v>
      </c>
      <c r="Q559" s="5">
        <f t="shared" si="66"/>
        <v>2</v>
      </c>
      <c r="R559" s="7">
        <f t="shared" si="67"/>
        <v>0</v>
      </c>
      <c r="S559" s="7">
        <f t="shared" si="68"/>
        <v>0</v>
      </c>
      <c r="T559" s="3">
        <f t="shared" si="69"/>
        <v>1</v>
      </c>
      <c r="V559" s="1" t="e">
        <f t="shared" si="70"/>
        <v>#DIV/0!</v>
      </c>
    </row>
    <row r="560" spans="8:22" x14ac:dyDescent="0.3">
      <c r="H560" s="10" t="str">
        <f>IF(Planilha1!B557="","",Planilha1!B557)</f>
        <v>10:00p</v>
      </c>
      <c r="I560" s="10" t="str">
        <f>IF(Planilha1!C557="","",Planilha1!C557)</f>
        <v>Denver Nuggets</v>
      </c>
      <c r="J560" s="10">
        <f>IF(Planilha1!D557="","",Planilha1!D557)</f>
        <v>111</v>
      </c>
      <c r="K560" s="10" t="str">
        <f>IF(Planilha1!E557="","",IF(Planilha1!E557=0,"",Planilha1!E557))</f>
        <v>Utah Jazz</v>
      </c>
      <c r="L560" s="10">
        <f>IF(Planilha1!F557="","",Planilha1!F557)</f>
        <v>124</v>
      </c>
      <c r="M560" s="10">
        <f>IF(Planilha1!G557="","",IF(Planilha1!G557=0,"",Planilha1!G557))</f>
        <v>124</v>
      </c>
      <c r="N560" s="5">
        <f t="shared" si="71"/>
        <v>1</v>
      </c>
      <c r="O560" s="5">
        <f t="shared" si="72"/>
        <v>0</v>
      </c>
      <c r="P560" s="5">
        <f t="shared" si="65"/>
        <v>0</v>
      </c>
      <c r="Q560" s="5">
        <f t="shared" si="66"/>
        <v>2</v>
      </c>
      <c r="R560" s="7">
        <f t="shared" si="67"/>
        <v>0</v>
      </c>
      <c r="S560" s="7">
        <f t="shared" si="68"/>
        <v>0</v>
      </c>
      <c r="T560" s="3">
        <f t="shared" si="69"/>
        <v>1</v>
      </c>
      <c r="V560" s="1" t="e">
        <f t="shared" si="70"/>
        <v>#DIV/0!</v>
      </c>
    </row>
    <row r="561" spans="8:22" x14ac:dyDescent="0.3">
      <c r="H561" s="10" t="str">
        <f>IF(Planilha1!B558="","",Planilha1!B558)</f>
        <v>10:30p</v>
      </c>
      <c r="I561" s="10" t="str">
        <f>IF(Planilha1!C558="","",Planilha1!C558)</f>
        <v>Toronto Raptors</v>
      </c>
      <c r="J561" s="10">
        <f>IF(Planilha1!D558="","",Planilha1!D558)</f>
        <v>120</v>
      </c>
      <c r="K561" s="10" t="str">
        <f>IF(Planilha1!E558="","",IF(Planilha1!E558=0,"",Planilha1!E558))</f>
        <v>Los Angeles Clippers</v>
      </c>
      <c r="L561" s="10">
        <f>IF(Planilha1!F558="","",Planilha1!F558)</f>
        <v>126</v>
      </c>
      <c r="M561" s="10">
        <f>IF(Planilha1!G558="","",IF(Planilha1!G558=0,"",Planilha1!G558))</f>
        <v>126</v>
      </c>
      <c r="N561" s="5">
        <f t="shared" si="71"/>
        <v>1</v>
      </c>
      <c r="O561" s="5">
        <f t="shared" si="72"/>
        <v>0</v>
      </c>
      <c r="P561" s="5">
        <f t="shared" si="65"/>
        <v>0</v>
      </c>
      <c r="Q561" s="5">
        <f t="shared" si="66"/>
        <v>2</v>
      </c>
      <c r="R561" s="7">
        <f t="shared" si="67"/>
        <v>0</v>
      </c>
      <c r="S561" s="7">
        <f t="shared" si="68"/>
        <v>0</v>
      </c>
      <c r="T561" s="3">
        <f t="shared" si="69"/>
        <v>1</v>
      </c>
      <c r="V561" s="1" t="e">
        <f t="shared" si="70"/>
        <v>#DIV/0!</v>
      </c>
    </row>
    <row r="562" spans="8:22" x14ac:dyDescent="0.3">
      <c r="H562" s="10" t="str">
        <f>IF(Planilha1!B559="","",Planilha1!B559)</f>
        <v>2:00p</v>
      </c>
      <c r="I562" s="10" t="str">
        <f>IF(Planilha1!C559="","",Planilha1!C559)</f>
        <v>Brooklyn Nets</v>
      </c>
      <c r="J562" s="10">
        <f>IF(Planilha1!D559="","",Planilha1!D559)</f>
        <v>102</v>
      </c>
      <c r="K562" s="10" t="str">
        <f>IF(Planilha1!E559="","",IF(Planilha1!E559=0,"",Planilha1!E559))</f>
        <v>Cleveland Cavaliers</v>
      </c>
      <c r="L562" s="10">
        <f>IF(Planilha1!F559="","",Planilha1!F559)</f>
        <v>111</v>
      </c>
      <c r="M562" s="10">
        <f>IF(Planilha1!G559="","",IF(Planilha1!G559=0,"",Planilha1!G559))</f>
        <v>111</v>
      </c>
      <c r="N562" s="5">
        <f t="shared" si="71"/>
        <v>1</v>
      </c>
      <c r="O562" s="5">
        <f t="shared" si="72"/>
        <v>0</v>
      </c>
      <c r="P562" s="5">
        <f t="shared" si="65"/>
        <v>0</v>
      </c>
      <c r="Q562" s="5">
        <f t="shared" si="66"/>
        <v>2</v>
      </c>
      <c r="R562" s="7">
        <f t="shared" si="67"/>
        <v>0</v>
      </c>
      <c r="S562" s="7">
        <f t="shared" si="68"/>
        <v>0</v>
      </c>
      <c r="T562" s="3">
        <f t="shared" si="69"/>
        <v>1</v>
      </c>
      <c r="V562" s="1" t="e">
        <f t="shared" si="70"/>
        <v>#DIV/0!</v>
      </c>
    </row>
    <row r="563" spans="8:22" x14ac:dyDescent="0.3">
      <c r="H563" s="10" t="str">
        <f>IF(Planilha1!B560="","",Planilha1!B560)</f>
        <v>7:30p</v>
      </c>
      <c r="I563" s="10" t="str">
        <f>IF(Planilha1!C560="","",Planilha1!C560)</f>
        <v>Boston Celtics</v>
      </c>
      <c r="J563" s="10">
        <f>IF(Planilha1!D560="","",Planilha1!D560)</f>
        <v>102</v>
      </c>
      <c r="K563" s="10" t="str">
        <f>IF(Planilha1!E560="","",IF(Planilha1!E560=0,"",Planilha1!E560))</f>
        <v>Milwaukee Bucks</v>
      </c>
      <c r="L563" s="10">
        <f>IF(Planilha1!F560="","",Planilha1!F560)</f>
        <v>135</v>
      </c>
      <c r="M563" s="10">
        <f>IF(Planilha1!G560="","",IF(Planilha1!G560=0,"",Planilha1!G560))</f>
        <v>135</v>
      </c>
      <c r="N563" s="5">
        <f t="shared" si="71"/>
        <v>1</v>
      </c>
      <c r="O563" s="5">
        <f t="shared" si="72"/>
        <v>0</v>
      </c>
      <c r="P563" s="5">
        <f t="shared" si="65"/>
        <v>0</v>
      </c>
      <c r="Q563" s="5">
        <f t="shared" si="66"/>
        <v>2</v>
      </c>
      <c r="R563" s="7">
        <f t="shared" si="67"/>
        <v>0</v>
      </c>
      <c r="S563" s="7">
        <f t="shared" si="68"/>
        <v>0</v>
      </c>
      <c r="T563" s="3">
        <f t="shared" si="69"/>
        <v>1</v>
      </c>
      <c r="V563" s="1" t="e">
        <f t="shared" si="70"/>
        <v>#DIV/0!</v>
      </c>
    </row>
    <row r="564" spans="8:22" x14ac:dyDescent="0.3">
      <c r="H564" s="10" t="str">
        <f>IF(Planilha1!B561="","",Planilha1!B561)</f>
        <v>8:00p</v>
      </c>
      <c r="I564" s="10" t="str">
        <f>IF(Planilha1!C561="","",Planilha1!C561)</f>
        <v>Portland Trail Blazers</v>
      </c>
      <c r="J564" s="10">
        <f>IF(Planilha1!D561="","",Planilha1!D561)</f>
        <v>77</v>
      </c>
      <c r="K564" s="10" t="str">
        <f>IF(Planilha1!E561="","",IF(Planilha1!E561=0,"",Planilha1!E561))</f>
        <v>Oklahoma City Thunder</v>
      </c>
      <c r="L564" s="10">
        <f>IF(Planilha1!F561="","",Planilha1!F561)</f>
        <v>139</v>
      </c>
      <c r="M564" s="10">
        <f>IF(Planilha1!G561="","",IF(Planilha1!G561=0,"",Planilha1!G561))</f>
        <v>139</v>
      </c>
      <c r="N564" s="5">
        <f t="shared" si="71"/>
        <v>1</v>
      </c>
      <c r="O564" s="5">
        <f t="shared" si="72"/>
        <v>0</v>
      </c>
      <c r="P564" s="5">
        <f t="shared" si="65"/>
        <v>0</v>
      </c>
      <c r="Q564" s="5">
        <f t="shared" si="66"/>
        <v>2</v>
      </c>
      <c r="R564" s="7">
        <f t="shared" si="67"/>
        <v>0</v>
      </c>
      <c r="S564" s="7">
        <f t="shared" si="68"/>
        <v>0</v>
      </c>
      <c r="T564" s="3">
        <f t="shared" si="69"/>
        <v>1</v>
      </c>
      <c r="V564" s="1" t="e">
        <f t="shared" si="70"/>
        <v>#DIV/0!</v>
      </c>
    </row>
    <row r="565" spans="8:22" x14ac:dyDescent="0.3">
      <c r="H565" s="10" t="str">
        <f>IF(Planilha1!B562="","",Planilha1!B562)</f>
        <v>8:30p</v>
      </c>
      <c r="I565" s="10" t="str">
        <f>IF(Planilha1!C562="","",Planilha1!C562)</f>
        <v>New York Knicks</v>
      </c>
      <c r="J565" s="10">
        <f>IF(Planilha1!D562="","",Planilha1!D562)</f>
        <v>124</v>
      </c>
      <c r="K565" s="10" t="str">
        <f>IF(Planilha1!E562="","",IF(Planilha1!E562=0,"",Planilha1!E562))</f>
        <v>Dallas Mavericks</v>
      </c>
      <c r="L565" s="10">
        <f>IF(Planilha1!F562="","",Planilha1!F562)</f>
        <v>128</v>
      </c>
      <c r="M565" s="10">
        <f>IF(Planilha1!G562="","",IF(Planilha1!G562=0,"",Planilha1!G562))</f>
        <v>128</v>
      </c>
      <c r="N565" s="5">
        <f t="shared" si="71"/>
        <v>1</v>
      </c>
      <c r="O565" s="5">
        <f t="shared" si="72"/>
        <v>0</v>
      </c>
      <c r="P565" s="5">
        <f t="shared" si="65"/>
        <v>0</v>
      </c>
      <c r="Q565" s="5">
        <f t="shared" si="66"/>
        <v>2</v>
      </c>
      <c r="R565" s="7">
        <f t="shared" si="67"/>
        <v>0</v>
      </c>
      <c r="S565" s="7">
        <f t="shared" si="68"/>
        <v>0</v>
      </c>
      <c r="T565" s="3">
        <f t="shared" si="69"/>
        <v>1</v>
      </c>
      <c r="V565" s="1" t="e">
        <f t="shared" si="70"/>
        <v>#DIV/0!</v>
      </c>
    </row>
    <row r="566" spans="8:22" x14ac:dyDescent="0.3">
      <c r="H566" s="10" t="str">
        <f>IF(Planilha1!B563="","",Planilha1!B563)</f>
        <v>10:00p</v>
      </c>
      <c r="I566" s="10" t="str">
        <f>IF(Planilha1!C563="","",Planilha1!C563)</f>
        <v>Phoenix Suns</v>
      </c>
      <c r="J566" s="10">
        <f>IF(Planilha1!D563="","",Planilha1!D563)</f>
        <v>127</v>
      </c>
      <c r="K566" s="10" t="str">
        <f>IF(Planilha1!E563="","",IF(Planilha1!E563=0,"",Planilha1!E563))</f>
        <v>Los Angeles Lakers</v>
      </c>
      <c r="L566" s="10">
        <f>IF(Planilha1!F563="","",Planilha1!F563)</f>
        <v>109</v>
      </c>
      <c r="M566" s="10">
        <f>IF(Planilha1!G563="","",IF(Planilha1!G563=0,"",Planilha1!G563))</f>
        <v>109</v>
      </c>
      <c r="N566" s="5">
        <f t="shared" si="71"/>
        <v>1</v>
      </c>
      <c r="O566" s="5">
        <f t="shared" si="72"/>
        <v>0</v>
      </c>
      <c r="P566" s="5">
        <f t="shared" si="65"/>
        <v>0</v>
      </c>
      <c r="Q566" s="5">
        <f t="shared" si="66"/>
        <v>2</v>
      </c>
      <c r="R566" s="7">
        <f t="shared" si="67"/>
        <v>0</v>
      </c>
      <c r="S566" s="7">
        <f t="shared" si="68"/>
        <v>0</v>
      </c>
      <c r="T566" s="3">
        <f t="shared" si="69"/>
        <v>1</v>
      </c>
      <c r="V566" s="1" t="e">
        <f t="shared" si="70"/>
        <v>#DIV/0!</v>
      </c>
    </row>
    <row r="567" spans="8:22" x14ac:dyDescent="0.3">
      <c r="H567" s="10" t="str">
        <f>IF(Planilha1!B564="","",Planilha1!B564)</f>
        <v>7:30p</v>
      </c>
      <c r="I567" s="10" t="str">
        <f>IF(Planilha1!C564="","",Planilha1!C564)</f>
        <v>Indiana Pacers</v>
      </c>
      <c r="J567" s="10">
        <f>IF(Planilha1!D564="","",Planilha1!D564)</f>
        <v>126</v>
      </c>
      <c r="K567" s="10" t="str">
        <f>IF(Planilha1!E564="","",IF(Planilha1!E564=0,"",Planilha1!E564))</f>
        <v>Atlanta Hawks</v>
      </c>
      <c r="L567" s="10">
        <f>IF(Planilha1!F564="","",Planilha1!F564)</f>
        <v>108</v>
      </c>
      <c r="M567" s="10">
        <f>IF(Planilha1!G564="","",IF(Planilha1!G564=0,"",Planilha1!G564))</f>
        <v>108</v>
      </c>
      <c r="N567" s="5">
        <f t="shared" si="71"/>
        <v>1</v>
      </c>
      <c r="O567" s="5">
        <f t="shared" si="72"/>
        <v>0</v>
      </c>
      <c r="P567" s="5">
        <f t="shared" si="65"/>
        <v>0</v>
      </c>
      <c r="Q567" s="5">
        <f t="shared" si="66"/>
        <v>2</v>
      </c>
      <c r="R567" s="7">
        <f t="shared" si="67"/>
        <v>0</v>
      </c>
      <c r="S567" s="7">
        <f t="shared" si="68"/>
        <v>0</v>
      </c>
      <c r="T567" s="3">
        <f t="shared" si="69"/>
        <v>1</v>
      </c>
      <c r="V567" s="1" t="e">
        <f t="shared" si="70"/>
        <v>#DIV/0!</v>
      </c>
    </row>
    <row r="568" spans="8:22" x14ac:dyDescent="0.3">
      <c r="H568" s="10" t="str">
        <f>IF(Planilha1!B565="","",Planilha1!B565)</f>
        <v>7:30p</v>
      </c>
      <c r="I568" s="10" t="str">
        <f>IF(Planilha1!C565="","",Planilha1!C565)</f>
        <v>Houston Rockets</v>
      </c>
      <c r="J568" s="10">
        <f>IF(Planilha1!D565="","",Planilha1!D565)</f>
        <v>112</v>
      </c>
      <c r="K568" s="10" t="str">
        <f>IF(Planilha1!E565="","",IF(Planilha1!E565=0,"",Planilha1!E565))</f>
        <v>Detroit Pistons</v>
      </c>
      <c r="L568" s="10">
        <f>IF(Planilha1!F565="","",Planilha1!F565)</f>
        <v>110</v>
      </c>
      <c r="M568" s="10">
        <f>IF(Planilha1!G565="","",IF(Planilha1!G565=0,"",Planilha1!G565))</f>
        <v>110</v>
      </c>
      <c r="N568" s="5">
        <f t="shared" si="71"/>
        <v>1</v>
      </c>
      <c r="O568" s="5">
        <f t="shared" si="72"/>
        <v>0</v>
      </c>
      <c r="P568" s="5">
        <f t="shared" si="65"/>
        <v>0</v>
      </c>
      <c r="Q568" s="5">
        <f t="shared" si="66"/>
        <v>2</v>
      </c>
      <c r="R568" s="7">
        <f t="shared" si="67"/>
        <v>0</v>
      </c>
      <c r="S568" s="7">
        <f t="shared" si="68"/>
        <v>0</v>
      </c>
      <c r="T568" s="3">
        <f t="shared" si="69"/>
        <v>1</v>
      </c>
      <c r="V568" s="1" t="e">
        <f t="shared" si="70"/>
        <v>#DIV/0!</v>
      </c>
    </row>
    <row r="569" spans="8:22" x14ac:dyDescent="0.3">
      <c r="H569" s="10" t="str">
        <f>IF(Planilha1!B566="","",Planilha1!B566)</f>
        <v>7:30p</v>
      </c>
      <c r="I569" s="10" t="str">
        <f>IF(Planilha1!C566="","",Planilha1!C566)</f>
        <v>Sacramento Kings</v>
      </c>
      <c r="J569" s="10">
        <f>IF(Planilha1!D566="","",Planilha1!D566)</f>
        <v>93</v>
      </c>
      <c r="K569" s="10" t="str">
        <f>IF(Planilha1!E566="","",IF(Planilha1!E566=0,"",Planilha1!E566))</f>
        <v>Philadelphia 76ers</v>
      </c>
      <c r="L569" s="10">
        <f>IF(Planilha1!F566="","",Planilha1!F566)</f>
        <v>112</v>
      </c>
      <c r="M569" s="10">
        <f>IF(Planilha1!G566="","",IF(Planilha1!G566=0,"",Planilha1!G566))</f>
        <v>112</v>
      </c>
      <c r="N569" s="5">
        <f t="shared" si="71"/>
        <v>1</v>
      </c>
      <c r="O569" s="5">
        <f t="shared" si="72"/>
        <v>0</v>
      </c>
      <c r="P569" s="5">
        <f t="shared" si="65"/>
        <v>0</v>
      </c>
      <c r="Q569" s="5">
        <f t="shared" si="66"/>
        <v>2</v>
      </c>
      <c r="R569" s="7">
        <f t="shared" si="67"/>
        <v>0</v>
      </c>
      <c r="S569" s="7">
        <f t="shared" si="68"/>
        <v>0</v>
      </c>
      <c r="T569" s="3">
        <f t="shared" si="69"/>
        <v>1</v>
      </c>
      <c r="V569" s="1" t="e">
        <f t="shared" si="70"/>
        <v>#DIV/0!</v>
      </c>
    </row>
    <row r="570" spans="8:22" x14ac:dyDescent="0.3">
      <c r="H570" s="10" t="str">
        <f>IF(Planilha1!B567="","",Planilha1!B567)</f>
        <v>8:00p</v>
      </c>
      <c r="I570" s="10" t="str">
        <f>IF(Planilha1!C567="","",Planilha1!C567)</f>
        <v>Golden State Warriors</v>
      </c>
      <c r="J570" s="10">
        <f>IF(Planilha1!D567="","",Planilha1!D567)</f>
        <v>140</v>
      </c>
      <c r="K570" s="10" t="str">
        <f>IF(Planilha1!E567="","",IF(Planilha1!E567=0,"",Planilha1!E567))</f>
        <v>Chicago Bulls</v>
      </c>
      <c r="L570" s="10">
        <f>IF(Planilha1!F567="","",Planilha1!F567)</f>
        <v>131</v>
      </c>
      <c r="M570" s="10">
        <f>IF(Planilha1!G567="","",IF(Planilha1!G567=0,"",Planilha1!G567))</f>
        <v>131</v>
      </c>
      <c r="N570" s="5">
        <f t="shared" si="71"/>
        <v>1</v>
      </c>
      <c r="O570" s="5">
        <f t="shared" si="72"/>
        <v>0</v>
      </c>
      <c r="P570" s="5">
        <f t="shared" si="65"/>
        <v>0</v>
      </c>
      <c r="Q570" s="5">
        <f t="shared" si="66"/>
        <v>2</v>
      </c>
      <c r="R570" s="7">
        <f t="shared" si="67"/>
        <v>0</v>
      </c>
      <c r="S570" s="7">
        <f t="shared" si="68"/>
        <v>0</v>
      </c>
      <c r="T570" s="3">
        <f t="shared" si="69"/>
        <v>1</v>
      </c>
      <c r="V570" s="1" t="e">
        <f t="shared" si="70"/>
        <v>#DIV/0!</v>
      </c>
    </row>
    <row r="571" spans="8:22" x14ac:dyDescent="0.3">
      <c r="H571" s="10" t="str">
        <f>IF(Planilha1!B568="","",Planilha1!B568)</f>
        <v>8:00p</v>
      </c>
      <c r="I571" s="10" t="str">
        <f>IF(Planilha1!C568="","",Planilha1!C568)</f>
        <v>Los Angeles Clippers</v>
      </c>
      <c r="J571" s="10">
        <f>IF(Planilha1!D568="","",Planilha1!D568)</f>
        <v>128</v>
      </c>
      <c r="K571" s="10" t="str">
        <f>IF(Planilha1!E568="","",IF(Planilha1!E568=0,"",Planilha1!E568))</f>
        <v>Memphis Grizzlies</v>
      </c>
      <c r="L571" s="10">
        <f>IF(Planilha1!F568="","",Planilha1!F568)</f>
        <v>119</v>
      </c>
      <c r="M571" s="10">
        <f>IF(Planilha1!G568="","",IF(Planilha1!G568=0,"",Planilha1!G568))</f>
        <v>119</v>
      </c>
      <c r="N571" s="5">
        <f t="shared" si="71"/>
        <v>1</v>
      </c>
      <c r="O571" s="5">
        <f t="shared" si="72"/>
        <v>0</v>
      </c>
      <c r="P571" s="5">
        <f t="shared" si="65"/>
        <v>0</v>
      </c>
      <c r="Q571" s="5">
        <f t="shared" si="66"/>
        <v>2</v>
      </c>
      <c r="R571" s="7">
        <f t="shared" si="67"/>
        <v>0</v>
      </c>
      <c r="S571" s="7">
        <f t="shared" si="68"/>
        <v>0</v>
      </c>
      <c r="T571" s="3">
        <f t="shared" si="69"/>
        <v>1</v>
      </c>
      <c r="V571" s="1" t="e">
        <f t="shared" si="70"/>
        <v>#DIV/0!</v>
      </c>
    </row>
    <row r="572" spans="8:22" x14ac:dyDescent="0.3">
      <c r="H572" s="10" t="str">
        <f>IF(Planilha1!B569="","",Planilha1!B569)</f>
        <v>8:00p</v>
      </c>
      <c r="I572" s="10" t="str">
        <f>IF(Planilha1!C569="","",Planilha1!C569)</f>
        <v>Orlando Magic</v>
      </c>
      <c r="J572" s="10">
        <f>IF(Planilha1!D569="","",Planilha1!D569)</f>
        <v>96</v>
      </c>
      <c r="K572" s="10" t="str">
        <f>IF(Planilha1!E569="","",IF(Planilha1!E569=0,"",Planilha1!E569))</f>
        <v>Miami Heat</v>
      </c>
      <c r="L572" s="10">
        <f>IF(Planilha1!F569="","",Planilha1!F569)</f>
        <v>99</v>
      </c>
      <c r="M572" s="10">
        <f>IF(Planilha1!G569="","",IF(Planilha1!G569=0,"",Planilha1!G569))</f>
        <v>99</v>
      </c>
      <c r="N572" s="5">
        <f t="shared" si="71"/>
        <v>1</v>
      </c>
      <c r="O572" s="5">
        <f t="shared" si="72"/>
        <v>0</v>
      </c>
      <c r="P572" s="5">
        <f t="shared" si="65"/>
        <v>0</v>
      </c>
      <c r="Q572" s="5">
        <f t="shared" si="66"/>
        <v>2</v>
      </c>
      <c r="R572" s="7">
        <f t="shared" si="67"/>
        <v>0</v>
      </c>
      <c r="S572" s="7">
        <f t="shared" si="68"/>
        <v>0</v>
      </c>
      <c r="T572" s="3">
        <f t="shared" si="69"/>
        <v>1</v>
      </c>
      <c r="V572" s="1" t="e">
        <f t="shared" si="70"/>
        <v>#DIV/0!</v>
      </c>
    </row>
    <row r="573" spans="8:22" x14ac:dyDescent="0.3">
      <c r="H573" s="10" t="str">
        <f>IF(Planilha1!B570="","",Planilha1!B570)</f>
        <v>8:00p</v>
      </c>
      <c r="I573" s="10" t="str">
        <f>IF(Planilha1!C570="","",Planilha1!C570)</f>
        <v>Portland Trail Blazers</v>
      </c>
      <c r="J573" s="10">
        <f>IF(Planilha1!D570="","",Planilha1!D570)</f>
        <v>93</v>
      </c>
      <c r="K573" s="10" t="str">
        <f>IF(Planilha1!E570="","",IF(Planilha1!E570=0,"",Planilha1!E570))</f>
        <v>Minnesota Timberwolves</v>
      </c>
      <c r="L573" s="10">
        <f>IF(Planilha1!F570="","",Planilha1!F570)</f>
        <v>116</v>
      </c>
      <c r="M573" s="10">
        <f>IF(Planilha1!G570="","",IF(Planilha1!G570=0,"",Planilha1!G570))</f>
        <v>116</v>
      </c>
      <c r="N573" s="5">
        <f t="shared" si="71"/>
        <v>1</v>
      </c>
      <c r="O573" s="5">
        <f t="shared" si="72"/>
        <v>0</v>
      </c>
      <c r="P573" s="5">
        <f t="shared" si="65"/>
        <v>0</v>
      </c>
      <c r="Q573" s="5">
        <f t="shared" si="66"/>
        <v>2</v>
      </c>
      <c r="R573" s="7">
        <f t="shared" si="67"/>
        <v>0</v>
      </c>
      <c r="S573" s="7">
        <f t="shared" si="68"/>
        <v>0</v>
      </c>
      <c r="T573" s="3">
        <f t="shared" si="69"/>
        <v>1</v>
      </c>
      <c r="V573" s="1" t="e">
        <f t="shared" si="70"/>
        <v>#DIV/0!</v>
      </c>
    </row>
    <row r="574" spans="8:22" x14ac:dyDescent="0.3">
      <c r="H574" s="10" t="str">
        <f>IF(Planilha1!B571="","",Planilha1!B571)</f>
        <v>8:00p</v>
      </c>
      <c r="I574" s="10" t="str">
        <f>IF(Planilha1!C571="","",Planilha1!C571)</f>
        <v>Charlotte Hornets</v>
      </c>
      <c r="J574" s="10">
        <f>IF(Planilha1!D571="","",Planilha1!D571)</f>
        <v>99</v>
      </c>
      <c r="K574" s="10" t="str">
        <f>IF(Planilha1!E571="","",IF(Planilha1!E571=0,"",Planilha1!E571))</f>
        <v>San Antonio Spurs</v>
      </c>
      <c r="L574" s="10">
        <f>IF(Planilha1!F571="","",Planilha1!F571)</f>
        <v>135</v>
      </c>
      <c r="M574" s="10">
        <f>IF(Planilha1!G571="","",IF(Planilha1!G571=0,"",Planilha1!G571))</f>
        <v>135</v>
      </c>
      <c r="N574" s="5">
        <f t="shared" si="71"/>
        <v>1</v>
      </c>
      <c r="O574" s="5">
        <f t="shared" si="72"/>
        <v>0</v>
      </c>
      <c r="P574" s="5">
        <f t="shared" si="65"/>
        <v>0</v>
      </c>
      <c r="Q574" s="5">
        <f t="shared" si="66"/>
        <v>2</v>
      </c>
      <c r="R574" s="7">
        <f t="shared" si="67"/>
        <v>0</v>
      </c>
      <c r="S574" s="7">
        <f t="shared" si="68"/>
        <v>0</v>
      </c>
      <c r="T574" s="3">
        <f t="shared" si="69"/>
        <v>1</v>
      </c>
      <c r="V574" s="1" t="e">
        <f t="shared" si="70"/>
        <v>#DIV/0!</v>
      </c>
    </row>
    <row r="575" spans="8:22" x14ac:dyDescent="0.3">
      <c r="H575" s="10" t="str">
        <f>IF(Planilha1!B572="","",Planilha1!B572)</f>
        <v>9:30p</v>
      </c>
      <c r="I575" s="10" t="str">
        <f>IF(Planilha1!C572="","",Planilha1!C572)</f>
        <v>Toronto Raptors</v>
      </c>
      <c r="J575" s="10">
        <f>IF(Planilha1!D572="","",Planilha1!D572)</f>
        <v>113</v>
      </c>
      <c r="K575" s="10" t="str">
        <f>IF(Planilha1!E572="","",IF(Planilha1!E572=0,"",Planilha1!E572))</f>
        <v>Utah Jazz</v>
      </c>
      <c r="L575" s="10">
        <f>IF(Planilha1!F572="","",Planilha1!F572)</f>
        <v>145</v>
      </c>
      <c r="M575" s="10">
        <f>IF(Planilha1!G572="","",IF(Planilha1!G572=0,"",Planilha1!G572))</f>
        <v>145</v>
      </c>
      <c r="N575" s="5">
        <f t="shared" si="71"/>
        <v>1</v>
      </c>
      <c r="O575" s="5">
        <f t="shared" si="72"/>
        <v>0</v>
      </c>
      <c r="P575" s="5">
        <f t="shared" si="65"/>
        <v>0</v>
      </c>
      <c r="Q575" s="5">
        <f t="shared" si="66"/>
        <v>2</v>
      </c>
      <c r="R575" s="7">
        <f t="shared" si="67"/>
        <v>0</v>
      </c>
      <c r="S575" s="7">
        <f t="shared" si="68"/>
        <v>0</v>
      </c>
      <c r="T575" s="3">
        <f t="shared" si="69"/>
        <v>1</v>
      </c>
      <c r="V575" s="1" t="e">
        <f t="shared" si="70"/>
        <v>#DIV/0!</v>
      </c>
    </row>
    <row r="576" spans="8:22" x14ac:dyDescent="0.3">
      <c r="H576" s="10" t="str">
        <f>IF(Planilha1!B573="","",Planilha1!B573)</f>
        <v>10:00p</v>
      </c>
      <c r="I576" s="10" t="str">
        <f>IF(Planilha1!C573="","",Planilha1!C573)</f>
        <v>New Orleans Pelicans</v>
      </c>
      <c r="J576" s="10">
        <f>IF(Planilha1!D573="","",Planilha1!D573)</f>
        <v>113</v>
      </c>
      <c r="K576" s="10" t="str">
        <f>IF(Planilha1!E573="","",IF(Planilha1!E573=0,"",Planilha1!E573))</f>
        <v>Denver Nuggets</v>
      </c>
      <c r="L576" s="10">
        <f>IF(Planilha1!F573="","",Planilha1!F573)</f>
        <v>125</v>
      </c>
      <c r="M576" s="10">
        <f>IF(Planilha1!G573="","",IF(Planilha1!G573=0,"",Planilha1!G573))</f>
        <v>125</v>
      </c>
      <c r="N576" s="5">
        <f t="shared" si="71"/>
        <v>1</v>
      </c>
      <c r="O576" s="5">
        <f t="shared" si="72"/>
        <v>0</v>
      </c>
      <c r="P576" s="5">
        <f t="shared" si="65"/>
        <v>0</v>
      </c>
      <c r="Q576" s="5">
        <f t="shared" si="66"/>
        <v>2</v>
      </c>
      <c r="R576" s="7">
        <f t="shared" si="67"/>
        <v>0</v>
      </c>
      <c r="S576" s="7">
        <f t="shared" si="68"/>
        <v>0</v>
      </c>
      <c r="T576" s="3">
        <f t="shared" si="69"/>
        <v>1</v>
      </c>
      <c r="V576" s="1" t="e">
        <f t="shared" si="70"/>
        <v>#DIV/0!</v>
      </c>
    </row>
    <row r="577" spans="8:22" x14ac:dyDescent="0.3">
      <c r="H577" s="10" t="str">
        <f>IF(Planilha1!B574="","",Planilha1!B574)</f>
        <v>7:00p</v>
      </c>
      <c r="I577" s="10" t="str">
        <f>IF(Planilha1!C574="","",Planilha1!C574)</f>
        <v>Houston Rockets</v>
      </c>
      <c r="J577" s="10">
        <f>IF(Planilha1!D574="","",Planilha1!D574)</f>
        <v>113</v>
      </c>
      <c r="K577" s="10" t="str">
        <f>IF(Planilha1!E574="","",IF(Planilha1!E574=0,"",Planilha1!E574))</f>
        <v>Boston Celtics</v>
      </c>
      <c r="L577" s="10">
        <f>IF(Planilha1!F574="","",Planilha1!F574)</f>
        <v>145</v>
      </c>
      <c r="M577" s="10">
        <f>IF(Planilha1!G574="","",IF(Planilha1!G574=0,"",Planilha1!G574))</f>
        <v>145</v>
      </c>
      <c r="N577" s="5">
        <f t="shared" si="71"/>
        <v>1</v>
      </c>
      <c r="O577" s="5">
        <f t="shared" si="72"/>
        <v>0</v>
      </c>
      <c r="P577" s="5">
        <f t="shared" si="65"/>
        <v>0</v>
      </c>
      <c r="Q577" s="5">
        <f t="shared" si="66"/>
        <v>2</v>
      </c>
      <c r="R577" s="7">
        <f t="shared" si="67"/>
        <v>0</v>
      </c>
      <c r="S577" s="7">
        <f t="shared" si="68"/>
        <v>0</v>
      </c>
      <c r="T577" s="3">
        <f t="shared" si="69"/>
        <v>1</v>
      </c>
      <c r="V577" s="1" t="e">
        <f t="shared" si="70"/>
        <v>#DIV/0!</v>
      </c>
    </row>
    <row r="578" spans="8:22" x14ac:dyDescent="0.3">
      <c r="H578" s="10" t="str">
        <f>IF(Planilha1!B575="","",Planilha1!B575)</f>
        <v>7:30p</v>
      </c>
      <c r="I578" s="10" t="str">
        <f>IF(Planilha1!C575="","",Planilha1!C575)</f>
        <v>Washington Wizards</v>
      </c>
      <c r="J578" s="10">
        <f>IF(Planilha1!D575="","",Planilha1!D575)</f>
        <v>127</v>
      </c>
      <c r="K578" s="10" t="str">
        <f>IF(Planilha1!E575="","",IF(Planilha1!E575=0,"",Planilha1!E575))</f>
        <v>Atlanta Hawks</v>
      </c>
      <c r="L578" s="10">
        <f>IF(Planilha1!F575="","",Planilha1!F575)</f>
        <v>99</v>
      </c>
      <c r="M578" s="10">
        <f>IF(Planilha1!G575="","",IF(Planilha1!G575=0,"",Planilha1!G575))</f>
        <v>99</v>
      </c>
      <c r="N578" s="5">
        <f t="shared" si="71"/>
        <v>1</v>
      </c>
      <c r="O578" s="5">
        <f t="shared" si="72"/>
        <v>0</v>
      </c>
      <c r="P578" s="5">
        <f t="shared" si="65"/>
        <v>0</v>
      </c>
      <c r="Q578" s="5">
        <f t="shared" si="66"/>
        <v>2</v>
      </c>
      <c r="R578" s="7">
        <f t="shared" si="67"/>
        <v>0</v>
      </c>
      <c r="S578" s="7">
        <f t="shared" si="68"/>
        <v>0</v>
      </c>
      <c r="T578" s="3">
        <f t="shared" si="69"/>
        <v>1</v>
      </c>
      <c r="V578" s="1" t="e">
        <f t="shared" si="70"/>
        <v>#DIV/0!</v>
      </c>
    </row>
    <row r="579" spans="8:22" x14ac:dyDescent="0.3">
      <c r="H579" s="10" t="str">
        <f>IF(Planilha1!B576="","",Planilha1!B576)</f>
        <v>8:00p</v>
      </c>
      <c r="I579" s="10" t="str">
        <f>IF(Planilha1!C576="","",Planilha1!C576)</f>
        <v>New York Knicks</v>
      </c>
      <c r="J579" s="10">
        <f>IF(Planilha1!D576="","",Planilha1!D576)</f>
        <v>106</v>
      </c>
      <c r="K579" s="10" t="str">
        <f>IF(Planilha1!E576="","",IF(Planilha1!E576=0,"",Planilha1!E576))</f>
        <v>Memphis Grizzlies</v>
      </c>
      <c r="L579" s="10">
        <f>IF(Planilha1!F576="","",Planilha1!F576)</f>
        <v>94</v>
      </c>
      <c r="M579" s="10">
        <f>IF(Planilha1!G576="","",IF(Planilha1!G576=0,"",Planilha1!G576))</f>
        <v>94</v>
      </c>
      <c r="N579" s="5">
        <f t="shared" si="71"/>
        <v>1</v>
      </c>
      <c r="O579" s="5">
        <f t="shared" si="72"/>
        <v>0</v>
      </c>
      <c r="P579" s="5">
        <f t="shared" si="65"/>
        <v>0</v>
      </c>
      <c r="Q579" s="5">
        <f t="shared" si="66"/>
        <v>2</v>
      </c>
      <c r="R579" s="7">
        <f t="shared" si="67"/>
        <v>0</v>
      </c>
      <c r="S579" s="7">
        <f t="shared" si="68"/>
        <v>0</v>
      </c>
      <c r="T579" s="3">
        <f t="shared" si="69"/>
        <v>1</v>
      </c>
      <c r="V579" s="1" t="e">
        <f t="shared" si="70"/>
        <v>#DIV/0!</v>
      </c>
    </row>
    <row r="580" spans="8:22" x14ac:dyDescent="0.3">
      <c r="H580" s="10" t="str">
        <f>IF(Planilha1!B577="","",Planilha1!B577)</f>
        <v>8:00p</v>
      </c>
      <c r="I580" s="10" t="str">
        <f>IF(Planilha1!C577="","",Planilha1!C577)</f>
        <v>Golden State Warriors</v>
      </c>
      <c r="J580" s="10">
        <f>IF(Planilha1!D577="","",Planilha1!D577)</f>
        <v>118</v>
      </c>
      <c r="K580" s="10" t="str">
        <f>IF(Planilha1!E577="","",IF(Planilha1!E577=0,"",Planilha1!E577))</f>
        <v>Milwaukee Bucks</v>
      </c>
      <c r="L580" s="10">
        <f>IF(Planilha1!F577="","",Planilha1!F577)</f>
        <v>129</v>
      </c>
      <c r="M580" s="10">
        <f>IF(Planilha1!G577="","",IF(Planilha1!G577=0,"",Planilha1!G577))</f>
        <v>129</v>
      </c>
      <c r="N580" s="5">
        <f t="shared" si="71"/>
        <v>1</v>
      </c>
      <c r="O580" s="5">
        <f t="shared" si="72"/>
        <v>0</v>
      </c>
      <c r="P580" s="5">
        <f t="shared" si="65"/>
        <v>0</v>
      </c>
      <c r="Q580" s="5">
        <f t="shared" si="66"/>
        <v>2</v>
      </c>
      <c r="R580" s="7">
        <f t="shared" si="67"/>
        <v>0</v>
      </c>
      <c r="S580" s="7">
        <f t="shared" si="68"/>
        <v>0</v>
      </c>
      <c r="T580" s="3">
        <f t="shared" si="69"/>
        <v>1</v>
      </c>
      <c r="V580" s="1" t="e">
        <f t="shared" si="70"/>
        <v>#DIV/0!</v>
      </c>
    </row>
    <row r="581" spans="8:22" x14ac:dyDescent="0.3">
      <c r="H581" s="10" t="str">
        <f>IF(Planilha1!B578="","",Planilha1!B578)</f>
        <v>8:00p</v>
      </c>
      <c r="I581" s="10" t="str">
        <f>IF(Planilha1!C578="","",Planilha1!C578)</f>
        <v>Orlando Magic</v>
      </c>
      <c r="J581" s="10">
        <f>IF(Planilha1!D578="","",Planilha1!D578)</f>
        <v>100</v>
      </c>
      <c r="K581" s="10" t="str">
        <f>IF(Planilha1!E578="","",IF(Planilha1!E578=0,"",Planilha1!E578))</f>
        <v>Oklahoma City Thunder</v>
      </c>
      <c r="L581" s="10">
        <f>IF(Planilha1!F578="","",Planilha1!F578)</f>
        <v>112</v>
      </c>
      <c r="M581" s="10">
        <f>IF(Planilha1!G578="","",IF(Planilha1!G578=0,"",Planilha1!G578))</f>
        <v>112</v>
      </c>
      <c r="N581" s="5">
        <f t="shared" si="71"/>
        <v>1</v>
      </c>
      <c r="O581" s="5">
        <f t="shared" si="72"/>
        <v>0</v>
      </c>
      <c r="P581" s="5">
        <f t="shared" ref="P581:P644" si="73">IF(M581="",IF(R581&gt;S581,2,0),IF(K581&lt;M581,2,0))</f>
        <v>0</v>
      </c>
      <c r="Q581" s="5">
        <f t="shared" ref="Q581:Q644" si="74">IF(M581="",IF(R581&gt;S581,0,2),IF(K581&gt;M581,2,0))</f>
        <v>2</v>
      </c>
      <c r="R581" s="7">
        <f t="shared" ref="R581:R644" si="75">SUMIF($B:$B,J581,$C:$C)+(SUMIF($B:$B,L581,$F:$F))</f>
        <v>0</v>
      </c>
      <c r="S581" s="7">
        <f t="shared" ref="S581:S644" si="76">SUMIF($B:$B,L581,$E:$E)+(SUMIF($B:$B,J581,$D:$D))</f>
        <v>0</v>
      </c>
      <c r="T581" s="3">
        <f t="shared" ref="T581:T644" si="77">IF(M581="","",(N581-S581)^2+(O581-R581)^2)</f>
        <v>1</v>
      </c>
      <c r="V581" s="1" t="e">
        <f t="shared" ref="V581:V644" si="78">IF(O581="","",1/((O581-N581)/(R581-S581)))</f>
        <v>#DIV/0!</v>
      </c>
    </row>
    <row r="582" spans="8:22" x14ac:dyDescent="0.3">
      <c r="H582" s="10" t="str">
        <f>IF(Planilha1!B579="","",Planilha1!B579)</f>
        <v>8:30p</v>
      </c>
      <c r="I582" s="10" t="str">
        <f>IF(Planilha1!C579="","",Planilha1!C579)</f>
        <v>New Orleans Pelicans</v>
      </c>
      <c r="J582" s="10">
        <f>IF(Planilha1!D579="","",Planilha1!D579)</f>
        <v>118</v>
      </c>
      <c r="K582" s="10" t="str">
        <f>IF(Planilha1!E579="","",IF(Planilha1!E579=0,"",Planilha1!E579))</f>
        <v>Dallas Mavericks</v>
      </c>
      <c r="L582" s="10">
        <f>IF(Planilha1!F579="","",Planilha1!F579)</f>
        <v>108</v>
      </c>
      <c r="M582" s="10">
        <f>IF(Planilha1!G579="","",IF(Planilha1!G579=0,"",Planilha1!G579))</f>
        <v>108</v>
      </c>
      <c r="N582" s="5">
        <f t="shared" ref="N582:N645" si="79">IF(K582="","",IF(K582&gt;M582,100%,0%))</f>
        <v>1</v>
      </c>
      <c r="O582" s="5">
        <f t="shared" ref="O582:O645" si="80">IF(K582="","",IF(K582&lt;M582,100%,0%))</f>
        <v>0</v>
      </c>
      <c r="P582" s="5">
        <f t="shared" si="73"/>
        <v>0</v>
      </c>
      <c r="Q582" s="5">
        <f t="shared" si="74"/>
        <v>2</v>
      </c>
      <c r="R582" s="7">
        <f t="shared" si="75"/>
        <v>0</v>
      </c>
      <c r="S582" s="7">
        <f t="shared" si="76"/>
        <v>0</v>
      </c>
      <c r="T582" s="3">
        <f t="shared" si="77"/>
        <v>1</v>
      </c>
      <c r="V582" s="1" t="e">
        <f t="shared" si="78"/>
        <v>#DIV/0!</v>
      </c>
    </row>
    <row r="583" spans="8:22" x14ac:dyDescent="0.3">
      <c r="H583" s="10" t="str">
        <f>IF(Planilha1!B580="","",Planilha1!B580)</f>
        <v>8:30p</v>
      </c>
      <c r="I583" s="10" t="str">
        <f>IF(Planilha1!C580="","",Planilha1!C580)</f>
        <v>Chicago Bulls</v>
      </c>
      <c r="J583" s="10">
        <f>IF(Planilha1!D580="","",Planilha1!D580)</f>
        <v>122</v>
      </c>
      <c r="K583" s="10" t="str">
        <f>IF(Planilha1!E580="","",IF(Planilha1!E580=0,"",Planilha1!E580))</f>
        <v>San Antonio Spurs</v>
      </c>
      <c r="L583" s="10">
        <f>IF(Planilha1!F580="","",Planilha1!F580)</f>
        <v>116</v>
      </c>
      <c r="M583" s="10">
        <f>IF(Planilha1!G580="","",IF(Planilha1!G580=0,"",Planilha1!G580))</f>
        <v>116</v>
      </c>
      <c r="N583" s="5">
        <f t="shared" si="79"/>
        <v>1</v>
      </c>
      <c r="O583" s="5">
        <f t="shared" si="80"/>
        <v>0</v>
      </c>
      <c r="P583" s="5">
        <f t="shared" si="73"/>
        <v>0</v>
      </c>
      <c r="Q583" s="5">
        <f t="shared" si="74"/>
        <v>2</v>
      </c>
      <c r="R583" s="7">
        <f t="shared" si="75"/>
        <v>0</v>
      </c>
      <c r="S583" s="7">
        <f t="shared" si="76"/>
        <v>0</v>
      </c>
      <c r="T583" s="3">
        <f t="shared" si="77"/>
        <v>1</v>
      </c>
      <c r="V583" s="1" t="e">
        <f t="shared" si="78"/>
        <v>#DIV/0!</v>
      </c>
    </row>
    <row r="584" spans="8:22" x14ac:dyDescent="0.3">
      <c r="H584" s="10" t="str">
        <f>IF(Planilha1!B581="","",Planilha1!B581)</f>
        <v>9:30p</v>
      </c>
      <c r="I584" s="10" t="str">
        <f>IF(Planilha1!C581="","",Planilha1!C581)</f>
        <v>Los Angeles Lakers</v>
      </c>
      <c r="J584" s="10">
        <f>IF(Planilha1!D581="","",Planilha1!D581)</f>
        <v>125</v>
      </c>
      <c r="K584" s="10" t="str">
        <f>IF(Planilha1!E581="","",IF(Planilha1!E581=0,"",Planilha1!E581))</f>
        <v>Utah Jazz</v>
      </c>
      <c r="L584" s="10">
        <f>IF(Planilha1!F581="","",Planilha1!F581)</f>
        <v>132</v>
      </c>
      <c r="M584" s="10">
        <f>IF(Planilha1!G581="","",IF(Planilha1!G581=0,"",Planilha1!G581))</f>
        <v>132</v>
      </c>
      <c r="N584" s="5">
        <f t="shared" si="79"/>
        <v>1</v>
      </c>
      <c r="O584" s="5">
        <f t="shared" si="80"/>
        <v>0</v>
      </c>
      <c r="P584" s="5">
        <f t="shared" si="73"/>
        <v>0</v>
      </c>
      <c r="Q584" s="5">
        <f t="shared" si="74"/>
        <v>2</v>
      </c>
      <c r="R584" s="7">
        <f t="shared" si="75"/>
        <v>0</v>
      </c>
      <c r="S584" s="7">
        <f t="shared" si="76"/>
        <v>0</v>
      </c>
      <c r="T584" s="3">
        <f t="shared" si="77"/>
        <v>1</v>
      </c>
      <c r="V584" s="1" t="e">
        <f t="shared" si="78"/>
        <v>#DIV/0!</v>
      </c>
    </row>
    <row r="585" spans="8:22" x14ac:dyDescent="0.3">
      <c r="H585" s="10" t="str">
        <f>IF(Planilha1!B582="","",Planilha1!B582)</f>
        <v>3:30p</v>
      </c>
      <c r="I585" s="10" t="str">
        <f>IF(Planilha1!C582="","",Planilha1!C582)</f>
        <v>Indiana Pacers</v>
      </c>
      <c r="J585" s="10">
        <f>IF(Planilha1!D582="","",Planilha1!D582)</f>
        <v>109</v>
      </c>
      <c r="K585" s="10" t="str">
        <f>IF(Planilha1!E582="","",IF(Planilha1!E582=0,"",Planilha1!E582))</f>
        <v>Denver Nuggets</v>
      </c>
      <c r="L585" s="10">
        <f>IF(Planilha1!F582="","",Planilha1!F582)</f>
        <v>117</v>
      </c>
      <c r="M585" s="10">
        <f>IF(Planilha1!G582="","",IF(Planilha1!G582=0,"",Planilha1!G582))</f>
        <v>117</v>
      </c>
      <c r="N585" s="5">
        <f t="shared" si="79"/>
        <v>1</v>
      </c>
      <c r="O585" s="5">
        <f t="shared" si="80"/>
        <v>0</v>
      </c>
      <c r="P585" s="5">
        <f t="shared" si="73"/>
        <v>0</v>
      </c>
      <c r="Q585" s="5">
        <f t="shared" si="74"/>
        <v>2</v>
      </c>
      <c r="R585" s="7">
        <f t="shared" si="75"/>
        <v>0</v>
      </c>
      <c r="S585" s="7">
        <f t="shared" si="76"/>
        <v>0</v>
      </c>
      <c r="T585" s="3">
        <f t="shared" si="77"/>
        <v>1</v>
      </c>
      <c r="V585" s="1" t="e">
        <f t="shared" si="78"/>
        <v>#DIV/0!</v>
      </c>
    </row>
    <row r="586" spans="8:22" x14ac:dyDescent="0.3">
      <c r="H586" s="10" t="str">
        <f>IF(Planilha1!B583="","",Planilha1!B583)</f>
        <v>6:00p</v>
      </c>
      <c r="I586" s="10" t="str">
        <f>IF(Planilha1!C583="","",Planilha1!C583)</f>
        <v>Charlotte Hornets</v>
      </c>
      <c r="J586" s="10">
        <f>IF(Planilha1!D583="","",Planilha1!D583)</f>
        <v>87</v>
      </c>
      <c r="K586" s="10" t="str">
        <f>IF(Planilha1!E583="","",IF(Planilha1!E583=0,"",Planilha1!E583))</f>
        <v>Miami Heat</v>
      </c>
      <c r="L586" s="10">
        <f>IF(Planilha1!F583="","",Planilha1!F583)</f>
        <v>104</v>
      </c>
      <c r="M586" s="10">
        <f>IF(Planilha1!G583="","",IF(Planilha1!G583=0,"",Planilha1!G583))</f>
        <v>104</v>
      </c>
      <c r="N586" s="5">
        <f t="shared" si="79"/>
        <v>1</v>
      </c>
      <c r="O586" s="5">
        <f t="shared" si="80"/>
        <v>0</v>
      </c>
      <c r="P586" s="5">
        <f t="shared" si="73"/>
        <v>0</v>
      </c>
      <c r="Q586" s="5">
        <f t="shared" si="74"/>
        <v>2</v>
      </c>
      <c r="R586" s="7">
        <f t="shared" si="75"/>
        <v>0</v>
      </c>
      <c r="S586" s="7">
        <f t="shared" si="76"/>
        <v>0</v>
      </c>
      <c r="T586" s="3">
        <f t="shared" si="77"/>
        <v>1</v>
      </c>
      <c r="V586" s="1" t="e">
        <f t="shared" si="78"/>
        <v>#DIV/0!</v>
      </c>
    </row>
    <row r="587" spans="8:22" x14ac:dyDescent="0.3">
      <c r="H587" s="10" t="str">
        <f>IF(Planilha1!B584="","",Planilha1!B584)</f>
        <v>7:00p</v>
      </c>
      <c r="I587" s="10" t="str">
        <f>IF(Planilha1!C584="","",Planilha1!C584)</f>
        <v>Sacramento Kings</v>
      </c>
      <c r="J587" s="10">
        <f>IF(Planilha1!D584="","",Planilha1!D584)</f>
        <v>142</v>
      </c>
      <c r="K587" s="10" t="str">
        <f>IF(Planilha1!E584="","",IF(Planilha1!E584=0,"",Planilha1!E584))</f>
        <v>Milwaukee Bucks</v>
      </c>
      <c r="L587" s="10">
        <f>IF(Planilha1!F584="","",Planilha1!F584)</f>
        <v>143</v>
      </c>
      <c r="M587" s="10">
        <f>IF(Planilha1!G584="","",IF(Planilha1!G584=0,"",Planilha1!G584))</f>
        <v>143</v>
      </c>
      <c r="N587" s="5">
        <f t="shared" si="79"/>
        <v>1</v>
      </c>
      <c r="O587" s="5">
        <f t="shared" si="80"/>
        <v>0</v>
      </c>
      <c r="P587" s="5">
        <f t="shared" si="73"/>
        <v>0</v>
      </c>
      <c r="Q587" s="5">
        <f t="shared" si="74"/>
        <v>2</v>
      </c>
      <c r="R587" s="7">
        <f t="shared" si="75"/>
        <v>0</v>
      </c>
      <c r="S587" s="7">
        <f t="shared" si="76"/>
        <v>0</v>
      </c>
      <c r="T587" s="3">
        <f t="shared" si="77"/>
        <v>1</v>
      </c>
      <c r="V587" s="1" t="e">
        <f t="shared" si="78"/>
        <v>#DIV/0!</v>
      </c>
    </row>
    <row r="588" spans="8:22" x14ac:dyDescent="0.3">
      <c r="H588" s="10" t="str">
        <f>IF(Planilha1!B585="","",Planilha1!B585)</f>
        <v>7:00p</v>
      </c>
      <c r="I588" s="10" t="str">
        <f>IF(Planilha1!C585="","",Planilha1!C585)</f>
        <v>Los Angeles Clippers</v>
      </c>
      <c r="J588" s="10">
        <f>IF(Planilha1!D585="","",Planilha1!D585)</f>
        <v>105</v>
      </c>
      <c r="K588" s="10" t="str">
        <f>IF(Planilha1!E585="","",IF(Planilha1!E585=0,"",Planilha1!E585))</f>
        <v>Minnesota Timberwolves</v>
      </c>
      <c r="L588" s="10">
        <f>IF(Planilha1!F585="","",Planilha1!F585)</f>
        <v>109</v>
      </c>
      <c r="M588" s="10">
        <f>IF(Planilha1!G585="","",IF(Planilha1!G585=0,"",Planilha1!G585))</f>
        <v>109</v>
      </c>
      <c r="N588" s="5">
        <f t="shared" si="79"/>
        <v>1</v>
      </c>
      <c r="O588" s="5">
        <f t="shared" si="80"/>
        <v>0</v>
      </c>
      <c r="P588" s="5">
        <f t="shared" si="73"/>
        <v>0</v>
      </c>
      <c r="Q588" s="5">
        <f t="shared" si="74"/>
        <v>2</v>
      </c>
      <c r="R588" s="7">
        <f t="shared" si="75"/>
        <v>0</v>
      </c>
      <c r="S588" s="7">
        <f t="shared" si="76"/>
        <v>0</v>
      </c>
      <c r="T588" s="3">
        <f t="shared" si="77"/>
        <v>1</v>
      </c>
      <c r="V588" s="1" t="e">
        <f t="shared" si="78"/>
        <v>#DIV/0!</v>
      </c>
    </row>
    <row r="589" spans="8:22" x14ac:dyDescent="0.3">
      <c r="H589" s="10" t="str">
        <f>IF(Planilha1!B586="","",Planilha1!B586)</f>
        <v>9:00p</v>
      </c>
      <c r="I589" s="10" t="str">
        <f>IF(Planilha1!C586="","",Planilha1!C586)</f>
        <v>Phoenix Suns</v>
      </c>
      <c r="J589" s="10">
        <f>IF(Planilha1!D586="","",Planilha1!D586)</f>
        <v>127</v>
      </c>
      <c r="K589" s="10" t="str">
        <f>IF(Planilha1!E586="","",IF(Planilha1!E586=0,"",Planilha1!E586))</f>
        <v>Portland Trail Blazers</v>
      </c>
      <c r="L589" s="10">
        <f>IF(Planilha1!F586="","",Planilha1!F586)</f>
        <v>116</v>
      </c>
      <c r="M589" s="10">
        <f>IF(Planilha1!G586="","",IF(Planilha1!G586=0,"",Planilha1!G586))</f>
        <v>116</v>
      </c>
      <c r="N589" s="5">
        <f t="shared" si="79"/>
        <v>1</v>
      </c>
      <c r="O589" s="5">
        <f t="shared" si="80"/>
        <v>0</v>
      </c>
      <c r="P589" s="5">
        <f t="shared" si="73"/>
        <v>0</v>
      </c>
      <c r="Q589" s="5">
        <f t="shared" si="74"/>
        <v>2</v>
      </c>
      <c r="R589" s="7">
        <f t="shared" si="75"/>
        <v>0</v>
      </c>
      <c r="S589" s="7">
        <f t="shared" si="76"/>
        <v>0</v>
      </c>
      <c r="T589" s="3">
        <f t="shared" si="77"/>
        <v>1</v>
      </c>
      <c r="V589" s="1" t="e">
        <f t="shared" si="78"/>
        <v>#DIV/0!</v>
      </c>
    </row>
    <row r="590" spans="8:22" x14ac:dyDescent="0.3">
      <c r="H590" s="10" t="str">
        <f>IF(Planilha1!B587="","",Planilha1!B587)</f>
        <v>1:00p</v>
      </c>
      <c r="I590" s="10" t="str">
        <f>IF(Planilha1!C587="","",Planilha1!C587)</f>
        <v>Houston Rockets</v>
      </c>
      <c r="J590" s="10">
        <f>IF(Planilha1!D587="","",Planilha1!D587)</f>
        <v>115</v>
      </c>
      <c r="K590" s="10" t="str">
        <f>IF(Planilha1!E587="","",IF(Planilha1!E587=0,"",Planilha1!E587))</f>
        <v>Philadelphia 76ers</v>
      </c>
      <c r="L590" s="10">
        <f>IF(Planilha1!F587="","",Planilha1!F587)</f>
        <v>124</v>
      </c>
      <c r="M590" s="10">
        <f>IF(Planilha1!G587="","",IF(Planilha1!G587=0,"",Planilha1!G587))</f>
        <v>124</v>
      </c>
      <c r="N590" s="5">
        <f t="shared" si="79"/>
        <v>1</v>
      </c>
      <c r="O590" s="5">
        <f t="shared" si="80"/>
        <v>0</v>
      </c>
      <c r="P590" s="5">
        <f t="shared" si="73"/>
        <v>0</v>
      </c>
      <c r="Q590" s="5">
        <f t="shared" si="74"/>
        <v>2</v>
      </c>
      <c r="R590" s="7">
        <f t="shared" si="75"/>
        <v>0</v>
      </c>
      <c r="S590" s="7">
        <f t="shared" si="76"/>
        <v>0</v>
      </c>
      <c r="T590" s="3">
        <f t="shared" si="77"/>
        <v>1</v>
      </c>
      <c r="V590" s="1" t="e">
        <f t="shared" si="78"/>
        <v>#DIV/0!</v>
      </c>
    </row>
    <row r="591" spans="8:22" x14ac:dyDescent="0.3">
      <c r="H591" s="10" t="str">
        <f>IF(Planilha1!B588="","",Planilha1!B588)</f>
        <v>2:30p</v>
      </c>
      <c r="I591" s="10" t="str">
        <f>IF(Planilha1!C588="","",Planilha1!C588)</f>
        <v>New Orleans Pelicans</v>
      </c>
      <c r="J591" s="10">
        <f>IF(Planilha1!D588="","",Planilha1!D588)</f>
        <v>120</v>
      </c>
      <c r="K591" s="10" t="str">
        <f>IF(Planilha1!E588="","",IF(Planilha1!E588=0,"",Planilha1!E588))</f>
        <v>Dallas Mavericks</v>
      </c>
      <c r="L591" s="10">
        <f>IF(Planilha1!F588="","",Planilha1!F588)</f>
        <v>125</v>
      </c>
      <c r="M591" s="10">
        <f>IF(Planilha1!G588="","",IF(Planilha1!G588=0,"",Planilha1!G588))</f>
        <v>125</v>
      </c>
      <c r="N591" s="5">
        <f t="shared" si="79"/>
        <v>1</v>
      </c>
      <c r="O591" s="5">
        <f t="shared" si="80"/>
        <v>0</v>
      </c>
      <c r="P591" s="5">
        <f t="shared" si="73"/>
        <v>0</v>
      </c>
      <c r="Q591" s="5">
        <f t="shared" si="74"/>
        <v>2</v>
      </c>
      <c r="R591" s="7">
        <f t="shared" si="75"/>
        <v>0</v>
      </c>
      <c r="S591" s="7">
        <f t="shared" si="76"/>
        <v>0</v>
      </c>
      <c r="T591" s="3">
        <f t="shared" si="77"/>
        <v>1</v>
      </c>
      <c r="V591" s="1" t="e">
        <f t="shared" si="78"/>
        <v>#DIV/0!</v>
      </c>
    </row>
    <row r="592" spans="8:22" x14ac:dyDescent="0.3">
      <c r="H592" s="10" t="str">
        <f>IF(Planilha1!B589="","",Planilha1!B589)</f>
        <v>3:00p</v>
      </c>
      <c r="I592" s="10" t="str">
        <f>IF(Planilha1!C589="","",Planilha1!C589)</f>
        <v>Orlando Magic</v>
      </c>
      <c r="J592" s="10">
        <f>IF(Planilha1!D589="","",Planilha1!D589)</f>
        <v>98</v>
      </c>
      <c r="K592" s="10" t="str">
        <f>IF(Planilha1!E589="","",IF(Planilha1!E589=0,"",Planilha1!E589))</f>
        <v>New York Knicks</v>
      </c>
      <c r="L592" s="10">
        <f>IF(Planilha1!F589="","",Planilha1!F589)</f>
        <v>94</v>
      </c>
      <c r="M592" s="10">
        <f>IF(Planilha1!G589="","",IF(Planilha1!G589=0,"",Planilha1!G589))</f>
        <v>94</v>
      </c>
      <c r="N592" s="5">
        <f t="shared" si="79"/>
        <v>1</v>
      </c>
      <c r="O592" s="5">
        <f t="shared" si="80"/>
        <v>0</v>
      </c>
      <c r="P592" s="5">
        <f t="shared" si="73"/>
        <v>0</v>
      </c>
      <c r="Q592" s="5">
        <f t="shared" si="74"/>
        <v>2</v>
      </c>
      <c r="R592" s="7">
        <f t="shared" si="75"/>
        <v>0</v>
      </c>
      <c r="S592" s="7">
        <f t="shared" si="76"/>
        <v>0</v>
      </c>
      <c r="T592" s="3">
        <f t="shared" si="77"/>
        <v>1</v>
      </c>
      <c r="V592" s="1" t="e">
        <f t="shared" si="78"/>
        <v>#DIV/0!</v>
      </c>
    </row>
    <row r="593" spans="8:22" x14ac:dyDescent="0.3">
      <c r="H593" s="10" t="str">
        <f>IF(Planilha1!B590="","",Planilha1!B590)</f>
        <v>3:00p</v>
      </c>
      <c r="I593" s="10" t="str">
        <f>IF(Planilha1!C590="","",Planilha1!C590)</f>
        <v>Detroit Pistons</v>
      </c>
      <c r="J593" s="10">
        <f>IF(Planilha1!D590="","",Planilha1!D590)</f>
        <v>129</v>
      </c>
      <c r="K593" s="10" t="str">
        <f>IF(Planilha1!E590="","",IF(Planilha1!E590=0,"",Planilha1!E590))</f>
        <v>Washington Wizards</v>
      </c>
      <c r="L593" s="10">
        <f>IF(Planilha1!F590="","",Planilha1!F590)</f>
        <v>117</v>
      </c>
      <c r="M593" s="10">
        <f>IF(Planilha1!G590="","",IF(Planilha1!G590=0,"",Planilha1!G590))</f>
        <v>117</v>
      </c>
      <c r="N593" s="5">
        <f t="shared" si="79"/>
        <v>1</v>
      </c>
      <c r="O593" s="5">
        <f t="shared" si="80"/>
        <v>0</v>
      </c>
      <c r="P593" s="5">
        <f t="shared" si="73"/>
        <v>0</v>
      </c>
      <c r="Q593" s="5">
        <f t="shared" si="74"/>
        <v>2</v>
      </c>
      <c r="R593" s="7">
        <f t="shared" si="75"/>
        <v>0</v>
      </c>
      <c r="S593" s="7">
        <f t="shared" si="76"/>
        <v>0</v>
      </c>
      <c r="T593" s="3">
        <f t="shared" si="77"/>
        <v>1</v>
      </c>
      <c r="V593" s="1" t="e">
        <f t="shared" si="78"/>
        <v>#DIV/0!</v>
      </c>
    </row>
    <row r="594" spans="8:22" x14ac:dyDescent="0.3">
      <c r="H594" s="10" t="str">
        <f>IF(Planilha1!B591="","",Planilha1!B591)</f>
        <v>3:30p</v>
      </c>
      <c r="I594" s="10" t="str">
        <f>IF(Planilha1!C591="","",Planilha1!C591)</f>
        <v>San Antonio Spurs</v>
      </c>
      <c r="J594" s="10">
        <f>IF(Planilha1!D591="","",Planilha1!D591)</f>
        <v>99</v>
      </c>
      <c r="K594" s="10" t="str">
        <f>IF(Planilha1!E591="","",IF(Planilha1!E591=0,"",Planilha1!E591))</f>
        <v>Atlanta Hawks</v>
      </c>
      <c r="L594" s="10">
        <f>IF(Planilha1!F591="","",Planilha1!F591)</f>
        <v>109</v>
      </c>
      <c r="M594" s="10">
        <f>IF(Planilha1!G591="","",IF(Planilha1!G591=0,"",Planilha1!G591))</f>
        <v>109</v>
      </c>
      <c r="N594" s="5">
        <f t="shared" si="79"/>
        <v>1</v>
      </c>
      <c r="O594" s="5">
        <f t="shared" si="80"/>
        <v>0</v>
      </c>
      <c r="P594" s="5">
        <f t="shared" si="73"/>
        <v>0</v>
      </c>
      <c r="Q594" s="5">
        <f t="shared" si="74"/>
        <v>2</v>
      </c>
      <c r="R594" s="7">
        <f t="shared" si="75"/>
        <v>0</v>
      </c>
      <c r="S594" s="7">
        <f t="shared" si="76"/>
        <v>0</v>
      </c>
      <c r="T594" s="3">
        <f t="shared" si="77"/>
        <v>1</v>
      </c>
      <c r="V594" s="1" t="e">
        <f t="shared" si="78"/>
        <v>#DIV/0!</v>
      </c>
    </row>
    <row r="595" spans="8:22" x14ac:dyDescent="0.3">
      <c r="H595" s="10" t="str">
        <f>IF(Planilha1!B592="","",Planilha1!B592)</f>
        <v>6:00p</v>
      </c>
      <c r="I595" s="10" t="str">
        <f>IF(Planilha1!C592="","",Planilha1!C592)</f>
        <v>Golden State Warriors</v>
      </c>
      <c r="J595" s="10">
        <f>IF(Planilha1!D592="","",Planilha1!D592)</f>
        <v>107</v>
      </c>
      <c r="K595" s="10" t="str">
        <f>IF(Planilha1!E592="","",IF(Planilha1!E592=0,"",Planilha1!E592))</f>
        <v>Memphis Grizzlies</v>
      </c>
      <c r="L595" s="10">
        <f>IF(Planilha1!F592="","",Planilha1!F592)</f>
        <v>116</v>
      </c>
      <c r="M595" s="10">
        <f>IF(Planilha1!G592="","",IF(Planilha1!G592=0,"",Planilha1!G592))</f>
        <v>116</v>
      </c>
      <c r="N595" s="5">
        <f t="shared" si="79"/>
        <v>1</v>
      </c>
      <c r="O595" s="5">
        <f t="shared" si="80"/>
        <v>0</v>
      </c>
      <c r="P595" s="5">
        <f t="shared" si="73"/>
        <v>0</v>
      </c>
      <c r="Q595" s="5">
        <f t="shared" si="74"/>
        <v>2</v>
      </c>
      <c r="R595" s="7">
        <f t="shared" si="75"/>
        <v>0</v>
      </c>
      <c r="S595" s="7">
        <f t="shared" si="76"/>
        <v>0</v>
      </c>
      <c r="T595" s="3">
        <f t="shared" si="77"/>
        <v>1</v>
      </c>
      <c r="V595" s="1" t="e">
        <f t="shared" si="78"/>
        <v>#DIV/0!</v>
      </c>
    </row>
    <row r="596" spans="8:22" x14ac:dyDescent="0.3">
      <c r="H596" s="10" t="str">
        <f>IF(Planilha1!B593="","",Planilha1!B593)</f>
        <v>7:00p</v>
      </c>
      <c r="I596" s="10" t="str">
        <f>IF(Planilha1!C593="","",Planilha1!C593)</f>
        <v>Chicago Bulls</v>
      </c>
      <c r="J596" s="10">
        <f>IF(Planilha1!D593="","",Planilha1!D593)</f>
        <v>91</v>
      </c>
      <c r="K596" s="10" t="str">
        <f>IF(Planilha1!E593="","",IF(Planilha1!E593=0,"",Planilha1!E593))</f>
        <v>Cleveland Cavaliers</v>
      </c>
      <c r="L596" s="10">
        <f>IF(Planilha1!F593="","",Planilha1!F593)</f>
        <v>109</v>
      </c>
      <c r="M596" s="10">
        <f>IF(Planilha1!G593="","",IF(Planilha1!G593=0,"",Planilha1!G593))</f>
        <v>109</v>
      </c>
      <c r="N596" s="5">
        <f t="shared" si="79"/>
        <v>1</v>
      </c>
      <c r="O596" s="5">
        <f t="shared" si="80"/>
        <v>0</v>
      </c>
      <c r="P596" s="5">
        <f t="shared" si="73"/>
        <v>0</v>
      </c>
      <c r="Q596" s="5">
        <f t="shared" si="74"/>
        <v>2</v>
      </c>
      <c r="R596" s="7">
        <f t="shared" si="75"/>
        <v>0</v>
      </c>
      <c r="S596" s="7">
        <f t="shared" si="76"/>
        <v>0</v>
      </c>
      <c r="T596" s="3">
        <f t="shared" si="77"/>
        <v>1</v>
      </c>
      <c r="V596" s="1" t="e">
        <f t="shared" si="78"/>
        <v>#DIV/0!</v>
      </c>
    </row>
    <row r="597" spans="8:22" x14ac:dyDescent="0.3">
      <c r="H597" s="10" t="str">
        <f>IF(Planilha1!B594="","",Planilha1!B594)</f>
        <v>7:30p</v>
      </c>
      <c r="I597" s="10" t="str">
        <f>IF(Planilha1!C594="","",Planilha1!C594)</f>
        <v>Miami Heat</v>
      </c>
      <c r="J597" s="10">
        <f>IF(Planilha1!D594="","",Planilha1!D594)</f>
        <v>96</v>
      </c>
      <c r="K597" s="10" t="str">
        <f>IF(Planilha1!E594="","",IF(Planilha1!E594=0,"",Planilha1!E594))</f>
        <v>Brooklyn Nets</v>
      </c>
      <c r="L597" s="10">
        <f>IF(Planilha1!F594="","",Planilha1!F594)</f>
        <v>95</v>
      </c>
      <c r="M597" s="10">
        <f>IF(Planilha1!G594="","",IF(Planilha1!G594=0,"",Planilha1!G594))</f>
        <v>95</v>
      </c>
      <c r="N597" s="5">
        <f t="shared" si="79"/>
        <v>1</v>
      </c>
      <c r="O597" s="5">
        <f t="shared" si="80"/>
        <v>0</v>
      </c>
      <c r="P597" s="5">
        <f t="shared" si="73"/>
        <v>0</v>
      </c>
      <c r="Q597" s="5">
        <f t="shared" si="74"/>
        <v>2</v>
      </c>
      <c r="R597" s="7">
        <f t="shared" si="75"/>
        <v>0</v>
      </c>
      <c r="S597" s="7">
        <f t="shared" si="76"/>
        <v>0</v>
      </c>
      <c r="T597" s="3">
        <f t="shared" si="77"/>
        <v>1</v>
      </c>
      <c r="V597" s="1" t="e">
        <f t="shared" si="78"/>
        <v>#DIV/0!</v>
      </c>
    </row>
    <row r="598" spans="8:22" x14ac:dyDescent="0.3">
      <c r="H598" s="10" t="str">
        <f>IF(Planilha1!B595="","",Planilha1!B595)</f>
        <v>7:30p</v>
      </c>
      <c r="I598" s="10" t="str">
        <f>IF(Planilha1!C595="","",Planilha1!C595)</f>
        <v>Boston Celtics</v>
      </c>
      <c r="J598" s="10">
        <f>IF(Planilha1!D595="","",Planilha1!D595)</f>
        <v>105</v>
      </c>
      <c r="K598" s="10" t="str">
        <f>IF(Planilha1!E595="","",IF(Planilha1!E595=0,"",Planilha1!E595))</f>
        <v>Toronto Raptors</v>
      </c>
      <c r="L598" s="10">
        <f>IF(Planilha1!F595="","",Planilha1!F595)</f>
        <v>96</v>
      </c>
      <c r="M598" s="10">
        <f>IF(Planilha1!G595="","",IF(Planilha1!G595=0,"",Planilha1!G595))</f>
        <v>96</v>
      </c>
      <c r="N598" s="5">
        <f t="shared" si="79"/>
        <v>1</v>
      </c>
      <c r="O598" s="5">
        <f t="shared" si="80"/>
        <v>0</v>
      </c>
      <c r="P598" s="5">
        <f t="shared" si="73"/>
        <v>0</v>
      </c>
      <c r="Q598" s="5">
        <f t="shared" si="74"/>
        <v>2</v>
      </c>
      <c r="R598" s="7">
        <f t="shared" si="75"/>
        <v>0</v>
      </c>
      <c r="S598" s="7">
        <f t="shared" si="76"/>
        <v>0</v>
      </c>
      <c r="T598" s="3">
        <f t="shared" si="77"/>
        <v>1</v>
      </c>
      <c r="V598" s="1" t="e">
        <f t="shared" si="78"/>
        <v>#DIV/0!</v>
      </c>
    </row>
    <row r="599" spans="8:22" x14ac:dyDescent="0.3">
      <c r="H599" s="10" t="str">
        <f>IF(Planilha1!B596="","",Planilha1!B596)</f>
        <v>9:00p</v>
      </c>
      <c r="I599" s="10" t="str">
        <f>IF(Planilha1!C596="","",Planilha1!C596)</f>
        <v>Indiana Pacers</v>
      </c>
      <c r="J599" s="10">
        <f>IF(Planilha1!D596="","",Planilha1!D596)</f>
        <v>105</v>
      </c>
      <c r="K599" s="10" t="str">
        <f>IF(Planilha1!E596="","",IF(Planilha1!E596=0,"",Planilha1!E596))</f>
        <v>Utah Jazz</v>
      </c>
      <c r="L599" s="10">
        <f>IF(Planilha1!F596="","",Planilha1!F596)</f>
        <v>132</v>
      </c>
      <c r="M599" s="10">
        <f>IF(Planilha1!G596="","",IF(Planilha1!G596=0,"",Planilha1!G596))</f>
        <v>132</v>
      </c>
      <c r="N599" s="5">
        <f t="shared" si="79"/>
        <v>1</v>
      </c>
      <c r="O599" s="5">
        <f t="shared" si="80"/>
        <v>0</v>
      </c>
      <c r="P599" s="5">
        <f t="shared" si="73"/>
        <v>0</v>
      </c>
      <c r="Q599" s="5">
        <f t="shared" si="74"/>
        <v>2</v>
      </c>
      <c r="R599" s="7">
        <f t="shared" si="75"/>
        <v>0</v>
      </c>
      <c r="S599" s="7">
        <f t="shared" si="76"/>
        <v>0</v>
      </c>
      <c r="T599" s="3">
        <f t="shared" si="77"/>
        <v>1</v>
      </c>
      <c r="V599" s="1" t="e">
        <f t="shared" si="78"/>
        <v>#DIV/0!</v>
      </c>
    </row>
    <row r="600" spans="8:22" x14ac:dyDescent="0.3">
      <c r="H600" s="10" t="str">
        <f>IF(Planilha1!B597="","",Planilha1!B597)</f>
        <v>10:30p</v>
      </c>
      <c r="I600" s="10" t="str">
        <f>IF(Planilha1!C597="","",Planilha1!C597)</f>
        <v>Oklahoma City Thunder</v>
      </c>
      <c r="J600" s="10">
        <f>IF(Planilha1!D597="","",Planilha1!D597)</f>
        <v>105</v>
      </c>
      <c r="K600" s="10" t="str">
        <f>IF(Planilha1!E597="","",IF(Planilha1!E597=0,"",Planilha1!E597))</f>
        <v>Los Angeles Lakers</v>
      </c>
      <c r="L600" s="10">
        <f>IF(Planilha1!F597="","",Planilha1!F597)</f>
        <v>112</v>
      </c>
      <c r="M600" s="10">
        <f>IF(Planilha1!G597="","",IF(Planilha1!G597=0,"",Planilha1!G597))</f>
        <v>112</v>
      </c>
      <c r="N600" s="5">
        <f t="shared" si="79"/>
        <v>1</v>
      </c>
      <c r="O600" s="5">
        <f t="shared" si="80"/>
        <v>0</v>
      </c>
      <c r="P600" s="5">
        <f t="shared" si="73"/>
        <v>0</v>
      </c>
      <c r="Q600" s="5">
        <f t="shared" si="74"/>
        <v>2</v>
      </c>
      <c r="R600" s="7">
        <f t="shared" si="75"/>
        <v>0</v>
      </c>
      <c r="S600" s="7">
        <f t="shared" si="76"/>
        <v>0</v>
      </c>
      <c r="T600" s="3">
        <f t="shared" si="77"/>
        <v>1</v>
      </c>
      <c r="V600" s="1" t="e">
        <f t="shared" si="78"/>
        <v>#DIV/0!</v>
      </c>
    </row>
    <row r="601" spans="8:22" x14ac:dyDescent="0.3">
      <c r="H601" s="10" t="str">
        <f>IF(Planilha1!B598="","",Planilha1!B598)</f>
        <v>7:30p</v>
      </c>
      <c r="I601" s="10" t="str">
        <f>IF(Planilha1!C598="","",Planilha1!C598)</f>
        <v>Denver Nuggets</v>
      </c>
      <c r="J601" s="10">
        <f>IF(Planilha1!D598="","",Planilha1!D598)</f>
        <v>121</v>
      </c>
      <c r="K601" s="10" t="str">
        <f>IF(Planilha1!E598="","",IF(Planilha1!E598=0,"",Planilha1!E598))</f>
        <v>Philadelphia 76ers</v>
      </c>
      <c r="L601" s="10">
        <f>IF(Planilha1!F598="","",Planilha1!F598)</f>
        <v>126</v>
      </c>
      <c r="M601" s="10">
        <f>IF(Planilha1!G598="","",IF(Planilha1!G598=0,"",Planilha1!G598))</f>
        <v>126</v>
      </c>
      <c r="N601" s="5">
        <f t="shared" si="79"/>
        <v>1</v>
      </c>
      <c r="O601" s="5">
        <f t="shared" si="80"/>
        <v>0</v>
      </c>
      <c r="P601" s="5">
        <f t="shared" si="73"/>
        <v>0</v>
      </c>
      <c r="Q601" s="5">
        <f t="shared" si="74"/>
        <v>2</v>
      </c>
      <c r="R601" s="7">
        <f t="shared" si="75"/>
        <v>0</v>
      </c>
      <c r="S601" s="7">
        <f t="shared" si="76"/>
        <v>0</v>
      </c>
      <c r="T601" s="3">
        <f t="shared" si="77"/>
        <v>1</v>
      </c>
      <c r="V601" s="1" t="e">
        <f t="shared" si="78"/>
        <v>#DIV/0!</v>
      </c>
    </row>
    <row r="602" spans="8:22" x14ac:dyDescent="0.3">
      <c r="H602" s="10" t="str">
        <f>IF(Planilha1!B599="","",Planilha1!B599)</f>
        <v>9:00p</v>
      </c>
      <c r="I602" s="10" t="str">
        <f>IF(Planilha1!C599="","",Planilha1!C599)</f>
        <v>Sacramento Kings</v>
      </c>
      <c r="J602" s="10">
        <f>IF(Planilha1!D599="","",Planilha1!D599)</f>
        <v>117</v>
      </c>
      <c r="K602" s="10" t="str">
        <f>IF(Planilha1!E599="","",IF(Planilha1!E599=0,"",Planilha1!E599))</f>
        <v>Phoenix Suns</v>
      </c>
      <c r="L602" s="10">
        <f>IF(Planilha1!F599="","",Planilha1!F599)</f>
        <v>119</v>
      </c>
      <c r="M602" s="10">
        <f>IF(Planilha1!G599="","",IF(Planilha1!G599=0,"",Planilha1!G599))</f>
        <v>119</v>
      </c>
      <c r="N602" s="5">
        <f t="shared" si="79"/>
        <v>1</v>
      </c>
      <c r="O602" s="5">
        <f t="shared" si="80"/>
        <v>0</v>
      </c>
      <c r="P602" s="5">
        <f t="shared" si="73"/>
        <v>0</v>
      </c>
      <c r="Q602" s="5">
        <f t="shared" si="74"/>
        <v>2</v>
      </c>
      <c r="R602" s="7">
        <f t="shared" si="75"/>
        <v>0</v>
      </c>
      <c r="S602" s="7">
        <f t="shared" si="76"/>
        <v>0</v>
      </c>
      <c r="T602" s="3">
        <f t="shared" si="77"/>
        <v>1</v>
      </c>
      <c r="V602" s="1" t="e">
        <f t="shared" si="78"/>
        <v>#DIV/0!</v>
      </c>
    </row>
    <row r="603" spans="8:22" x14ac:dyDescent="0.3">
      <c r="H603" s="10" t="str">
        <f>IF(Planilha1!B600="","",Planilha1!B600)</f>
        <v>10:00p</v>
      </c>
      <c r="I603" s="10" t="str">
        <f>IF(Planilha1!C600="","",Planilha1!C600)</f>
        <v>Oklahoma City Thunder</v>
      </c>
      <c r="J603" s="10">
        <f>IF(Planilha1!D600="","",Planilha1!D600)</f>
        <v>117</v>
      </c>
      <c r="K603" s="10" t="str">
        <f>IF(Planilha1!E600="","",IF(Planilha1!E600=0,"",Planilha1!E600))</f>
        <v>Los Angeles Clippers</v>
      </c>
      <c r="L603" s="10">
        <f>IF(Planilha1!F600="","",Planilha1!F600)</f>
        <v>128</v>
      </c>
      <c r="M603" s="10">
        <f>IF(Planilha1!G600="","",IF(Planilha1!G600=0,"",Planilha1!G600))</f>
        <v>128</v>
      </c>
      <c r="N603" s="5">
        <f t="shared" si="79"/>
        <v>1</v>
      </c>
      <c r="O603" s="5">
        <f t="shared" si="80"/>
        <v>0</v>
      </c>
      <c r="P603" s="5">
        <f t="shared" si="73"/>
        <v>0</v>
      </c>
      <c r="Q603" s="5">
        <f t="shared" si="74"/>
        <v>2</v>
      </c>
      <c r="R603" s="7">
        <f t="shared" si="75"/>
        <v>0</v>
      </c>
      <c r="S603" s="7">
        <f t="shared" si="76"/>
        <v>0</v>
      </c>
      <c r="T603" s="3">
        <f t="shared" si="77"/>
        <v>1</v>
      </c>
      <c r="V603" s="1" t="e">
        <f t="shared" si="78"/>
        <v>#DIV/0!</v>
      </c>
    </row>
    <row r="604" spans="8:22" x14ac:dyDescent="0.3">
      <c r="H604" s="10" t="str">
        <f>IF(Planilha1!B601="","",Planilha1!B601)</f>
        <v>7:00p</v>
      </c>
      <c r="I604" s="10" t="str">
        <f>IF(Planilha1!C601="","",Planilha1!C601)</f>
        <v>Minnesota Timberwolves</v>
      </c>
      <c r="J604" s="10">
        <f>IF(Planilha1!D601="","",Planilha1!D601)</f>
        <v>124</v>
      </c>
      <c r="K604" s="10" t="str">
        <f>IF(Planilha1!E601="","",IF(Planilha1!E601=0,"",Planilha1!E601))</f>
        <v>Detroit Pistons</v>
      </c>
      <c r="L604" s="10">
        <f>IF(Planilha1!F601="","",Planilha1!F601)</f>
        <v>117</v>
      </c>
      <c r="M604" s="10">
        <f>IF(Planilha1!G601="","",IF(Planilha1!G601=0,"",Planilha1!G601))</f>
        <v>117</v>
      </c>
      <c r="N604" s="5">
        <f t="shared" si="79"/>
        <v>1</v>
      </c>
      <c r="O604" s="5">
        <f t="shared" si="80"/>
        <v>0</v>
      </c>
      <c r="P604" s="5">
        <f t="shared" si="73"/>
        <v>0</v>
      </c>
      <c r="Q604" s="5">
        <f t="shared" si="74"/>
        <v>2</v>
      </c>
      <c r="R604" s="7">
        <f t="shared" si="75"/>
        <v>0</v>
      </c>
      <c r="S604" s="7">
        <f t="shared" si="76"/>
        <v>0</v>
      </c>
      <c r="T604" s="3">
        <f t="shared" si="77"/>
        <v>1</v>
      </c>
      <c r="V604" s="1" t="e">
        <f t="shared" si="78"/>
        <v>#DIV/0!</v>
      </c>
    </row>
    <row r="605" spans="8:22" x14ac:dyDescent="0.3">
      <c r="H605" s="10" t="str">
        <f>IF(Planilha1!B602="","",Planilha1!B602)</f>
        <v>7:30p</v>
      </c>
      <c r="I605" s="10" t="str">
        <f>IF(Planilha1!C602="","",Planilha1!C602)</f>
        <v>Orlando Magic</v>
      </c>
      <c r="J605" s="10">
        <f>IF(Planilha1!D602="","",Planilha1!D602)</f>
        <v>104</v>
      </c>
      <c r="K605" s="10" t="str">
        <f>IF(Planilha1!E602="","",IF(Planilha1!E602=0,"",Planilha1!E602))</f>
        <v>Atlanta Hawks</v>
      </c>
      <c r="L605" s="10">
        <f>IF(Planilha1!F602="","",Planilha1!F602)</f>
        <v>106</v>
      </c>
      <c r="M605" s="10">
        <f>IF(Planilha1!G602="","",IF(Planilha1!G602=0,"",Planilha1!G602))</f>
        <v>106</v>
      </c>
      <c r="N605" s="5">
        <f t="shared" si="79"/>
        <v>1</v>
      </c>
      <c r="O605" s="5">
        <f t="shared" si="80"/>
        <v>0</v>
      </c>
      <c r="P605" s="5">
        <f t="shared" si="73"/>
        <v>0</v>
      </c>
      <c r="Q605" s="5">
        <f t="shared" si="74"/>
        <v>2</v>
      </c>
      <c r="R605" s="7">
        <f t="shared" si="75"/>
        <v>0</v>
      </c>
      <c r="S605" s="7">
        <f t="shared" si="76"/>
        <v>0</v>
      </c>
      <c r="T605" s="3">
        <f t="shared" si="77"/>
        <v>1</v>
      </c>
      <c r="V605" s="1" t="e">
        <f t="shared" si="78"/>
        <v>#DIV/0!</v>
      </c>
    </row>
    <row r="606" spans="8:22" x14ac:dyDescent="0.3">
      <c r="H606" s="10" t="str">
        <f>IF(Planilha1!B603="","",Planilha1!B603)</f>
        <v>7:30p</v>
      </c>
      <c r="I606" s="10" t="str">
        <f>IF(Planilha1!C603="","",Planilha1!C603)</f>
        <v>San Antonio Spurs</v>
      </c>
      <c r="J606" s="10">
        <f>IF(Planilha1!D603="","",Planilha1!D603)</f>
        <v>98</v>
      </c>
      <c r="K606" s="10" t="str">
        <f>IF(Planilha1!E603="","",IF(Planilha1!E603=0,"",Planilha1!E603))</f>
        <v>Boston Celtics</v>
      </c>
      <c r="L606" s="10">
        <f>IF(Planilha1!F603="","",Planilha1!F603)</f>
        <v>117</v>
      </c>
      <c r="M606" s="10">
        <f>IF(Planilha1!G603="","",IF(Planilha1!G603=0,"",Planilha1!G603))</f>
        <v>117</v>
      </c>
      <c r="N606" s="5">
        <f t="shared" si="79"/>
        <v>1</v>
      </c>
      <c r="O606" s="5">
        <f t="shared" si="80"/>
        <v>0</v>
      </c>
      <c r="P606" s="5">
        <f t="shared" si="73"/>
        <v>0</v>
      </c>
      <c r="Q606" s="5">
        <f t="shared" si="74"/>
        <v>2</v>
      </c>
      <c r="R606" s="7">
        <f t="shared" si="75"/>
        <v>0</v>
      </c>
      <c r="S606" s="7">
        <f t="shared" si="76"/>
        <v>0</v>
      </c>
      <c r="T606" s="3">
        <f t="shared" si="77"/>
        <v>1</v>
      </c>
      <c r="V606" s="1" t="e">
        <f t="shared" si="78"/>
        <v>#DIV/0!</v>
      </c>
    </row>
    <row r="607" spans="8:22" x14ac:dyDescent="0.3">
      <c r="H607" s="10" t="str">
        <f>IF(Planilha1!B604="","",Planilha1!B604)</f>
        <v>7:30p</v>
      </c>
      <c r="I607" s="10" t="str">
        <f>IF(Planilha1!C604="","",Planilha1!C604)</f>
        <v>Milwaukee Bucks</v>
      </c>
      <c r="J607" s="10">
        <f>IF(Planilha1!D604="","",Planilha1!D604)</f>
        <v>95</v>
      </c>
      <c r="K607" s="10" t="str">
        <f>IF(Planilha1!E604="","",IF(Planilha1!E604=0,"",Planilha1!E604))</f>
        <v>Cleveland Cavaliers</v>
      </c>
      <c r="L607" s="10">
        <f>IF(Planilha1!F604="","",Planilha1!F604)</f>
        <v>135</v>
      </c>
      <c r="M607" s="10">
        <f>IF(Planilha1!G604="","",IF(Planilha1!G604=0,"",Planilha1!G604))</f>
        <v>135</v>
      </c>
      <c r="N607" s="5">
        <f t="shared" si="79"/>
        <v>1</v>
      </c>
      <c r="O607" s="5">
        <f t="shared" si="80"/>
        <v>0</v>
      </c>
      <c r="P607" s="5">
        <f t="shared" si="73"/>
        <v>0</v>
      </c>
      <c r="Q607" s="5">
        <f t="shared" si="74"/>
        <v>2</v>
      </c>
      <c r="R607" s="7">
        <f t="shared" si="75"/>
        <v>0</v>
      </c>
      <c r="S607" s="7">
        <f t="shared" si="76"/>
        <v>0</v>
      </c>
      <c r="T607" s="3">
        <f t="shared" si="77"/>
        <v>1</v>
      </c>
      <c r="V607" s="1" t="e">
        <f t="shared" si="78"/>
        <v>#DIV/0!</v>
      </c>
    </row>
    <row r="608" spans="8:22" x14ac:dyDescent="0.3">
      <c r="H608" s="10" t="str">
        <f>IF(Planilha1!B605="","",Planilha1!B605)</f>
        <v>7:30p</v>
      </c>
      <c r="I608" s="10" t="str">
        <f>IF(Planilha1!C605="","",Planilha1!C605)</f>
        <v>Houston Rockets</v>
      </c>
      <c r="J608" s="10">
        <f>IF(Planilha1!D605="","",Planilha1!D605)</f>
        <v>94</v>
      </c>
      <c r="K608" s="10" t="str">
        <f>IF(Planilha1!E605="","",IF(Planilha1!E605=0,"",Planilha1!E605))</f>
        <v>New York Knicks</v>
      </c>
      <c r="L608" s="10">
        <f>IF(Planilha1!F605="","",Planilha1!F605)</f>
        <v>109</v>
      </c>
      <c r="M608" s="10">
        <f>IF(Planilha1!G605="","",IF(Planilha1!G605=0,"",Planilha1!G605))</f>
        <v>109</v>
      </c>
      <c r="N608" s="5">
        <f t="shared" si="79"/>
        <v>1</v>
      </c>
      <c r="O608" s="5">
        <f t="shared" si="80"/>
        <v>0</v>
      </c>
      <c r="P608" s="5">
        <f t="shared" si="73"/>
        <v>0</v>
      </c>
      <c r="Q608" s="5">
        <f t="shared" si="74"/>
        <v>2</v>
      </c>
      <c r="R608" s="7">
        <f t="shared" si="75"/>
        <v>0</v>
      </c>
      <c r="S608" s="7">
        <f t="shared" si="76"/>
        <v>0</v>
      </c>
      <c r="T608" s="3">
        <f t="shared" si="77"/>
        <v>1</v>
      </c>
      <c r="V608" s="1" t="e">
        <f t="shared" si="78"/>
        <v>#DIV/0!</v>
      </c>
    </row>
    <row r="609" spans="8:22" x14ac:dyDescent="0.3">
      <c r="H609" s="10" t="str">
        <f>IF(Planilha1!B606="","",Planilha1!B606)</f>
        <v>7:30p</v>
      </c>
      <c r="I609" s="10" t="str">
        <f>IF(Planilha1!C606="","",Planilha1!C606)</f>
        <v>Miami Heat</v>
      </c>
      <c r="J609" s="10">
        <f>IF(Planilha1!D606="","",Planilha1!D606)</f>
        <v>97</v>
      </c>
      <c r="K609" s="10" t="str">
        <f>IF(Planilha1!E606="","",IF(Planilha1!E606=0,"",Planilha1!E606))</f>
        <v>Toronto Raptors</v>
      </c>
      <c r="L609" s="10">
        <f>IF(Planilha1!F606="","",Planilha1!F606)</f>
        <v>121</v>
      </c>
      <c r="M609" s="10">
        <f>IF(Planilha1!G606="","",IF(Planilha1!G606=0,"",Planilha1!G606))</f>
        <v>121</v>
      </c>
      <c r="N609" s="5">
        <f t="shared" si="79"/>
        <v>1</v>
      </c>
      <c r="O609" s="5">
        <f t="shared" si="80"/>
        <v>0</v>
      </c>
      <c r="P609" s="5">
        <f t="shared" si="73"/>
        <v>0</v>
      </c>
      <c r="Q609" s="5">
        <f t="shared" si="74"/>
        <v>2</v>
      </c>
      <c r="R609" s="7">
        <f t="shared" si="75"/>
        <v>0</v>
      </c>
      <c r="S609" s="7">
        <f t="shared" si="76"/>
        <v>0</v>
      </c>
      <c r="T609" s="3">
        <f t="shared" si="77"/>
        <v>1</v>
      </c>
      <c r="V609" s="1" t="e">
        <f t="shared" si="78"/>
        <v>#DIV/0!</v>
      </c>
    </row>
    <row r="610" spans="8:22" x14ac:dyDescent="0.3">
      <c r="H610" s="10" t="str">
        <f>IF(Planilha1!B607="","",Planilha1!B607)</f>
        <v>8:00p</v>
      </c>
      <c r="I610" s="10" t="str">
        <f>IF(Planilha1!C607="","",Planilha1!C607)</f>
        <v>Charlotte Hornets</v>
      </c>
      <c r="J610" s="10">
        <f>IF(Planilha1!D607="","",Planilha1!D607)</f>
        <v>112</v>
      </c>
      <c r="K610" s="10" t="str">
        <f>IF(Planilha1!E607="","",IF(Planilha1!E607=0,"",Planilha1!E607))</f>
        <v>New Orleans Pelicans</v>
      </c>
      <c r="L610" s="10">
        <f>IF(Planilha1!F607="","",Planilha1!F607)</f>
        <v>132</v>
      </c>
      <c r="M610" s="10">
        <f>IF(Planilha1!G607="","",IF(Planilha1!G607=0,"",Planilha1!G607))</f>
        <v>132</v>
      </c>
      <c r="N610" s="5">
        <f t="shared" si="79"/>
        <v>1</v>
      </c>
      <c r="O610" s="5">
        <f t="shared" si="80"/>
        <v>0</v>
      </c>
      <c r="P610" s="5">
        <f t="shared" si="73"/>
        <v>0</v>
      </c>
      <c r="Q610" s="5">
        <f t="shared" si="74"/>
        <v>2</v>
      </c>
      <c r="R610" s="7">
        <f t="shared" si="75"/>
        <v>0</v>
      </c>
      <c r="S610" s="7">
        <f t="shared" si="76"/>
        <v>0</v>
      </c>
      <c r="T610" s="3">
        <f t="shared" si="77"/>
        <v>1</v>
      </c>
      <c r="V610" s="1" t="e">
        <f t="shared" si="78"/>
        <v>#DIV/0!</v>
      </c>
    </row>
    <row r="611" spans="8:22" x14ac:dyDescent="0.3">
      <c r="H611" s="10" t="str">
        <f>IF(Planilha1!B608="","",Planilha1!B608)</f>
        <v>8:30p</v>
      </c>
      <c r="I611" s="10" t="str">
        <f>IF(Planilha1!C608="","",Planilha1!C608)</f>
        <v>Dallas Mavericks</v>
      </c>
      <c r="J611" s="10">
        <f>IF(Planilha1!D608="","",Planilha1!D608)</f>
        <v>110</v>
      </c>
      <c r="K611" s="10" t="str">
        <f>IF(Planilha1!E608="","",IF(Planilha1!E608=0,"",Planilha1!E608))</f>
        <v>Los Angeles Lakers</v>
      </c>
      <c r="L611" s="10">
        <f>IF(Planilha1!F608="","",Planilha1!F608)</f>
        <v>127</v>
      </c>
      <c r="M611" s="10">
        <f>IF(Planilha1!G608="","",IF(Planilha1!G608=0,"",Planilha1!G608))</f>
        <v>127</v>
      </c>
      <c r="N611" s="5">
        <f t="shared" si="79"/>
        <v>1</v>
      </c>
      <c r="O611" s="5">
        <f t="shared" si="80"/>
        <v>0</v>
      </c>
      <c r="P611" s="5">
        <f t="shared" si="73"/>
        <v>0</v>
      </c>
      <c r="Q611" s="5">
        <f t="shared" si="74"/>
        <v>2</v>
      </c>
      <c r="R611" s="7">
        <f t="shared" si="75"/>
        <v>0</v>
      </c>
      <c r="S611" s="7">
        <f t="shared" si="76"/>
        <v>0</v>
      </c>
      <c r="T611" s="3">
        <f t="shared" si="77"/>
        <v>1</v>
      </c>
      <c r="V611" s="1" t="e">
        <f t="shared" si="78"/>
        <v>#DIV/0!</v>
      </c>
    </row>
    <row r="612" spans="8:22" x14ac:dyDescent="0.3">
      <c r="H612" s="10" t="str">
        <f>IF(Planilha1!B609="","",Planilha1!B609)</f>
        <v>10:00p</v>
      </c>
      <c r="I612" s="10" t="str">
        <f>IF(Planilha1!C609="","",Planilha1!C609)</f>
        <v>Brooklyn Nets</v>
      </c>
      <c r="J612" s="10">
        <f>IF(Planilha1!D609="","",Planilha1!D609)</f>
        <v>103</v>
      </c>
      <c r="K612" s="10" t="str">
        <f>IF(Planilha1!E609="","",IF(Planilha1!E609=0,"",Planilha1!E609))</f>
        <v>Portland Trail Blazers</v>
      </c>
      <c r="L612" s="10">
        <f>IF(Planilha1!F609="","",Planilha1!F609)</f>
        <v>105</v>
      </c>
      <c r="M612" s="10">
        <f>IF(Planilha1!G609="","",IF(Planilha1!G609=0,"",Planilha1!G609))</f>
        <v>105</v>
      </c>
      <c r="N612" s="5">
        <f t="shared" si="79"/>
        <v>1</v>
      </c>
      <c r="O612" s="5">
        <f t="shared" si="80"/>
        <v>0</v>
      </c>
      <c r="P612" s="5">
        <f t="shared" si="73"/>
        <v>0</v>
      </c>
      <c r="Q612" s="5">
        <f t="shared" si="74"/>
        <v>2</v>
      </c>
      <c r="R612" s="7">
        <f t="shared" si="75"/>
        <v>0</v>
      </c>
      <c r="S612" s="7">
        <f t="shared" si="76"/>
        <v>0</v>
      </c>
      <c r="T612" s="3">
        <f t="shared" si="77"/>
        <v>1</v>
      </c>
      <c r="V612" s="1" t="e">
        <f t="shared" si="78"/>
        <v>#DIV/0!</v>
      </c>
    </row>
    <row r="613" spans="8:22" x14ac:dyDescent="0.3">
      <c r="H613" s="10" t="str">
        <f>IF(Planilha1!B610="","",Planilha1!B610)</f>
        <v>7:30p</v>
      </c>
      <c r="I613" s="10" t="str">
        <f>IF(Planilha1!C610="","",Planilha1!C610)</f>
        <v>Washington Wizards</v>
      </c>
      <c r="J613" s="10">
        <f>IF(Planilha1!D610="","",Planilha1!D610)</f>
        <v>109</v>
      </c>
      <c r="K613" s="10" t="str">
        <f>IF(Planilha1!E610="","",IF(Planilha1!E610=0,"",Planilha1!E610))</f>
        <v>New York Knicks</v>
      </c>
      <c r="L613" s="10">
        <f>IF(Planilha1!F610="","",Planilha1!F610)</f>
        <v>113</v>
      </c>
      <c r="M613" s="10">
        <f>IF(Planilha1!G610="","",IF(Planilha1!G610=0,"",Planilha1!G610))</f>
        <v>113</v>
      </c>
      <c r="N613" s="5">
        <f t="shared" si="79"/>
        <v>1</v>
      </c>
      <c r="O613" s="5">
        <f t="shared" si="80"/>
        <v>0</v>
      </c>
      <c r="P613" s="5">
        <f t="shared" si="73"/>
        <v>0</v>
      </c>
      <c r="Q613" s="5">
        <f t="shared" si="74"/>
        <v>2</v>
      </c>
      <c r="R613" s="7">
        <f t="shared" si="75"/>
        <v>0</v>
      </c>
      <c r="S613" s="7">
        <f t="shared" si="76"/>
        <v>0</v>
      </c>
      <c r="T613" s="3">
        <f t="shared" si="77"/>
        <v>1</v>
      </c>
      <c r="V613" s="1" t="e">
        <f t="shared" si="78"/>
        <v>#DIV/0!</v>
      </c>
    </row>
    <row r="614" spans="8:22" x14ac:dyDescent="0.3">
      <c r="H614" s="10" t="str">
        <f>IF(Planilha1!B611="","",Planilha1!B611)</f>
        <v>7:30p</v>
      </c>
      <c r="I614" s="10" t="str">
        <f>IF(Planilha1!C611="","",Planilha1!C611)</f>
        <v>Chicago Bulls</v>
      </c>
      <c r="J614" s="10">
        <f>IF(Planilha1!D611="","",Planilha1!D611)</f>
        <v>116</v>
      </c>
      <c r="K614" s="10" t="str">
        <f>IF(Planilha1!E611="","",IF(Planilha1!E611=0,"",Planilha1!E611))</f>
        <v>Toronto Raptors</v>
      </c>
      <c r="L614" s="10">
        <f>IF(Planilha1!F611="","",Planilha1!F611)</f>
        <v>110</v>
      </c>
      <c r="M614" s="10">
        <f>IF(Planilha1!G611="","",IF(Planilha1!G611=0,"",Planilha1!G611))</f>
        <v>110</v>
      </c>
      <c r="N614" s="5">
        <f t="shared" si="79"/>
        <v>1</v>
      </c>
      <c r="O614" s="5">
        <f t="shared" si="80"/>
        <v>0</v>
      </c>
      <c r="P614" s="5">
        <f t="shared" si="73"/>
        <v>0</v>
      </c>
      <c r="Q614" s="5">
        <f t="shared" si="74"/>
        <v>2</v>
      </c>
      <c r="R614" s="7">
        <f t="shared" si="75"/>
        <v>0</v>
      </c>
      <c r="S614" s="7">
        <f t="shared" si="76"/>
        <v>0</v>
      </c>
      <c r="T614" s="3">
        <f t="shared" si="77"/>
        <v>1</v>
      </c>
      <c r="V614" s="1" t="e">
        <f t="shared" si="78"/>
        <v>#DIV/0!</v>
      </c>
    </row>
    <row r="615" spans="8:22" x14ac:dyDescent="0.3">
      <c r="H615" s="10" t="str">
        <f>IF(Planilha1!B612="","",Planilha1!B612)</f>
        <v>9:00p</v>
      </c>
      <c r="I615" s="10" t="str">
        <f>IF(Planilha1!C612="","",Planilha1!C612)</f>
        <v>Oklahoma City Thunder</v>
      </c>
      <c r="J615" s="10">
        <f>IF(Planilha1!D612="","",Planilha1!D612)</f>
        <v>134</v>
      </c>
      <c r="K615" s="10" t="str">
        <f>IF(Planilha1!E612="","",IF(Planilha1!E612=0,"",Planilha1!E612))</f>
        <v>Utah Jazz</v>
      </c>
      <c r="L615" s="10">
        <f>IF(Planilha1!F612="","",Planilha1!F612)</f>
        <v>129</v>
      </c>
      <c r="M615" s="10">
        <f>IF(Planilha1!G612="","",IF(Planilha1!G612=0,"",Planilha1!G612))</f>
        <v>129</v>
      </c>
      <c r="N615" s="5">
        <f t="shared" si="79"/>
        <v>1</v>
      </c>
      <c r="O615" s="5">
        <f t="shared" si="80"/>
        <v>0</v>
      </c>
      <c r="P615" s="5">
        <f t="shared" si="73"/>
        <v>0</v>
      </c>
      <c r="Q615" s="5">
        <f t="shared" si="74"/>
        <v>2</v>
      </c>
      <c r="R615" s="7">
        <f t="shared" si="75"/>
        <v>0</v>
      </c>
      <c r="S615" s="7">
        <f t="shared" si="76"/>
        <v>0</v>
      </c>
      <c r="T615" s="3">
        <f t="shared" si="77"/>
        <v>1</v>
      </c>
      <c r="V615" s="1" t="e">
        <f t="shared" si="78"/>
        <v>#DIV/0!</v>
      </c>
    </row>
    <row r="616" spans="8:22" x14ac:dyDescent="0.3">
      <c r="H616" s="10" t="str">
        <f>IF(Planilha1!B613="","",Planilha1!B613)</f>
        <v>10:00p</v>
      </c>
      <c r="I616" s="10" t="str">
        <f>IF(Planilha1!C613="","",Planilha1!C613)</f>
        <v>Memphis Grizzlies</v>
      </c>
      <c r="J616" s="10">
        <f>IF(Planilha1!D613="","",Planilha1!D613)</f>
        <v>103</v>
      </c>
      <c r="K616" s="10" t="str">
        <f>IF(Planilha1!E613="","",IF(Planilha1!E613=0,"",Planilha1!E613))</f>
        <v>Minnesota Timberwolves</v>
      </c>
      <c r="L616" s="10">
        <f>IF(Planilha1!F613="","",Planilha1!F613)</f>
        <v>118</v>
      </c>
      <c r="M616" s="10">
        <f>IF(Planilha1!G613="","",IF(Planilha1!G613=0,"",Planilha1!G613))</f>
        <v>118</v>
      </c>
      <c r="N616" s="5">
        <f t="shared" si="79"/>
        <v>1</v>
      </c>
      <c r="O616" s="5">
        <f t="shared" si="80"/>
        <v>0</v>
      </c>
      <c r="P616" s="5">
        <f t="shared" si="73"/>
        <v>0</v>
      </c>
      <c r="Q616" s="5">
        <f t="shared" si="74"/>
        <v>2</v>
      </c>
      <c r="R616" s="7">
        <f t="shared" si="75"/>
        <v>0</v>
      </c>
      <c r="S616" s="7">
        <f t="shared" si="76"/>
        <v>0</v>
      </c>
      <c r="T616" s="3">
        <f t="shared" si="77"/>
        <v>1</v>
      </c>
      <c r="V616" s="1" t="e">
        <f t="shared" si="78"/>
        <v>#DIV/0!</v>
      </c>
    </row>
    <row r="617" spans="8:22" x14ac:dyDescent="0.3">
      <c r="H617" s="10" t="str">
        <f>IF(Planilha1!B614="","",Planilha1!B614)</f>
        <v>10:00p</v>
      </c>
      <c r="I617" s="10" t="str">
        <f>IF(Planilha1!C614="","",Planilha1!C614)</f>
        <v>Indiana Pacers</v>
      </c>
      <c r="J617" s="10">
        <f>IF(Planilha1!D614="","",Planilha1!D614)</f>
        <v>126</v>
      </c>
      <c r="K617" s="10" t="str">
        <f>IF(Planilha1!E614="","",IF(Planilha1!E614=0,"",Planilha1!E614))</f>
        <v>Sacramento Kings</v>
      </c>
      <c r="L617" s="10">
        <f>IF(Planilha1!F614="","",Planilha1!F614)</f>
        <v>121</v>
      </c>
      <c r="M617" s="10">
        <f>IF(Planilha1!G614="","",IF(Planilha1!G614=0,"",Planilha1!G614))</f>
        <v>121</v>
      </c>
      <c r="N617" s="5">
        <f t="shared" si="79"/>
        <v>1</v>
      </c>
      <c r="O617" s="5">
        <f t="shared" si="80"/>
        <v>0</v>
      </c>
      <c r="P617" s="5">
        <f t="shared" si="73"/>
        <v>0</v>
      </c>
      <c r="Q617" s="5">
        <f t="shared" si="74"/>
        <v>2</v>
      </c>
      <c r="R617" s="7">
        <f t="shared" si="75"/>
        <v>0</v>
      </c>
      <c r="S617" s="7">
        <f t="shared" si="76"/>
        <v>0</v>
      </c>
      <c r="T617" s="3">
        <f t="shared" si="77"/>
        <v>1</v>
      </c>
      <c r="V617" s="1" t="e">
        <f t="shared" si="78"/>
        <v>#DIV/0!</v>
      </c>
    </row>
    <row r="618" spans="8:22" x14ac:dyDescent="0.3">
      <c r="H618" s="10" t="str">
        <f>IF(Planilha1!B615="","",Planilha1!B615)</f>
        <v>7:00p</v>
      </c>
      <c r="I618" s="10" t="str">
        <f>IF(Planilha1!C615="","",Planilha1!C615)</f>
        <v>San Antonio Spurs</v>
      </c>
      <c r="J618" s="10">
        <f>IF(Planilha1!D615="","",Planilha1!D615)</f>
        <v>120</v>
      </c>
      <c r="K618" s="10" t="str">
        <f>IF(Planilha1!E615="","",IF(Planilha1!E615=0,"",Planilha1!E615))</f>
        <v>Charlotte Hornets</v>
      </c>
      <c r="L618" s="10">
        <f>IF(Planilha1!F615="","",Planilha1!F615)</f>
        <v>124</v>
      </c>
      <c r="M618" s="10">
        <f>IF(Planilha1!G615="","",IF(Planilha1!G615=0,"",Planilha1!G615))</f>
        <v>124</v>
      </c>
      <c r="N618" s="5">
        <f t="shared" si="79"/>
        <v>1</v>
      </c>
      <c r="O618" s="5">
        <f t="shared" si="80"/>
        <v>0</v>
      </c>
      <c r="P618" s="5">
        <f t="shared" si="73"/>
        <v>0</v>
      </c>
      <c r="Q618" s="5">
        <f t="shared" si="74"/>
        <v>2</v>
      </c>
      <c r="R618" s="7">
        <f t="shared" si="75"/>
        <v>0</v>
      </c>
      <c r="S618" s="7">
        <f t="shared" si="76"/>
        <v>0</v>
      </c>
      <c r="T618" s="3">
        <f t="shared" si="77"/>
        <v>1</v>
      </c>
      <c r="V618" s="1" t="e">
        <f t="shared" si="78"/>
        <v>#DIV/0!</v>
      </c>
    </row>
    <row r="619" spans="8:22" x14ac:dyDescent="0.3">
      <c r="H619" s="10" t="str">
        <f>IF(Planilha1!B616="","",Planilha1!B616)</f>
        <v>7:00p</v>
      </c>
      <c r="I619" s="10" t="str">
        <f>IF(Planilha1!C616="","",Planilha1!C616)</f>
        <v>Philadelphia 76ers</v>
      </c>
      <c r="J619" s="10">
        <f>IF(Planilha1!D616="","",Planilha1!D616)</f>
        <v>124</v>
      </c>
      <c r="K619" s="10" t="str">
        <f>IF(Planilha1!E616="","",IF(Planilha1!E616=0,"",Planilha1!E616))</f>
        <v>Orlando Magic</v>
      </c>
      <c r="L619" s="10">
        <f>IF(Planilha1!F616="","",Planilha1!F616)</f>
        <v>109</v>
      </c>
      <c r="M619" s="10">
        <f>IF(Planilha1!G616="","",IF(Planilha1!G616=0,"",Planilha1!G616))</f>
        <v>109</v>
      </c>
      <c r="N619" s="5">
        <f t="shared" si="79"/>
        <v>1</v>
      </c>
      <c r="O619" s="5">
        <f t="shared" si="80"/>
        <v>0</v>
      </c>
      <c r="P619" s="5">
        <f t="shared" si="73"/>
        <v>0</v>
      </c>
      <c r="Q619" s="5">
        <f t="shared" si="74"/>
        <v>2</v>
      </c>
      <c r="R619" s="7">
        <f t="shared" si="75"/>
        <v>0</v>
      </c>
      <c r="S619" s="7">
        <f t="shared" si="76"/>
        <v>0</v>
      </c>
      <c r="T619" s="3">
        <f t="shared" si="77"/>
        <v>1</v>
      </c>
      <c r="V619" s="1" t="e">
        <f t="shared" si="78"/>
        <v>#DIV/0!</v>
      </c>
    </row>
    <row r="620" spans="8:22" x14ac:dyDescent="0.3">
      <c r="H620" s="10" t="str">
        <f>IF(Planilha1!B617="","",Planilha1!B617)</f>
        <v>7:30p</v>
      </c>
      <c r="I620" s="10" t="str">
        <f>IF(Planilha1!C617="","",Planilha1!C617)</f>
        <v>Denver Nuggets</v>
      </c>
      <c r="J620" s="10">
        <f>IF(Planilha1!D617="","",Planilha1!D617)</f>
        <v>102</v>
      </c>
      <c r="K620" s="10" t="str">
        <f>IF(Planilha1!E617="","",IF(Planilha1!E617=0,"",Planilha1!E617))</f>
        <v>Boston Celtics</v>
      </c>
      <c r="L620" s="10">
        <f>IF(Planilha1!F617="","",Planilha1!F617)</f>
        <v>100</v>
      </c>
      <c r="M620" s="10">
        <f>IF(Planilha1!G617="","",IF(Planilha1!G617=0,"",Planilha1!G617))</f>
        <v>100</v>
      </c>
      <c r="N620" s="5">
        <f t="shared" si="79"/>
        <v>1</v>
      </c>
      <c r="O620" s="5">
        <f t="shared" si="80"/>
        <v>0</v>
      </c>
      <c r="P620" s="5">
        <f t="shared" si="73"/>
        <v>0</v>
      </c>
      <c r="Q620" s="5">
        <f t="shared" si="74"/>
        <v>2</v>
      </c>
      <c r="R620" s="7">
        <f t="shared" si="75"/>
        <v>0</v>
      </c>
      <c r="S620" s="7">
        <f t="shared" si="76"/>
        <v>0</v>
      </c>
      <c r="T620" s="3">
        <f t="shared" si="77"/>
        <v>1</v>
      </c>
      <c r="V620" s="1" t="e">
        <f t="shared" si="78"/>
        <v>#DIV/0!</v>
      </c>
    </row>
    <row r="621" spans="8:22" x14ac:dyDescent="0.3">
      <c r="H621" s="10" t="str">
        <f>IF(Planilha1!B618="","",Planilha1!B618)</f>
        <v>8:00p</v>
      </c>
      <c r="I621" s="10" t="str">
        <f>IF(Planilha1!C618="","",Planilha1!C618)</f>
        <v>Atlanta Hawks</v>
      </c>
      <c r="J621" s="10">
        <f>IF(Planilha1!D618="","",Planilha1!D618)</f>
        <v>109</v>
      </c>
      <c r="K621" s="10" t="str">
        <f>IF(Planilha1!E618="","",IF(Planilha1!E618=0,"",Planilha1!E618))</f>
        <v>Miami Heat</v>
      </c>
      <c r="L621" s="10">
        <f>IF(Planilha1!F618="","",Planilha1!F618)</f>
        <v>108</v>
      </c>
      <c r="M621" s="10">
        <f>IF(Planilha1!G618="","",IF(Planilha1!G618=0,"",Planilha1!G618))</f>
        <v>108</v>
      </c>
      <c r="N621" s="5">
        <f t="shared" si="79"/>
        <v>1</v>
      </c>
      <c r="O621" s="5">
        <f t="shared" si="80"/>
        <v>0</v>
      </c>
      <c r="P621" s="5">
        <f t="shared" si="73"/>
        <v>0</v>
      </c>
      <c r="Q621" s="5">
        <f t="shared" si="74"/>
        <v>2</v>
      </c>
      <c r="R621" s="7">
        <f t="shared" si="75"/>
        <v>0</v>
      </c>
      <c r="S621" s="7">
        <f t="shared" si="76"/>
        <v>0</v>
      </c>
      <c r="T621" s="3">
        <f t="shared" si="77"/>
        <v>1</v>
      </c>
      <c r="V621" s="1" t="e">
        <f t="shared" si="78"/>
        <v>#DIV/0!</v>
      </c>
    </row>
    <row r="622" spans="8:22" x14ac:dyDescent="0.3">
      <c r="H622" s="10" t="str">
        <f>IF(Planilha1!B619="","",Planilha1!B619)</f>
        <v>8:00p</v>
      </c>
      <c r="I622" s="10" t="str">
        <f>IF(Planilha1!C619="","",Planilha1!C619)</f>
        <v>Phoenix Suns</v>
      </c>
      <c r="J622" s="10">
        <f>IF(Planilha1!D619="","",Planilha1!D619)</f>
        <v>123</v>
      </c>
      <c r="K622" s="10" t="str">
        <f>IF(Planilha1!E619="","",IF(Planilha1!E619=0,"",Planilha1!E619))</f>
        <v>New Orleans Pelicans</v>
      </c>
      <c r="L622" s="10">
        <f>IF(Planilha1!F619="","",Planilha1!F619)</f>
        <v>109</v>
      </c>
      <c r="M622" s="10">
        <f>IF(Planilha1!G619="","",IF(Planilha1!G619=0,"",Planilha1!G619))</f>
        <v>109</v>
      </c>
      <c r="N622" s="5">
        <f t="shared" si="79"/>
        <v>1</v>
      </c>
      <c r="O622" s="5">
        <f t="shared" si="80"/>
        <v>0</v>
      </c>
      <c r="P622" s="5">
        <f t="shared" si="73"/>
        <v>0</v>
      </c>
      <c r="Q622" s="5">
        <f t="shared" si="74"/>
        <v>2</v>
      </c>
      <c r="R622" s="7">
        <f t="shared" si="75"/>
        <v>0</v>
      </c>
      <c r="S622" s="7">
        <f t="shared" si="76"/>
        <v>0</v>
      </c>
      <c r="T622" s="3">
        <f t="shared" si="77"/>
        <v>1</v>
      </c>
      <c r="V622" s="1" t="e">
        <f t="shared" si="78"/>
        <v>#DIV/0!</v>
      </c>
    </row>
    <row r="623" spans="8:22" x14ac:dyDescent="0.3">
      <c r="H623" s="10" t="str">
        <f>IF(Planilha1!B620="","",Planilha1!B620)</f>
        <v>10:00p</v>
      </c>
      <c r="I623" s="10" t="str">
        <f>IF(Planilha1!C620="","",Planilha1!C620)</f>
        <v>Indiana Pacers</v>
      </c>
      <c r="J623" s="10">
        <f>IF(Planilha1!D620="","",Planilha1!D620)</f>
        <v>115</v>
      </c>
      <c r="K623" s="10" t="str">
        <f>IF(Planilha1!E620="","",IF(Planilha1!E620=0,"",Planilha1!E620))</f>
        <v>Portland Trail Blazers</v>
      </c>
      <c r="L623" s="10">
        <f>IF(Planilha1!F620="","",Planilha1!F620)</f>
        <v>118</v>
      </c>
      <c r="M623" s="10">
        <f>IF(Planilha1!G620="","",IF(Planilha1!G620=0,"",Planilha1!G620))</f>
        <v>118</v>
      </c>
      <c r="N623" s="5">
        <f t="shared" si="79"/>
        <v>1</v>
      </c>
      <c r="O623" s="5">
        <f t="shared" si="80"/>
        <v>0</v>
      </c>
      <c r="P623" s="5">
        <f t="shared" si="73"/>
        <v>0</v>
      </c>
      <c r="Q623" s="5">
        <f t="shared" si="74"/>
        <v>2</v>
      </c>
      <c r="R623" s="7">
        <f t="shared" si="75"/>
        <v>0</v>
      </c>
      <c r="S623" s="7">
        <f t="shared" si="76"/>
        <v>0</v>
      </c>
      <c r="T623" s="3">
        <f t="shared" si="77"/>
        <v>1</v>
      </c>
      <c r="V623" s="1" t="e">
        <f t="shared" si="78"/>
        <v>#DIV/0!</v>
      </c>
    </row>
    <row r="624" spans="8:22" x14ac:dyDescent="0.3">
      <c r="H624" s="10" t="str">
        <f>IF(Planilha1!B621="","",Planilha1!B621)</f>
        <v>10:30p</v>
      </c>
      <c r="I624" s="10" t="str">
        <f>IF(Planilha1!C621="","",Planilha1!C621)</f>
        <v>Brooklyn Nets</v>
      </c>
      <c r="J624" s="10">
        <f>IF(Planilha1!D621="","",Planilha1!D621)</f>
        <v>130</v>
      </c>
      <c r="K624" s="10" t="str">
        <f>IF(Planilha1!E621="","",IF(Planilha1!E621=0,"",Planilha1!E621))</f>
        <v>Los Angeles Lakers</v>
      </c>
      <c r="L624" s="10">
        <f>IF(Planilha1!F621="","",Planilha1!F621)</f>
        <v>112</v>
      </c>
      <c r="M624" s="10">
        <f>IF(Planilha1!G621="","",IF(Planilha1!G621=0,"",Planilha1!G621))</f>
        <v>112</v>
      </c>
      <c r="N624" s="5">
        <f t="shared" si="79"/>
        <v>1</v>
      </c>
      <c r="O624" s="5">
        <f t="shared" si="80"/>
        <v>0</v>
      </c>
      <c r="P624" s="5">
        <f t="shared" si="73"/>
        <v>0</v>
      </c>
      <c r="Q624" s="5">
        <f t="shared" si="74"/>
        <v>2</v>
      </c>
      <c r="R624" s="7">
        <f t="shared" si="75"/>
        <v>0</v>
      </c>
      <c r="S624" s="7">
        <f t="shared" si="76"/>
        <v>0</v>
      </c>
      <c r="T624" s="3">
        <f t="shared" si="77"/>
        <v>1</v>
      </c>
      <c r="V624" s="1" t="e">
        <f t="shared" si="78"/>
        <v>#DIV/0!</v>
      </c>
    </row>
    <row r="625" spans="8:22" x14ac:dyDescent="0.3">
      <c r="H625" s="10" t="str">
        <f>IF(Planilha1!B622="","",Planilha1!B622)</f>
        <v>3:00p</v>
      </c>
      <c r="I625" s="10" t="str">
        <f>IF(Planilha1!C622="","",Planilha1!C622)</f>
        <v>Milwaukee Bucks</v>
      </c>
      <c r="J625" s="10">
        <f>IF(Planilha1!D622="","",Planilha1!D622)</f>
        <v>141</v>
      </c>
      <c r="K625" s="10" t="str">
        <f>IF(Planilha1!E622="","",IF(Planilha1!E622=0,"",Planilha1!E622))</f>
        <v>Detroit Pistons</v>
      </c>
      <c r="L625" s="10">
        <f>IF(Planilha1!F622="","",Planilha1!F622)</f>
        <v>135</v>
      </c>
      <c r="M625" s="10">
        <f>IF(Planilha1!G622="","",IF(Planilha1!G622=0,"",Planilha1!G622))</f>
        <v>135</v>
      </c>
      <c r="N625" s="5">
        <f t="shared" si="79"/>
        <v>1</v>
      </c>
      <c r="O625" s="5">
        <f t="shared" si="80"/>
        <v>0</v>
      </c>
      <c r="P625" s="5">
        <f t="shared" si="73"/>
        <v>0</v>
      </c>
      <c r="Q625" s="5">
        <f t="shared" si="74"/>
        <v>2</v>
      </c>
      <c r="R625" s="7">
        <f t="shared" si="75"/>
        <v>0</v>
      </c>
      <c r="S625" s="7">
        <f t="shared" si="76"/>
        <v>0</v>
      </c>
      <c r="T625" s="3">
        <f t="shared" si="77"/>
        <v>1</v>
      </c>
      <c r="V625" s="1" t="e">
        <f t="shared" si="78"/>
        <v>#DIV/0!</v>
      </c>
    </row>
    <row r="626" spans="8:22" x14ac:dyDescent="0.3">
      <c r="H626" s="10" t="str">
        <f>IF(Planilha1!B623="","",Planilha1!B623)</f>
        <v>7:00p</v>
      </c>
      <c r="I626" s="10" t="str">
        <f>IF(Planilha1!C623="","",Planilha1!C623)</f>
        <v>Philadelphia 76ers</v>
      </c>
      <c r="J626" s="10">
        <f>IF(Planilha1!D623="","",Planilha1!D623)</f>
        <v>97</v>
      </c>
      <c r="K626" s="10" t="str">
        <f>IF(Planilha1!E623="","",IF(Planilha1!E623=0,"",Planilha1!E623))</f>
        <v>Charlotte Hornets</v>
      </c>
      <c r="L626" s="10">
        <f>IF(Planilha1!F623="","",Planilha1!F623)</f>
        <v>89</v>
      </c>
      <c r="M626" s="10">
        <f>IF(Planilha1!G623="","",IF(Planilha1!G623=0,"",Planilha1!G623))</f>
        <v>89</v>
      </c>
      <c r="N626" s="5">
        <f t="shared" si="79"/>
        <v>1</v>
      </c>
      <c r="O626" s="5">
        <f t="shared" si="80"/>
        <v>0</v>
      </c>
      <c r="P626" s="5">
        <f t="shared" si="73"/>
        <v>0</v>
      </c>
      <c r="Q626" s="5">
        <f t="shared" si="74"/>
        <v>2</v>
      </c>
      <c r="R626" s="7">
        <f t="shared" si="75"/>
        <v>0</v>
      </c>
      <c r="S626" s="7">
        <f t="shared" si="76"/>
        <v>0</v>
      </c>
      <c r="T626" s="3">
        <f t="shared" si="77"/>
        <v>1</v>
      </c>
      <c r="V626" s="1" t="e">
        <f t="shared" si="78"/>
        <v>#DIV/0!</v>
      </c>
    </row>
    <row r="627" spans="8:22" x14ac:dyDescent="0.3">
      <c r="H627" s="10" t="str">
        <f>IF(Planilha1!B624="","",Planilha1!B624)</f>
        <v>7:00p</v>
      </c>
      <c r="I627" s="10" t="str">
        <f>IF(Planilha1!C624="","",Planilha1!C624)</f>
        <v>San Antonio Spurs</v>
      </c>
      <c r="J627" s="10">
        <f>IF(Planilha1!D624="","",Planilha1!D624)</f>
        <v>131</v>
      </c>
      <c r="K627" s="10" t="str">
        <f>IF(Planilha1!E624="","",IF(Planilha1!E624=0,"",Planilha1!E624))</f>
        <v>Washington Wizards</v>
      </c>
      <c r="L627" s="10">
        <f>IF(Planilha1!F624="","",Planilha1!F624)</f>
        <v>127</v>
      </c>
      <c r="M627" s="10">
        <f>IF(Planilha1!G624="","",IF(Planilha1!G624=0,"",Planilha1!G624))</f>
        <v>127</v>
      </c>
      <c r="N627" s="5">
        <f t="shared" si="79"/>
        <v>1</v>
      </c>
      <c r="O627" s="5">
        <f t="shared" si="80"/>
        <v>0</v>
      </c>
      <c r="P627" s="5">
        <f t="shared" si="73"/>
        <v>0</v>
      </c>
      <c r="Q627" s="5">
        <f t="shared" si="74"/>
        <v>2</v>
      </c>
      <c r="R627" s="7">
        <f t="shared" si="75"/>
        <v>0</v>
      </c>
      <c r="S627" s="7">
        <f t="shared" si="76"/>
        <v>0</v>
      </c>
      <c r="T627" s="3">
        <f t="shared" si="77"/>
        <v>1</v>
      </c>
      <c r="V627" s="1" t="e">
        <f t="shared" si="78"/>
        <v>#DIV/0!</v>
      </c>
    </row>
    <row r="628" spans="8:22" x14ac:dyDescent="0.3">
      <c r="H628" s="10" t="str">
        <f>IF(Planilha1!B625="","",Planilha1!B625)</f>
        <v>7:30p</v>
      </c>
      <c r="I628" s="10" t="str">
        <f>IF(Planilha1!C625="","",Planilha1!C625)</f>
        <v>Cleveland Cavaliers</v>
      </c>
      <c r="J628" s="10">
        <f>IF(Planilha1!D625="","",Planilha1!D625)</f>
        <v>116</v>
      </c>
      <c r="K628" s="10" t="str">
        <f>IF(Planilha1!E625="","",IF(Planilha1!E625=0,"",Planilha1!E625))</f>
        <v>Atlanta Hawks</v>
      </c>
      <c r="L628" s="10">
        <f>IF(Planilha1!F625="","",Planilha1!F625)</f>
        <v>95</v>
      </c>
      <c r="M628" s="10">
        <f>IF(Planilha1!G625="","",IF(Planilha1!G625=0,"",Planilha1!G625))</f>
        <v>95</v>
      </c>
      <c r="N628" s="5">
        <f t="shared" si="79"/>
        <v>1</v>
      </c>
      <c r="O628" s="5">
        <f t="shared" si="80"/>
        <v>0</v>
      </c>
      <c r="P628" s="5">
        <f t="shared" si="73"/>
        <v>0</v>
      </c>
      <c r="Q628" s="5">
        <f t="shared" si="74"/>
        <v>2</v>
      </c>
      <c r="R628" s="7">
        <f t="shared" si="75"/>
        <v>0</v>
      </c>
      <c r="S628" s="7">
        <f t="shared" si="76"/>
        <v>0</v>
      </c>
      <c r="T628" s="3">
        <f t="shared" si="77"/>
        <v>1</v>
      </c>
      <c r="V628" s="1" t="e">
        <f t="shared" si="78"/>
        <v>#DIV/0!</v>
      </c>
    </row>
    <row r="629" spans="8:22" x14ac:dyDescent="0.3">
      <c r="H629" s="10" t="str">
        <f>IF(Planilha1!B626="","",Planilha1!B626)</f>
        <v>7:30p</v>
      </c>
      <c r="I629" s="10" t="str">
        <f>IF(Planilha1!C626="","",Planilha1!C626)</f>
        <v>Toronto Raptors</v>
      </c>
      <c r="J629" s="10">
        <f>IF(Planilha1!D626="","",Planilha1!D626)</f>
        <v>100</v>
      </c>
      <c r="K629" s="10" t="str">
        <f>IF(Planilha1!E626="","",IF(Planilha1!E626=0,"",Planilha1!E626))</f>
        <v>New York Knicks</v>
      </c>
      <c r="L629" s="10">
        <f>IF(Planilha1!F626="","",Planilha1!F626)</f>
        <v>126</v>
      </c>
      <c r="M629" s="10">
        <f>IF(Planilha1!G626="","",IF(Planilha1!G626=0,"",Planilha1!G626))</f>
        <v>126</v>
      </c>
      <c r="N629" s="5">
        <f t="shared" si="79"/>
        <v>1</v>
      </c>
      <c r="O629" s="5">
        <f t="shared" si="80"/>
        <v>0</v>
      </c>
      <c r="P629" s="5">
        <f t="shared" si="73"/>
        <v>0</v>
      </c>
      <c r="Q629" s="5">
        <f t="shared" si="74"/>
        <v>2</v>
      </c>
      <c r="R629" s="7">
        <f t="shared" si="75"/>
        <v>0</v>
      </c>
      <c r="S629" s="7">
        <f t="shared" si="76"/>
        <v>0</v>
      </c>
      <c r="T629" s="3">
        <f t="shared" si="77"/>
        <v>1</v>
      </c>
      <c r="V629" s="1" t="e">
        <f t="shared" si="78"/>
        <v>#DIV/0!</v>
      </c>
    </row>
    <row r="630" spans="8:22" x14ac:dyDescent="0.3">
      <c r="H630" s="10" t="str">
        <f>IF(Planilha1!B627="","",Planilha1!B627)</f>
        <v>8:00p</v>
      </c>
      <c r="I630" s="10" t="str">
        <f>IF(Planilha1!C627="","",Planilha1!C627)</f>
        <v>Memphis Grizzlies</v>
      </c>
      <c r="J630" s="10">
        <f>IF(Planilha1!D627="","",Planilha1!D627)</f>
        <v>96</v>
      </c>
      <c r="K630" s="10" t="str">
        <f>IF(Planilha1!E627="","",IF(Planilha1!E627=0,"",Planilha1!E627))</f>
        <v>Chicago Bulls</v>
      </c>
      <c r="L630" s="10">
        <f>IF(Planilha1!F627="","",Planilha1!F627)</f>
        <v>125</v>
      </c>
      <c r="M630" s="10">
        <f>IF(Planilha1!G627="","",IF(Planilha1!G627=0,"",Planilha1!G627))</f>
        <v>125</v>
      </c>
      <c r="N630" s="5">
        <f t="shared" si="79"/>
        <v>1</v>
      </c>
      <c r="O630" s="5">
        <f t="shared" si="80"/>
        <v>0</v>
      </c>
      <c r="P630" s="5">
        <f t="shared" si="73"/>
        <v>0</v>
      </c>
      <c r="Q630" s="5">
        <f t="shared" si="74"/>
        <v>2</v>
      </c>
      <c r="R630" s="7">
        <f t="shared" si="75"/>
        <v>0</v>
      </c>
      <c r="S630" s="7">
        <f t="shared" si="76"/>
        <v>0</v>
      </c>
      <c r="T630" s="3">
        <f t="shared" si="77"/>
        <v>1</v>
      </c>
      <c r="V630" s="1" t="e">
        <f t="shared" si="78"/>
        <v>#DIV/0!</v>
      </c>
    </row>
    <row r="631" spans="8:22" x14ac:dyDescent="0.3">
      <c r="H631" s="10" t="str">
        <f>IF(Planilha1!B628="","",Planilha1!B628)</f>
        <v>8:00p</v>
      </c>
      <c r="I631" s="10" t="str">
        <f>IF(Planilha1!C628="","",Planilha1!C628)</f>
        <v>Utah Jazz</v>
      </c>
      <c r="J631" s="10">
        <f>IF(Planilha1!D628="","",Planilha1!D628)</f>
        <v>126</v>
      </c>
      <c r="K631" s="10" t="str">
        <f>IF(Planilha1!E628="","",IF(Planilha1!E628=0,"",Planilha1!E628))</f>
        <v>Houston Rockets</v>
      </c>
      <c r="L631" s="10">
        <f>IF(Planilha1!F628="","",Planilha1!F628)</f>
        <v>127</v>
      </c>
      <c r="M631" s="10">
        <f>IF(Planilha1!G628="","",IF(Planilha1!G628=0,"",Planilha1!G628))</f>
        <v>127</v>
      </c>
      <c r="N631" s="5">
        <f t="shared" si="79"/>
        <v>1</v>
      </c>
      <c r="O631" s="5">
        <f t="shared" si="80"/>
        <v>0</v>
      </c>
      <c r="P631" s="5">
        <f t="shared" si="73"/>
        <v>0</v>
      </c>
      <c r="Q631" s="5">
        <f t="shared" si="74"/>
        <v>2</v>
      </c>
      <c r="R631" s="7">
        <f t="shared" si="75"/>
        <v>0</v>
      </c>
      <c r="S631" s="7">
        <f t="shared" si="76"/>
        <v>0</v>
      </c>
      <c r="T631" s="3">
        <f t="shared" si="77"/>
        <v>1</v>
      </c>
      <c r="V631" s="1" t="e">
        <f t="shared" si="78"/>
        <v>#DIV/0!</v>
      </c>
    </row>
    <row r="632" spans="8:22" x14ac:dyDescent="0.3">
      <c r="H632" s="10" t="str">
        <f>IF(Planilha1!B629="","",Planilha1!B629)</f>
        <v>8:00p</v>
      </c>
      <c r="I632" s="10" t="str">
        <f>IF(Planilha1!C629="","",Planilha1!C629)</f>
        <v>Oklahoma City Thunder</v>
      </c>
      <c r="J632" s="10">
        <f>IF(Planilha1!D629="","",Planilha1!D629)</f>
        <v>102</v>
      </c>
      <c r="K632" s="10" t="str">
        <f>IF(Planilha1!E629="","",IF(Planilha1!E629=0,"",Planilha1!E629))</f>
        <v>Minnesota Timberwolves</v>
      </c>
      <c r="L632" s="10">
        <f>IF(Planilha1!F629="","",Planilha1!F629)</f>
        <v>97</v>
      </c>
      <c r="M632" s="10">
        <f>IF(Planilha1!G629="","",IF(Planilha1!G629=0,"",Planilha1!G629))</f>
        <v>97</v>
      </c>
      <c r="N632" s="5">
        <f t="shared" si="79"/>
        <v>1</v>
      </c>
      <c r="O632" s="5">
        <f t="shared" si="80"/>
        <v>0</v>
      </c>
      <c r="P632" s="5">
        <f t="shared" si="73"/>
        <v>0</v>
      </c>
      <c r="Q632" s="5">
        <f t="shared" si="74"/>
        <v>2</v>
      </c>
      <c r="R632" s="7">
        <f t="shared" si="75"/>
        <v>0</v>
      </c>
      <c r="S632" s="7">
        <f t="shared" si="76"/>
        <v>0</v>
      </c>
      <c r="T632" s="3">
        <f t="shared" si="77"/>
        <v>1</v>
      </c>
      <c r="V632" s="1" t="e">
        <f t="shared" si="78"/>
        <v>#DIV/0!</v>
      </c>
    </row>
    <row r="633" spans="8:22" x14ac:dyDescent="0.3">
      <c r="H633" s="10" t="str">
        <f>IF(Planilha1!B630="","",Planilha1!B630)</f>
        <v>3:30p</v>
      </c>
      <c r="I633" s="10" t="str">
        <f>IF(Planilha1!C630="","",Planilha1!C630)</f>
        <v>Brooklyn Nets</v>
      </c>
      <c r="J633" s="10">
        <f>IF(Planilha1!D630="","",Planilha1!D630)</f>
        <v>114</v>
      </c>
      <c r="K633" s="10" t="str">
        <f>IF(Planilha1!E630="","",IF(Planilha1!E630=0,"",Planilha1!E630))</f>
        <v>Los Angeles Clippers</v>
      </c>
      <c r="L633" s="10">
        <f>IF(Planilha1!F630="","",Planilha1!F630)</f>
        <v>125</v>
      </c>
      <c r="M633" s="10">
        <f>IF(Planilha1!G630="","",IF(Planilha1!G630=0,"",Planilha1!G630))</f>
        <v>125</v>
      </c>
      <c r="N633" s="5">
        <f t="shared" si="79"/>
        <v>1</v>
      </c>
      <c r="O633" s="5">
        <f t="shared" si="80"/>
        <v>0</v>
      </c>
      <c r="P633" s="5">
        <f t="shared" si="73"/>
        <v>0</v>
      </c>
      <c r="Q633" s="5">
        <f t="shared" si="74"/>
        <v>2</v>
      </c>
      <c r="R633" s="7">
        <f t="shared" si="75"/>
        <v>0</v>
      </c>
      <c r="S633" s="7">
        <f t="shared" si="76"/>
        <v>0</v>
      </c>
      <c r="T633" s="3">
        <f t="shared" si="77"/>
        <v>1</v>
      </c>
      <c r="V633" s="1" t="e">
        <f t="shared" si="78"/>
        <v>#DIV/0!</v>
      </c>
    </row>
    <row r="634" spans="8:22" x14ac:dyDescent="0.3">
      <c r="H634" s="10" t="str">
        <f>IF(Planilha1!B631="","",Planilha1!B631)</f>
        <v>6:00p</v>
      </c>
      <c r="I634" s="10" t="str">
        <f>IF(Planilha1!C631="","",Planilha1!C631)</f>
        <v>Miami Heat</v>
      </c>
      <c r="J634" s="10">
        <f>IF(Planilha1!D631="","",Planilha1!D631)</f>
        <v>87</v>
      </c>
      <c r="K634" s="10" t="str">
        <f>IF(Planilha1!E631="","",IF(Planilha1!E631=0,"",Planilha1!E631))</f>
        <v>Orlando Magic</v>
      </c>
      <c r="L634" s="10">
        <f>IF(Planilha1!F631="","",Planilha1!F631)</f>
        <v>105</v>
      </c>
      <c r="M634" s="10">
        <f>IF(Planilha1!G631="","",IF(Planilha1!G631=0,"",Planilha1!G631))</f>
        <v>105</v>
      </c>
      <c r="N634" s="5">
        <f t="shared" si="79"/>
        <v>1</v>
      </c>
      <c r="O634" s="5">
        <f t="shared" si="80"/>
        <v>0</v>
      </c>
      <c r="P634" s="5">
        <f t="shared" si="73"/>
        <v>0</v>
      </c>
      <c r="Q634" s="5">
        <f t="shared" si="74"/>
        <v>2</v>
      </c>
      <c r="R634" s="7">
        <f t="shared" si="75"/>
        <v>0</v>
      </c>
      <c r="S634" s="7">
        <f t="shared" si="76"/>
        <v>0</v>
      </c>
      <c r="T634" s="3">
        <f t="shared" si="77"/>
        <v>1</v>
      </c>
      <c r="V634" s="1" t="e">
        <f t="shared" si="78"/>
        <v>#DIV/0!</v>
      </c>
    </row>
    <row r="635" spans="8:22" x14ac:dyDescent="0.3">
      <c r="H635" s="10" t="str">
        <f>IF(Planilha1!B632="","",Planilha1!B632)</f>
        <v>6:00p</v>
      </c>
      <c r="I635" s="10" t="str">
        <f>IF(Planilha1!C632="","",Planilha1!C632)</f>
        <v>Denver Nuggets</v>
      </c>
      <c r="J635" s="10">
        <f>IF(Planilha1!D632="","",Planilha1!D632)</f>
        <v>113</v>
      </c>
      <c r="K635" s="10" t="str">
        <f>IF(Planilha1!E632="","",IF(Planilha1!E632=0,"",Planilha1!E632))</f>
        <v>Washington Wizards</v>
      </c>
      <c r="L635" s="10">
        <f>IF(Planilha1!F632="","",Planilha1!F632)</f>
        <v>104</v>
      </c>
      <c r="M635" s="10">
        <f>IF(Planilha1!G632="","",IF(Planilha1!G632=0,"",Planilha1!G632))</f>
        <v>104</v>
      </c>
      <c r="N635" s="5">
        <f t="shared" si="79"/>
        <v>1</v>
      </c>
      <c r="O635" s="5">
        <f t="shared" si="80"/>
        <v>0</v>
      </c>
      <c r="P635" s="5">
        <f t="shared" si="73"/>
        <v>0</v>
      </c>
      <c r="Q635" s="5">
        <f t="shared" si="74"/>
        <v>2</v>
      </c>
      <c r="R635" s="7">
        <f t="shared" si="75"/>
        <v>0</v>
      </c>
      <c r="S635" s="7">
        <f t="shared" si="76"/>
        <v>0</v>
      </c>
      <c r="T635" s="3">
        <f t="shared" si="77"/>
        <v>1</v>
      </c>
      <c r="V635" s="1" t="e">
        <f t="shared" si="78"/>
        <v>#DIV/0!</v>
      </c>
    </row>
    <row r="636" spans="8:22" x14ac:dyDescent="0.3">
      <c r="H636" s="10" t="str">
        <f>IF(Planilha1!B633="","",Planilha1!B633)</f>
        <v>7:00p</v>
      </c>
      <c r="I636" s="10" t="str">
        <f>IF(Planilha1!C633="","",Planilha1!C633)</f>
        <v>Boston Celtics</v>
      </c>
      <c r="J636" s="10">
        <f>IF(Planilha1!D633="","",Planilha1!D633)</f>
        <v>116</v>
      </c>
      <c r="K636" s="10" t="str">
        <f>IF(Planilha1!E633="","",IF(Planilha1!E633=0,"",Planilha1!E633))</f>
        <v>Houston Rockets</v>
      </c>
      <c r="L636" s="10">
        <f>IF(Planilha1!F633="","",Planilha1!F633)</f>
        <v>107</v>
      </c>
      <c r="M636" s="10">
        <f>IF(Planilha1!G633="","",IF(Planilha1!G633=0,"",Planilha1!G633))</f>
        <v>107</v>
      </c>
      <c r="N636" s="5">
        <f t="shared" si="79"/>
        <v>1</v>
      </c>
      <c r="O636" s="5">
        <f t="shared" si="80"/>
        <v>0</v>
      </c>
      <c r="P636" s="5">
        <f t="shared" si="73"/>
        <v>0</v>
      </c>
      <c r="Q636" s="5">
        <f t="shared" si="74"/>
        <v>2</v>
      </c>
      <c r="R636" s="7">
        <f t="shared" si="75"/>
        <v>0</v>
      </c>
      <c r="S636" s="7">
        <f t="shared" si="76"/>
        <v>0</v>
      </c>
      <c r="T636" s="3">
        <f t="shared" si="77"/>
        <v>1</v>
      </c>
      <c r="V636" s="1" t="e">
        <f t="shared" si="78"/>
        <v>#DIV/0!</v>
      </c>
    </row>
    <row r="637" spans="8:22" x14ac:dyDescent="0.3">
      <c r="H637" s="10" t="str">
        <f>IF(Planilha1!B634="","",Planilha1!B634)</f>
        <v>8:00p</v>
      </c>
      <c r="I637" s="10" t="str">
        <f>IF(Planilha1!C634="","",Planilha1!C634)</f>
        <v>Indiana Pacers</v>
      </c>
      <c r="J637" s="10">
        <f>IF(Planilha1!D634="","",Planilha1!D634)</f>
        <v>110</v>
      </c>
      <c r="K637" s="10" t="str">
        <f>IF(Planilha1!E634="","",IF(Planilha1!E634=0,"",Planilha1!E634))</f>
        <v>Phoenix Suns</v>
      </c>
      <c r="L637" s="10">
        <f>IF(Planilha1!F634="","",Planilha1!F634)</f>
        <v>117</v>
      </c>
      <c r="M637" s="10">
        <f>IF(Planilha1!G634="","",IF(Planilha1!G634=0,"",Planilha1!G634))</f>
        <v>117</v>
      </c>
      <c r="N637" s="5">
        <f t="shared" si="79"/>
        <v>1</v>
      </c>
      <c r="O637" s="5">
        <f t="shared" si="80"/>
        <v>0</v>
      </c>
      <c r="P637" s="5">
        <f t="shared" si="73"/>
        <v>0</v>
      </c>
      <c r="Q637" s="5">
        <f t="shared" si="74"/>
        <v>2</v>
      </c>
      <c r="R637" s="7">
        <f t="shared" si="75"/>
        <v>0</v>
      </c>
      <c r="S637" s="7">
        <f t="shared" si="76"/>
        <v>0</v>
      </c>
      <c r="T637" s="3">
        <f t="shared" si="77"/>
        <v>1</v>
      </c>
      <c r="V637" s="1" t="e">
        <f t="shared" si="78"/>
        <v>#DIV/0!</v>
      </c>
    </row>
    <row r="638" spans="8:22" x14ac:dyDescent="0.3">
      <c r="H638" s="10" t="str">
        <f>IF(Planilha1!B635="","",Planilha1!B635)</f>
        <v>10:00p</v>
      </c>
      <c r="I638" s="10" t="str">
        <f>IF(Planilha1!C635="","",Planilha1!C635)</f>
        <v>Portland Trail Blazers</v>
      </c>
      <c r="J638" s="10">
        <f>IF(Planilha1!D635="","",Planilha1!D635)</f>
        <v>110</v>
      </c>
      <c r="K638" s="10" t="str">
        <f>IF(Planilha1!E635="","",IF(Planilha1!E635=0,"",Planilha1!E635))</f>
        <v>Los Angeles Lakers</v>
      </c>
      <c r="L638" s="10">
        <f>IF(Planilha1!F635="","",Planilha1!F635)</f>
        <v>134</v>
      </c>
      <c r="M638" s="10">
        <f>IF(Planilha1!G635="","",IF(Planilha1!G635=0,"",Planilha1!G635))</f>
        <v>134</v>
      </c>
      <c r="N638" s="5">
        <f t="shared" si="79"/>
        <v>1</v>
      </c>
      <c r="O638" s="5">
        <f t="shared" si="80"/>
        <v>0</v>
      </c>
      <c r="P638" s="5">
        <f t="shared" si="73"/>
        <v>0</v>
      </c>
      <c r="Q638" s="5">
        <f t="shared" si="74"/>
        <v>2</v>
      </c>
      <c r="R638" s="7">
        <f t="shared" si="75"/>
        <v>0</v>
      </c>
      <c r="S638" s="7">
        <f t="shared" si="76"/>
        <v>0</v>
      </c>
      <c r="T638" s="3">
        <f t="shared" si="77"/>
        <v>1</v>
      </c>
      <c r="V638" s="1" t="e">
        <f t="shared" si="78"/>
        <v>#DIV/0!</v>
      </c>
    </row>
    <row r="639" spans="8:22" x14ac:dyDescent="0.3">
      <c r="H639" s="10" t="str">
        <f>IF(Planilha1!B636="","",Planilha1!B636)</f>
        <v>7:00p</v>
      </c>
      <c r="I639" s="10" t="str">
        <f>IF(Planilha1!C636="","",Planilha1!C636)</f>
        <v>Milwaukee Bucks</v>
      </c>
      <c r="J639" s="10">
        <f>IF(Planilha1!D636="","",Planilha1!D636)</f>
        <v>122</v>
      </c>
      <c r="K639" s="10" t="str">
        <f>IF(Planilha1!E636="","",IF(Planilha1!E636=0,"",Planilha1!E636))</f>
        <v>Detroit Pistons</v>
      </c>
      <c r="L639" s="10">
        <f>IF(Planilha1!F636="","",Planilha1!F636)</f>
        <v>113</v>
      </c>
      <c r="M639" s="10">
        <f>IF(Planilha1!G636="","",IF(Planilha1!G636=0,"",Planilha1!G636))</f>
        <v>113</v>
      </c>
      <c r="N639" s="5">
        <f t="shared" si="79"/>
        <v>1</v>
      </c>
      <c r="O639" s="5">
        <f t="shared" si="80"/>
        <v>0</v>
      </c>
      <c r="P639" s="5">
        <f t="shared" si="73"/>
        <v>0</v>
      </c>
      <c r="Q639" s="5">
        <f t="shared" si="74"/>
        <v>2</v>
      </c>
      <c r="R639" s="7">
        <f t="shared" si="75"/>
        <v>0</v>
      </c>
      <c r="S639" s="7">
        <f t="shared" si="76"/>
        <v>0</v>
      </c>
      <c r="T639" s="3">
        <f t="shared" si="77"/>
        <v>1</v>
      </c>
      <c r="V639" s="1" t="e">
        <f t="shared" si="78"/>
        <v>#DIV/0!</v>
      </c>
    </row>
    <row r="640" spans="8:22" x14ac:dyDescent="0.3">
      <c r="H640" s="10" t="str">
        <f>IF(Planilha1!B637="","",Planilha1!B637)</f>
        <v>7:00p</v>
      </c>
      <c r="I640" s="10" t="str">
        <f>IF(Planilha1!C637="","",Planilha1!C637)</f>
        <v>Cleveland Cavaliers</v>
      </c>
      <c r="J640" s="10">
        <f>IF(Planilha1!D637="","",Planilha1!D637)</f>
        <v>126</v>
      </c>
      <c r="K640" s="10" t="str">
        <f>IF(Planilha1!E637="","",IF(Planilha1!E637=0,"",Planilha1!E637))</f>
        <v>Orlando Magic</v>
      </c>
      <c r="L640" s="10">
        <f>IF(Planilha1!F637="","",Planilha1!F637)</f>
        <v>99</v>
      </c>
      <c r="M640" s="10">
        <f>IF(Planilha1!G637="","",IF(Planilha1!G637=0,"",Planilha1!G637))</f>
        <v>99</v>
      </c>
      <c r="N640" s="5">
        <f t="shared" si="79"/>
        <v>1</v>
      </c>
      <c r="O640" s="5">
        <f t="shared" si="80"/>
        <v>0</v>
      </c>
      <c r="P640" s="5">
        <f t="shared" si="73"/>
        <v>0</v>
      </c>
      <c r="Q640" s="5">
        <f t="shared" si="74"/>
        <v>2</v>
      </c>
      <c r="R640" s="7">
        <f t="shared" si="75"/>
        <v>0</v>
      </c>
      <c r="S640" s="7">
        <f t="shared" si="76"/>
        <v>0</v>
      </c>
      <c r="T640" s="3">
        <f t="shared" si="77"/>
        <v>1</v>
      </c>
      <c r="V640" s="1" t="e">
        <f t="shared" si="78"/>
        <v>#DIV/0!</v>
      </c>
    </row>
    <row r="641" spans="8:22" x14ac:dyDescent="0.3">
      <c r="H641" s="10" t="str">
        <f>IF(Planilha1!B638="","",Planilha1!B638)</f>
        <v>7:00p</v>
      </c>
      <c r="I641" s="10" t="str">
        <f>IF(Planilha1!C638="","",Planilha1!C638)</f>
        <v>San Antonio Spurs</v>
      </c>
      <c r="J641" s="10">
        <f>IF(Planilha1!D638="","",Planilha1!D638)</f>
        <v>123</v>
      </c>
      <c r="K641" s="10" t="str">
        <f>IF(Planilha1!E638="","",IF(Planilha1!E638=0,"",Planilha1!E638))</f>
        <v>Philadelphia 76ers</v>
      </c>
      <c r="L641" s="10">
        <f>IF(Planilha1!F638="","",Planilha1!F638)</f>
        <v>133</v>
      </c>
      <c r="M641" s="10">
        <f>IF(Planilha1!G638="","",IF(Planilha1!G638=0,"",Planilha1!G638))</f>
        <v>133</v>
      </c>
      <c r="N641" s="5">
        <f t="shared" si="79"/>
        <v>1</v>
      </c>
      <c r="O641" s="5">
        <f t="shared" si="80"/>
        <v>0</v>
      </c>
      <c r="P641" s="5">
        <f t="shared" si="73"/>
        <v>0</v>
      </c>
      <c r="Q641" s="5">
        <f t="shared" si="74"/>
        <v>2</v>
      </c>
      <c r="R641" s="7">
        <f t="shared" si="75"/>
        <v>0</v>
      </c>
      <c r="S641" s="7">
        <f t="shared" si="76"/>
        <v>0</v>
      </c>
      <c r="T641" s="3">
        <f t="shared" si="77"/>
        <v>1</v>
      </c>
      <c r="V641" s="1" t="e">
        <f t="shared" si="78"/>
        <v>#DIV/0!</v>
      </c>
    </row>
    <row r="642" spans="8:22" x14ac:dyDescent="0.3">
      <c r="H642" s="10" t="str">
        <f>IF(Planilha1!B639="","",Planilha1!B639)</f>
        <v>7:30p</v>
      </c>
      <c r="I642" s="10" t="str">
        <f>IF(Planilha1!C639="","",Planilha1!C639)</f>
        <v>Memphis Grizzlies</v>
      </c>
      <c r="J642" s="10">
        <f>IF(Planilha1!D639="","",Planilha1!D639)</f>
        <v>108</v>
      </c>
      <c r="K642" s="10" t="str">
        <f>IF(Planilha1!E639="","",IF(Planilha1!E639=0,"",Planilha1!E639))</f>
        <v>Toronto Raptors</v>
      </c>
      <c r="L642" s="10">
        <f>IF(Planilha1!F639="","",Planilha1!F639)</f>
        <v>100</v>
      </c>
      <c r="M642" s="10">
        <f>IF(Planilha1!G639="","",IF(Planilha1!G639=0,"",Planilha1!G639))</f>
        <v>100</v>
      </c>
      <c r="N642" s="5">
        <f t="shared" si="79"/>
        <v>1</v>
      </c>
      <c r="O642" s="5">
        <f t="shared" si="80"/>
        <v>0</v>
      </c>
      <c r="P642" s="5">
        <f t="shared" si="73"/>
        <v>0</v>
      </c>
      <c r="Q642" s="5">
        <f t="shared" si="74"/>
        <v>2</v>
      </c>
      <c r="R642" s="7">
        <f t="shared" si="75"/>
        <v>0</v>
      </c>
      <c r="S642" s="7">
        <f t="shared" si="76"/>
        <v>0</v>
      </c>
      <c r="T642" s="3">
        <f t="shared" si="77"/>
        <v>1</v>
      </c>
      <c r="V642" s="1" t="e">
        <f t="shared" si="78"/>
        <v>#DIV/0!</v>
      </c>
    </row>
    <row r="643" spans="8:22" x14ac:dyDescent="0.3">
      <c r="H643" s="10" t="str">
        <f>IF(Planilha1!B640="","",Planilha1!B640)</f>
        <v>8:00p</v>
      </c>
      <c r="I643" s="10" t="str">
        <f>IF(Planilha1!C640="","",Planilha1!C640)</f>
        <v>Charlotte Hornets</v>
      </c>
      <c r="J643" s="10">
        <f>IF(Planilha1!D640="","",Planilha1!D640)</f>
        <v>128</v>
      </c>
      <c r="K643" s="10" t="str">
        <f>IF(Planilha1!E640="","",IF(Planilha1!E640=0,"",Planilha1!E640))</f>
        <v>Minnesota Timberwolves</v>
      </c>
      <c r="L643" s="10">
        <f>IF(Planilha1!F640="","",Planilha1!F640)</f>
        <v>125</v>
      </c>
      <c r="M643" s="10">
        <f>IF(Planilha1!G640="","",IF(Planilha1!G640=0,"",Planilha1!G640))</f>
        <v>125</v>
      </c>
      <c r="N643" s="5">
        <f t="shared" si="79"/>
        <v>1</v>
      </c>
      <c r="O643" s="5">
        <f t="shared" si="80"/>
        <v>0</v>
      </c>
      <c r="P643" s="5">
        <f t="shared" si="73"/>
        <v>0</v>
      </c>
      <c r="Q643" s="5">
        <f t="shared" si="74"/>
        <v>2</v>
      </c>
      <c r="R643" s="7">
        <f t="shared" si="75"/>
        <v>0</v>
      </c>
      <c r="S643" s="7">
        <f t="shared" si="76"/>
        <v>0</v>
      </c>
      <c r="T643" s="3">
        <f t="shared" si="77"/>
        <v>1</v>
      </c>
      <c r="V643" s="1" t="e">
        <f t="shared" si="78"/>
        <v>#DIV/0!</v>
      </c>
    </row>
    <row r="644" spans="8:22" x14ac:dyDescent="0.3">
      <c r="H644" s="10" t="str">
        <f>IF(Planilha1!B641="","",Planilha1!B641)</f>
        <v>8:30p</v>
      </c>
      <c r="I644" s="10" t="str">
        <f>IF(Planilha1!C641="","",Planilha1!C641)</f>
        <v>Boston Celtics</v>
      </c>
      <c r="J644" s="10">
        <f>IF(Planilha1!D641="","",Planilha1!D641)</f>
        <v>119</v>
      </c>
      <c r="K644" s="10" t="str">
        <f>IF(Planilha1!E641="","",IF(Planilha1!E641=0,"",Planilha1!E641))</f>
        <v>Dallas Mavericks</v>
      </c>
      <c r="L644" s="10">
        <f>IF(Planilha1!F641="","",Planilha1!F641)</f>
        <v>110</v>
      </c>
      <c r="M644" s="10">
        <f>IF(Planilha1!G641="","",IF(Planilha1!G641=0,"",Planilha1!G641))</f>
        <v>110</v>
      </c>
      <c r="N644" s="5">
        <f t="shared" si="79"/>
        <v>1</v>
      </c>
      <c r="O644" s="5">
        <f t="shared" si="80"/>
        <v>0</v>
      </c>
      <c r="P644" s="5">
        <f t="shared" si="73"/>
        <v>0</v>
      </c>
      <c r="Q644" s="5">
        <f t="shared" si="74"/>
        <v>2</v>
      </c>
      <c r="R644" s="7">
        <f t="shared" si="75"/>
        <v>0</v>
      </c>
      <c r="S644" s="7">
        <f t="shared" si="76"/>
        <v>0</v>
      </c>
      <c r="T644" s="3">
        <f t="shared" si="77"/>
        <v>1</v>
      </c>
      <c r="V644" s="1" t="e">
        <f t="shared" si="78"/>
        <v>#DIV/0!</v>
      </c>
    </row>
    <row r="645" spans="8:22" x14ac:dyDescent="0.3">
      <c r="H645" s="10" t="str">
        <f>IF(Planilha1!B642="","",Planilha1!B642)</f>
        <v>9:00p</v>
      </c>
      <c r="I645" s="10" t="str">
        <f>IF(Planilha1!C642="","",Planilha1!C642)</f>
        <v>Chicago Bulls</v>
      </c>
      <c r="J645" s="10">
        <f>IF(Planilha1!D642="","",Planilha1!D642)</f>
        <v>113</v>
      </c>
      <c r="K645" s="10" t="str">
        <f>IF(Planilha1!E642="","",IF(Planilha1!E642=0,"",Planilha1!E642))</f>
        <v>Phoenix Suns</v>
      </c>
      <c r="L645" s="10">
        <f>IF(Planilha1!F642="","",Planilha1!F642)</f>
        <v>115</v>
      </c>
      <c r="M645" s="10">
        <f>IF(Planilha1!G642="","",IF(Planilha1!G642=0,"",Planilha1!G642))</f>
        <v>115</v>
      </c>
      <c r="N645" s="5">
        <f t="shared" si="79"/>
        <v>1</v>
      </c>
      <c r="O645" s="5">
        <f t="shared" si="80"/>
        <v>0</v>
      </c>
      <c r="P645" s="5">
        <f t="shared" ref="P645:P708" si="81">IF(M645="",IF(R645&gt;S645,2,0),IF(K645&lt;M645,2,0))</f>
        <v>0</v>
      </c>
      <c r="Q645" s="5">
        <f t="shared" ref="Q645:Q708" si="82">IF(M645="",IF(R645&gt;S645,0,2),IF(K645&gt;M645,2,0))</f>
        <v>2</v>
      </c>
      <c r="R645" s="7">
        <f t="shared" ref="R645:R708" si="83">SUMIF($B:$B,J645,$C:$C)+(SUMIF($B:$B,L645,$F:$F))</f>
        <v>0</v>
      </c>
      <c r="S645" s="7">
        <f t="shared" ref="S645:S708" si="84">SUMIF($B:$B,L645,$E:$E)+(SUMIF($B:$B,J645,$D:$D))</f>
        <v>0</v>
      </c>
      <c r="T645" s="3">
        <f t="shared" ref="T645:T708" si="85">IF(M645="","",(N645-S645)^2+(O645-R645)^2)</f>
        <v>1</v>
      </c>
      <c r="V645" s="1" t="e">
        <f t="shared" ref="V645:V708" si="86">IF(O645="","",1/((O645-N645)/(R645-S645)))</f>
        <v>#DIV/0!</v>
      </c>
    </row>
    <row r="646" spans="8:22" x14ac:dyDescent="0.3">
      <c r="H646" s="10" t="str">
        <f>IF(Planilha1!B643="","",Planilha1!B643)</f>
        <v>10:00p</v>
      </c>
      <c r="I646" s="10" t="str">
        <f>IF(Planilha1!C643="","",Planilha1!C643)</f>
        <v>Atlanta Hawks</v>
      </c>
      <c r="J646" s="10">
        <f>IF(Planilha1!D643="","",Planilha1!D643)</f>
        <v>107</v>
      </c>
      <c r="K646" s="10" t="str">
        <f>IF(Planilha1!E643="","",IF(Planilha1!E643=0,"",Planilha1!E643))</f>
        <v>Sacramento Kings</v>
      </c>
      <c r="L646" s="10">
        <f>IF(Planilha1!F643="","",Planilha1!F643)</f>
        <v>122</v>
      </c>
      <c r="M646" s="10">
        <f>IF(Planilha1!G643="","",IF(Planilha1!G643=0,"",Planilha1!G643))</f>
        <v>122</v>
      </c>
      <c r="N646" s="5">
        <f t="shared" ref="N646:N709" si="87">IF(K646="","",IF(K646&gt;M646,100%,0%))</f>
        <v>1</v>
      </c>
      <c r="O646" s="5">
        <f t="shared" ref="O646:O709" si="88">IF(K646="","",IF(K646&lt;M646,100%,0%))</f>
        <v>0</v>
      </c>
      <c r="P646" s="5">
        <f t="shared" si="81"/>
        <v>0</v>
      </c>
      <c r="Q646" s="5">
        <f t="shared" si="82"/>
        <v>2</v>
      </c>
      <c r="R646" s="7">
        <f t="shared" si="83"/>
        <v>0</v>
      </c>
      <c r="S646" s="7">
        <f t="shared" si="84"/>
        <v>0</v>
      </c>
      <c r="T646" s="3">
        <f t="shared" si="85"/>
        <v>1</v>
      </c>
      <c r="V646" s="1" t="e">
        <f t="shared" si="86"/>
        <v>#DIV/0!</v>
      </c>
    </row>
    <row r="647" spans="8:22" x14ac:dyDescent="0.3">
      <c r="H647" s="10" t="str">
        <f>IF(Planilha1!B644="","",Planilha1!B644)</f>
        <v>7:00p</v>
      </c>
      <c r="I647" s="10" t="str">
        <f>IF(Planilha1!C644="","",Planilha1!C644)</f>
        <v>Denver Nuggets</v>
      </c>
      <c r="J647" s="10">
        <f>IF(Planilha1!D644="","",Planilha1!D644)</f>
        <v>114</v>
      </c>
      <c r="K647" s="10" t="str">
        <f>IF(Planilha1!E644="","",IF(Planilha1!E644=0,"",Planilha1!E644))</f>
        <v>Indiana Pacers</v>
      </c>
      <c r="L647" s="10">
        <f>IF(Planilha1!F644="","",Planilha1!F644)</f>
        <v>109</v>
      </c>
      <c r="M647" s="10">
        <f>IF(Planilha1!G644="","",IF(Planilha1!G644=0,"",Planilha1!G644))</f>
        <v>109</v>
      </c>
      <c r="N647" s="5">
        <f t="shared" si="87"/>
        <v>1</v>
      </c>
      <c r="O647" s="5">
        <f t="shared" si="88"/>
        <v>0</v>
      </c>
      <c r="P647" s="5">
        <f t="shared" si="81"/>
        <v>0</v>
      </c>
      <c r="Q647" s="5">
        <f t="shared" si="82"/>
        <v>2</v>
      </c>
      <c r="R647" s="7">
        <f t="shared" si="83"/>
        <v>0</v>
      </c>
      <c r="S647" s="7">
        <f t="shared" si="84"/>
        <v>0</v>
      </c>
      <c r="T647" s="3">
        <f t="shared" si="85"/>
        <v>1</v>
      </c>
      <c r="V647" s="1" t="e">
        <f t="shared" si="86"/>
        <v>#DIV/0!</v>
      </c>
    </row>
    <row r="648" spans="8:22" x14ac:dyDescent="0.3">
      <c r="H648" s="10" t="str">
        <f>IF(Planilha1!B645="","",Planilha1!B645)</f>
        <v>7:30p</v>
      </c>
      <c r="I648" s="10" t="str">
        <f>IF(Planilha1!C645="","",Planilha1!C645)</f>
        <v>New York Knicks</v>
      </c>
      <c r="J648" s="10">
        <f>IF(Planilha1!D645="","",Planilha1!D645)</f>
        <v>108</v>
      </c>
      <c r="K648" s="10" t="str">
        <f>IF(Planilha1!E645="","",IF(Planilha1!E645=0,"",Planilha1!E645))</f>
        <v>Brooklyn Nets</v>
      </c>
      <c r="L648" s="10">
        <f>IF(Planilha1!F645="","",Planilha1!F645)</f>
        <v>103</v>
      </c>
      <c r="M648" s="10">
        <f>IF(Planilha1!G645="","",IF(Planilha1!G645=0,"",Planilha1!G645))</f>
        <v>103</v>
      </c>
      <c r="N648" s="5">
        <f t="shared" si="87"/>
        <v>1</v>
      </c>
      <c r="O648" s="5">
        <f t="shared" si="88"/>
        <v>0</v>
      </c>
      <c r="P648" s="5">
        <f t="shared" si="81"/>
        <v>0</v>
      </c>
      <c r="Q648" s="5">
        <f t="shared" si="82"/>
        <v>2</v>
      </c>
      <c r="R648" s="7">
        <f t="shared" si="83"/>
        <v>0</v>
      </c>
      <c r="S648" s="7">
        <f t="shared" si="84"/>
        <v>0</v>
      </c>
      <c r="T648" s="3">
        <f t="shared" si="85"/>
        <v>1</v>
      </c>
      <c r="V648" s="1" t="e">
        <f t="shared" si="86"/>
        <v>#DIV/0!</v>
      </c>
    </row>
    <row r="649" spans="8:22" x14ac:dyDescent="0.3">
      <c r="H649" s="10" t="str">
        <f>IF(Planilha1!B646="","",Planilha1!B646)</f>
        <v>8:00p</v>
      </c>
      <c r="I649" s="10" t="str">
        <f>IF(Planilha1!C646="","",Planilha1!C646)</f>
        <v>Utah Jazz</v>
      </c>
      <c r="J649" s="10">
        <f>IF(Planilha1!D646="","",Planilha1!D646)</f>
        <v>124</v>
      </c>
      <c r="K649" s="10" t="str">
        <f>IF(Planilha1!E646="","",IF(Planilha1!E646=0,"",Planilha1!E646))</f>
        <v>New Orleans Pelicans</v>
      </c>
      <c r="L649" s="10">
        <f>IF(Planilha1!F646="","",Planilha1!F646)</f>
        <v>153</v>
      </c>
      <c r="M649" s="10">
        <f>IF(Planilha1!G646="","",IF(Planilha1!G646=0,"",Planilha1!G646))</f>
        <v>153</v>
      </c>
      <c r="N649" s="5">
        <f t="shared" si="87"/>
        <v>1</v>
      </c>
      <c r="O649" s="5">
        <f t="shared" si="88"/>
        <v>0</v>
      </c>
      <c r="P649" s="5">
        <f t="shared" si="81"/>
        <v>0</v>
      </c>
      <c r="Q649" s="5">
        <f t="shared" si="82"/>
        <v>2</v>
      </c>
      <c r="R649" s="7">
        <f t="shared" si="83"/>
        <v>0</v>
      </c>
      <c r="S649" s="7">
        <f t="shared" si="84"/>
        <v>0</v>
      </c>
      <c r="T649" s="3">
        <f t="shared" si="85"/>
        <v>1</v>
      </c>
      <c r="V649" s="1" t="e">
        <f t="shared" si="86"/>
        <v>#DIV/0!</v>
      </c>
    </row>
    <row r="650" spans="8:22" x14ac:dyDescent="0.3">
      <c r="H650" s="10" t="str">
        <f>IF(Planilha1!B647="","",Planilha1!B647)</f>
        <v>8:00p</v>
      </c>
      <c r="I650" s="10" t="str">
        <f>IF(Planilha1!C647="","",Planilha1!C647)</f>
        <v>Portland Trail Blazers</v>
      </c>
      <c r="J650" s="10">
        <f>IF(Planilha1!D647="","",Planilha1!D647)</f>
        <v>109</v>
      </c>
      <c r="K650" s="10" t="str">
        <f>IF(Planilha1!E647="","",IF(Planilha1!E647=0,"",Planilha1!E647))</f>
        <v>Oklahoma City Thunder</v>
      </c>
      <c r="L650" s="10">
        <f>IF(Planilha1!F647="","",Planilha1!F647)</f>
        <v>111</v>
      </c>
      <c r="M650" s="10">
        <f>IF(Planilha1!G647="","",IF(Planilha1!G647=0,"",Planilha1!G647))</f>
        <v>111</v>
      </c>
      <c r="N650" s="5">
        <f t="shared" si="87"/>
        <v>1</v>
      </c>
      <c r="O650" s="5">
        <f t="shared" si="88"/>
        <v>0</v>
      </c>
      <c r="P650" s="5">
        <f t="shared" si="81"/>
        <v>0</v>
      </c>
      <c r="Q650" s="5">
        <f t="shared" si="82"/>
        <v>2</v>
      </c>
      <c r="R650" s="7">
        <f t="shared" si="83"/>
        <v>0</v>
      </c>
      <c r="S650" s="7">
        <f t="shared" si="84"/>
        <v>0</v>
      </c>
      <c r="T650" s="3">
        <f t="shared" si="85"/>
        <v>1</v>
      </c>
      <c r="V650" s="1" t="e">
        <f t="shared" si="86"/>
        <v>#DIV/0!</v>
      </c>
    </row>
    <row r="651" spans="8:22" x14ac:dyDescent="0.3">
      <c r="H651" s="10" t="str">
        <f>IF(Planilha1!B648="","",Planilha1!B648)</f>
        <v>10:00p</v>
      </c>
      <c r="I651" s="10" t="str">
        <f>IF(Planilha1!C648="","",Planilha1!C648)</f>
        <v>Los Angeles Lakers</v>
      </c>
      <c r="J651" s="10">
        <f>IF(Planilha1!D648="","",Planilha1!D648)</f>
        <v>116</v>
      </c>
      <c r="K651" s="10" t="str">
        <f>IF(Planilha1!E648="","",IF(Planilha1!E648=0,"",Planilha1!E648))</f>
        <v>Los Angeles Clippers</v>
      </c>
      <c r="L651" s="10">
        <f>IF(Planilha1!F648="","",Planilha1!F648)</f>
        <v>127</v>
      </c>
      <c r="M651" s="10">
        <f>IF(Planilha1!G648="","",IF(Planilha1!G648=0,"",Planilha1!G648))</f>
        <v>127</v>
      </c>
      <c r="N651" s="5">
        <f t="shared" si="87"/>
        <v>1</v>
      </c>
      <c r="O651" s="5">
        <f t="shared" si="88"/>
        <v>0</v>
      </c>
      <c r="P651" s="5">
        <f t="shared" si="81"/>
        <v>0</v>
      </c>
      <c r="Q651" s="5">
        <f t="shared" si="82"/>
        <v>2</v>
      </c>
      <c r="R651" s="7">
        <f t="shared" si="83"/>
        <v>0</v>
      </c>
      <c r="S651" s="7">
        <f t="shared" si="84"/>
        <v>0</v>
      </c>
      <c r="T651" s="3">
        <f t="shared" si="85"/>
        <v>1</v>
      </c>
      <c r="V651" s="1" t="e">
        <f t="shared" si="86"/>
        <v>#DIV/0!</v>
      </c>
    </row>
    <row r="652" spans="8:22" x14ac:dyDescent="0.3">
      <c r="H652" s="10" t="str">
        <f>IF(Planilha1!B649="","",Planilha1!B649)</f>
        <v>7:00p</v>
      </c>
      <c r="I652" s="10" t="str">
        <f>IF(Planilha1!C649="","",Planilha1!C649)</f>
        <v>Charlotte Hornets</v>
      </c>
      <c r="J652" s="10">
        <f>IF(Planilha1!D649="","",Planilha1!D649)</f>
        <v>106</v>
      </c>
      <c r="K652" s="10" t="str">
        <f>IF(Planilha1!E649="","",IF(Planilha1!E649=0,"",Planilha1!E649))</f>
        <v>Detroit Pistons</v>
      </c>
      <c r="L652" s="10">
        <f>IF(Planilha1!F649="","",Planilha1!F649)</f>
        <v>113</v>
      </c>
      <c r="M652" s="10">
        <f>IF(Planilha1!G649="","",IF(Planilha1!G649=0,"",Planilha1!G649))</f>
        <v>113</v>
      </c>
      <c r="N652" s="5">
        <f t="shared" si="87"/>
        <v>1</v>
      </c>
      <c r="O652" s="5">
        <f t="shared" si="88"/>
        <v>0</v>
      </c>
      <c r="P652" s="5">
        <f t="shared" si="81"/>
        <v>0</v>
      </c>
      <c r="Q652" s="5">
        <f t="shared" si="82"/>
        <v>2</v>
      </c>
      <c r="R652" s="7">
        <f t="shared" si="83"/>
        <v>0</v>
      </c>
      <c r="S652" s="7">
        <f t="shared" si="84"/>
        <v>0</v>
      </c>
      <c r="T652" s="3">
        <f t="shared" si="85"/>
        <v>1</v>
      </c>
      <c r="V652" s="1" t="e">
        <f t="shared" si="86"/>
        <v>#DIV/0!</v>
      </c>
    </row>
    <row r="653" spans="8:22" x14ac:dyDescent="0.3">
      <c r="H653" s="10" t="str">
        <f>IF(Planilha1!B650="","",Planilha1!B650)</f>
        <v>7:00p</v>
      </c>
      <c r="I653" s="10" t="str">
        <f>IF(Planilha1!C650="","",Planilha1!C650)</f>
        <v>Minnesota Timberwolves</v>
      </c>
      <c r="J653" s="10">
        <f>IF(Planilha1!D650="","",Planilha1!D650)</f>
        <v>118</v>
      </c>
      <c r="K653" s="10" t="str">
        <f>IF(Planilha1!E650="","",IF(Planilha1!E650=0,"",Planilha1!E650))</f>
        <v>Washington Wizards</v>
      </c>
      <c r="L653" s="10">
        <f>IF(Planilha1!F650="","",Planilha1!F650)</f>
        <v>107</v>
      </c>
      <c r="M653" s="10">
        <f>IF(Planilha1!G650="","",IF(Planilha1!G650=0,"",Planilha1!G650))</f>
        <v>107</v>
      </c>
      <c r="N653" s="5">
        <f t="shared" si="87"/>
        <v>1</v>
      </c>
      <c r="O653" s="5">
        <f t="shared" si="88"/>
        <v>0</v>
      </c>
      <c r="P653" s="5">
        <f t="shared" si="81"/>
        <v>0</v>
      </c>
      <c r="Q653" s="5">
        <f t="shared" si="82"/>
        <v>2</v>
      </c>
      <c r="R653" s="7">
        <f t="shared" si="83"/>
        <v>0</v>
      </c>
      <c r="S653" s="7">
        <f t="shared" si="84"/>
        <v>0</v>
      </c>
      <c r="T653" s="3">
        <f t="shared" si="85"/>
        <v>1</v>
      </c>
      <c r="V653" s="1" t="e">
        <f t="shared" si="86"/>
        <v>#DIV/0!</v>
      </c>
    </row>
    <row r="654" spans="8:22" x14ac:dyDescent="0.3">
      <c r="H654" s="10" t="str">
        <f>IF(Planilha1!B651="","",Planilha1!B651)</f>
        <v>7:30p</v>
      </c>
      <c r="I654" s="10" t="str">
        <f>IF(Planilha1!C651="","",Planilha1!C651)</f>
        <v>Memphis Grizzlies</v>
      </c>
      <c r="J654" s="10">
        <f>IF(Planilha1!D651="","",Planilha1!D651)</f>
        <v>105</v>
      </c>
      <c r="K654" s="10" t="str">
        <f>IF(Planilha1!E651="","",IF(Planilha1!E651=0,"",Planilha1!E651))</f>
        <v>Miami Heat</v>
      </c>
      <c r="L654" s="10">
        <f>IF(Planilha1!F651="","",Planilha1!F651)</f>
        <v>96</v>
      </c>
      <c r="M654" s="10">
        <f>IF(Planilha1!G651="","",IF(Planilha1!G651=0,"",Planilha1!G651))</f>
        <v>96</v>
      </c>
      <c r="N654" s="5">
        <f t="shared" si="87"/>
        <v>1</v>
      </c>
      <c r="O654" s="5">
        <f t="shared" si="88"/>
        <v>0</v>
      </c>
      <c r="P654" s="5">
        <f t="shared" si="81"/>
        <v>0</v>
      </c>
      <c r="Q654" s="5">
        <f t="shared" si="82"/>
        <v>2</v>
      </c>
      <c r="R654" s="7">
        <f t="shared" si="83"/>
        <v>0</v>
      </c>
      <c r="S654" s="7">
        <f t="shared" si="84"/>
        <v>0</v>
      </c>
      <c r="T654" s="3">
        <f t="shared" si="85"/>
        <v>1</v>
      </c>
      <c r="V654" s="1" t="e">
        <f t="shared" si="86"/>
        <v>#DIV/0!</v>
      </c>
    </row>
    <row r="655" spans="8:22" x14ac:dyDescent="0.3">
      <c r="H655" s="10" t="str">
        <f>IF(Planilha1!B652="","",Planilha1!B652)</f>
        <v>8:00p</v>
      </c>
      <c r="I655" s="10" t="str">
        <f>IF(Planilha1!C652="","",Planilha1!C652)</f>
        <v>Portland Trail Blazers</v>
      </c>
      <c r="J655" s="10">
        <f>IF(Planilha1!D652="","",Planilha1!D652)</f>
        <v>137</v>
      </c>
      <c r="K655" s="10" t="str">
        <f>IF(Planilha1!E652="","",IF(Planilha1!E652=0,"",Planilha1!E652))</f>
        <v>Houston Rockets</v>
      </c>
      <c r="L655" s="10">
        <f>IF(Planilha1!F652="","",Planilha1!F652)</f>
        <v>131</v>
      </c>
      <c r="M655" s="10">
        <f>IF(Planilha1!G652="","",IF(Planilha1!G652=0,"",Planilha1!G652))</f>
        <v>131</v>
      </c>
      <c r="N655" s="5">
        <f t="shared" si="87"/>
        <v>1</v>
      </c>
      <c r="O655" s="5">
        <f t="shared" si="88"/>
        <v>0</v>
      </c>
      <c r="P655" s="5">
        <f t="shared" si="81"/>
        <v>0</v>
      </c>
      <c r="Q655" s="5">
        <f t="shared" si="82"/>
        <v>2</v>
      </c>
      <c r="R655" s="7">
        <f t="shared" si="83"/>
        <v>0</v>
      </c>
      <c r="S655" s="7">
        <f t="shared" si="84"/>
        <v>0</v>
      </c>
      <c r="T655" s="3">
        <f t="shared" si="85"/>
        <v>1</v>
      </c>
      <c r="V655" s="1" t="e">
        <f t="shared" si="86"/>
        <v>#DIV/0!</v>
      </c>
    </row>
    <row r="656" spans="8:22" x14ac:dyDescent="0.3">
      <c r="H656" s="10" t="str">
        <f>IF(Planilha1!B653="","",Planilha1!B653)</f>
        <v>8:00p</v>
      </c>
      <c r="I656" s="10" t="str">
        <f>IF(Planilha1!C653="","",Planilha1!C653)</f>
        <v>Cleveland Cavaliers</v>
      </c>
      <c r="J656" s="10">
        <f>IF(Planilha1!D653="","",Planilha1!D653)</f>
        <v>116</v>
      </c>
      <c r="K656" s="10" t="str">
        <f>IF(Planilha1!E653="","",IF(Planilha1!E653=0,"",Planilha1!E653))</f>
        <v>Milwaukee Bucks</v>
      </c>
      <c r="L656" s="10">
        <f>IF(Planilha1!F653="","",Planilha1!F653)</f>
        <v>126</v>
      </c>
      <c r="M656" s="10">
        <f>IF(Planilha1!G653="","",IF(Planilha1!G653=0,"",Planilha1!G653))</f>
        <v>126</v>
      </c>
      <c r="N656" s="5">
        <f t="shared" si="87"/>
        <v>1</v>
      </c>
      <c r="O656" s="5">
        <f t="shared" si="88"/>
        <v>0</v>
      </c>
      <c r="P656" s="5">
        <f t="shared" si="81"/>
        <v>0</v>
      </c>
      <c r="Q656" s="5">
        <f t="shared" si="82"/>
        <v>2</v>
      </c>
      <c r="R656" s="7">
        <f t="shared" si="83"/>
        <v>0</v>
      </c>
      <c r="S656" s="7">
        <f t="shared" si="84"/>
        <v>0</v>
      </c>
      <c r="T656" s="3">
        <f t="shared" si="85"/>
        <v>1</v>
      </c>
      <c r="V656" s="1" t="e">
        <f t="shared" si="86"/>
        <v>#DIV/0!</v>
      </c>
    </row>
    <row r="657" spans="8:22" x14ac:dyDescent="0.3">
      <c r="H657" s="10" t="str">
        <f>IF(Planilha1!B654="","",Planilha1!B654)</f>
        <v>8:30p</v>
      </c>
      <c r="I657" s="10" t="str">
        <f>IF(Planilha1!C654="","",Planilha1!C654)</f>
        <v>Phoenix Suns</v>
      </c>
      <c r="J657" s="10">
        <f>IF(Planilha1!D654="","",Planilha1!D654)</f>
        <v>132</v>
      </c>
      <c r="K657" s="10" t="str">
        <f>IF(Planilha1!E654="","",IF(Planilha1!E654=0,"",Planilha1!E654))</f>
        <v>Dallas Mavericks</v>
      </c>
      <c r="L657" s="10">
        <f>IF(Planilha1!F654="","",Planilha1!F654)</f>
        <v>109</v>
      </c>
      <c r="M657" s="10">
        <f>IF(Planilha1!G654="","",IF(Planilha1!G654=0,"",Planilha1!G654))</f>
        <v>109</v>
      </c>
      <c r="N657" s="5">
        <f t="shared" si="87"/>
        <v>1</v>
      </c>
      <c r="O657" s="5">
        <f t="shared" si="88"/>
        <v>0</v>
      </c>
      <c r="P657" s="5">
        <f t="shared" si="81"/>
        <v>0</v>
      </c>
      <c r="Q657" s="5">
        <f t="shared" si="82"/>
        <v>2</v>
      </c>
      <c r="R657" s="7">
        <f t="shared" si="83"/>
        <v>0</v>
      </c>
      <c r="S657" s="7">
        <f t="shared" si="84"/>
        <v>0</v>
      </c>
      <c r="T657" s="3">
        <f t="shared" si="85"/>
        <v>1</v>
      </c>
      <c r="V657" s="1" t="e">
        <f t="shared" si="86"/>
        <v>#DIV/0!</v>
      </c>
    </row>
    <row r="658" spans="8:22" x14ac:dyDescent="0.3">
      <c r="H658" s="10" t="str">
        <f>IF(Planilha1!B655="","",Planilha1!B655)</f>
        <v>9:30p</v>
      </c>
      <c r="I658" s="10" t="str">
        <f>IF(Planilha1!C655="","",Planilha1!C655)</f>
        <v>Oklahoma City Thunder</v>
      </c>
      <c r="J658" s="10">
        <f>IF(Planilha1!D655="","",Planilha1!D655)</f>
        <v>140</v>
      </c>
      <c r="K658" s="10" t="str">
        <f>IF(Planilha1!E655="","",IF(Planilha1!E655=0,"",Planilha1!E655))</f>
        <v>San Antonio Spurs</v>
      </c>
      <c r="L658" s="10">
        <f>IF(Planilha1!F655="","",Planilha1!F655)</f>
        <v>114</v>
      </c>
      <c r="M658" s="10">
        <f>IF(Planilha1!G655="","",IF(Planilha1!G655=0,"",Planilha1!G655))</f>
        <v>114</v>
      </c>
      <c r="N658" s="5">
        <f t="shared" si="87"/>
        <v>1</v>
      </c>
      <c r="O658" s="5">
        <f t="shared" si="88"/>
        <v>0</v>
      </c>
      <c r="P658" s="5">
        <f t="shared" si="81"/>
        <v>0</v>
      </c>
      <c r="Q658" s="5">
        <f t="shared" si="82"/>
        <v>2</v>
      </c>
      <c r="R658" s="7">
        <f t="shared" si="83"/>
        <v>0</v>
      </c>
      <c r="S658" s="7">
        <f t="shared" si="84"/>
        <v>0</v>
      </c>
      <c r="T658" s="3">
        <f t="shared" si="85"/>
        <v>1</v>
      </c>
      <c r="V658" s="1" t="e">
        <f t="shared" si="86"/>
        <v>#DIV/0!</v>
      </c>
    </row>
    <row r="659" spans="8:22" x14ac:dyDescent="0.3">
      <c r="H659" s="10" t="str">
        <f>IF(Planilha1!B656="","",Planilha1!B656)</f>
        <v>10:00p</v>
      </c>
      <c r="I659" s="10" t="str">
        <f>IF(Planilha1!C656="","",Planilha1!C656)</f>
        <v>Atlanta Hawks</v>
      </c>
      <c r="J659" s="10">
        <f>IF(Planilha1!D656="","",Planilha1!D656)</f>
        <v>112</v>
      </c>
      <c r="K659" s="10" t="str">
        <f>IF(Planilha1!E656="","",IF(Planilha1!E656=0,"",Planilha1!E656))</f>
        <v>Golden State Warriors</v>
      </c>
      <c r="L659" s="10">
        <f>IF(Planilha1!F656="","",Planilha1!F656)</f>
        <v>134</v>
      </c>
      <c r="M659" s="10">
        <f>IF(Planilha1!G656="","",IF(Planilha1!G656=0,"",Planilha1!G656))</f>
        <v>134</v>
      </c>
      <c r="N659" s="5">
        <f t="shared" si="87"/>
        <v>1</v>
      </c>
      <c r="O659" s="5">
        <f t="shared" si="88"/>
        <v>0</v>
      </c>
      <c r="P659" s="5">
        <f t="shared" si="81"/>
        <v>0</v>
      </c>
      <c r="Q659" s="5">
        <f t="shared" si="82"/>
        <v>2</v>
      </c>
      <c r="R659" s="7">
        <f t="shared" si="83"/>
        <v>0</v>
      </c>
      <c r="S659" s="7">
        <f t="shared" si="84"/>
        <v>0</v>
      </c>
      <c r="T659" s="3">
        <f t="shared" si="85"/>
        <v>1</v>
      </c>
      <c r="V659" s="1" t="e">
        <f t="shared" si="86"/>
        <v>#DIV/0!</v>
      </c>
    </row>
    <row r="660" spans="8:22" x14ac:dyDescent="0.3">
      <c r="H660" s="10" t="str">
        <f>IF(Planilha1!B657="","",Planilha1!B657)</f>
        <v>7:00p</v>
      </c>
      <c r="I660" s="10" t="str">
        <f>IF(Planilha1!C657="","",Planilha1!C657)</f>
        <v>Philadelphia 76ers</v>
      </c>
      <c r="J660" s="10">
        <f>IF(Planilha1!D657="","",Planilha1!D657)</f>
        <v>122</v>
      </c>
      <c r="K660" s="10" t="str">
        <f>IF(Planilha1!E657="","",IF(Planilha1!E657=0,"",Planilha1!E657))</f>
        <v>Indiana Pacers</v>
      </c>
      <c r="L660" s="10">
        <f>IF(Planilha1!F657="","",Planilha1!F657)</f>
        <v>134</v>
      </c>
      <c r="M660" s="10">
        <f>IF(Planilha1!G657="","",IF(Planilha1!G657=0,"",Planilha1!G657))</f>
        <v>134</v>
      </c>
      <c r="N660" s="5">
        <f t="shared" si="87"/>
        <v>1</v>
      </c>
      <c r="O660" s="5">
        <f t="shared" si="88"/>
        <v>0</v>
      </c>
      <c r="P660" s="5">
        <f t="shared" si="81"/>
        <v>0</v>
      </c>
      <c r="Q660" s="5">
        <f t="shared" si="82"/>
        <v>2</v>
      </c>
      <c r="R660" s="7">
        <f t="shared" si="83"/>
        <v>0</v>
      </c>
      <c r="S660" s="7">
        <f t="shared" si="84"/>
        <v>0</v>
      </c>
      <c r="T660" s="3">
        <f t="shared" si="85"/>
        <v>1</v>
      </c>
      <c r="V660" s="1" t="e">
        <f t="shared" si="86"/>
        <v>#DIV/0!</v>
      </c>
    </row>
    <row r="661" spans="8:22" x14ac:dyDescent="0.3">
      <c r="H661" s="10" t="str">
        <f>IF(Planilha1!B658="","",Planilha1!B658)</f>
        <v>7:00p</v>
      </c>
      <c r="I661" s="10" t="str">
        <f>IF(Planilha1!C658="","",Planilha1!C658)</f>
        <v>Utah Jazz</v>
      </c>
      <c r="J661" s="10">
        <f>IF(Planilha1!D658="","",Planilha1!D658)</f>
        <v>123</v>
      </c>
      <c r="K661" s="10" t="str">
        <f>IF(Planilha1!E658="","",IF(Planilha1!E658=0,"",Planilha1!E658))</f>
        <v>Washington Wizards</v>
      </c>
      <c r="L661" s="10">
        <f>IF(Planilha1!F658="","",Planilha1!F658)</f>
        <v>108</v>
      </c>
      <c r="M661" s="10">
        <f>IF(Planilha1!G658="","",IF(Planilha1!G658=0,"",Planilha1!G658))</f>
        <v>108</v>
      </c>
      <c r="N661" s="5">
        <f t="shared" si="87"/>
        <v>1</v>
      </c>
      <c r="O661" s="5">
        <f t="shared" si="88"/>
        <v>0</v>
      </c>
      <c r="P661" s="5">
        <f t="shared" si="81"/>
        <v>0</v>
      </c>
      <c r="Q661" s="5">
        <f t="shared" si="82"/>
        <v>2</v>
      </c>
      <c r="R661" s="7">
        <f t="shared" si="83"/>
        <v>0</v>
      </c>
      <c r="S661" s="7">
        <f t="shared" si="84"/>
        <v>0</v>
      </c>
      <c r="T661" s="3">
        <f t="shared" si="85"/>
        <v>1</v>
      </c>
      <c r="V661" s="1" t="e">
        <f t="shared" si="86"/>
        <v>#DIV/0!</v>
      </c>
    </row>
    <row r="662" spans="8:22" x14ac:dyDescent="0.3">
      <c r="H662" s="10" t="str">
        <f>IF(Planilha1!B659="","",Planilha1!B659)</f>
        <v>7:30p</v>
      </c>
      <c r="I662" s="10" t="str">
        <f>IF(Planilha1!C659="","",Planilha1!C659)</f>
        <v>Minnesota Timberwolves</v>
      </c>
      <c r="J662" s="10">
        <f>IF(Planilha1!D659="","",Planilha1!D659)</f>
        <v>96</v>
      </c>
      <c r="K662" s="10" t="str">
        <f>IF(Planilha1!E659="","",IF(Planilha1!E659=0,"",Planilha1!E659))</f>
        <v>Brooklyn Nets</v>
      </c>
      <c r="L662" s="10">
        <f>IF(Planilha1!F659="","",Planilha1!F659)</f>
        <v>94</v>
      </c>
      <c r="M662" s="10">
        <f>IF(Planilha1!G659="","",IF(Planilha1!G659=0,"",Planilha1!G659))</f>
        <v>94</v>
      </c>
      <c r="N662" s="5">
        <f t="shared" si="87"/>
        <v>1</v>
      </c>
      <c r="O662" s="5">
        <f t="shared" si="88"/>
        <v>0</v>
      </c>
      <c r="P662" s="5">
        <f t="shared" si="81"/>
        <v>0</v>
      </c>
      <c r="Q662" s="5">
        <f t="shared" si="82"/>
        <v>2</v>
      </c>
      <c r="R662" s="7">
        <f t="shared" si="83"/>
        <v>0</v>
      </c>
      <c r="S662" s="7">
        <f t="shared" si="84"/>
        <v>0</v>
      </c>
      <c r="T662" s="3">
        <f t="shared" si="85"/>
        <v>1</v>
      </c>
      <c r="V662" s="1" t="e">
        <f t="shared" si="86"/>
        <v>#DIV/0!</v>
      </c>
    </row>
    <row r="663" spans="8:22" x14ac:dyDescent="0.3">
      <c r="H663" s="10" t="str">
        <f>IF(Planilha1!B660="","",Planilha1!B660)</f>
        <v>7:30p</v>
      </c>
      <c r="I663" s="10" t="str">
        <f>IF(Planilha1!C660="","",Planilha1!C660)</f>
        <v>Boston Celtics</v>
      </c>
      <c r="J663" s="10">
        <f>IF(Planilha1!D660="","",Planilha1!D660)</f>
        <v>143</v>
      </c>
      <c r="K663" s="10" t="str">
        <f>IF(Planilha1!E660="","",IF(Planilha1!E660=0,"",Planilha1!E660))</f>
        <v>Miami Heat</v>
      </c>
      <c r="L663" s="10">
        <f>IF(Planilha1!F660="","",Planilha1!F660)</f>
        <v>110</v>
      </c>
      <c r="M663" s="10">
        <f>IF(Planilha1!G660="","",IF(Planilha1!G660=0,"",Planilha1!G660))</f>
        <v>110</v>
      </c>
      <c r="N663" s="5">
        <f t="shared" si="87"/>
        <v>1</v>
      </c>
      <c r="O663" s="5">
        <f t="shared" si="88"/>
        <v>0</v>
      </c>
      <c r="P663" s="5">
        <f t="shared" si="81"/>
        <v>0</v>
      </c>
      <c r="Q663" s="5">
        <f t="shared" si="82"/>
        <v>2</v>
      </c>
      <c r="R663" s="7">
        <f t="shared" si="83"/>
        <v>0</v>
      </c>
      <c r="S663" s="7">
        <f t="shared" si="84"/>
        <v>0</v>
      </c>
      <c r="T663" s="3">
        <f t="shared" si="85"/>
        <v>1</v>
      </c>
      <c r="V663" s="1" t="e">
        <f t="shared" si="86"/>
        <v>#DIV/0!</v>
      </c>
    </row>
    <row r="664" spans="8:22" x14ac:dyDescent="0.3">
      <c r="H664" s="10" t="str">
        <f>IF(Planilha1!B661="","",Planilha1!B661)</f>
        <v>7:30p</v>
      </c>
      <c r="I664" s="10" t="str">
        <f>IF(Planilha1!C661="","",Planilha1!C661)</f>
        <v>Denver Nuggets</v>
      </c>
      <c r="J664" s="10">
        <f>IF(Planilha1!D661="","",Planilha1!D661)</f>
        <v>84</v>
      </c>
      <c r="K664" s="10" t="str">
        <f>IF(Planilha1!E661="","",IF(Planilha1!E661=0,"",Planilha1!E661))</f>
        <v>New York Knicks</v>
      </c>
      <c r="L664" s="10">
        <f>IF(Planilha1!F661="","",Planilha1!F661)</f>
        <v>122</v>
      </c>
      <c r="M664" s="10">
        <f>IF(Planilha1!G661="","",IF(Planilha1!G661=0,"",Planilha1!G661))</f>
        <v>122</v>
      </c>
      <c r="N664" s="5">
        <f t="shared" si="87"/>
        <v>1</v>
      </c>
      <c r="O664" s="5">
        <f t="shared" si="88"/>
        <v>0</v>
      </c>
      <c r="P664" s="5">
        <f t="shared" si="81"/>
        <v>0</v>
      </c>
      <c r="Q664" s="5">
        <f t="shared" si="82"/>
        <v>2</v>
      </c>
      <c r="R664" s="7">
        <f t="shared" si="83"/>
        <v>0</v>
      </c>
      <c r="S664" s="7">
        <f t="shared" si="84"/>
        <v>0</v>
      </c>
      <c r="T664" s="3">
        <f t="shared" si="85"/>
        <v>1</v>
      </c>
      <c r="V664" s="1" t="e">
        <f t="shared" si="86"/>
        <v>#DIV/0!</v>
      </c>
    </row>
    <row r="665" spans="8:22" x14ac:dyDescent="0.3">
      <c r="H665" s="10" t="str">
        <f>IF(Planilha1!B662="","",Planilha1!B662)</f>
        <v>10:00p</v>
      </c>
      <c r="I665" s="10" t="str">
        <f>IF(Planilha1!C662="","",Planilha1!C662)</f>
        <v>Sacramento Kings</v>
      </c>
      <c r="J665" s="10">
        <f>IF(Planilha1!D662="","",Planilha1!D662)</f>
        <v>134</v>
      </c>
      <c r="K665" s="10" t="str">
        <f>IF(Planilha1!E662="","",IF(Planilha1!E662=0,"",Planilha1!E662))</f>
        <v>Golden State Warriors</v>
      </c>
      <c r="L665" s="10">
        <f>IF(Planilha1!F662="","",Planilha1!F662)</f>
        <v>133</v>
      </c>
      <c r="M665" s="10">
        <f>IF(Planilha1!G662="","",IF(Planilha1!G662=0,"",Planilha1!G662))</f>
        <v>133</v>
      </c>
      <c r="N665" s="5">
        <f t="shared" si="87"/>
        <v>1</v>
      </c>
      <c r="O665" s="5">
        <f t="shared" si="88"/>
        <v>0</v>
      </c>
      <c r="P665" s="5">
        <f t="shared" si="81"/>
        <v>0</v>
      </c>
      <c r="Q665" s="5">
        <f t="shared" si="82"/>
        <v>2</v>
      </c>
      <c r="R665" s="7">
        <f t="shared" si="83"/>
        <v>0</v>
      </c>
      <c r="S665" s="7">
        <f t="shared" si="84"/>
        <v>0</v>
      </c>
      <c r="T665" s="3">
        <f t="shared" si="85"/>
        <v>1</v>
      </c>
      <c r="V665" s="1" t="e">
        <f t="shared" si="86"/>
        <v>#DIV/0!</v>
      </c>
    </row>
    <row r="666" spans="8:22" x14ac:dyDescent="0.3">
      <c r="H666" s="10" t="str">
        <f>IF(Planilha1!B663="","",Planilha1!B663)</f>
        <v>10:30p</v>
      </c>
      <c r="I666" s="10" t="str">
        <f>IF(Planilha1!C663="","",Planilha1!C663)</f>
        <v>Chicago Bulls</v>
      </c>
      <c r="J666" s="10">
        <f>IF(Planilha1!D663="","",Planilha1!D663)</f>
        <v>132</v>
      </c>
      <c r="K666" s="10" t="str">
        <f>IF(Planilha1!E663="","",IF(Planilha1!E663=0,"",Planilha1!E663))</f>
        <v>Los Angeles Lakers</v>
      </c>
      <c r="L666" s="10">
        <f>IF(Planilha1!F663="","",Planilha1!F663)</f>
        <v>141</v>
      </c>
      <c r="M666" s="10">
        <f>IF(Planilha1!G663="","",IF(Planilha1!G663=0,"",Planilha1!G663))</f>
        <v>141</v>
      </c>
      <c r="N666" s="5">
        <f t="shared" si="87"/>
        <v>1</v>
      </c>
      <c r="O666" s="5">
        <f t="shared" si="88"/>
        <v>0</v>
      </c>
      <c r="P666" s="5">
        <f t="shared" si="81"/>
        <v>0</v>
      </c>
      <c r="Q666" s="5">
        <f t="shared" si="82"/>
        <v>2</v>
      </c>
      <c r="R666" s="7">
        <f t="shared" si="83"/>
        <v>0</v>
      </c>
      <c r="S666" s="7">
        <f t="shared" si="84"/>
        <v>0</v>
      </c>
      <c r="T666" s="3">
        <f t="shared" si="85"/>
        <v>1</v>
      </c>
      <c r="V666" s="1" t="e">
        <f t="shared" si="86"/>
        <v>#DIV/0!</v>
      </c>
    </row>
    <row r="667" spans="8:22" x14ac:dyDescent="0.3">
      <c r="H667" s="10" t="str">
        <f>IF(Planilha1!B664="","",Planilha1!B664)</f>
        <v>7:00p</v>
      </c>
      <c r="I667" s="10" t="str">
        <f>IF(Planilha1!C664="","",Planilha1!C664)</f>
        <v>Dallas Mavericks</v>
      </c>
      <c r="J667" s="10">
        <f>IF(Planilha1!D664="","",Planilha1!D664)</f>
        <v>148</v>
      </c>
      <c r="K667" s="10" t="str">
        <f>IF(Planilha1!E664="","",IF(Planilha1!E664=0,"",Planilha1!E664))</f>
        <v>Atlanta Hawks</v>
      </c>
      <c r="L667" s="10">
        <f>IF(Planilha1!F664="","",Planilha1!F664)</f>
        <v>143</v>
      </c>
      <c r="M667" s="10">
        <f>IF(Planilha1!G664="","",IF(Planilha1!G664=0,"",Planilha1!G664))</f>
        <v>143</v>
      </c>
      <c r="N667" s="5">
        <f t="shared" si="87"/>
        <v>1</v>
      </c>
      <c r="O667" s="5">
        <f t="shared" si="88"/>
        <v>0</v>
      </c>
      <c r="P667" s="5">
        <f t="shared" si="81"/>
        <v>0</v>
      </c>
      <c r="Q667" s="5">
        <f t="shared" si="82"/>
        <v>2</v>
      </c>
      <c r="R667" s="7">
        <f t="shared" si="83"/>
        <v>0</v>
      </c>
      <c r="S667" s="7">
        <f t="shared" si="84"/>
        <v>0</v>
      </c>
      <c r="T667" s="3">
        <f t="shared" si="85"/>
        <v>1</v>
      </c>
      <c r="V667" s="1" t="e">
        <f t="shared" si="86"/>
        <v>#DIV/0!</v>
      </c>
    </row>
    <row r="668" spans="8:22" x14ac:dyDescent="0.3">
      <c r="H668" s="10" t="str">
        <f>IF(Planilha1!B665="","",Planilha1!B665)</f>
        <v>7:00p</v>
      </c>
      <c r="I668" s="10" t="str">
        <f>IF(Planilha1!C665="","",Planilha1!C665)</f>
        <v>Houston Rockets</v>
      </c>
      <c r="J668" s="10">
        <f>IF(Planilha1!D665="","",Planilha1!D665)</f>
        <v>138</v>
      </c>
      <c r="K668" s="10" t="str">
        <f>IF(Planilha1!E665="","",IF(Planilha1!E665=0,"",Planilha1!E665))</f>
        <v>Charlotte Hornets</v>
      </c>
      <c r="L668" s="10">
        <f>IF(Planilha1!F665="","",Planilha1!F665)</f>
        <v>104</v>
      </c>
      <c r="M668" s="10">
        <f>IF(Planilha1!G665="","",IF(Planilha1!G665=0,"",Planilha1!G665))</f>
        <v>104</v>
      </c>
      <c r="N668" s="5">
        <f t="shared" si="87"/>
        <v>1</v>
      </c>
      <c r="O668" s="5">
        <f t="shared" si="88"/>
        <v>0</v>
      </c>
      <c r="P668" s="5">
        <f t="shared" si="81"/>
        <v>0</v>
      </c>
      <c r="Q668" s="5">
        <f t="shared" si="82"/>
        <v>2</v>
      </c>
      <c r="R668" s="7">
        <f t="shared" si="83"/>
        <v>0</v>
      </c>
      <c r="S668" s="7">
        <f t="shared" si="84"/>
        <v>0</v>
      </c>
      <c r="T668" s="3">
        <f t="shared" si="85"/>
        <v>1</v>
      </c>
      <c r="V668" s="1" t="e">
        <f t="shared" si="86"/>
        <v>#DIV/0!</v>
      </c>
    </row>
    <row r="669" spans="8:22" x14ac:dyDescent="0.3">
      <c r="H669" s="10" t="str">
        <f>IF(Planilha1!B666="","",Planilha1!B666)</f>
        <v>7:00p</v>
      </c>
      <c r="I669" s="10" t="str">
        <f>IF(Planilha1!C666="","",Planilha1!C666)</f>
        <v>Phoenix Suns</v>
      </c>
      <c r="J669" s="10">
        <f>IF(Planilha1!D666="","",Planilha1!D666)</f>
        <v>131</v>
      </c>
      <c r="K669" s="10" t="str">
        <f>IF(Planilha1!E666="","",IF(Planilha1!E666=0,"",Planilha1!E666))</f>
        <v>Indiana Pacers</v>
      </c>
      <c r="L669" s="10">
        <f>IF(Planilha1!F666="","",Planilha1!F666)</f>
        <v>133</v>
      </c>
      <c r="M669" s="10">
        <f>IF(Planilha1!G666="","",IF(Planilha1!G666=0,"",Planilha1!G666))</f>
        <v>133</v>
      </c>
      <c r="N669" s="5">
        <f t="shared" si="87"/>
        <v>1</v>
      </c>
      <c r="O669" s="5">
        <f t="shared" si="88"/>
        <v>0</v>
      </c>
      <c r="P669" s="5">
        <f t="shared" si="81"/>
        <v>0</v>
      </c>
      <c r="Q669" s="5">
        <f t="shared" si="82"/>
        <v>2</v>
      </c>
      <c r="R669" s="7">
        <f t="shared" si="83"/>
        <v>0</v>
      </c>
      <c r="S669" s="7">
        <f t="shared" si="84"/>
        <v>0</v>
      </c>
      <c r="T669" s="3">
        <f t="shared" si="85"/>
        <v>1</v>
      </c>
      <c r="V669" s="1" t="e">
        <f t="shared" si="86"/>
        <v>#DIV/0!</v>
      </c>
    </row>
    <row r="670" spans="8:22" x14ac:dyDescent="0.3">
      <c r="H670" s="10" t="str">
        <f>IF(Planilha1!B667="","",Planilha1!B667)</f>
        <v>7:30p</v>
      </c>
      <c r="I670" s="10" t="str">
        <f>IF(Planilha1!C667="","",Planilha1!C667)</f>
        <v>Los Angeles Clippers</v>
      </c>
      <c r="J670" s="10">
        <f>IF(Planilha1!D667="","",Planilha1!D667)</f>
        <v>127</v>
      </c>
      <c r="K670" s="10" t="str">
        <f>IF(Planilha1!E667="","",IF(Planilha1!E667=0,"",Planilha1!E667))</f>
        <v>Toronto Raptors</v>
      </c>
      <c r="L670" s="10">
        <f>IF(Planilha1!F667="","",Planilha1!F667)</f>
        <v>107</v>
      </c>
      <c r="M670" s="10">
        <f>IF(Planilha1!G667="","",IF(Planilha1!G667=0,"",Planilha1!G667))</f>
        <v>107</v>
      </c>
      <c r="N670" s="5">
        <f t="shared" si="87"/>
        <v>1</v>
      </c>
      <c r="O670" s="5">
        <f t="shared" si="88"/>
        <v>0</v>
      </c>
      <c r="P670" s="5">
        <f t="shared" si="81"/>
        <v>0</v>
      </c>
      <c r="Q670" s="5">
        <f t="shared" si="82"/>
        <v>2</v>
      </c>
      <c r="R670" s="7">
        <f t="shared" si="83"/>
        <v>0</v>
      </c>
      <c r="S670" s="7">
        <f t="shared" si="84"/>
        <v>0</v>
      </c>
      <c r="T670" s="3">
        <f t="shared" si="85"/>
        <v>1</v>
      </c>
      <c r="V670" s="1" t="e">
        <f t="shared" si="86"/>
        <v>#DIV/0!</v>
      </c>
    </row>
    <row r="671" spans="8:22" x14ac:dyDescent="0.3">
      <c r="H671" s="10" t="str">
        <f>IF(Planilha1!B668="","",Planilha1!B668)</f>
        <v>8:00p</v>
      </c>
      <c r="I671" s="10" t="str">
        <f>IF(Planilha1!C668="","",Planilha1!C668)</f>
        <v>Orlando Magic</v>
      </c>
      <c r="J671" s="10">
        <f>IF(Planilha1!D668="","",Planilha1!D668)</f>
        <v>106</v>
      </c>
      <c r="K671" s="10" t="str">
        <f>IF(Planilha1!E668="","",IF(Planilha1!E668=0,"",Planilha1!E668))</f>
        <v>Memphis Grizzlies</v>
      </c>
      <c r="L671" s="10">
        <f>IF(Planilha1!F668="","",Planilha1!F668)</f>
        <v>107</v>
      </c>
      <c r="M671" s="10">
        <f>IF(Planilha1!G668="","",IF(Planilha1!G668=0,"",Planilha1!G668))</f>
        <v>107</v>
      </c>
      <c r="N671" s="5">
        <f t="shared" si="87"/>
        <v>1</v>
      </c>
      <c r="O671" s="5">
        <f t="shared" si="88"/>
        <v>0</v>
      </c>
      <c r="P671" s="5">
        <f t="shared" si="81"/>
        <v>0</v>
      </c>
      <c r="Q671" s="5">
        <f t="shared" si="82"/>
        <v>2</v>
      </c>
      <c r="R671" s="7">
        <f t="shared" si="83"/>
        <v>0</v>
      </c>
      <c r="S671" s="7">
        <f t="shared" si="84"/>
        <v>0</v>
      </c>
      <c r="T671" s="3">
        <f t="shared" si="85"/>
        <v>1</v>
      </c>
      <c r="V671" s="1" t="e">
        <f t="shared" si="86"/>
        <v>#DIV/0!</v>
      </c>
    </row>
    <row r="672" spans="8:22" x14ac:dyDescent="0.3">
      <c r="H672" s="10" t="str">
        <f>IF(Planilha1!B669="","",Planilha1!B669)</f>
        <v>8:00p</v>
      </c>
      <c r="I672" s="10" t="str">
        <f>IF(Planilha1!C669="","",Planilha1!C669)</f>
        <v>Cleveland Cavaliers</v>
      </c>
      <c r="J672" s="10">
        <f>IF(Planilha1!D669="","",Planilha1!D669)</f>
        <v>112</v>
      </c>
      <c r="K672" s="10" t="str">
        <f>IF(Planilha1!E669="","",IF(Planilha1!E669=0,"",Planilha1!E669))</f>
        <v>Milwaukee Bucks</v>
      </c>
      <c r="L672" s="10">
        <f>IF(Planilha1!F669="","",Planilha1!F669)</f>
        <v>100</v>
      </c>
      <c r="M672" s="10">
        <f>IF(Planilha1!G669="","",IF(Planilha1!G669=0,"",Planilha1!G669))</f>
        <v>100</v>
      </c>
      <c r="N672" s="5">
        <f t="shared" si="87"/>
        <v>1</v>
      </c>
      <c r="O672" s="5">
        <f t="shared" si="88"/>
        <v>0</v>
      </c>
      <c r="P672" s="5">
        <f t="shared" si="81"/>
        <v>0</v>
      </c>
      <c r="Q672" s="5">
        <f t="shared" si="82"/>
        <v>2</v>
      </c>
      <c r="R672" s="7">
        <f t="shared" si="83"/>
        <v>0</v>
      </c>
      <c r="S672" s="7">
        <f t="shared" si="84"/>
        <v>0</v>
      </c>
      <c r="T672" s="3">
        <f t="shared" si="85"/>
        <v>1</v>
      </c>
      <c r="V672" s="1" t="e">
        <f t="shared" si="86"/>
        <v>#DIV/0!</v>
      </c>
    </row>
    <row r="673" spans="8:22" x14ac:dyDescent="0.3">
      <c r="H673" s="10" t="str">
        <f>IF(Planilha1!B670="","",Planilha1!B670)</f>
        <v>8:00p</v>
      </c>
      <c r="I673" s="10" t="str">
        <f>IF(Planilha1!C670="","",Planilha1!C670)</f>
        <v>Oklahoma City Thunder</v>
      </c>
      <c r="J673" s="10">
        <f>IF(Planilha1!D670="","",Planilha1!D670)</f>
        <v>107</v>
      </c>
      <c r="K673" s="10" t="str">
        <f>IF(Planilha1!E670="","",IF(Planilha1!E670=0,"",Planilha1!E670))</f>
        <v>New Orleans Pelicans</v>
      </c>
      <c r="L673" s="10">
        <f>IF(Planilha1!F670="","",Planilha1!F670)</f>
        <v>83</v>
      </c>
      <c r="M673" s="10">
        <f>IF(Planilha1!G670="","",IF(Planilha1!G670=0,"",Planilha1!G670))</f>
        <v>83</v>
      </c>
      <c r="N673" s="5">
        <f t="shared" si="87"/>
        <v>1</v>
      </c>
      <c r="O673" s="5">
        <f t="shared" si="88"/>
        <v>0</v>
      </c>
      <c r="P673" s="5">
        <f t="shared" si="81"/>
        <v>0</v>
      </c>
      <c r="Q673" s="5">
        <f t="shared" si="82"/>
        <v>2</v>
      </c>
      <c r="R673" s="7">
        <f t="shared" si="83"/>
        <v>0</v>
      </c>
      <c r="S673" s="7">
        <f t="shared" si="84"/>
        <v>0</v>
      </c>
      <c r="T673" s="3">
        <f t="shared" si="85"/>
        <v>1</v>
      </c>
      <c r="V673" s="1" t="e">
        <f t="shared" si="86"/>
        <v>#DIV/0!</v>
      </c>
    </row>
    <row r="674" spans="8:22" x14ac:dyDescent="0.3">
      <c r="H674" s="10" t="str">
        <f>IF(Planilha1!B671="","",Planilha1!B671)</f>
        <v>9:30p</v>
      </c>
      <c r="I674" s="10" t="str">
        <f>IF(Planilha1!C671="","",Planilha1!C671)</f>
        <v>Portland Trail Blazers</v>
      </c>
      <c r="J674" s="10">
        <f>IF(Planilha1!D671="","",Planilha1!D671)</f>
        <v>100</v>
      </c>
      <c r="K674" s="10" t="str">
        <f>IF(Planilha1!E671="","",IF(Planilha1!E671=0,"",Planilha1!E671))</f>
        <v>San Antonio Spurs</v>
      </c>
      <c r="L674" s="10">
        <f>IF(Planilha1!F671="","",Planilha1!F671)</f>
        <v>116</v>
      </c>
      <c r="M674" s="10">
        <f>IF(Planilha1!G671="","",IF(Planilha1!G671=0,"",Planilha1!G671))</f>
        <v>116</v>
      </c>
      <c r="N674" s="5">
        <f t="shared" si="87"/>
        <v>1</v>
      </c>
      <c r="O674" s="5">
        <f t="shared" si="88"/>
        <v>0</v>
      </c>
      <c r="P674" s="5">
        <f t="shared" si="81"/>
        <v>0</v>
      </c>
      <c r="Q674" s="5">
        <f t="shared" si="82"/>
        <v>2</v>
      </c>
      <c r="R674" s="7">
        <f t="shared" si="83"/>
        <v>0</v>
      </c>
      <c r="S674" s="7">
        <f t="shared" si="84"/>
        <v>0</v>
      </c>
      <c r="T674" s="3">
        <f t="shared" si="85"/>
        <v>1</v>
      </c>
      <c r="V674" s="1" t="e">
        <f t="shared" si="86"/>
        <v>#DIV/0!</v>
      </c>
    </row>
    <row r="675" spans="8:22" x14ac:dyDescent="0.3">
      <c r="H675" s="10" t="str">
        <f>IF(Planilha1!B672="","",Planilha1!B672)</f>
        <v>12:00p</v>
      </c>
      <c r="I675" s="10" t="str">
        <f>IF(Planilha1!C672="","",Planilha1!C672)</f>
        <v>Washington Wizards</v>
      </c>
      <c r="J675" s="10">
        <f>IF(Planilha1!D672="","",Planilha1!D672)</f>
        <v>118</v>
      </c>
      <c r="K675" s="10" t="str">
        <f>IF(Planilha1!E672="","",IF(Planilha1!E672=0,"",Planilha1!E672))</f>
        <v>Detroit Pistons</v>
      </c>
      <c r="L675" s="10">
        <f>IF(Planilha1!F672="","",Planilha1!F672)</f>
        <v>104</v>
      </c>
      <c r="M675" s="10">
        <f>IF(Planilha1!G672="","",IF(Planilha1!G672=0,"",Planilha1!G672))</f>
        <v>104</v>
      </c>
      <c r="N675" s="5">
        <f t="shared" si="87"/>
        <v>1</v>
      </c>
      <c r="O675" s="5">
        <f t="shared" si="88"/>
        <v>0</v>
      </c>
      <c r="P675" s="5">
        <f t="shared" si="81"/>
        <v>0</v>
      </c>
      <c r="Q675" s="5">
        <f t="shared" si="82"/>
        <v>2</v>
      </c>
      <c r="R675" s="7">
        <f t="shared" si="83"/>
        <v>0</v>
      </c>
      <c r="S675" s="7">
        <f t="shared" si="84"/>
        <v>0</v>
      </c>
      <c r="T675" s="3">
        <f t="shared" si="85"/>
        <v>1</v>
      </c>
      <c r="V675" s="1" t="e">
        <f t="shared" si="86"/>
        <v>#DIV/0!</v>
      </c>
    </row>
    <row r="676" spans="8:22" x14ac:dyDescent="0.3">
      <c r="H676" s="10" t="str">
        <f>IF(Planilha1!B673="","",Planilha1!B673)</f>
        <v>3:00p</v>
      </c>
      <c r="I676" s="10" t="str">
        <f>IF(Planilha1!C673="","",Planilha1!C673)</f>
        <v>Miami Heat</v>
      </c>
      <c r="J676" s="10">
        <f>IF(Planilha1!D673="","",Planilha1!D673)</f>
        <v>109</v>
      </c>
      <c r="K676" s="10" t="str">
        <f>IF(Planilha1!E673="","",IF(Planilha1!E673=0,"",Planilha1!E673))</f>
        <v>New York Knicks</v>
      </c>
      <c r="L676" s="10">
        <f>IF(Planilha1!F673="","",Planilha1!F673)</f>
        <v>125</v>
      </c>
      <c r="M676" s="10">
        <f>IF(Planilha1!G673="","",IF(Planilha1!G673=0,"",Planilha1!G673))</f>
        <v>125</v>
      </c>
      <c r="N676" s="5">
        <f t="shared" si="87"/>
        <v>1</v>
      </c>
      <c r="O676" s="5">
        <f t="shared" si="88"/>
        <v>0</v>
      </c>
      <c r="P676" s="5">
        <f t="shared" si="81"/>
        <v>0</v>
      </c>
      <c r="Q676" s="5">
        <f t="shared" si="82"/>
        <v>2</v>
      </c>
      <c r="R676" s="7">
        <f t="shared" si="83"/>
        <v>0</v>
      </c>
      <c r="S676" s="7">
        <f t="shared" si="84"/>
        <v>0</v>
      </c>
      <c r="T676" s="3">
        <f t="shared" si="85"/>
        <v>1</v>
      </c>
      <c r="V676" s="1" t="e">
        <f t="shared" si="86"/>
        <v>#DIV/0!</v>
      </c>
    </row>
    <row r="677" spans="8:22" x14ac:dyDescent="0.3">
      <c r="H677" s="10" t="str">
        <f>IF(Planilha1!B674="","",Planilha1!B674)</f>
        <v>5:30p</v>
      </c>
      <c r="I677" s="10" t="str">
        <f>IF(Planilha1!C674="","",Planilha1!C674)</f>
        <v>Philadelphia 76ers</v>
      </c>
      <c r="J677" s="10">
        <f>IF(Planilha1!D674="","",Planilha1!D674)</f>
        <v>105</v>
      </c>
      <c r="K677" s="10" t="str">
        <f>IF(Planilha1!E674="","",IF(Planilha1!E674=0,"",Planilha1!E674))</f>
        <v>Denver Nuggets</v>
      </c>
      <c r="L677" s="10">
        <f>IF(Planilha1!F674="","",Planilha1!F674)</f>
        <v>111</v>
      </c>
      <c r="M677" s="10">
        <f>IF(Planilha1!G674="","",IF(Planilha1!G674=0,"",Planilha1!G674))</f>
        <v>111</v>
      </c>
      <c r="N677" s="5">
        <f t="shared" si="87"/>
        <v>1</v>
      </c>
      <c r="O677" s="5">
        <f t="shared" si="88"/>
        <v>0</v>
      </c>
      <c r="P677" s="5">
        <f t="shared" si="81"/>
        <v>0</v>
      </c>
      <c r="Q677" s="5">
        <f t="shared" si="82"/>
        <v>2</v>
      </c>
      <c r="R677" s="7">
        <f t="shared" si="83"/>
        <v>0</v>
      </c>
      <c r="S677" s="7">
        <f t="shared" si="84"/>
        <v>0</v>
      </c>
      <c r="T677" s="3">
        <f t="shared" si="85"/>
        <v>1</v>
      </c>
      <c r="V677" s="1" t="e">
        <f t="shared" si="86"/>
        <v>#DIV/0!</v>
      </c>
    </row>
    <row r="678" spans="8:22" x14ac:dyDescent="0.3">
      <c r="H678" s="10" t="str">
        <f>IF(Planilha1!B675="","",Planilha1!B675)</f>
        <v>6:00p</v>
      </c>
      <c r="I678" s="10" t="str">
        <f>IF(Planilha1!C675="","",Planilha1!C675)</f>
        <v>Houston Rockets</v>
      </c>
      <c r="J678" s="10">
        <f>IF(Planilha1!D675="","",Planilha1!D675)</f>
        <v>104</v>
      </c>
      <c r="K678" s="10" t="str">
        <f>IF(Planilha1!E675="","",IF(Planilha1!E675=0,"",Planilha1!E675))</f>
        <v>Brooklyn Nets</v>
      </c>
      <c r="L678" s="10">
        <f>IF(Planilha1!F675="","",Planilha1!F675)</f>
        <v>106</v>
      </c>
      <c r="M678" s="10">
        <f>IF(Planilha1!G675="","",IF(Planilha1!G675=0,"",Planilha1!G675))</f>
        <v>106</v>
      </c>
      <c r="N678" s="5">
        <f t="shared" si="87"/>
        <v>1</v>
      </c>
      <c r="O678" s="5">
        <f t="shared" si="88"/>
        <v>0</v>
      </c>
      <c r="P678" s="5">
        <f t="shared" si="81"/>
        <v>0</v>
      </c>
      <c r="Q678" s="5">
        <f t="shared" si="82"/>
        <v>2</v>
      </c>
      <c r="R678" s="7">
        <f t="shared" si="83"/>
        <v>0</v>
      </c>
      <c r="S678" s="7">
        <f t="shared" si="84"/>
        <v>0</v>
      </c>
      <c r="T678" s="3">
        <f t="shared" si="85"/>
        <v>1</v>
      </c>
      <c r="V678" s="1" t="e">
        <f t="shared" si="86"/>
        <v>#DIV/0!</v>
      </c>
    </row>
    <row r="679" spans="8:22" x14ac:dyDescent="0.3">
      <c r="H679" s="10" t="str">
        <f>IF(Planilha1!B676="","",Planilha1!B676)</f>
        <v>7:00p</v>
      </c>
      <c r="I679" s="10" t="str">
        <f>IF(Planilha1!C676="","",Planilha1!C676)</f>
        <v>Los Angeles Clippers</v>
      </c>
      <c r="J679" s="10">
        <f>IF(Planilha1!D676="","",Planilha1!D676)</f>
        <v>115</v>
      </c>
      <c r="K679" s="10" t="str">
        <f>IF(Planilha1!E676="","",IF(Planilha1!E676=0,"",Planilha1!E676))</f>
        <v>Boston Celtics</v>
      </c>
      <c r="L679" s="10">
        <f>IF(Planilha1!F676="","",Planilha1!F676)</f>
        <v>96</v>
      </c>
      <c r="M679" s="10">
        <f>IF(Planilha1!G676="","",IF(Planilha1!G676=0,"",Planilha1!G676))</f>
        <v>96</v>
      </c>
      <c r="N679" s="5">
        <f t="shared" si="87"/>
        <v>1</v>
      </c>
      <c r="O679" s="5">
        <f t="shared" si="88"/>
        <v>0</v>
      </c>
      <c r="P679" s="5">
        <f t="shared" si="81"/>
        <v>0</v>
      </c>
      <c r="Q679" s="5">
        <f t="shared" si="82"/>
        <v>2</v>
      </c>
      <c r="R679" s="7">
        <f t="shared" si="83"/>
        <v>0</v>
      </c>
      <c r="S679" s="7">
        <f t="shared" si="84"/>
        <v>0</v>
      </c>
      <c r="T679" s="3">
        <f t="shared" si="85"/>
        <v>1</v>
      </c>
      <c r="V679" s="1" t="e">
        <f t="shared" si="86"/>
        <v>#DIV/0!</v>
      </c>
    </row>
    <row r="680" spans="8:22" x14ac:dyDescent="0.3">
      <c r="H680" s="10" t="str">
        <f>IF(Planilha1!B677="","",Planilha1!B677)</f>
        <v>7:00p</v>
      </c>
      <c r="I680" s="10" t="str">
        <f>IF(Planilha1!C677="","",Planilha1!C677)</f>
        <v>Utah Jazz</v>
      </c>
      <c r="J680" s="10">
        <f>IF(Planilha1!D677="","",Planilha1!D677)</f>
        <v>134</v>
      </c>
      <c r="K680" s="10" t="str">
        <f>IF(Planilha1!E677="","",IF(Planilha1!E677=0,"",Planilha1!E677))</f>
        <v>Charlotte Hornets</v>
      </c>
      <c r="L680" s="10">
        <f>IF(Planilha1!F677="","",Planilha1!F677)</f>
        <v>122</v>
      </c>
      <c r="M680" s="10">
        <f>IF(Planilha1!G677="","",IF(Planilha1!G677=0,"",Planilha1!G677))</f>
        <v>122</v>
      </c>
      <c r="N680" s="5">
        <f t="shared" si="87"/>
        <v>1</v>
      </c>
      <c r="O680" s="5">
        <f t="shared" si="88"/>
        <v>0</v>
      </c>
      <c r="P680" s="5">
        <f t="shared" si="81"/>
        <v>0</v>
      </c>
      <c r="Q680" s="5">
        <f t="shared" si="82"/>
        <v>2</v>
      </c>
      <c r="R680" s="7">
        <f t="shared" si="83"/>
        <v>0</v>
      </c>
      <c r="S680" s="7">
        <f t="shared" si="84"/>
        <v>0</v>
      </c>
      <c r="T680" s="3">
        <f t="shared" si="85"/>
        <v>1</v>
      </c>
      <c r="V680" s="1" t="e">
        <f t="shared" si="86"/>
        <v>#DIV/0!</v>
      </c>
    </row>
    <row r="681" spans="8:22" x14ac:dyDescent="0.3">
      <c r="H681" s="10" t="str">
        <f>IF(Planilha1!B678="","",Planilha1!B678)</f>
        <v>8:00p</v>
      </c>
      <c r="I681" s="10" t="str">
        <f>IF(Planilha1!C678="","",Planilha1!C678)</f>
        <v>New Orleans Pelicans</v>
      </c>
      <c r="J681" s="10">
        <f>IF(Planilha1!D678="","",Planilha1!D678)</f>
        <v>117</v>
      </c>
      <c r="K681" s="10" t="str">
        <f>IF(Planilha1!E678="","",IF(Planilha1!E678=0,"",Planilha1!E678))</f>
        <v>Milwaukee Bucks</v>
      </c>
      <c r="L681" s="10">
        <f>IF(Planilha1!F678="","",Planilha1!F678)</f>
        <v>141</v>
      </c>
      <c r="M681" s="10">
        <f>IF(Planilha1!G678="","",IF(Planilha1!G678=0,"",Planilha1!G678))</f>
        <v>141</v>
      </c>
      <c r="N681" s="5">
        <f t="shared" si="87"/>
        <v>1</v>
      </c>
      <c r="O681" s="5">
        <f t="shared" si="88"/>
        <v>0</v>
      </c>
      <c r="P681" s="5">
        <f t="shared" si="81"/>
        <v>0</v>
      </c>
      <c r="Q681" s="5">
        <f t="shared" si="82"/>
        <v>2</v>
      </c>
      <c r="R681" s="7">
        <f t="shared" si="83"/>
        <v>0</v>
      </c>
      <c r="S681" s="7">
        <f t="shared" si="84"/>
        <v>0</v>
      </c>
      <c r="T681" s="3">
        <f t="shared" si="85"/>
        <v>1</v>
      </c>
      <c r="V681" s="1" t="e">
        <f t="shared" si="86"/>
        <v>#DIV/0!</v>
      </c>
    </row>
    <row r="682" spans="8:22" x14ac:dyDescent="0.3">
      <c r="H682" s="10" t="str">
        <f>IF(Planilha1!B679="","",Planilha1!B679)</f>
        <v>8:30p</v>
      </c>
      <c r="I682" s="10" t="str">
        <f>IF(Planilha1!C679="","",Planilha1!C679)</f>
        <v>Los Angeles Lakers</v>
      </c>
      <c r="J682" s="10">
        <f>IF(Planilha1!D679="","",Planilha1!D679)</f>
        <v>145</v>
      </c>
      <c r="K682" s="10" t="str">
        <f>IF(Planilha1!E679="","",IF(Planilha1!E679=0,"",Planilha1!E679))</f>
        <v>Golden State Warriors</v>
      </c>
      <c r="L682" s="10">
        <f>IF(Planilha1!F679="","",Planilha1!F679)</f>
        <v>144</v>
      </c>
      <c r="M682" s="10">
        <f>IF(Planilha1!G679="","",IF(Planilha1!G679=0,"",Planilha1!G679))</f>
        <v>144</v>
      </c>
      <c r="N682" s="5">
        <f t="shared" si="87"/>
        <v>1</v>
      </c>
      <c r="O682" s="5">
        <f t="shared" si="88"/>
        <v>0</v>
      </c>
      <c r="P682" s="5">
        <f t="shared" si="81"/>
        <v>0</v>
      </c>
      <c r="Q682" s="5">
        <f t="shared" si="82"/>
        <v>2</v>
      </c>
      <c r="R682" s="7">
        <f t="shared" si="83"/>
        <v>0</v>
      </c>
      <c r="S682" s="7">
        <f t="shared" si="84"/>
        <v>0</v>
      </c>
      <c r="T682" s="3">
        <f t="shared" si="85"/>
        <v>1</v>
      </c>
      <c r="V682" s="1" t="e">
        <f t="shared" si="86"/>
        <v>#DIV/0!</v>
      </c>
    </row>
    <row r="683" spans="8:22" x14ac:dyDescent="0.3">
      <c r="H683" s="10" t="str">
        <f>IF(Planilha1!B680="","",Planilha1!B680)</f>
        <v>8:30p</v>
      </c>
      <c r="I683" s="10" t="str">
        <f>IF(Planilha1!C680="","",Planilha1!C680)</f>
        <v>Minnesota Timberwolves</v>
      </c>
      <c r="J683" s="10">
        <f>IF(Planilha1!D680="","",Planilha1!D680)</f>
        <v>112</v>
      </c>
      <c r="K683" s="10" t="str">
        <f>IF(Planilha1!E680="","",IF(Planilha1!E680=0,"",Planilha1!E680))</f>
        <v>San Antonio Spurs</v>
      </c>
      <c r="L683" s="10">
        <f>IF(Planilha1!F680="","",Planilha1!F680)</f>
        <v>113</v>
      </c>
      <c r="M683" s="10">
        <f>IF(Planilha1!G680="","",IF(Planilha1!G680=0,"",Planilha1!G680))</f>
        <v>113</v>
      </c>
      <c r="N683" s="5">
        <f t="shared" si="87"/>
        <v>1</v>
      </c>
      <c r="O683" s="5">
        <f t="shared" si="88"/>
        <v>0</v>
      </c>
      <c r="P683" s="5">
        <f t="shared" si="81"/>
        <v>0</v>
      </c>
      <c r="Q683" s="5">
        <f t="shared" si="82"/>
        <v>2</v>
      </c>
      <c r="R683" s="7">
        <f t="shared" si="83"/>
        <v>0</v>
      </c>
      <c r="S683" s="7">
        <f t="shared" si="84"/>
        <v>0</v>
      </c>
      <c r="T683" s="3">
        <f t="shared" si="85"/>
        <v>1</v>
      </c>
      <c r="V683" s="1" t="e">
        <f t="shared" si="86"/>
        <v>#DIV/0!</v>
      </c>
    </row>
    <row r="684" spans="8:22" x14ac:dyDescent="0.3">
      <c r="H684" s="10" t="str">
        <f>IF(Planilha1!B681="","",Planilha1!B681)</f>
        <v>9:00p</v>
      </c>
      <c r="I684" s="10" t="str">
        <f>IF(Planilha1!C681="","",Planilha1!C681)</f>
        <v>Sacramento Kings</v>
      </c>
      <c r="J684" s="10">
        <f>IF(Planilha1!D681="","",Planilha1!D681)</f>
        <v>120</v>
      </c>
      <c r="K684" s="10" t="str">
        <f>IF(Planilha1!E681="","",IF(Planilha1!E681=0,"",Planilha1!E681))</f>
        <v>Dallas Mavericks</v>
      </c>
      <c r="L684" s="10">
        <f>IF(Planilha1!F681="","",Planilha1!F681)</f>
        <v>115</v>
      </c>
      <c r="M684" s="10">
        <f>IF(Planilha1!G681="","",IF(Planilha1!G681=0,"",Planilha1!G681))</f>
        <v>115</v>
      </c>
      <c r="N684" s="5">
        <f t="shared" si="87"/>
        <v>1</v>
      </c>
      <c r="O684" s="5">
        <f t="shared" si="88"/>
        <v>0</v>
      </c>
      <c r="P684" s="5">
        <f t="shared" si="81"/>
        <v>0</v>
      </c>
      <c r="Q684" s="5">
        <f t="shared" si="82"/>
        <v>2</v>
      </c>
      <c r="R684" s="7">
        <f t="shared" si="83"/>
        <v>0</v>
      </c>
      <c r="S684" s="7">
        <f t="shared" si="84"/>
        <v>0</v>
      </c>
      <c r="T684" s="3">
        <f t="shared" si="85"/>
        <v>1</v>
      </c>
      <c r="V684" s="1" t="e">
        <f t="shared" si="86"/>
        <v>#DIV/0!</v>
      </c>
    </row>
    <row r="685" spans="8:22" x14ac:dyDescent="0.3">
      <c r="H685" s="10" t="str">
        <f>IF(Planilha1!B682="","",Planilha1!B682)</f>
        <v>2:00p</v>
      </c>
      <c r="I685" s="10" t="str">
        <f>IF(Planilha1!C682="","",Planilha1!C682)</f>
        <v>Oklahoma City Thunder</v>
      </c>
      <c r="J685" s="10">
        <f>IF(Planilha1!D682="","",Planilha1!D682)</f>
        <v>104</v>
      </c>
      <c r="K685" s="10" t="str">
        <f>IF(Planilha1!E682="","",IF(Planilha1!E682=0,"",Planilha1!E682))</f>
        <v>Detroit Pistons</v>
      </c>
      <c r="L685" s="10">
        <f>IF(Planilha1!F682="","",Planilha1!F682)</f>
        <v>120</v>
      </c>
      <c r="M685" s="10">
        <f>IF(Planilha1!G682="","",IF(Planilha1!G682=0,"",Planilha1!G682))</f>
        <v>120</v>
      </c>
      <c r="N685" s="5">
        <f t="shared" si="87"/>
        <v>1</v>
      </c>
      <c r="O685" s="5">
        <f t="shared" si="88"/>
        <v>0</v>
      </c>
      <c r="P685" s="5">
        <f t="shared" si="81"/>
        <v>0</v>
      </c>
      <c r="Q685" s="5">
        <f t="shared" si="82"/>
        <v>2</v>
      </c>
      <c r="R685" s="7">
        <f t="shared" si="83"/>
        <v>0</v>
      </c>
      <c r="S685" s="7">
        <f t="shared" si="84"/>
        <v>0</v>
      </c>
      <c r="T685" s="3">
        <f t="shared" si="85"/>
        <v>1</v>
      </c>
      <c r="V685" s="1" t="e">
        <f t="shared" si="86"/>
        <v>#DIV/0!</v>
      </c>
    </row>
    <row r="686" spans="8:22" x14ac:dyDescent="0.3">
      <c r="H686" s="10" t="str">
        <f>IF(Planilha1!B683="","",Planilha1!B683)</f>
        <v>3:30p</v>
      </c>
      <c r="I686" s="10" t="str">
        <f>IF(Planilha1!C683="","",Planilha1!C683)</f>
        <v>Memphis Grizzlies</v>
      </c>
      <c r="J686" s="10">
        <f>IF(Planilha1!D683="","",Planilha1!D683)</f>
        <v>110</v>
      </c>
      <c r="K686" s="10" t="str">
        <f>IF(Planilha1!E683="","",IF(Planilha1!E683=0,"",Planilha1!E683))</f>
        <v>Indiana Pacers</v>
      </c>
      <c r="L686" s="10">
        <f>IF(Planilha1!F683="","",Planilha1!F683)</f>
        <v>116</v>
      </c>
      <c r="M686" s="10">
        <f>IF(Planilha1!G683="","",IF(Planilha1!G683=0,"",Planilha1!G683))</f>
        <v>116</v>
      </c>
      <c r="N686" s="5">
        <f t="shared" si="87"/>
        <v>1</v>
      </c>
      <c r="O686" s="5">
        <f t="shared" si="88"/>
        <v>0</v>
      </c>
      <c r="P686" s="5">
        <f t="shared" si="81"/>
        <v>0</v>
      </c>
      <c r="Q686" s="5">
        <f t="shared" si="82"/>
        <v>2</v>
      </c>
      <c r="R686" s="7">
        <f t="shared" si="83"/>
        <v>0</v>
      </c>
      <c r="S686" s="7">
        <f t="shared" si="84"/>
        <v>0</v>
      </c>
      <c r="T686" s="3">
        <f t="shared" si="85"/>
        <v>1</v>
      </c>
      <c r="V686" s="1" t="e">
        <f t="shared" si="86"/>
        <v>#DIV/0!</v>
      </c>
    </row>
    <row r="687" spans="8:22" x14ac:dyDescent="0.3">
      <c r="H687" s="10" t="str">
        <f>IF(Planilha1!B684="","",Planilha1!B684)</f>
        <v>6:00p</v>
      </c>
      <c r="I687" s="10" t="str">
        <f>IF(Planilha1!C684="","",Planilha1!C684)</f>
        <v>Toronto Raptors</v>
      </c>
      <c r="J687" s="10">
        <f>IF(Planilha1!D684="","",Planilha1!D684)</f>
        <v>125</v>
      </c>
      <c r="K687" s="10" t="str">
        <f>IF(Planilha1!E684="","",IF(Planilha1!E684=0,"",Planilha1!E684))</f>
        <v>Atlanta Hawks</v>
      </c>
      <c r="L687" s="10">
        <f>IF(Planilha1!F684="","",Planilha1!F684)</f>
        <v>126</v>
      </c>
      <c r="M687" s="10">
        <f>IF(Planilha1!G684="","",IF(Planilha1!G684=0,"",Planilha1!G684))</f>
        <v>126</v>
      </c>
      <c r="N687" s="5">
        <f t="shared" si="87"/>
        <v>1</v>
      </c>
      <c r="O687" s="5">
        <f t="shared" si="88"/>
        <v>0</v>
      </c>
      <c r="P687" s="5">
        <f t="shared" si="81"/>
        <v>0</v>
      </c>
      <c r="Q687" s="5">
        <f t="shared" si="82"/>
        <v>2</v>
      </c>
      <c r="R687" s="7">
        <f t="shared" si="83"/>
        <v>0</v>
      </c>
      <c r="S687" s="7">
        <f t="shared" si="84"/>
        <v>0</v>
      </c>
      <c r="T687" s="3">
        <f t="shared" si="85"/>
        <v>1</v>
      </c>
      <c r="V687" s="1" t="e">
        <f t="shared" si="86"/>
        <v>#DIV/0!</v>
      </c>
    </row>
    <row r="688" spans="8:22" x14ac:dyDescent="0.3">
      <c r="H688" s="10" t="str">
        <f>IF(Planilha1!B685="","",Planilha1!B685)</f>
        <v>6:00p</v>
      </c>
      <c r="I688" s="10" t="str">
        <f>IF(Planilha1!C685="","",Planilha1!C685)</f>
        <v>Phoenix Suns</v>
      </c>
      <c r="J688" s="10">
        <f>IF(Planilha1!D685="","",Planilha1!D685)</f>
        <v>98</v>
      </c>
      <c r="K688" s="10" t="str">
        <f>IF(Planilha1!E685="","",IF(Planilha1!E685=0,"",Planilha1!E685))</f>
        <v>Orlando Magic</v>
      </c>
      <c r="L688" s="10">
        <f>IF(Planilha1!F685="","",Planilha1!F685)</f>
        <v>113</v>
      </c>
      <c r="M688" s="10">
        <f>IF(Planilha1!G685="","",IF(Planilha1!G685=0,"",Planilha1!G685))</f>
        <v>113</v>
      </c>
      <c r="N688" s="5">
        <f t="shared" si="87"/>
        <v>1</v>
      </c>
      <c r="O688" s="5">
        <f t="shared" si="88"/>
        <v>0</v>
      </c>
      <c r="P688" s="5">
        <f t="shared" si="81"/>
        <v>0</v>
      </c>
      <c r="Q688" s="5">
        <f t="shared" si="82"/>
        <v>2</v>
      </c>
      <c r="R688" s="7">
        <f t="shared" si="83"/>
        <v>0</v>
      </c>
      <c r="S688" s="7">
        <f t="shared" si="84"/>
        <v>0</v>
      </c>
      <c r="T688" s="3">
        <f t="shared" si="85"/>
        <v>1</v>
      </c>
      <c r="V688" s="1" t="e">
        <f t="shared" si="86"/>
        <v>#DIV/0!</v>
      </c>
    </row>
    <row r="689" spans="8:22" x14ac:dyDescent="0.3">
      <c r="H689" s="10" t="str">
        <f>IF(Planilha1!B686="","",Planilha1!B686)</f>
        <v>9:00p</v>
      </c>
      <c r="I689" s="10" t="str">
        <f>IF(Planilha1!C686="","",Planilha1!C686)</f>
        <v>Chicago Bulls</v>
      </c>
      <c r="J689" s="10">
        <f>IF(Planilha1!D686="","",Planilha1!D686)</f>
        <v>104</v>
      </c>
      <c r="K689" s="10" t="str">
        <f>IF(Planilha1!E686="","",IF(Planilha1!E686=0,"",Planilha1!E686))</f>
        <v>Portland Trail Blazers</v>
      </c>
      <c r="L689" s="10">
        <f>IF(Planilha1!F686="","",Planilha1!F686)</f>
        <v>96</v>
      </c>
      <c r="M689" s="10">
        <f>IF(Planilha1!G686="","",IF(Planilha1!G686=0,"",Planilha1!G686))</f>
        <v>96</v>
      </c>
      <c r="N689" s="5">
        <f t="shared" si="87"/>
        <v>1</v>
      </c>
      <c r="O689" s="5">
        <f t="shared" si="88"/>
        <v>0</v>
      </c>
      <c r="P689" s="5">
        <f t="shared" si="81"/>
        <v>0</v>
      </c>
      <c r="Q689" s="5">
        <f t="shared" si="82"/>
        <v>2</v>
      </c>
      <c r="R689" s="7">
        <f t="shared" si="83"/>
        <v>0</v>
      </c>
      <c r="S689" s="7">
        <f t="shared" si="84"/>
        <v>0</v>
      </c>
      <c r="T689" s="3">
        <f t="shared" si="85"/>
        <v>1</v>
      </c>
      <c r="V689" s="1" t="e">
        <f t="shared" si="86"/>
        <v>#DIV/0!</v>
      </c>
    </row>
    <row r="690" spans="8:22" x14ac:dyDescent="0.3">
      <c r="H690" s="10" t="str">
        <f>IF(Planilha1!B687="","",Planilha1!B687)</f>
        <v>7:00p</v>
      </c>
      <c r="I690" s="10" t="str">
        <f>IF(Planilha1!C687="","",Planilha1!C687)</f>
        <v>New York Knicks</v>
      </c>
      <c r="J690" s="10">
        <f>IF(Planilha1!D687="","",Planilha1!D687)</f>
        <v>0</v>
      </c>
      <c r="K690" s="10" t="str">
        <f>IF(Planilha1!E687="","",IF(Planilha1!E687=0,"",Planilha1!E687))</f>
        <v>Charlotte Hornets</v>
      </c>
      <c r="L690" s="10">
        <f>IF(Planilha1!F687="","",Planilha1!F687)</f>
        <v>0</v>
      </c>
      <c r="M690" s="10" t="str">
        <f>IF(Planilha1!G687="","",IF(Planilha1!G687=0,"",Planilha1!G687))</f>
        <v/>
      </c>
      <c r="N690" s="5">
        <f t="shared" si="87"/>
        <v>1</v>
      </c>
      <c r="O690" s="5">
        <f t="shared" si="88"/>
        <v>0</v>
      </c>
      <c r="P690" s="5">
        <f t="shared" si="81"/>
        <v>0</v>
      </c>
      <c r="Q690" s="5">
        <f t="shared" si="82"/>
        <v>2</v>
      </c>
      <c r="R690" s="7">
        <f t="shared" si="83"/>
        <v>0</v>
      </c>
      <c r="S690" s="7">
        <f t="shared" si="84"/>
        <v>0</v>
      </c>
      <c r="T690" s="3" t="str">
        <f t="shared" si="85"/>
        <v/>
      </c>
      <c r="V690" s="1" t="e">
        <f t="shared" si="86"/>
        <v>#DIV/0!</v>
      </c>
    </row>
    <row r="691" spans="8:22" x14ac:dyDescent="0.3">
      <c r="H691" s="10" t="str">
        <f>IF(Planilha1!B688="","",Planilha1!B688)</f>
        <v>7:00p</v>
      </c>
      <c r="I691" s="10" t="str">
        <f>IF(Planilha1!C688="","",Planilha1!C688)</f>
        <v>Los Angeles Clippers</v>
      </c>
      <c r="J691" s="10">
        <f>IF(Planilha1!D688="","",Planilha1!D688)</f>
        <v>0</v>
      </c>
      <c r="K691" s="10" t="str">
        <f>IF(Planilha1!E688="","",IF(Planilha1!E688=0,"",Planilha1!E688))</f>
        <v>Cleveland Cavaliers</v>
      </c>
      <c r="L691" s="10">
        <f>IF(Planilha1!F688="","",Planilha1!F688)</f>
        <v>0</v>
      </c>
      <c r="M691" s="10" t="str">
        <f>IF(Planilha1!G688="","",IF(Planilha1!G688=0,"",Planilha1!G688))</f>
        <v/>
      </c>
      <c r="N691" s="5">
        <f t="shared" si="87"/>
        <v>1</v>
      </c>
      <c r="O691" s="5">
        <f t="shared" si="88"/>
        <v>0</v>
      </c>
      <c r="P691" s="5">
        <f t="shared" si="81"/>
        <v>0</v>
      </c>
      <c r="Q691" s="5">
        <f t="shared" si="82"/>
        <v>2</v>
      </c>
      <c r="R691" s="7">
        <f t="shared" si="83"/>
        <v>0</v>
      </c>
      <c r="S691" s="7">
        <f t="shared" si="84"/>
        <v>0</v>
      </c>
      <c r="T691" s="3" t="str">
        <f t="shared" si="85"/>
        <v/>
      </c>
      <c r="V691" s="1" t="e">
        <f t="shared" si="86"/>
        <v>#DIV/0!</v>
      </c>
    </row>
    <row r="692" spans="8:22" x14ac:dyDescent="0.3">
      <c r="H692" s="10" t="str">
        <f>IF(Planilha1!B689="","",Planilha1!B689)</f>
        <v>7:30p</v>
      </c>
      <c r="I692" s="10" t="str">
        <f>IF(Planilha1!C689="","",Planilha1!C689)</f>
        <v>New Orleans Pelicans</v>
      </c>
      <c r="J692" s="10">
        <f>IF(Planilha1!D689="","",Planilha1!D689)</f>
        <v>0</v>
      </c>
      <c r="K692" s="10" t="str">
        <f>IF(Planilha1!E689="","",IF(Planilha1!E689=0,"",Planilha1!E689))</f>
        <v>Boston Celtics</v>
      </c>
      <c r="L692" s="10">
        <f>IF(Planilha1!F689="","",Planilha1!F689)</f>
        <v>0</v>
      </c>
      <c r="M692" s="10" t="str">
        <f>IF(Planilha1!G689="","",IF(Planilha1!G689=0,"",Planilha1!G689))</f>
        <v/>
      </c>
      <c r="N692" s="5">
        <f t="shared" si="87"/>
        <v>1</v>
      </c>
      <c r="O692" s="5">
        <f t="shared" si="88"/>
        <v>0</v>
      </c>
      <c r="P692" s="5">
        <f t="shared" si="81"/>
        <v>0</v>
      </c>
      <c r="Q692" s="5">
        <f t="shared" si="82"/>
        <v>2</v>
      </c>
      <c r="R692" s="7">
        <f t="shared" si="83"/>
        <v>0</v>
      </c>
      <c r="S692" s="7">
        <f t="shared" si="84"/>
        <v>0</v>
      </c>
      <c r="T692" s="3" t="str">
        <f t="shared" si="85"/>
        <v/>
      </c>
      <c r="V692" s="1" t="e">
        <f t="shared" si="86"/>
        <v>#DIV/0!</v>
      </c>
    </row>
    <row r="693" spans="8:22" x14ac:dyDescent="0.3">
      <c r="H693" s="10" t="str">
        <f>IF(Planilha1!B690="","",Planilha1!B690)</f>
        <v>7:30p</v>
      </c>
      <c r="I693" s="10" t="str">
        <f>IF(Planilha1!C690="","",Planilha1!C690)</f>
        <v>Utah Jazz</v>
      </c>
      <c r="J693" s="10">
        <f>IF(Planilha1!D690="","",Planilha1!D690)</f>
        <v>0</v>
      </c>
      <c r="K693" s="10" t="str">
        <f>IF(Planilha1!E690="","",IF(Planilha1!E690=0,"",Planilha1!E690))</f>
        <v>Brooklyn Nets</v>
      </c>
      <c r="L693" s="10">
        <f>IF(Planilha1!F690="","",Planilha1!F690)</f>
        <v>0</v>
      </c>
      <c r="M693" s="10" t="str">
        <f>IF(Planilha1!G690="","",IF(Planilha1!G690=0,"",Planilha1!G690))</f>
        <v/>
      </c>
      <c r="N693" s="5">
        <f t="shared" si="87"/>
        <v>1</v>
      </c>
      <c r="O693" s="5">
        <f t="shared" si="88"/>
        <v>0</v>
      </c>
      <c r="P693" s="5">
        <f t="shared" si="81"/>
        <v>0</v>
      </c>
      <c r="Q693" s="5">
        <f t="shared" si="82"/>
        <v>2</v>
      </c>
      <c r="R693" s="7">
        <f t="shared" si="83"/>
        <v>0</v>
      </c>
      <c r="S693" s="7">
        <f t="shared" si="84"/>
        <v>0</v>
      </c>
      <c r="T693" s="3" t="str">
        <f t="shared" si="85"/>
        <v/>
      </c>
      <c r="V693" s="1" t="e">
        <f t="shared" si="86"/>
        <v>#DIV/0!</v>
      </c>
    </row>
    <row r="694" spans="8:22" x14ac:dyDescent="0.3">
      <c r="H694" s="10" t="str">
        <f>IF(Planilha1!B691="","",Planilha1!B691)</f>
        <v>7:30p</v>
      </c>
      <c r="I694" s="10" t="str">
        <f>IF(Planilha1!C691="","",Planilha1!C691)</f>
        <v>Phoenix Suns</v>
      </c>
      <c r="J694" s="10">
        <f>IF(Planilha1!D691="","",Planilha1!D691)</f>
        <v>0</v>
      </c>
      <c r="K694" s="10" t="str">
        <f>IF(Planilha1!E691="","",IF(Planilha1!E691=0,"",Planilha1!E691))</f>
        <v>Miami Heat</v>
      </c>
      <c r="L694" s="10">
        <f>IF(Planilha1!F691="","",Planilha1!F691)</f>
        <v>0</v>
      </c>
      <c r="M694" s="10" t="str">
        <f>IF(Planilha1!G691="","",IF(Planilha1!G691=0,"",Planilha1!G691))</f>
        <v/>
      </c>
      <c r="N694" s="5">
        <f t="shared" si="87"/>
        <v>1</v>
      </c>
      <c r="O694" s="5">
        <f t="shared" si="88"/>
        <v>0</v>
      </c>
      <c r="P694" s="5">
        <f t="shared" si="81"/>
        <v>0</v>
      </c>
      <c r="Q694" s="5">
        <f t="shared" si="82"/>
        <v>2</v>
      </c>
      <c r="R694" s="7">
        <f t="shared" si="83"/>
        <v>0</v>
      </c>
      <c r="S694" s="7">
        <f t="shared" si="84"/>
        <v>0</v>
      </c>
      <c r="T694" s="3" t="str">
        <f t="shared" si="85"/>
        <v/>
      </c>
      <c r="V694" s="1" t="e">
        <f t="shared" si="86"/>
        <v>#DIV/0!</v>
      </c>
    </row>
    <row r="695" spans="8:22" x14ac:dyDescent="0.3">
      <c r="H695" s="10" t="str">
        <f>IF(Planilha1!B692="","",Planilha1!B692)</f>
        <v>8:00p</v>
      </c>
      <c r="I695" s="10" t="str">
        <f>IF(Planilha1!C692="","",Planilha1!C692)</f>
        <v>Los Angeles Lakers</v>
      </c>
      <c r="J695" s="10">
        <f>IF(Planilha1!D692="","",Planilha1!D692)</f>
        <v>0</v>
      </c>
      <c r="K695" s="10" t="str">
        <f>IF(Planilha1!E692="","",IF(Planilha1!E692=0,"",Planilha1!E692))</f>
        <v>Houston Rockets</v>
      </c>
      <c r="L695" s="10">
        <f>IF(Planilha1!F692="","",Planilha1!F692)</f>
        <v>0</v>
      </c>
      <c r="M695" s="10" t="str">
        <f>IF(Planilha1!G692="","",IF(Planilha1!G692=0,"",Planilha1!G692))</f>
        <v/>
      </c>
      <c r="N695" s="5">
        <f t="shared" si="87"/>
        <v>1</v>
      </c>
      <c r="O695" s="5">
        <f t="shared" si="88"/>
        <v>0</v>
      </c>
      <c r="P695" s="5">
        <f t="shared" si="81"/>
        <v>0</v>
      </c>
      <c r="Q695" s="5">
        <f t="shared" si="82"/>
        <v>2</v>
      </c>
      <c r="R695" s="7">
        <f t="shared" si="83"/>
        <v>0</v>
      </c>
      <c r="S695" s="7">
        <f t="shared" si="84"/>
        <v>0</v>
      </c>
      <c r="T695" s="3" t="str">
        <f t="shared" si="85"/>
        <v/>
      </c>
      <c r="V695" s="1" t="e">
        <f t="shared" si="86"/>
        <v>#DIV/0!</v>
      </c>
    </row>
    <row r="696" spans="8:22" x14ac:dyDescent="0.3">
      <c r="H696" s="10" t="str">
        <f>IF(Planilha1!B693="","",Planilha1!B693)</f>
        <v>8:00p</v>
      </c>
      <c r="I696" s="10" t="str">
        <f>IF(Planilha1!C693="","",Planilha1!C693)</f>
        <v>Sacramento Kings</v>
      </c>
      <c r="J696" s="10">
        <f>IF(Planilha1!D693="","",Planilha1!D693)</f>
        <v>0</v>
      </c>
      <c r="K696" s="10" t="str">
        <f>IF(Planilha1!E693="","",IF(Planilha1!E693=0,"",Planilha1!E693))</f>
        <v>Memphis Grizzlies</v>
      </c>
      <c r="L696" s="10">
        <f>IF(Planilha1!F693="","",Planilha1!F693)</f>
        <v>0</v>
      </c>
      <c r="M696" s="10" t="str">
        <f>IF(Planilha1!G693="","",IF(Planilha1!G693=0,"",Planilha1!G693))</f>
        <v/>
      </c>
      <c r="N696" s="5">
        <f t="shared" si="87"/>
        <v>1</v>
      </c>
      <c r="O696" s="5">
        <f t="shared" si="88"/>
        <v>0</v>
      </c>
      <c r="P696" s="5">
        <f t="shared" si="81"/>
        <v>0</v>
      </c>
      <c r="Q696" s="5">
        <f t="shared" si="82"/>
        <v>2</v>
      </c>
      <c r="R696" s="7">
        <f t="shared" si="83"/>
        <v>0</v>
      </c>
      <c r="S696" s="7">
        <f t="shared" si="84"/>
        <v>0</v>
      </c>
      <c r="T696" s="3" t="str">
        <f t="shared" si="85"/>
        <v/>
      </c>
      <c r="V696" s="1" t="e">
        <f t="shared" si="86"/>
        <v>#DIV/0!</v>
      </c>
    </row>
    <row r="697" spans="8:22" x14ac:dyDescent="0.3">
      <c r="H697" s="10" t="str">
        <f>IF(Planilha1!B694="","",Planilha1!B694)</f>
        <v>8:00p</v>
      </c>
      <c r="I697" s="10" t="str">
        <f>IF(Planilha1!C694="","",Planilha1!C694)</f>
        <v>Minnesota Timberwolves</v>
      </c>
      <c r="J697" s="10">
        <f>IF(Planilha1!D694="","",Planilha1!D694)</f>
        <v>0</v>
      </c>
      <c r="K697" s="10" t="str">
        <f>IF(Planilha1!E694="","",IF(Planilha1!E694=0,"",Planilha1!E694))</f>
        <v>Oklahoma City Thunder</v>
      </c>
      <c r="L697" s="10">
        <f>IF(Planilha1!F694="","",Planilha1!F694)</f>
        <v>0</v>
      </c>
      <c r="M697" s="10" t="str">
        <f>IF(Planilha1!G694="","",IF(Planilha1!G694=0,"",Planilha1!G694))</f>
        <v/>
      </c>
      <c r="N697" s="5">
        <f t="shared" si="87"/>
        <v>1</v>
      </c>
      <c r="O697" s="5">
        <f t="shared" si="88"/>
        <v>0</v>
      </c>
      <c r="P697" s="5">
        <f t="shared" si="81"/>
        <v>0</v>
      </c>
      <c r="Q697" s="5">
        <f t="shared" si="82"/>
        <v>2</v>
      </c>
      <c r="R697" s="7">
        <f t="shared" si="83"/>
        <v>0</v>
      </c>
      <c r="S697" s="7">
        <f t="shared" si="84"/>
        <v>0</v>
      </c>
      <c r="T697" s="3" t="str">
        <f t="shared" si="85"/>
        <v/>
      </c>
      <c r="V697" s="1" t="e">
        <f t="shared" si="86"/>
        <v>#DIV/0!</v>
      </c>
    </row>
    <row r="698" spans="8:22" x14ac:dyDescent="0.3">
      <c r="H698" s="10" t="str">
        <f>IF(Planilha1!B695="","",Planilha1!B695)</f>
        <v>8:00p</v>
      </c>
      <c r="I698" s="10" t="str">
        <f>IF(Planilha1!C695="","",Planilha1!C695)</f>
        <v>Washington Wizards</v>
      </c>
      <c r="J698" s="10">
        <f>IF(Planilha1!D695="","",Planilha1!D695)</f>
        <v>0</v>
      </c>
      <c r="K698" s="10" t="str">
        <f>IF(Planilha1!E695="","",IF(Planilha1!E695=0,"",Planilha1!E695))</f>
        <v>San Antonio Spurs</v>
      </c>
      <c r="L698" s="10">
        <f>IF(Planilha1!F695="","",Planilha1!F695)</f>
        <v>0</v>
      </c>
      <c r="M698" s="10" t="str">
        <f>IF(Planilha1!G695="","",IF(Planilha1!G695=0,"",Planilha1!G695))</f>
        <v/>
      </c>
      <c r="N698" s="5">
        <f t="shared" si="87"/>
        <v>1</v>
      </c>
      <c r="O698" s="5">
        <f t="shared" si="88"/>
        <v>0</v>
      </c>
      <c r="P698" s="5">
        <f t="shared" si="81"/>
        <v>0</v>
      </c>
      <c r="Q698" s="5">
        <f t="shared" si="82"/>
        <v>2</v>
      </c>
      <c r="R698" s="7">
        <f t="shared" si="83"/>
        <v>0</v>
      </c>
      <c r="S698" s="7">
        <f t="shared" si="84"/>
        <v>0</v>
      </c>
      <c r="T698" s="3" t="str">
        <f t="shared" si="85"/>
        <v/>
      </c>
      <c r="V698" s="1" t="e">
        <f t="shared" si="86"/>
        <v>#DIV/0!</v>
      </c>
    </row>
    <row r="699" spans="8:22" x14ac:dyDescent="0.3">
      <c r="H699" s="10" t="str">
        <f>IF(Planilha1!B696="","",Planilha1!B696)</f>
        <v>8:30p</v>
      </c>
      <c r="I699" s="10" t="str">
        <f>IF(Planilha1!C696="","",Planilha1!C696)</f>
        <v>Orlando Magic</v>
      </c>
      <c r="J699" s="10">
        <f>IF(Planilha1!D696="","",Planilha1!D696)</f>
        <v>0</v>
      </c>
      <c r="K699" s="10" t="str">
        <f>IF(Planilha1!E696="","",IF(Planilha1!E696=0,"",Planilha1!E696))</f>
        <v>Dallas Mavericks</v>
      </c>
      <c r="L699" s="10">
        <f>IF(Planilha1!F696="","",Planilha1!F696)</f>
        <v>0</v>
      </c>
      <c r="M699" s="10" t="str">
        <f>IF(Planilha1!G696="","",IF(Planilha1!G696=0,"",Planilha1!G696))</f>
        <v/>
      </c>
      <c r="N699" s="5">
        <f t="shared" si="87"/>
        <v>1</v>
      </c>
      <c r="O699" s="5">
        <f t="shared" si="88"/>
        <v>0</v>
      </c>
      <c r="P699" s="5">
        <f t="shared" si="81"/>
        <v>0</v>
      </c>
      <c r="Q699" s="5">
        <f t="shared" si="82"/>
        <v>2</v>
      </c>
      <c r="R699" s="7">
        <f t="shared" si="83"/>
        <v>0</v>
      </c>
      <c r="S699" s="7">
        <f t="shared" si="84"/>
        <v>0</v>
      </c>
      <c r="T699" s="3" t="str">
        <f t="shared" si="85"/>
        <v/>
      </c>
      <c r="V699" s="1" t="e">
        <f t="shared" si="86"/>
        <v>#DIV/0!</v>
      </c>
    </row>
    <row r="700" spans="8:22" x14ac:dyDescent="0.3">
      <c r="H700" s="10" t="str">
        <f>IF(Planilha1!B697="","",Planilha1!B697)</f>
        <v>9:00p</v>
      </c>
      <c r="I700" s="10" t="str">
        <f>IF(Planilha1!C697="","",Planilha1!C697)</f>
        <v>Milwaukee Bucks</v>
      </c>
      <c r="J700" s="10">
        <f>IF(Planilha1!D697="","",Planilha1!D697)</f>
        <v>0</v>
      </c>
      <c r="K700" s="10" t="str">
        <f>IF(Planilha1!E697="","",IF(Planilha1!E697=0,"",Planilha1!E697))</f>
        <v>Denver Nuggets</v>
      </c>
      <c r="L700" s="10">
        <f>IF(Planilha1!F697="","",Planilha1!F697)</f>
        <v>0</v>
      </c>
      <c r="M700" s="10" t="str">
        <f>IF(Planilha1!G697="","",IF(Planilha1!G697=0,"",Planilha1!G697))</f>
        <v/>
      </c>
      <c r="N700" s="5">
        <f t="shared" si="87"/>
        <v>1</v>
      </c>
      <c r="O700" s="5">
        <f t="shared" si="88"/>
        <v>0</v>
      </c>
      <c r="P700" s="5">
        <f t="shared" si="81"/>
        <v>0</v>
      </c>
      <c r="Q700" s="5">
        <f t="shared" si="82"/>
        <v>2</v>
      </c>
      <c r="R700" s="7">
        <f t="shared" si="83"/>
        <v>0</v>
      </c>
      <c r="S700" s="7">
        <f t="shared" si="84"/>
        <v>0</v>
      </c>
      <c r="T700" s="3" t="str">
        <f t="shared" si="85"/>
        <v/>
      </c>
      <c r="V700" s="1" t="e">
        <f t="shared" si="86"/>
        <v>#DIV/0!</v>
      </c>
    </row>
    <row r="701" spans="8:22" x14ac:dyDescent="0.3">
      <c r="H701" s="10" t="str">
        <f>IF(Planilha1!B698="","",Planilha1!B698)</f>
        <v>10:00p</v>
      </c>
      <c r="I701" s="10" t="str">
        <f>IF(Planilha1!C698="","",Planilha1!C698)</f>
        <v>Philadelphia 76ers</v>
      </c>
      <c r="J701" s="10">
        <f>IF(Planilha1!D698="","",Planilha1!D698)</f>
        <v>0</v>
      </c>
      <c r="K701" s="10" t="str">
        <f>IF(Planilha1!E698="","",IF(Planilha1!E698=0,"",Planilha1!E698))</f>
        <v>Portland Trail Blazers</v>
      </c>
      <c r="L701" s="10">
        <f>IF(Planilha1!F698="","",Planilha1!F698)</f>
        <v>0</v>
      </c>
      <c r="M701" s="10" t="str">
        <f>IF(Planilha1!G698="","",IF(Planilha1!G698=0,"",Planilha1!G698))</f>
        <v/>
      </c>
      <c r="N701" s="5">
        <f t="shared" si="87"/>
        <v>1</v>
      </c>
      <c r="O701" s="5">
        <f t="shared" si="88"/>
        <v>0</v>
      </c>
      <c r="P701" s="5">
        <f t="shared" si="81"/>
        <v>0</v>
      </c>
      <c r="Q701" s="5">
        <f t="shared" si="82"/>
        <v>2</v>
      </c>
      <c r="R701" s="7">
        <f t="shared" si="83"/>
        <v>0</v>
      </c>
      <c r="S701" s="7">
        <f t="shared" si="84"/>
        <v>0</v>
      </c>
      <c r="T701" s="3" t="str">
        <f t="shared" si="85"/>
        <v/>
      </c>
      <c r="V701" s="1" t="e">
        <f t="shared" si="86"/>
        <v>#DIV/0!</v>
      </c>
    </row>
    <row r="702" spans="8:22" x14ac:dyDescent="0.3">
      <c r="H702" s="10" t="str">
        <f>IF(Planilha1!B699="","",Planilha1!B699)</f>
        <v>7:30p</v>
      </c>
      <c r="I702" s="10" t="str">
        <f>IF(Planilha1!C699="","",Planilha1!C699)</f>
        <v>Los Angeles Lakers</v>
      </c>
      <c r="J702" s="10">
        <f>IF(Planilha1!D699="","",Planilha1!D699)</f>
        <v>0</v>
      </c>
      <c r="K702" s="10" t="str">
        <f>IF(Planilha1!E699="","",IF(Planilha1!E699=0,"",Planilha1!E699))</f>
        <v>Atlanta Hawks</v>
      </c>
      <c r="L702" s="10">
        <f>IF(Planilha1!F699="","",Planilha1!F699)</f>
        <v>0</v>
      </c>
      <c r="M702" s="10" t="str">
        <f>IF(Planilha1!G699="","",IF(Planilha1!G699=0,"",Planilha1!G699))</f>
        <v/>
      </c>
      <c r="N702" s="5">
        <f t="shared" si="87"/>
        <v>1</v>
      </c>
      <c r="O702" s="5">
        <f t="shared" si="88"/>
        <v>0</v>
      </c>
      <c r="P702" s="5">
        <f t="shared" si="81"/>
        <v>0</v>
      </c>
      <c r="Q702" s="5">
        <f t="shared" si="82"/>
        <v>2</v>
      </c>
      <c r="R702" s="7">
        <f t="shared" si="83"/>
        <v>0</v>
      </c>
      <c r="S702" s="7">
        <f t="shared" si="84"/>
        <v>0</v>
      </c>
      <c r="T702" s="3" t="str">
        <f t="shared" si="85"/>
        <v/>
      </c>
      <c r="V702" s="1" t="e">
        <f t="shared" si="86"/>
        <v>#DIV/0!</v>
      </c>
    </row>
    <row r="703" spans="8:22" x14ac:dyDescent="0.3">
      <c r="H703" s="10" t="str">
        <f>IF(Planilha1!B700="","",Planilha1!B700)</f>
        <v>7:30p</v>
      </c>
      <c r="I703" s="10" t="str">
        <f>IF(Planilha1!C700="","",Planilha1!C700)</f>
        <v>Indiana Pacers</v>
      </c>
      <c r="J703" s="10">
        <f>IF(Planilha1!D700="","",Planilha1!D700)</f>
        <v>0</v>
      </c>
      <c r="K703" s="10" t="str">
        <f>IF(Planilha1!E700="","",IF(Planilha1!E700=0,"",Planilha1!E700))</f>
        <v>Boston Celtics</v>
      </c>
      <c r="L703" s="10">
        <f>IF(Planilha1!F700="","",Planilha1!F700)</f>
        <v>0</v>
      </c>
      <c r="M703" s="10" t="str">
        <f>IF(Planilha1!G700="","",IF(Planilha1!G700=0,"",Planilha1!G700))</f>
        <v/>
      </c>
      <c r="N703" s="5">
        <f t="shared" si="87"/>
        <v>1</v>
      </c>
      <c r="O703" s="5">
        <f t="shared" si="88"/>
        <v>0</v>
      </c>
      <c r="P703" s="5">
        <f t="shared" si="81"/>
        <v>0</v>
      </c>
      <c r="Q703" s="5">
        <f t="shared" si="82"/>
        <v>2</v>
      </c>
      <c r="R703" s="7">
        <f t="shared" si="83"/>
        <v>0</v>
      </c>
      <c r="S703" s="7">
        <f t="shared" si="84"/>
        <v>0</v>
      </c>
      <c r="T703" s="3" t="str">
        <f t="shared" si="85"/>
        <v/>
      </c>
      <c r="V703" s="1" t="e">
        <f t="shared" si="86"/>
        <v>#DIV/0!</v>
      </c>
    </row>
    <row r="704" spans="8:22" x14ac:dyDescent="0.3">
      <c r="H704" s="10" t="str">
        <f>IF(Planilha1!B701="","",Planilha1!B701)</f>
        <v>7:30p</v>
      </c>
      <c r="I704" s="10" t="str">
        <f>IF(Planilha1!C701="","",Planilha1!C701)</f>
        <v>Utah Jazz</v>
      </c>
      <c r="J704" s="10">
        <f>IF(Planilha1!D701="","",Planilha1!D701)</f>
        <v>0</v>
      </c>
      <c r="K704" s="10" t="str">
        <f>IF(Planilha1!E701="","",IF(Planilha1!E701=0,"",Planilha1!E701))</f>
        <v>New York Knicks</v>
      </c>
      <c r="L704" s="10">
        <f>IF(Planilha1!F701="","",Planilha1!F701)</f>
        <v>0</v>
      </c>
      <c r="M704" s="10" t="str">
        <f>IF(Planilha1!G701="","",IF(Planilha1!G701=0,"",Planilha1!G701))</f>
        <v/>
      </c>
      <c r="N704" s="5">
        <f t="shared" si="87"/>
        <v>1</v>
      </c>
      <c r="O704" s="5">
        <f t="shared" si="88"/>
        <v>0</v>
      </c>
      <c r="P704" s="5">
        <f t="shared" si="81"/>
        <v>0</v>
      </c>
      <c r="Q704" s="5">
        <f t="shared" si="82"/>
        <v>2</v>
      </c>
      <c r="R704" s="7">
        <f t="shared" si="83"/>
        <v>0</v>
      </c>
      <c r="S704" s="7">
        <f t="shared" si="84"/>
        <v>0</v>
      </c>
      <c r="T704" s="3" t="str">
        <f t="shared" si="85"/>
        <v/>
      </c>
      <c r="V704" s="1" t="e">
        <f t="shared" si="86"/>
        <v>#DIV/0!</v>
      </c>
    </row>
    <row r="705" spans="8:22" x14ac:dyDescent="0.3">
      <c r="H705" s="10" t="str">
        <f>IF(Planilha1!B702="","",Planilha1!B702)</f>
        <v>8:00p</v>
      </c>
      <c r="I705" s="10" t="str">
        <f>IF(Planilha1!C702="","",Planilha1!C702)</f>
        <v>Toronto Raptors</v>
      </c>
      <c r="J705" s="10">
        <f>IF(Planilha1!D702="","",Planilha1!D702)</f>
        <v>0</v>
      </c>
      <c r="K705" s="10" t="str">
        <f>IF(Planilha1!E702="","",IF(Planilha1!E702=0,"",Planilha1!E702))</f>
        <v>Chicago Bulls</v>
      </c>
      <c r="L705" s="10">
        <f>IF(Planilha1!F702="","",Planilha1!F702)</f>
        <v>0</v>
      </c>
      <c r="M705" s="10" t="str">
        <f>IF(Planilha1!G702="","",IF(Planilha1!G702=0,"",Planilha1!G702))</f>
        <v/>
      </c>
      <c r="N705" s="5">
        <f t="shared" si="87"/>
        <v>1</v>
      </c>
      <c r="O705" s="5">
        <f t="shared" si="88"/>
        <v>0</v>
      </c>
      <c r="P705" s="5">
        <f t="shared" si="81"/>
        <v>0</v>
      </c>
      <c r="Q705" s="5">
        <f t="shared" si="82"/>
        <v>2</v>
      </c>
      <c r="R705" s="7">
        <f t="shared" si="83"/>
        <v>0</v>
      </c>
      <c r="S705" s="7">
        <f t="shared" si="84"/>
        <v>0</v>
      </c>
      <c r="T705" s="3" t="str">
        <f t="shared" si="85"/>
        <v/>
      </c>
      <c r="V705" s="1" t="e">
        <f t="shared" si="86"/>
        <v>#DIV/0!</v>
      </c>
    </row>
    <row r="706" spans="8:22" x14ac:dyDescent="0.3">
      <c r="H706" s="10" t="str">
        <f>IF(Planilha1!B703="","",Planilha1!B703)</f>
        <v>10:00p</v>
      </c>
      <c r="I706" s="10" t="str">
        <f>IF(Planilha1!C703="","",Planilha1!C703)</f>
        <v>Philadelphia 76ers</v>
      </c>
      <c r="J706" s="10">
        <f>IF(Planilha1!D703="","",Planilha1!D703)</f>
        <v>0</v>
      </c>
      <c r="K706" s="10" t="str">
        <f>IF(Planilha1!E703="","",IF(Planilha1!E703=0,"",Planilha1!E703))</f>
        <v>Golden State Warriors</v>
      </c>
      <c r="L706" s="10">
        <f>IF(Planilha1!F703="","",Planilha1!F703)</f>
        <v>0</v>
      </c>
      <c r="M706" s="10" t="str">
        <f>IF(Planilha1!G703="","",IF(Planilha1!G703=0,"",Planilha1!G703))</f>
        <v/>
      </c>
      <c r="N706" s="5">
        <f t="shared" si="87"/>
        <v>1</v>
      </c>
      <c r="O706" s="5">
        <f t="shared" si="88"/>
        <v>0</v>
      </c>
      <c r="P706" s="5">
        <f t="shared" si="81"/>
        <v>0</v>
      </c>
      <c r="Q706" s="5">
        <f t="shared" si="82"/>
        <v>2</v>
      </c>
      <c r="R706" s="7">
        <f t="shared" si="83"/>
        <v>0</v>
      </c>
      <c r="S706" s="7">
        <f t="shared" si="84"/>
        <v>0</v>
      </c>
      <c r="T706" s="3" t="str">
        <f t="shared" si="85"/>
        <v/>
      </c>
      <c r="V706" s="1" t="e">
        <f t="shared" si="86"/>
        <v>#DIV/0!</v>
      </c>
    </row>
    <row r="707" spans="8:22" x14ac:dyDescent="0.3">
      <c r="H707" s="10" t="str">
        <f>IF(Planilha1!B704="","",Planilha1!B704)</f>
        <v>7:00p</v>
      </c>
      <c r="I707" s="10" t="str">
        <f>IF(Planilha1!C704="","",Planilha1!C704)</f>
        <v>Chicago Bulls</v>
      </c>
      <c r="J707" s="10">
        <f>IF(Planilha1!D704="","",Planilha1!D704)</f>
        <v>0</v>
      </c>
      <c r="K707" s="10" t="str">
        <f>IF(Planilha1!E704="","",IF(Planilha1!E704=0,"",Planilha1!E704))</f>
        <v>Charlotte Hornets</v>
      </c>
      <c r="L707" s="10">
        <f>IF(Planilha1!F704="","",Planilha1!F704)</f>
        <v>0</v>
      </c>
      <c r="M707" s="10" t="str">
        <f>IF(Planilha1!G704="","",IF(Planilha1!G704=0,"",Planilha1!G704))</f>
        <v/>
      </c>
      <c r="N707" s="5">
        <f t="shared" si="87"/>
        <v>1</v>
      </c>
      <c r="O707" s="5">
        <f t="shared" si="88"/>
        <v>0</v>
      </c>
      <c r="P707" s="5">
        <f t="shared" si="81"/>
        <v>0</v>
      </c>
      <c r="Q707" s="5">
        <f t="shared" si="82"/>
        <v>2</v>
      </c>
      <c r="R707" s="7">
        <f t="shared" si="83"/>
        <v>0</v>
      </c>
      <c r="S707" s="7">
        <f t="shared" si="84"/>
        <v>0</v>
      </c>
      <c r="T707" s="3" t="str">
        <f t="shared" si="85"/>
        <v/>
      </c>
      <c r="V707" s="1" t="e">
        <f t="shared" si="86"/>
        <v>#DIV/0!</v>
      </c>
    </row>
    <row r="708" spans="8:22" x14ac:dyDescent="0.3">
      <c r="H708" s="10" t="str">
        <f>IF(Planilha1!B705="","",Planilha1!B705)</f>
        <v>7:00p</v>
      </c>
      <c r="I708" s="10" t="str">
        <f>IF(Planilha1!C705="","",Planilha1!C705)</f>
        <v>Detroit Pistons</v>
      </c>
      <c r="J708" s="10">
        <f>IF(Planilha1!D705="","",Planilha1!D705)</f>
        <v>0</v>
      </c>
      <c r="K708" s="10" t="str">
        <f>IF(Planilha1!E705="","",IF(Planilha1!E705=0,"",Planilha1!E705))</f>
        <v>Cleveland Cavaliers</v>
      </c>
      <c r="L708" s="10">
        <f>IF(Planilha1!F705="","",Planilha1!F705)</f>
        <v>0</v>
      </c>
      <c r="M708" s="10" t="str">
        <f>IF(Planilha1!G705="","",IF(Planilha1!G705=0,"",Planilha1!G705))</f>
        <v/>
      </c>
      <c r="N708" s="5">
        <f t="shared" si="87"/>
        <v>1</v>
      </c>
      <c r="O708" s="5">
        <f t="shared" si="88"/>
        <v>0</v>
      </c>
      <c r="P708" s="5">
        <f t="shared" si="81"/>
        <v>0</v>
      </c>
      <c r="Q708" s="5">
        <f t="shared" si="82"/>
        <v>2</v>
      </c>
      <c r="R708" s="7">
        <f t="shared" si="83"/>
        <v>0</v>
      </c>
      <c r="S708" s="7">
        <f t="shared" si="84"/>
        <v>0</v>
      </c>
      <c r="T708" s="3" t="str">
        <f t="shared" si="85"/>
        <v/>
      </c>
      <c r="V708" s="1" t="e">
        <f t="shared" si="86"/>
        <v>#DIV/0!</v>
      </c>
    </row>
    <row r="709" spans="8:22" x14ac:dyDescent="0.3">
      <c r="H709" s="10" t="str">
        <f>IF(Planilha1!B706="","",Planilha1!B706)</f>
        <v>7:00p</v>
      </c>
      <c r="I709" s="10" t="str">
        <f>IF(Planilha1!C706="","",Planilha1!C706)</f>
        <v>Los Angeles Clippers</v>
      </c>
      <c r="J709" s="10">
        <f>IF(Planilha1!D706="","",Planilha1!D706)</f>
        <v>0</v>
      </c>
      <c r="K709" s="10" t="str">
        <f>IF(Planilha1!E706="","",IF(Planilha1!E706=0,"",Planilha1!E706))</f>
        <v>Washington Wizards</v>
      </c>
      <c r="L709" s="10">
        <f>IF(Planilha1!F706="","",Planilha1!F706)</f>
        <v>0</v>
      </c>
      <c r="M709" s="10" t="str">
        <f>IF(Planilha1!G706="","",IF(Planilha1!G706=0,"",Planilha1!G706))</f>
        <v/>
      </c>
      <c r="N709" s="5">
        <f t="shared" si="87"/>
        <v>1</v>
      </c>
      <c r="O709" s="5">
        <f t="shared" si="88"/>
        <v>0</v>
      </c>
      <c r="P709" s="5">
        <f t="shared" ref="P709:P772" si="89">IF(M709="",IF(R709&gt;S709,2,0),IF(K709&lt;M709,2,0))</f>
        <v>0</v>
      </c>
      <c r="Q709" s="5">
        <f t="shared" ref="Q709:Q772" si="90">IF(M709="",IF(R709&gt;S709,0,2),IF(K709&gt;M709,2,0))</f>
        <v>2</v>
      </c>
      <c r="R709" s="7">
        <f t="shared" ref="R709:R772" si="91">SUMIF($B:$B,J709,$C:$C)+(SUMIF($B:$B,L709,$F:$F))</f>
        <v>0</v>
      </c>
      <c r="S709" s="7">
        <f t="shared" ref="S709:S772" si="92">SUMIF($B:$B,L709,$E:$E)+(SUMIF($B:$B,J709,$D:$D))</f>
        <v>0</v>
      </c>
      <c r="T709" s="3" t="str">
        <f t="shared" ref="T709:T772" si="93">IF(M709="","",(N709-S709)^2+(O709-R709)^2)</f>
        <v/>
      </c>
      <c r="V709" s="1" t="e">
        <f t="shared" ref="V709:V772" si="94">IF(O709="","",1/((O709-N709)/(R709-S709)))</f>
        <v>#DIV/0!</v>
      </c>
    </row>
    <row r="710" spans="8:22" x14ac:dyDescent="0.3">
      <c r="H710" s="10" t="str">
        <f>IF(Planilha1!B707="","",Planilha1!B707)</f>
        <v>7:30p</v>
      </c>
      <c r="I710" s="10" t="str">
        <f>IF(Planilha1!C707="","",Planilha1!C707)</f>
        <v>Sacramento Kings</v>
      </c>
      <c r="J710" s="10">
        <f>IF(Planilha1!D707="","",Planilha1!D707)</f>
        <v>0</v>
      </c>
      <c r="K710" s="10" t="str">
        <f>IF(Planilha1!E707="","",IF(Planilha1!E707=0,"",Planilha1!E707))</f>
        <v>Miami Heat</v>
      </c>
      <c r="L710" s="10">
        <f>IF(Planilha1!F707="","",Planilha1!F707)</f>
        <v>0</v>
      </c>
      <c r="M710" s="10" t="str">
        <f>IF(Planilha1!G707="","",IF(Planilha1!G707=0,"",Planilha1!G707))</f>
        <v/>
      </c>
      <c r="N710" s="5">
        <f t="shared" ref="N710:N773" si="95">IF(K710="","",IF(K710&gt;M710,100%,0%))</f>
        <v>1</v>
      </c>
      <c r="O710" s="5">
        <f t="shared" ref="O710:O773" si="96">IF(K710="","",IF(K710&lt;M710,100%,0%))</f>
        <v>0</v>
      </c>
      <c r="P710" s="5">
        <f t="shared" si="89"/>
        <v>0</v>
      </c>
      <c r="Q710" s="5">
        <f t="shared" si="90"/>
        <v>2</v>
      </c>
      <c r="R710" s="7">
        <f t="shared" si="91"/>
        <v>0</v>
      </c>
      <c r="S710" s="7">
        <f t="shared" si="92"/>
        <v>0</v>
      </c>
      <c r="T710" s="3" t="str">
        <f t="shared" si="93"/>
        <v/>
      </c>
      <c r="V710" s="1" t="e">
        <f t="shared" si="94"/>
        <v>#DIV/0!</v>
      </c>
    </row>
    <row r="711" spans="8:22" x14ac:dyDescent="0.3">
      <c r="H711" s="10" t="str">
        <f>IF(Planilha1!B708="","",Planilha1!B708)</f>
        <v>8:00p</v>
      </c>
      <c r="I711" s="10" t="str">
        <f>IF(Planilha1!C708="","",Planilha1!C708)</f>
        <v>New Orleans Pelicans</v>
      </c>
      <c r="J711" s="10">
        <f>IF(Planilha1!D708="","",Planilha1!D708)</f>
        <v>0</v>
      </c>
      <c r="K711" s="10" t="str">
        <f>IF(Planilha1!E708="","",IF(Planilha1!E708=0,"",Planilha1!E708))</f>
        <v>Houston Rockets</v>
      </c>
      <c r="L711" s="10">
        <f>IF(Planilha1!F708="","",Planilha1!F708)</f>
        <v>0</v>
      </c>
      <c r="M711" s="10" t="str">
        <f>IF(Planilha1!G708="","",IF(Planilha1!G708=0,"",Planilha1!G708))</f>
        <v/>
      </c>
      <c r="N711" s="5">
        <f t="shared" si="95"/>
        <v>1</v>
      </c>
      <c r="O711" s="5">
        <f t="shared" si="96"/>
        <v>0</v>
      </c>
      <c r="P711" s="5">
        <f t="shared" si="89"/>
        <v>0</v>
      </c>
      <c r="Q711" s="5">
        <f t="shared" si="90"/>
        <v>2</v>
      </c>
      <c r="R711" s="7">
        <f t="shared" si="91"/>
        <v>0</v>
      </c>
      <c r="S711" s="7">
        <f t="shared" si="92"/>
        <v>0</v>
      </c>
      <c r="T711" s="3" t="str">
        <f t="shared" si="93"/>
        <v/>
      </c>
      <c r="V711" s="1" t="e">
        <f t="shared" si="94"/>
        <v>#DIV/0!</v>
      </c>
    </row>
    <row r="712" spans="8:22" x14ac:dyDescent="0.3">
      <c r="H712" s="10" t="str">
        <f>IF(Planilha1!B709="","",Planilha1!B709)</f>
        <v>8:00p</v>
      </c>
      <c r="I712" s="10" t="str">
        <f>IF(Planilha1!C709="","",Planilha1!C709)</f>
        <v>Dallas Mavericks</v>
      </c>
      <c r="J712" s="10">
        <f>IF(Planilha1!D709="","",Planilha1!D709)</f>
        <v>0</v>
      </c>
      <c r="K712" s="10" t="str">
        <f>IF(Planilha1!E709="","",IF(Planilha1!E709=0,"",Planilha1!E709))</f>
        <v>Minnesota Timberwolves</v>
      </c>
      <c r="L712" s="10">
        <f>IF(Planilha1!F709="","",Planilha1!F709)</f>
        <v>0</v>
      </c>
      <c r="M712" s="10" t="str">
        <f>IF(Planilha1!G709="","",IF(Planilha1!G709=0,"",Planilha1!G709))</f>
        <v/>
      </c>
      <c r="N712" s="5">
        <f t="shared" si="95"/>
        <v>1</v>
      </c>
      <c r="O712" s="5">
        <f t="shared" si="96"/>
        <v>0</v>
      </c>
      <c r="P712" s="5">
        <f t="shared" si="89"/>
        <v>0</v>
      </c>
      <c r="Q712" s="5">
        <f t="shared" si="90"/>
        <v>2</v>
      </c>
      <c r="R712" s="7">
        <f t="shared" si="91"/>
        <v>0</v>
      </c>
      <c r="S712" s="7">
        <f t="shared" si="92"/>
        <v>0</v>
      </c>
      <c r="T712" s="3" t="str">
        <f t="shared" si="93"/>
        <v/>
      </c>
      <c r="V712" s="1" t="e">
        <f t="shared" si="94"/>
        <v>#DIV/0!</v>
      </c>
    </row>
    <row r="713" spans="8:22" x14ac:dyDescent="0.3">
      <c r="H713" s="10" t="str">
        <f>IF(Planilha1!B710="","",Planilha1!B710)</f>
        <v>8:00p</v>
      </c>
      <c r="I713" s="10" t="str">
        <f>IF(Planilha1!C710="","",Planilha1!C710)</f>
        <v>Denver Nuggets</v>
      </c>
      <c r="J713" s="10">
        <f>IF(Planilha1!D710="","",Planilha1!D710)</f>
        <v>0</v>
      </c>
      <c r="K713" s="10" t="str">
        <f>IF(Planilha1!E710="","",IF(Planilha1!E710=0,"",Planilha1!E710))</f>
        <v>Oklahoma City Thunder</v>
      </c>
      <c r="L713" s="10">
        <f>IF(Planilha1!F710="","",Planilha1!F710)</f>
        <v>0</v>
      </c>
      <c r="M713" s="10" t="str">
        <f>IF(Planilha1!G710="","",IF(Planilha1!G710=0,"",Planilha1!G710))</f>
        <v/>
      </c>
      <c r="N713" s="5">
        <f t="shared" si="95"/>
        <v>1</v>
      </c>
      <c r="O713" s="5">
        <f t="shared" si="96"/>
        <v>0</v>
      </c>
      <c r="P713" s="5">
        <f t="shared" si="89"/>
        <v>0</v>
      </c>
      <c r="Q713" s="5">
        <f t="shared" si="90"/>
        <v>2</v>
      </c>
      <c r="R713" s="7">
        <f t="shared" si="91"/>
        <v>0</v>
      </c>
      <c r="S713" s="7">
        <f t="shared" si="92"/>
        <v>0</v>
      </c>
      <c r="T713" s="3" t="str">
        <f t="shared" si="93"/>
        <v/>
      </c>
      <c r="V713" s="1" t="e">
        <f t="shared" si="94"/>
        <v>#DIV/0!</v>
      </c>
    </row>
    <row r="714" spans="8:22" x14ac:dyDescent="0.3">
      <c r="H714" s="10" t="str">
        <f>IF(Planilha1!B711="","",Planilha1!B711)</f>
        <v>8:00p</v>
      </c>
      <c r="I714" s="10" t="str">
        <f>IF(Planilha1!C711="","",Planilha1!C711)</f>
        <v>Orlando Magic</v>
      </c>
      <c r="J714" s="10">
        <f>IF(Planilha1!D711="","",Planilha1!D711)</f>
        <v>0</v>
      </c>
      <c r="K714" s="10" t="str">
        <f>IF(Planilha1!E711="","",IF(Planilha1!E711=0,"",Planilha1!E711))</f>
        <v>San Antonio Spurs</v>
      </c>
      <c r="L714" s="10">
        <f>IF(Planilha1!F711="","",Planilha1!F711)</f>
        <v>0</v>
      </c>
      <c r="M714" s="10" t="str">
        <f>IF(Planilha1!G711="","",IF(Planilha1!G711=0,"",Planilha1!G711))</f>
        <v/>
      </c>
      <c r="N714" s="5">
        <f t="shared" si="95"/>
        <v>1</v>
      </c>
      <c r="O714" s="5">
        <f t="shared" si="96"/>
        <v>0</v>
      </c>
      <c r="P714" s="5">
        <f t="shared" si="89"/>
        <v>0</v>
      </c>
      <c r="Q714" s="5">
        <f t="shared" si="90"/>
        <v>2</v>
      </c>
      <c r="R714" s="7">
        <f t="shared" si="91"/>
        <v>0</v>
      </c>
      <c r="S714" s="7">
        <f t="shared" si="92"/>
        <v>0</v>
      </c>
      <c r="T714" s="3" t="str">
        <f t="shared" si="93"/>
        <v/>
      </c>
      <c r="V714" s="1" t="e">
        <f t="shared" si="94"/>
        <v>#DIV/0!</v>
      </c>
    </row>
    <row r="715" spans="8:22" x14ac:dyDescent="0.3">
      <c r="H715" s="10" t="str">
        <f>IF(Planilha1!B712="","",Planilha1!B712)</f>
        <v>8:30p</v>
      </c>
      <c r="I715" s="10" t="str">
        <f>IF(Planilha1!C712="","",Planilha1!C712)</f>
        <v>Phoenix Suns</v>
      </c>
      <c r="J715" s="10">
        <f>IF(Planilha1!D712="","",Planilha1!D712)</f>
        <v>0</v>
      </c>
      <c r="K715" s="10" t="str">
        <f>IF(Planilha1!E712="","",IF(Planilha1!E712=0,"",Planilha1!E712))</f>
        <v>Brooklyn Nets</v>
      </c>
      <c r="L715" s="10">
        <f>IF(Planilha1!F712="","",Planilha1!F712)</f>
        <v>0</v>
      </c>
      <c r="M715" s="10" t="str">
        <f>IF(Planilha1!G712="","",IF(Planilha1!G712=0,"",Planilha1!G712))</f>
        <v/>
      </c>
      <c r="N715" s="5">
        <f t="shared" si="95"/>
        <v>1</v>
      </c>
      <c r="O715" s="5">
        <f t="shared" si="96"/>
        <v>0</v>
      </c>
      <c r="P715" s="5">
        <f t="shared" si="89"/>
        <v>0</v>
      </c>
      <c r="Q715" s="5">
        <f t="shared" si="90"/>
        <v>2</v>
      </c>
      <c r="R715" s="7">
        <f t="shared" si="91"/>
        <v>0</v>
      </c>
      <c r="S715" s="7">
        <f t="shared" si="92"/>
        <v>0</v>
      </c>
      <c r="T715" s="3" t="str">
        <f t="shared" si="93"/>
        <v/>
      </c>
      <c r="V715" s="1" t="e">
        <f t="shared" si="94"/>
        <v>#DIV/0!</v>
      </c>
    </row>
    <row r="716" spans="8:22" x14ac:dyDescent="0.3">
      <c r="H716" s="10" t="str">
        <f>IF(Planilha1!B713="","",Planilha1!B713)</f>
        <v>10:00p</v>
      </c>
      <c r="I716" s="10" t="str">
        <f>IF(Planilha1!C713="","",Planilha1!C713)</f>
        <v>Milwaukee Bucks</v>
      </c>
      <c r="J716" s="10">
        <f>IF(Planilha1!D713="","",Planilha1!D713)</f>
        <v>0</v>
      </c>
      <c r="K716" s="10" t="str">
        <f>IF(Planilha1!E713="","",IF(Planilha1!E713=0,"",Planilha1!E713))</f>
        <v>Portland Trail Blazers</v>
      </c>
      <c r="L716" s="10">
        <f>IF(Planilha1!F713="","",Planilha1!F713)</f>
        <v>0</v>
      </c>
      <c r="M716" s="10" t="str">
        <f>IF(Planilha1!G713="","",IF(Planilha1!G713=0,"",Planilha1!G713))</f>
        <v/>
      </c>
      <c r="N716" s="5">
        <f t="shared" si="95"/>
        <v>1</v>
      </c>
      <c r="O716" s="5">
        <f t="shared" si="96"/>
        <v>0</v>
      </c>
      <c r="P716" s="5">
        <f t="shared" si="89"/>
        <v>0</v>
      </c>
      <c r="Q716" s="5">
        <f t="shared" si="90"/>
        <v>2</v>
      </c>
      <c r="R716" s="7">
        <f t="shared" si="91"/>
        <v>0</v>
      </c>
      <c r="S716" s="7">
        <f t="shared" si="92"/>
        <v>0</v>
      </c>
      <c r="T716" s="3" t="str">
        <f t="shared" si="93"/>
        <v/>
      </c>
      <c r="V716" s="1" t="e">
        <f t="shared" si="94"/>
        <v>#DIV/0!</v>
      </c>
    </row>
    <row r="717" spans="8:22" x14ac:dyDescent="0.3">
      <c r="H717" s="10" t="str">
        <f>IF(Planilha1!B714="","",Planilha1!B714)</f>
        <v>7:30p</v>
      </c>
      <c r="I717" s="10" t="str">
        <f>IF(Planilha1!C714="","",Planilha1!C714)</f>
        <v>Los Angeles Lakers</v>
      </c>
      <c r="J717" s="10">
        <f>IF(Planilha1!D714="","",Planilha1!D714)</f>
        <v>0</v>
      </c>
      <c r="K717" s="10" t="str">
        <f>IF(Planilha1!E714="","",IF(Planilha1!E714=0,"",Planilha1!E714))</f>
        <v>Boston Celtics</v>
      </c>
      <c r="L717" s="10">
        <f>IF(Planilha1!F714="","",Planilha1!F714)</f>
        <v>0</v>
      </c>
      <c r="M717" s="10" t="str">
        <f>IF(Planilha1!G714="","",IF(Planilha1!G714=0,"",Planilha1!G714))</f>
        <v/>
      </c>
      <c r="N717" s="5">
        <f t="shared" si="95"/>
        <v>1</v>
      </c>
      <c r="O717" s="5">
        <f t="shared" si="96"/>
        <v>0</v>
      </c>
      <c r="P717" s="5">
        <f t="shared" si="89"/>
        <v>0</v>
      </c>
      <c r="Q717" s="5">
        <f t="shared" si="90"/>
        <v>2</v>
      </c>
      <c r="R717" s="7">
        <f t="shared" si="91"/>
        <v>0</v>
      </c>
      <c r="S717" s="7">
        <f t="shared" si="92"/>
        <v>0</v>
      </c>
      <c r="T717" s="3" t="str">
        <f t="shared" si="93"/>
        <v/>
      </c>
      <c r="V717" s="1" t="e">
        <f t="shared" si="94"/>
        <v>#DIV/0!</v>
      </c>
    </row>
    <row r="718" spans="8:22" x14ac:dyDescent="0.3">
      <c r="H718" s="10" t="str">
        <f>IF(Planilha1!B715="","",Planilha1!B715)</f>
        <v>7:30p</v>
      </c>
      <c r="I718" s="10" t="str">
        <f>IF(Planilha1!C715="","",Planilha1!C715)</f>
        <v>Indiana Pacers</v>
      </c>
      <c r="J718" s="10">
        <f>IF(Planilha1!D715="","",Planilha1!D715)</f>
        <v>0</v>
      </c>
      <c r="K718" s="10" t="str">
        <f>IF(Planilha1!E715="","",IF(Planilha1!E715=0,"",Planilha1!E715))</f>
        <v>New York Knicks</v>
      </c>
      <c r="L718" s="10">
        <f>IF(Planilha1!F715="","",Planilha1!F715)</f>
        <v>0</v>
      </c>
      <c r="M718" s="10" t="str">
        <f>IF(Planilha1!G715="","",IF(Planilha1!G715=0,"",Planilha1!G715))</f>
        <v/>
      </c>
      <c r="N718" s="5">
        <f t="shared" si="95"/>
        <v>1</v>
      </c>
      <c r="O718" s="5">
        <f t="shared" si="96"/>
        <v>0</v>
      </c>
      <c r="P718" s="5">
        <f t="shared" si="89"/>
        <v>0</v>
      </c>
      <c r="Q718" s="5">
        <f t="shared" si="90"/>
        <v>2</v>
      </c>
      <c r="R718" s="7">
        <f t="shared" si="91"/>
        <v>0</v>
      </c>
      <c r="S718" s="7">
        <f t="shared" si="92"/>
        <v>0</v>
      </c>
      <c r="T718" s="3" t="str">
        <f t="shared" si="93"/>
        <v/>
      </c>
      <c r="V718" s="1" t="e">
        <f t="shared" si="94"/>
        <v>#DIV/0!</v>
      </c>
    </row>
    <row r="719" spans="8:22" x14ac:dyDescent="0.3">
      <c r="H719" s="10" t="str">
        <f>IF(Planilha1!B716="","",Planilha1!B716)</f>
        <v>8:00p</v>
      </c>
      <c r="I719" s="10" t="str">
        <f>IF(Planilha1!C716="","",Planilha1!C716)</f>
        <v>Cleveland Cavaliers</v>
      </c>
      <c r="J719" s="10">
        <f>IF(Planilha1!D716="","",Planilha1!D716)</f>
        <v>0</v>
      </c>
      <c r="K719" s="10" t="str">
        <f>IF(Planilha1!E716="","",IF(Planilha1!E716=0,"",Planilha1!E716))</f>
        <v>Memphis Grizzlies</v>
      </c>
      <c r="L719" s="10">
        <f>IF(Planilha1!F716="","",Planilha1!F716)</f>
        <v>0</v>
      </c>
      <c r="M719" s="10" t="str">
        <f>IF(Planilha1!G716="","",IF(Planilha1!G716=0,"",Planilha1!G716))</f>
        <v/>
      </c>
      <c r="N719" s="5">
        <f t="shared" si="95"/>
        <v>1</v>
      </c>
      <c r="O719" s="5">
        <f t="shared" si="96"/>
        <v>0</v>
      </c>
      <c r="P719" s="5">
        <f t="shared" si="89"/>
        <v>0</v>
      </c>
      <c r="Q719" s="5">
        <f t="shared" si="90"/>
        <v>2</v>
      </c>
      <c r="R719" s="7">
        <f t="shared" si="91"/>
        <v>0</v>
      </c>
      <c r="S719" s="7">
        <f t="shared" si="92"/>
        <v>0</v>
      </c>
      <c r="T719" s="3" t="str">
        <f t="shared" si="93"/>
        <v/>
      </c>
      <c r="V719" s="1" t="e">
        <f t="shared" si="94"/>
        <v>#DIV/0!</v>
      </c>
    </row>
    <row r="720" spans="8:22" x14ac:dyDescent="0.3">
      <c r="H720" s="10" t="str">
        <f>IF(Planilha1!B717="","",Planilha1!B717)</f>
        <v>10:00p</v>
      </c>
      <c r="I720" s="10" t="str">
        <f>IF(Planilha1!C717="","",Planilha1!C717)</f>
        <v>Philadelphia 76ers</v>
      </c>
      <c r="J720" s="10">
        <f>IF(Planilha1!D717="","",Planilha1!D717)</f>
        <v>0</v>
      </c>
      <c r="K720" s="10" t="str">
        <f>IF(Planilha1!E717="","",IF(Planilha1!E717=0,"",Planilha1!E717))</f>
        <v>Utah Jazz</v>
      </c>
      <c r="L720" s="10">
        <f>IF(Planilha1!F717="","",Planilha1!F717)</f>
        <v>0</v>
      </c>
      <c r="M720" s="10" t="str">
        <f>IF(Planilha1!G717="","",IF(Planilha1!G717=0,"",Planilha1!G717))</f>
        <v/>
      </c>
      <c r="N720" s="5">
        <f t="shared" si="95"/>
        <v>1</v>
      </c>
      <c r="O720" s="5">
        <f t="shared" si="96"/>
        <v>0</v>
      </c>
      <c r="P720" s="5">
        <f t="shared" si="89"/>
        <v>0</v>
      </c>
      <c r="Q720" s="5">
        <f t="shared" si="90"/>
        <v>2</v>
      </c>
      <c r="R720" s="7">
        <f t="shared" si="91"/>
        <v>0</v>
      </c>
      <c r="S720" s="7">
        <f t="shared" si="92"/>
        <v>0</v>
      </c>
      <c r="T720" s="3" t="str">
        <f t="shared" si="93"/>
        <v/>
      </c>
      <c r="V720" s="1" t="e">
        <f t="shared" si="94"/>
        <v>#DIV/0!</v>
      </c>
    </row>
    <row r="721" spans="8:22" x14ac:dyDescent="0.3">
      <c r="H721" s="10" t="str">
        <f>IF(Planilha1!B718="","",Planilha1!B718)</f>
        <v>7:00p</v>
      </c>
      <c r="I721" s="10" t="str">
        <f>IF(Planilha1!C718="","",Planilha1!C718)</f>
        <v>Los Angeles Clippers</v>
      </c>
      <c r="J721" s="10">
        <f>IF(Planilha1!D718="","",Planilha1!D718)</f>
        <v>0</v>
      </c>
      <c r="K721" s="10" t="str">
        <f>IF(Planilha1!E718="","",IF(Planilha1!E718=0,"",Planilha1!E718))</f>
        <v>Detroit Pistons</v>
      </c>
      <c r="L721" s="10">
        <f>IF(Planilha1!F718="","",Planilha1!F718)</f>
        <v>0</v>
      </c>
      <c r="M721" s="10" t="str">
        <f>IF(Planilha1!G718="","",IF(Planilha1!G718=0,"",Planilha1!G718))</f>
        <v/>
      </c>
      <c r="N721" s="5">
        <f t="shared" si="95"/>
        <v>1</v>
      </c>
      <c r="O721" s="5">
        <f t="shared" si="96"/>
        <v>0</v>
      </c>
      <c r="P721" s="5">
        <f t="shared" si="89"/>
        <v>0</v>
      </c>
      <c r="Q721" s="5">
        <f t="shared" si="90"/>
        <v>2</v>
      </c>
      <c r="R721" s="7">
        <f t="shared" si="91"/>
        <v>0</v>
      </c>
      <c r="S721" s="7">
        <f t="shared" si="92"/>
        <v>0</v>
      </c>
      <c r="T721" s="3" t="str">
        <f t="shared" si="93"/>
        <v/>
      </c>
      <c r="V721" s="1" t="e">
        <f t="shared" si="94"/>
        <v>#DIV/0!</v>
      </c>
    </row>
    <row r="722" spans="8:22" x14ac:dyDescent="0.3">
      <c r="H722" s="10" t="str">
        <f>IF(Planilha1!B719="","",Planilha1!B719)</f>
        <v>7:00p</v>
      </c>
      <c r="I722" s="10" t="str">
        <f>IF(Planilha1!C719="","",Planilha1!C719)</f>
        <v>Miami Heat</v>
      </c>
      <c r="J722" s="10">
        <f>IF(Planilha1!D719="","",Planilha1!D719)</f>
        <v>0</v>
      </c>
      <c r="K722" s="10" t="str">
        <f>IF(Planilha1!E719="","",IF(Planilha1!E719=0,"",Planilha1!E719))</f>
        <v>Washington Wizards</v>
      </c>
      <c r="L722" s="10">
        <f>IF(Planilha1!F719="","",Planilha1!F719)</f>
        <v>0</v>
      </c>
      <c r="M722" s="10" t="str">
        <f>IF(Planilha1!G719="","",IF(Planilha1!G719=0,"",Planilha1!G719))</f>
        <v/>
      </c>
      <c r="N722" s="5">
        <f t="shared" si="95"/>
        <v>1</v>
      </c>
      <c r="O722" s="5">
        <f t="shared" si="96"/>
        <v>0</v>
      </c>
      <c r="P722" s="5">
        <f t="shared" si="89"/>
        <v>0</v>
      </c>
      <c r="Q722" s="5">
        <f t="shared" si="90"/>
        <v>2</v>
      </c>
      <c r="R722" s="7">
        <f t="shared" si="91"/>
        <v>0</v>
      </c>
      <c r="S722" s="7">
        <f t="shared" si="92"/>
        <v>0</v>
      </c>
      <c r="T722" s="3" t="str">
        <f t="shared" si="93"/>
        <v/>
      </c>
      <c r="V722" s="1" t="e">
        <f t="shared" si="94"/>
        <v>#DIV/0!</v>
      </c>
    </row>
    <row r="723" spans="8:22" x14ac:dyDescent="0.3">
      <c r="H723" s="10" t="str">
        <f>IF(Planilha1!B720="","",Planilha1!B720)</f>
        <v>7:30p</v>
      </c>
      <c r="I723" s="10" t="str">
        <f>IF(Planilha1!C720="","",Planilha1!C720)</f>
        <v>Phoenix Suns</v>
      </c>
      <c r="J723" s="10">
        <f>IF(Planilha1!D720="","",Planilha1!D720)</f>
        <v>0</v>
      </c>
      <c r="K723" s="10" t="str">
        <f>IF(Planilha1!E720="","",IF(Planilha1!E720=0,"",Planilha1!E720))</f>
        <v>Atlanta Hawks</v>
      </c>
      <c r="L723" s="10">
        <f>IF(Planilha1!F720="","",Planilha1!F720)</f>
        <v>0</v>
      </c>
      <c r="M723" s="10" t="str">
        <f>IF(Planilha1!G720="","",IF(Planilha1!G720=0,"",Planilha1!G720))</f>
        <v/>
      </c>
      <c r="N723" s="5">
        <f t="shared" si="95"/>
        <v>1</v>
      </c>
      <c r="O723" s="5">
        <f t="shared" si="96"/>
        <v>0</v>
      </c>
      <c r="P723" s="5">
        <f t="shared" si="89"/>
        <v>0</v>
      </c>
      <c r="Q723" s="5">
        <f t="shared" si="90"/>
        <v>2</v>
      </c>
      <c r="R723" s="7">
        <f t="shared" si="91"/>
        <v>0</v>
      </c>
      <c r="S723" s="7">
        <f t="shared" si="92"/>
        <v>0</v>
      </c>
      <c r="T723" s="3" t="str">
        <f t="shared" si="93"/>
        <v/>
      </c>
      <c r="V723" s="1" t="e">
        <f t="shared" si="94"/>
        <v>#DIV/0!</v>
      </c>
    </row>
    <row r="724" spans="8:22" x14ac:dyDescent="0.3">
      <c r="H724" s="10" t="str">
        <f>IF(Planilha1!B721="","",Planilha1!B721)</f>
        <v>7:30p</v>
      </c>
      <c r="I724" s="10" t="str">
        <f>IF(Planilha1!C721="","",Planilha1!C721)</f>
        <v>Sacramento Kings</v>
      </c>
      <c r="J724" s="10">
        <f>IF(Planilha1!D721="","",Planilha1!D721)</f>
        <v>0</v>
      </c>
      <c r="K724" s="10" t="str">
        <f>IF(Planilha1!E721="","",IF(Planilha1!E721=0,"",Planilha1!E721))</f>
        <v>Indiana Pacers</v>
      </c>
      <c r="L724" s="10">
        <f>IF(Planilha1!F721="","",Planilha1!F721)</f>
        <v>0</v>
      </c>
      <c r="M724" s="10" t="str">
        <f>IF(Planilha1!G721="","",IF(Planilha1!G721=0,"",Planilha1!G721))</f>
        <v/>
      </c>
      <c r="N724" s="5">
        <f t="shared" si="95"/>
        <v>1</v>
      </c>
      <c r="O724" s="5">
        <f t="shared" si="96"/>
        <v>0</v>
      </c>
      <c r="P724" s="5">
        <f t="shared" si="89"/>
        <v>0</v>
      </c>
      <c r="Q724" s="5">
        <f t="shared" si="90"/>
        <v>2</v>
      </c>
      <c r="R724" s="7">
        <f t="shared" si="91"/>
        <v>0</v>
      </c>
      <c r="S724" s="7">
        <f t="shared" si="92"/>
        <v>0</v>
      </c>
      <c r="T724" s="3" t="str">
        <f t="shared" si="93"/>
        <v/>
      </c>
      <c r="V724" s="1" t="e">
        <f t="shared" si="94"/>
        <v>#DIV/0!</v>
      </c>
    </row>
    <row r="725" spans="8:22" x14ac:dyDescent="0.3">
      <c r="H725" s="10" t="str">
        <f>IF(Planilha1!B722="","",Planilha1!B722)</f>
        <v>8:00p</v>
      </c>
      <c r="I725" s="10" t="str">
        <f>IF(Planilha1!C722="","",Planilha1!C722)</f>
        <v>Toronto Raptors</v>
      </c>
      <c r="J725" s="10">
        <f>IF(Planilha1!D722="","",Planilha1!D722)</f>
        <v>0</v>
      </c>
      <c r="K725" s="10" t="str">
        <f>IF(Planilha1!E722="","",IF(Planilha1!E722=0,"",Planilha1!E722))</f>
        <v>Houston Rockets</v>
      </c>
      <c r="L725" s="10">
        <f>IF(Planilha1!F722="","",Planilha1!F722)</f>
        <v>0</v>
      </c>
      <c r="M725" s="10" t="str">
        <f>IF(Planilha1!G722="","",IF(Planilha1!G722=0,"",Planilha1!G722))</f>
        <v/>
      </c>
      <c r="N725" s="5">
        <f t="shared" si="95"/>
        <v>1</v>
      </c>
      <c r="O725" s="5">
        <f t="shared" si="96"/>
        <v>0</v>
      </c>
      <c r="P725" s="5">
        <f t="shared" si="89"/>
        <v>0</v>
      </c>
      <c r="Q725" s="5">
        <f t="shared" si="90"/>
        <v>2</v>
      </c>
      <c r="R725" s="7">
        <f t="shared" si="91"/>
        <v>0</v>
      </c>
      <c r="S725" s="7">
        <f t="shared" si="92"/>
        <v>0</v>
      </c>
      <c r="T725" s="3" t="str">
        <f t="shared" si="93"/>
        <v/>
      </c>
      <c r="V725" s="1" t="e">
        <f t="shared" si="94"/>
        <v>#DIV/0!</v>
      </c>
    </row>
    <row r="726" spans="8:22" x14ac:dyDescent="0.3">
      <c r="H726" s="10" t="str">
        <f>IF(Planilha1!B723="","",Planilha1!B723)</f>
        <v>8:00p</v>
      </c>
      <c r="I726" s="10" t="str">
        <f>IF(Planilha1!C723="","",Planilha1!C723)</f>
        <v>Golden State Warriors</v>
      </c>
      <c r="J726" s="10">
        <f>IF(Planilha1!D723="","",Planilha1!D723)</f>
        <v>0</v>
      </c>
      <c r="K726" s="10" t="str">
        <f>IF(Planilha1!E723="","",IF(Planilha1!E723=0,"",Planilha1!E723))</f>
        <v>Memphis Grizzlies</v>
      </c>
      <c r="L726" s="10">
        <f>IF(Planilha1!F723="","",Planilha1!F723)</f>
        <v>0</v>
      </c>
      <c r="M726" s="10" t="str">
        <f>IF(Planilha1!G723="","",IF(Planilha1!G723=0,"",Planilha1!G723))</f>
        <v/>
      </c>
      <c r="N726" s="5">
        <f t="shared" si="95"/>
        <v>1</v>
      </c>
      <c r="O726" s="5">
        <f t="shared" si="96"/>
        <v>0</v>
      </c>
      <c r="P726" s="5">
        <f t="shared" si="89"/>
        <v>0</v>
      </c>
      <c r="Q726" s="5">
        <f t="shared" si="90"/>
        <v>2</v>
      </c>
      <c r="R726" s="7">
        <f t="shared" si="91"/>
        <v>0</v>
      </c>
      <c r="S726" s="7">
        <f t="shared" si="92"/>
        <v>0</v>
      </c>
      <c r="T726" s="3" t="str">
        <f t="shared" si="93"/>
        <v/>
      </c>
      <c r="V726" s="1" t="e">
        <f t="shared" si="94"/>
        <v>#DIV/0!</v>
      </c>
    </row>
    <row r="727" spans="8:22" x14ac:dyDescent="0.3">
      <c r="H727" s="10" t="str">
        <f>IF(Planilha1!B724="","",Planilha1!B724)</f>
        <v>8:00p</v>
      </c>
      <c r="I727" s="10" t="str">
        <f>IF(Planilha1!C724="","",Planilha1!C724)</f>
        <v>Orlando Magic</v>
      </c>
      <c r="J727" s="10">
        <f>IF(Planilha1!D724="","",Planilha1!D724)</f>
        <v>0</v>
      </c>
      <c r="K727" s="10" t="str">
        <f>IF(Planilha1!E724="","",IF(Planilha1!E724=0,"",Planilha1!E724))</f>
        <v>Minnesota Timberwolves</v>
      </c>
      <c r="L727" s="10">
        <f>IF(Planilha1!F724="","",Planilha1!F724)</f>
        <v>0</v>
      </c>
      <c r="M727" s="10" t="str">
        <f>IF(Planilha1!G724="","",IF(Planilha1!G724=0,"",Planilha1!G724))</f>
        <v/>
      </c>
      <c r="N727" s="5">
        <f t="shared" si="95"/>
        <v>1</v>
      </c>
      <c r="O727" s="5">
        <f t="shared" si="96"/>
        <v>0</v>
      </c>
      <c r="P727" s="5">
        <f t="shared" si="89"/>
        <v>0</v>
      </c>
      <c r="Q727" s="5">
        <f t="shared" si="90"/>
        <v>2</v>
      </c>
      <c r="R727" s="7">
        <f t="shared" si="91"/>
        <v>0</v>
      </c>
      <c r="S727" s="7">
        <f t="shared" si="92"/>
        <v>0</v>
      </c>
      <c r="T727" s="3" t="str">
        <f t="shared" si="93"/>
        <v/>
      </c>
      <c r="V727" s="1" t="e">
        <f t="shared" si="94"/>
        <v>#DIV/0!</v>
      </c>
    </row>
    <row r="728" spans="8:22" x14ac:dyDescent="0.3">
      <c r="H728" s="10" t="str">
        <f>IF(Planilha1!B725="","",Planilha1!B725)</f>
        <v>8:00p</v>
      </c>
      <c r="I728" s="10" t="str">
        <f>IF(Planilha1!C725="","",Planilha1!C725)</f>
        <v>Charlotte Hornets</v>
      </c>
      <c r="J728" s="10">
        <f>IF(Planilha1!D725="","",Planilha1!D725)</f>
        <v>0</v>
      </c>
      <c r="K728" s="10" t="str">
        <f>IF(Planilha1!E725="","",IF(Planilha1!E725=0,"",Planilha1!E725))</f>
        <v>Oklahoma City Thunder</v>
      </c>
      <c r="L728" s="10">
        <f>IF(Planilha1!F725="","",Planilha1!F725)</f>
        <v>0</v>
      </c>
      <c r="M728" s="10" t="str">
        <f>IF(Planilha1!G725="","",IF(Planilha1!G725=0,"",Planilha1!G725))</f>
        <v/>
      </c>
      <c r="N728" s="5">
        <f t="shared" si="95"/>
        <v>1</v>
      </c>
      <c r="O728" s="5">
        <f t="shared" si="96"/>
        <v>0</v>
      </c>
      <c r="P728" s="5">
        <f t="shared" si="89"/>
        <v>0</v>
      </c>
      <c r="Q728" s="5">
        <f t="shared" si="90"/>
        <v>2</v>
      </c>
      <c r="R728" s="7">
        <f t="shared" si="91"/>
        <v>0</v>
      </c>
      <c r="S728" s="7">
        <f t="shared" si="92"/>
        <v>0</v>
      </c>
      <c r="T728" s="3" t="str">
        <f t="shared" si="93"/>
        <v/>
      </c>
      <c r="V728" s="1" t="e">
        <f t="shared" si="94"/>
        <v>#DIV/0!</v>
      </c>
    </row>
    <row r="729" spans="8:22" x14ac:dyDescent="0.3">
      <c r="H729" s="10" t="str">
        <f>IF(Planilha1!B726="","",Planilha1!B726)</f>
        <v>8:00p</v>
      </c>
      <c r="I729" s="10" t="str">
        <f>IF(Planilha1!C726="","",Planilha1!C726)</f>
        <v>New Orleans Pelicans</v>
      </c>
      <c r="J729" s="10">
        <f>IF(Planilha1!D726="","",Planilha1!D726)</f>
        <v>0</v>
      </c>
      <c r="K729" s="10" t="str">
        <f>IF(Planilha1!E726="","",IF(Planilha1!E726=0,"",Planilha1!E726))</f>
        <v>San Antonio Spurs</v>
      </c>
      <c r="L729" s="10">
        <f>IF(Planilha1!F726="","",Planilha1!F726)</f>
        <v>0</v>
      </c>
      <c r="M729" s="10" t="str">
        <f>IF(Planilha1!G726="","",IF(Planilha1!G726=0,"",Planilha1!G726))</f>
        <v/>
      </c>
      <c r="N729" s="5">
        <f t="shared" si="95"/>
        <v>1</v>
      </c>
      <c r="O729" s="5">
        <f t="shared" si="96"/>
        <v>0</v>
      </c>
      <c r="P729" s="5">
        <f t="shared" si="89"/>
        <v>0</v>
      </c>
      <c r="Q729" s="5">
        <f t="shared" si="90"/>
        <v>2</v>
      </c>
      <c r="R729" s="7">
        <f t="shared" si="91"/>
        <v>0</v>
      </c>
      <c r="S729" s="7">
        <f t="shared" si="92"/>
        <v>0</v>
      </c>
      <c r="T729" s="3" t="str">
        <f t="shared" si="93"/>
        <v/>
      </c>
      <c r="V729" s="1" t="e">
        <f t="shared" si="94"/>
        <v>#DIV/0!</v>
      </c>
    </row>
    <row r="730" spans="8:22" x14ac:dyDescent="0.3">
      <c r="H730" s="10" t="str">
        <f>IF(Planilha1!B727="","",Planilha1!B727)</f>
        <v>9:00p</v>
      </c>
      <c r="I730" s="10" t="str">
        <f>IF(Planilha1!C727="","",Planilha1!C727)</f>
        <v>Portland Trail Blazers</v>
      </c>
      <c r="J730" s="10">
        <f>IF(Planilha1!D727="","",Planilha1!D727)</f>
        <v>0</v>
      </c>
      <c r="K730" s="10" t="str">
        <f>IF(Planilha1!E727="","",IF(Planilha1!E727=0,"",Planilha1!E727))</f>
        <v>Denver Nuggets</v>
      </c>
      <c r="L730" s="10">
        <f>IF(Planilha1!F727="","",Planilha1!F727)</f>
        <v>0</v>
      </c>
      <c r="M730" s="10" t="str">
        <f>IF(Planilha1!G727="","",IF(Planilha1!G727=0,"",Planilha1!G727))</f>
        <v/>
      </c>
      <c r="N730" s="5">
        <f t="shared" si="95"/>
        <v>1</v>
      </c>
      <c r="O730" s="5">
        <f t="shared" si="96"/>
        <v>0</v>
      </c>
      <c r="P730" s="5">
        <f t="shared" si="89"/>
        <v>0</v>
      </c>
      <c r="Q730" s="5">
        <f t="shared" si="90"/>
        <v>2</v>
      </c>
      <c r="R730" s="7">
        <f t="shared" si="91"/>
        <v>0</v>
      </c>
      <c r="S730" s="7">
        <f t="shared" si="92"/>
        <v>0</v>
      </c>
      <c r="T730" s="3" t="str">
        <f t="shared" si="93"/>
        <v/>
      </c>
      <c r="V730" s="1" t="e">
        <f t="shared" si="94"/>
        <v>#DIV/0!</v>
      </c>
    </row>
    <row r="731" spans="8:22" x14ac:dyDescent="0.3">
      <c r="H731" s="10" t="str">
        <f>IF(Planilha1!B728="","",Planilha1!B728)</f>
        <v>6:00p</v>
      </c>
      <c r="I731" s="10" t="str">
        <f>IF(Planilha1!C728="","",Planilha1!C728)</f>
        <v>Brooklyn Nets</v>
      </c>
      <c r="J731" s="10">
        <f>IF(Planilha1!D728="","",Planilha1!D728)</f>
        <v>0</v>
      </c>
      <c r="K731" s="10" t="str">
        <f>IF(Planilha1!E728="","",IF(Planilha1!E728=0,"",Planilha1!E728))</f>
        <v>Philadelphia 76ers</v>
      </c>
      <c r="L731" s="10">
        <f>IF(Planilha1!F728="","",Planilha1!F728)</f>
        <v>0</v>
      </c>
      <c r="M731" s="10" t="str">
        <f>IF(Planilha1!G728="","",IF(Planilha1!G728=0,"",Planilha1!G728))</f>
        <v/>
      </c>
      <c r="N731" s="5">
        <f t="shared" si="95"/>
        <v>1</v>
      </c>
      <c r="O731" s="5">
        <f t="shared" si="96"/>
        <v>0</v>
      </c>
      <c r="P731" s="5">
        <f t="shared" si="89"/>
        <v>0</v>
      </c>
      <c r="Q731" s="5">
        <f t="shared" si="90"/>
        <v>2</v>
      </c>
      <c r="R731" s="7">
        <f t="shared" si="91"/>
        <v>0</v>
      </c>
      <c r="S731" s="7">
        <f t="shared" si="92"/>
        <v>0</v>
      </c>
      <c r="T731" s="3" t="str">
        <f t="shared" si="93"/>
        <v/>
      </c>
      <c r="V731" s="1" t="e">
        <f t="shared" si="94"/>
        <v>#DIV/0!</v>
      </c>
    </row>
    <row r="732" spans="8:22" x14ac:dyDescent="0.3">
      <c r="H732" s="10" t="str">
        <f>IF(Planilha1!B729="","",Planilha1!B729)</f>
        <v>7:30p</v>
      </c>
      <c r="I732" s="10" t="str">
        <f>IF(Planilha1!C729="","",Planilha1!C729)</f>
        <v>Golden State Warriors</v>
      </c>
      <c r="J732" s="10">
        <f>IF(Planilha1!D729="","",Planilha1!D729)</f>
        <v>0</v>
      </c>
      <c r="K732" s="10" t="str">
        <f>IF(Planilha1!E729="","",IF(Planilha1!E729=0,"",Planilha1!E729))</f>
        <v>Atlanta Hawks</v>
      </c>
      <c r="L732" s="10">
        <f>IF(Planilha1!F729="","",Planilha1!F729)</f>
        <v>0</v>
      </c>
      <c r="M732" s="10" t="str">
        <f>IF(Planilha1!G729="","",IF(Planilha1!G729=0,"",Planilha1!G729))</f>
        <v/>
      </c>
      <c r="N732" s="5">
        <f t="shared" si="95"/>
        <v>1</v>
      </c>
      <c r="O732" s="5">
        <f t="shared" si="96"/>
        <v>0</v>
      </c>
      <c r="P732" s="5">
        <f t="shared" si="89"/>
        <v>0</v>
      </c>
      <c r="Q732" s="5">
        <f t="shared" si="90"/>
        <v>2</v>
      </c>
      <c r="R732" s="7">
        <f t="shared" si="91"/>
        <v>0</v>
      </c>
      <c r="S732" s="7">
        <f t="shared" si="92"/>
        <v>0</v>
      </c>
      <c r="T732" s="3" t="str">
        <f t="shared" si="93"/>
        <v/>
      </c>
      <c r="V732" s="1" t="e">
        <f t="shared" si="94"/>
        <v>#DIV/0!</v>
      </c>
    </row>
    <row r="733" spans="8:22" x14ac:dyDescent="0.3">
      <c r="H733" s="10" t="str">
        <f>IF(Planilha1!B730="","",Planilha1!B730)</f>
        <v>8:00p</v>
      </c>
      <c r="I733" s="10" t="str">
        <f>IF(Planilha1!C730="","",Planilha1!C730)</f>
        <v>Sacramento Kings</v>
      </c>
      <c r="J733" s="10">
        <f>IF(Planilha1!D730="","",Planilha1!D730)</f>
        <v>0</v>
      </c>
      <c r="K733" s="10" t="str">
        <f>IF(Planilha1!E730="","",IF(Planilha1!E730=0,"",Planilha1!E730))</f>
        <v>Chicago Bulls</v>
      </c>
      <c r="L733" s="10">
        <f>IF(Planilha1!F730="","",Planilha1!F730)</f>
        <v>0</v>
      </c>
      <c r="M733" s="10" t="str">
        <f>IF(Planilha1!G730="","",IF(Planilha1!G730=0,"",Planilha1!G730))</f>
        <v/>
      </c>
      <c r="N733" s="5">
        <f t="shared" si="95"/>
        <v>1</v>
      </c>
      <c r="O733" s="5">
        <f t="shared" si="96"/>
        <v>0</v>
      </c>
      <c r="P733" s="5">
        <f t="shared" si="89"/>
        <v>0</v>
      </c>
      <c r="Q733" s="5">
        <f t="shared" si="90"/>
        <v>2</v>
      </c>
      <c r="R733" s="7">
        <f t="shared" si="91"/>
        <v>0</v>
      </c>
      <c r="S733" s="7">
        <f t="shared" si="92"/>
        <v>0</v>
      </c>
      <c r="T733" s="3" t="str">
        <f t="shared" si="93"/>
        <v/>
      </c>
      <c r="V733" s="1" t="e">
        <f t="shared" si="94"/>
        <v>#DIV/0!</v>
      </c>
    </row>
    <row r="734" spans="8:22" x14ac:dyDescent="0.3">
      <c r="H734" s="10" t="str">
        <f>IF(Planilha1!B731="","",Planilha1!B731)</f>
        <v>8:30p</v>
      </c>
      <c r="I734" s="10" t="str">
        <f>IF(Planilha1!C731="","",Planilha1!C731)</f>
        <v>Milwaukee Bucks</v>
      </c>
      <c r="J734" s="10">
        <f>IF(Planilha1!D731="","",Planilha1!D731)</f>
        <v>0</v>
      </c>
      <c r="K734" s="10" t="str">
        <f>IF(Planilha1!E731="","",IF(Planilha1!E731=0,"",Planilha1!E731))</f>
        <v>Dallas Mavericks</v>
      </c>
      <c r="L734" s="10">
        <f>IF(Planilha1!F731="","",Planilha1!F731)</f>
        <v>0</v>
      </c>
      <c r="M734" s="10" t="str">
        <f>IF(Planilha1!G731="","",IF(Planilha1!G731=0,"",Planilha1!G731))</f>
        <v/>
      </c>
      <c r="N734" s="5">
        <f t="shared" si="95"/>
        <v>1</v>
      </c>
      <c r="O734" s="5">
        <f t="shared" si="96"/>
        <v>0</v>
      </c>
      <c r="P734" s="5">
        <f t="shared" si="89"/>
        <v>0</v>
      </c>
      <c r="Q734" s="5">
        <f t="shared" si="90"/>
        <v>2</v>
      </c>
      <c r="R734" s="7">
        <f t="shared" si="91"/>
        <v>0</v>
      </c>
      <c r="S734" s="7">
        <f t="shared" si="92"/>
        <v>0</v>
      </c>
      <c r="T734" s="3" t="str">
        <f t="shared" si="93"/>
        <v/>
      </c>
      <c r="V734" s="1" t="e">
        <f t="shared" si="94"/>
        <v>#DIV/0!</v>
      </c>
    </row>
    <row r="735" spans="8:22" x14ac:dyDescent="0.3">
      <c r="H735" s="10" t="str">
        <f>IF(Planilha1!B732="","",Planilha1!B732)</f>
        <v>8:30p</v>
      </c>
      <c r="I735" s="10" t="str">
        <f>IF(Planilha1!C732="","",Planilha1!C732)</f>
        <v>Los Angeles Lakers</v>
      </c>
      <c r="J735" s="10">
        <f>IF(Planilha1!D732="","",Planilha1!D732)</f>
        <v>0</v>
      </c>
      <c r="K735" s="10" t="str">
        <f>IF(Planilha1!E732="","",IF(Planilha1!E732=0,"",Planilha1!E732))</f>
        <v>New York Knicks</v>
      </c>
      <c r="L735" s="10">
        <f>IF(Planilha1!F732="","",Planilha1!F732)</f>
        <v>0</v>
      </c>
      <c r="M735" s="10" t="str">
        <f>IF(Planilha1!G732="","",IF(Planilha1!G732=0,"",Planilha1!G732))</f>
        <v/>
      </c>
      <c r="N735" s="5">
        <f t="shared" si="95"/>
        <v>1</v>
      </c>
      <c r="O735" s="5">
        <f t="shared" si="96"/>
        <v>0</v>
      </c>
      <c r="P735" s="5">
        <f t="shared" si="89"/>
        <v>0</v>
      </c>
      <c r="Q735" s="5">
        <f t="shared" si="90"/>
        <v>2</v>
      </c>
      <c r="R735" s="7">
        <f t="shared" si="91"/>
        <v>0</v>
      </c>
      <c r="S735" s="7">
        <f t="shared" si="92"/>
        <v>0</v>
      </c>
      <c r="T735" s="3" t="str">
        <f t="shared" si="93"/>
        <v/>
      </c>
      <c r="V735" s="1" t="e">
        <f t="shared" si="94"/>
        <v>#DIV/0!</v>
      </c>
    </row>
    <row r="736" spans="8:22" x14ac:dyDescent="0.3">
      <c r="H736" s="10" t="str">
        <f>IF(Planilha1!B733="","",Planilha1!B733)</f>
        <v>8:30p</v>
      </c>
      <c r="I736" s="10" t="str">
        <f>IF(Planilha1!C733="","",Planilha1!C733)</f>
        <v>Cleveland Cavaliers</v>
      </c>
      <c r="J736" s="10">
        <f>IF(Planilha1!D733="","",Planilha1!D733)</f>
        <v>0</v>
      </c>
      <c r="K736" s="10" t="str">
        <f>IF(Planilha1!E733="","",IF(Planilha1!E733=0,"",Planilha1!E733))</f>
        <v>San Antonio Spurs</v>
      </c>
      <c r="L736" s="10">
        <f>IF(Planilha1!F733="","",Planilha1!F733)</f>
        <v>0</v>
      </c>
      <c r="M736" s="10" t="str">
        <f>IF(Planilha1!G733="","",IF(Planilha1!G733=0,"",Planilha1!G733))</f>
        <v/>
      </c>
      <c r="N736" s="5">
        <f t="shared" si="95"/>
        <v>1</v>
      </c>
      <c r="O736" s="5">
        <f t="shared" si="96"/>
        <v>0</v>
      </c>
      <c r="P736" s="5">
        <f t="shared" si="89"/>
        <v>0</v>
      </c>
      <c r="Q736" s="5">
        <f t="shared" si="90"/>
        <v>2</v>
      </c>
      <c r="R736" s="7">
        <f t="shared" si="91"/>
        <v>0</v>
      </c>
      <c r="S736" s="7">
        <f t="shared" si="92"/>
        <v>0</v>
      </c>
      <c r="T736" s="3" t="str">
        <f t="shared" si="93"/>
        <v/>
      </c>
      <c r="V736" s="1" t="e">
        <f t="shared" si="94"/>
        <v>#DIV/0!</v>
      </c>
    </row>
    <row r="737" spans="8:22" x14ac:dyDescent="0.3">
      <c r="H737" s="10" t="str">
        <f>IF(Planilha1!B734="","",Planilha1!B734)</f>
        <v>3:00p</v>
      </c>
      <c r="I737" s="10" t="str">
        <f>IF(Planilha1!C734="","",Planilha1!C734)</f>
        <v>Orlando Magic</v>
      </c>
      <c r="J737" s="10">
        <f>IF(Planilha1!D734="","",Planilha1!D734)</f>
        <v>0</v>
      </c>
      <c r="K737" s="10" t="str">
        <f>IF(Planilha1!E734="","",IF(Planilha1!E734=0,"",Planilha1!E734))</f>
        <v>Detroit Pistons</v>
      </c>
      <c r="L737" s="10">
        <f>IF(Planilha1!F734="","",Planilha1!F734)</f>
        <v>0</v>
      </c>
      <c r="M737" s="10" t="str">
        <f>IF(Planilha1!G734="","",IF(Planilha1!G734=0,"",Planilha1!G734))</f>
        <v/>
      </c>
      <c r="N737" s="5">
        <f t="shared" si="95"/>
        <v>1</v>
      </c>
      <c r="O737" s="5">
        <f t="shared" si="96"/>
        <v>0</v>
      </c>
      <c r="P737" s="5">
        <f t="shared" si="89"/>
        <v>0</v>
      </c>
      <c r="Q737" s="5">
        <f t="shared" si="90"/>
        <v>2</v>
      </c>
      <c r="R737" s="7">
        <f t="shared" si="91"/>
        <v>0</v>
      </c>
      <c r="S737" s="7">
        <f t="shared" si="92"/>
        <v>0</v>
      </c>
      <c r="T737" s="3" t="str">
        <f t="shared" si="93"/>
        <v/>
      </c>
      <c r="V737" s="1" t="e">
        <f t="shared" si="94"/>
        <v>#DIV/0!</v>
      </c>
    </row>
    <row r="738" spans="8:22" x14ac:dyDescent="0.3">
      <c r="H738" s="10" t="str">
        <f>IF(Planilha1!B735="","",Planilha1!B735)</f>
        <v>3:30p</v>
      </c>
      <c r="I738" s="10" t="str">
        <f>IF(Planilha1!C735="","",Planilha1!C735)</f>
        <v>Phoenix Suns</v>
      </c>
      <c r="J738" s="10">
        <f>IF(Planilha1!D735="","",Planilha1!D735)</f>
        <v>0</v>
      </c>
      <c r="K738" s="10" t="str">
        <f>IF(Planilha1!E735="","",IF(Planilha1!E735=0,"",Planilha1!E735))</f>
        <v>Washington Wizards</v>
      </c>
      <c r="L738" s="10">
        <f>IF(Planilha1!F735="","",Planilha1!F735)</f>
        <v>0</v>
      </c>
      <c r="M738" s="10" t="str">
        <f>IF(Planilha1!G735="","",IF(Planilha1!G735=0,"",Planilha1!G735))</f>
        <v/>
      </c>
      <c r="N738" s="5">
        <f t="shared" si="95"/>
        <v>1</v>
      </c>
      <c r="O738" s="5">
        <f t="shared" si="96"/>
        <v>0</v>
      </c>
      <c r="P738" s="5">
        <f t="shared" si="89"/>
        <v>0</v>
      </c>
      <c r="Q738" s="5">
        <f t="shared" si="90"/>
        <v>2</v>
      </c>
      <c r="R738" s="7">
        <f t="shared" si="91"/>
        <v>0</v>
      </c>
      <c r="S738" s="7">
        <f t="shared" si="92"/>
        <v>0</v>
      </c>
      <c r="T738" s="3" t="str">
        <f t="shared" si="93"/>
        <v/>
      </c>
      <c r="V738" s="1" t="e">
        <f t="shared" si="94"/>
        <v>#DIV/0!</v>
      </c>
    </row>
    <row r="739" spans="8:22" x14ac:dyDescent="0.3">
      <c r="H739" s="10" t="str">
        <f>IF(Planilha1!B736="","",Planilha1!B736)</f>
        <v>6:00p</v>
      </c>
      <c r="I739" s="10" t="str">
        <f>IF(Planilha1!C736="","",Planilha1!C736)</f>
        <v>Memphis Grizzlies</v>
      </c>
      <c r="J739" s="10">
        <f>IF(Planilha1!D736="","",Planilha1!D736)</f>
        <v>0</v>
      </c>
      <c r="K739" s="10" t="str">
        <f>IF(Planilha1!E736="","",IF(Planilha1!E736=0,"",Planilha1!E736))</f>
        <v>Boston Celtics</v>
      </c>
      <c r="L739" s="10">
        <f>IF(Planilha1!F736="","",Planilha1!F736)</f>
        <v>0</v>
      </c>
      <c r="M739" s="10" t="str">
        <f>IF(Planilha1!G736="","",IF(Planilha1!G736=0,"",Planilha1!G736))</f>
        <v/>
      </c>
      <c r="N739" s="5">
        <f t="shared" si="95"/>
        <v>1</v>
      </c>
      <c r="O739" s="5">
        <f t="shared" si="96"/>
        <v>0</v>
      </c>
      <c r="P739" s="5">
        <f t="shared" si="89"/>
        <v>0</v>
      </c>
      <c r="Q739" s="5">
        <f t="shared" si="90"/>
        <v>2</v>
      </c>
      <c r="R739" s="7">
        <f t="shared" si="91"/>
        <v>0</v>
      </c>
      <c r="S739" s="7">
        <f t="shared" si="92"/>
        <v>0</v>
      </c>
      <c r="T739" s="3" t="str">
        <f t="shared" si="93"/>
        <v/>
      </c>
      <c r="V739" s="1" t="e">
        <f t="shared" si="94"/>
        <v>#DIV/0!</v>
      </c>
    </row>
    <row r="740" spans="8:22" x14ac:dyDescent="0.3">
      <c r="H740" s="10" t="str">
        <f>IF(Planilha1!B737="","",Planilha1!B737)</f>
        <v>6:00p</v>
      </c>
      <c r="I740" s="10" t="str">
        <f>IF(Planilha1!C737="","",Planilha1!C737)</f>
        <v>Indiana Pacers</v>
      </c>
      <c r="J740" s="10">
        <f>IF(Planilha1!D737="","",Planilha1!D737)</f>
        <v>0</v>
      </c>
      <c r="K740" s="10" t="str">
        <f>IF(Planilha1!E737="","",IF(Planilha1!E737=0,"",Planilha1!E737))</f>
        <v>Charlotte Hornets</v>
      </c>
      <c r="L740" s="10">
        <f>IF(Planilha1!F737="","",Planilha1!F737)</f>
        <v>0</v>
      </c>
      <c r="M740" s="10" t="str">
        <f>IF(Planilha1!G737="","",IF(Planilha1!G737=0,"",Planilha1!G737))</f>
        <v/>
      </c>
      <c r="N740" s="5">
        <f t="shared" si="95"/>
        <v>1</v>
      </c>
      <c r="O740" s="5">
        <f t="shared" si="96"/>
        <v>0</v>
      </c>
      <c r="P740" s="5">
        <f t="shared" si="89"/>
        <v>0</v>
      </c>
      <c r="Q740" s="5">
        <f t="shared" si="90"/>
        <v>2</v>
      </c>
      <c r="R740" s="7">
        <f t="shared" si="91"/>
        <v>0</v>
      </c>
      <c r="S740" s="7">
        <f t="shared" si="92"/>
        <v>0</v>
      </c>
      <c r="T740" s="3" t="str">
        <f t="shared" si="93"/>
        <v/>
      </c>
      <c r="V740" s="1" t="e">
        <f t="shared" si="94"/>
        <v>#DIV/0!</v>
      </c>
    </row>
    <row r="741" spans="8:22" x14ac:dyDescent="0.3">
      <c r="H741" s="10" t="str">
        <f>IF(Planilha1!B738="","",Planilha1!B738)</f>
        <v>6:00p</v>
      </c>
      <c r="I741" s="10" t="str">
        <f>IF(Planilha1!C738="","",Planilha1!C738)</f>
        <v>Los Angeles Clippers</v>
      </c>
      <c r="J741" s="10">
        <f>IF(Planilha1!D738="","",Planilha1!D738)</f>
        <v>0</v>
      </c>
      <c r="K741" s="10" t="str">
        <f>IF(Planilha1!E738="","",IF(Planilha1!E738=0,"",Planilha1!E738))</f>
        <v>Miami Heat</v>
      </c>
      <c r="L741" s="10">
        <f>IF(Planilha1!F738="","",Planilha1!F738)</f>
        <v>0</v>
      </c>
      <c r="M741" s="10" t="str">
        <f>IF(Planilha1!G738="","",IF(Planilha1!G738=0,"",Planilha1!G738))</f>
        <v/>
      </c>
      <c r="N741" s="5">
        <f t="shared" si="95"/>
        <v>1</v>
      </c>
      <c r="O741" s="5">
        <f t="shared" si="96"/>
        <v>0</v>
      </c>
      <c r="P741" s="5">
        <f t="shared" si="89"/>
        <v>0</v>
      </c>
      <c r="Q741" s="5">
        <f t="shared" si="90"/>
        <v>2</v>
      </c>
      <c r="R741" s="7">
        <f t="shared" si="91"/>
        <v>0</v>
      </c>
      <c r="S741" s="7">
        <f t="shared" si="92"/>
        <v>0</v>
      </c>
      <c r="T741" s="3" t="str">
        <f t="shared" si="93"/>
        <v/>
      </c>
      <c r="V741" s="1" t="e">
        <f t="shared" si="94"/>
        <v>#DIV/0!</v>
      </c>
    </row>
    <row r="742" spans="8:22" x14ac:dyDescent="0.3">
      <c r="H742" s="10" t="str">
        <f>IF(Planilha1!B739="","",Planilha1!B739)</f>
        <v>7:00p</v>
      </c>
      <c r="I742" s="10" t="str">
        <f>IF(Planilha1!C739="","",Planilha1!C739)</f>
        <v>Houston Rockets</v>
      </c>
      <c r="J742" s="10">
        <f>IF(Planilha1!D739="","",Planilha1!D739)</f>
        <v>0</v>
      </c>
      <c r="K742" s="10" t="str">
        <f>IF(Planilha1!E739="","",IF(Planilha1!E739=0,"",Planilha1!E739))</f>
        <v>Minnesota Timberwolves</v>
      </c>
      <c r="L742" s="10">
        <f>IF(Planilha1!F739="","",Planilha1!F739)</f>
        <v>0</v>
      </c>
      <c r="M742" s="10" t="str">
        <f>IF(Planilha1!G739="","",IF(Planilha1!G739=0,"",Planilha1!G739))</f>
        <v/>
      </c>
      <c r="N742" s="5">
        <f t="shared" si="95"/>
        <v>1</v>
      </c>
      <c r="O742" s="5">
        <f t="shared" si="96"/>
        <v>0</v>
      </c>
      <c r="P742" s="5">
        <f t="shared" si="89"/>
        <v>0</v>
      </c>
      <c r="Q742" s="5">
        <f t="shared" si="90"/>
        <v>2</v>
      </c>
      <c r="R742" s="7">
        <f t="shared" si="91"/>
        <v>0</v>
      </c>
      <c r="S742" s="7">
        <f t="shared" si="92"/>
        <v>0</v>
      </c>
      <c r="T742" s="3" t="str">
        <f t="shared" si="93"/>
        <v/>
      </c>
      <c r="V742" s="1" t="e">
        <f t="shared" si="94"/>
        <v>#DIV/0!</v>
      </c>
    </row>
    <row r="743" spans="8:22" x14ac:dyDescent="0.3">
      <c r="H743" s="10" t="str">
        <f>IF(Planilha1!B740="","",Planilha1!B740)</f>
        <v>7:00p</v>
      </c>
      <c r="I743" s="10" t="str">
        <f>IF(Planilha1!C740="","",Planilha1!C740)</f>
        <v>Toronto Raptors</v>
      </c>
      <c r="J743" s="10">
        <f>IF(Planilha1!D740="","",Planilha1!D740)</f>
        <v>0</v>
      </c>
      <c r="K743" s="10" t="str">
        <f>IF(Planilha1!E740="","",IF(Planilha1!E740=0,"",Planilha1!E740))</f>
        <v>Oklahoma City Thunder</v>
      </c>
      <c r="L743" s="10">
        <f>IF(Planilha1!F740="","",Planilha1!F740)</f>
        <v>0</v>
      </c>
      <c r="M743" s="10" t="str">
        <f>IF(Planilha1!G740="","",IF(Planilha1!G740=0,"",Planilha1!G740))</f>
        <v/>
      </c>
      <c r="N743" s="5">
        <f t="shared" si="95"/>
        <v>1</v>
      </c>
      <c r="O743" s="5">
        <f t="shared" si="96"/>
        <v>0</v>
      </c>
      <c r="P743" s="5">
        <f t="shared" si="89"/>
        <v>0</v>
      </c>
      <c r="Q743" s="5">
        <f t="shared" si="90"/>
        <v>2</v>
      </c>
      <c r="R743" s="7">
        <f t="shared" si="91"/>
        <v>0</v>
      </c>
      <c r="S743" s="7">
        <f t="shared" si="92"/>
        <v>0</v>
      </c>
      <c r="T743" s="3" t="str">
        <f t="shared" si="93"/>
        <v/>
      </c>
      <c r="V743" s="1" t="e">
        <f t="shared" si="94"/>
        <v>#DIV/0!</v>
      </c>
    </row>
    <row r="744" spans="8:22" x14ac:dyDescent="0.3">
      <c r="H744" s="10" t="str">
        <f>IF(Planilha1!B741="","",Planilha1!B741)</f>
        <v>8:00p</v>
      </c>
      <c r="I744" s="10" t="str">
        <f>IF(Planilha1!C741="","",Planilha1!C741)</f>
        <v>Milwaukee Bucks</v>
      </c>
      <c r="J744" s="10">
        <f>IF(Planilha1!D741="","",Planilha1!D741)</f>
        <v>0</v>
      </c>
      <c r="K744" s="10" t="str">
        <f>IF(Planilha1!E741="","",IF(Planilha1!E741=0,"",Planilha1!E741))</f>
        <v>Utah Jazz</v>
      </c>
      <c r="L744" s="10">
        <f>IF(Planilha1!F741="","",Planilha1!F741)</f>
        <v>0</v>
      </c>
      <c r="M744" s="10" t="str">
        <f>IF(Planilha1!G741="","",IF(Planilha1!G741=0,"",Planilha1!G741))</f>
        <v/>
      </c>
      <c r="N744" s="5">
        <f t="shared" si="95"/>
        <v>1</v>
      </c>
      <c r="O744" s="5">
        <f t="shared" si="96"/>
        <v>0</v>
      </c>
      <c r="P744" s="5">
        <f t="shared" si="89"/>
        <v>0</v>
      </c>
      <c r="Q744" s="5">
        <f t="shared" si="90"/>
        <v>2</v>
      </c>
      <c r="R744" s="7">
        <f t="shared" si="91"/>
        <v>0</v>
      </c>
      <c r="S744" s="7">
        <f t="shared" si="92"/>
        <v>0</v>
      </c>
      <c r="T744" s="3" t="str">
        <f t="shared" si="93"/>
        <v/>
      </c>
      <c r="V744" s="1" t="e">
        <f t="shared" si="94"/>
        <v>#DIV/0!</v>
      </c>
    </row>
    <row r="745" spans="8:22" x14ac:dyDescent="0.3">
      <c r="H745" s="10" t="str">
        <f>IF(Planilha1!B742="","",Planilha1!B742)</f>
        <v>8:30p</v>
      </c>
      <c r="I745" s="10" t="str">
        <f>IF(Planilha1!C742="","",Planilha1!C742)</f>
        <v>Portland Trail Blazers</v>
      </c>
      <c r="J745" s="10">
        <f>IF(Planilha1!D742="","",Planilha1!D742)</f>
        <v>0</v>
      </c>
      <c r="K745" s="10" t="str">
        <f>IF(Planilha1!E742="","",IF(Planilha1!E742=0,"",Planilha1!E742))</f>
        <v>Denver Nuggets</v>
      </c>
      <c r="L745" s="10">
        <f>IF(Planilha1!F742="","",Planilha1!F742)</f>
        <v>0</v>
      </c>
      <c r="M745" s="10" t="str">
        <f>IF(Planilha1!G742="","",IF(Planilha1!G742=0,"",Planilha1!G742))</f>
        <v/>
      </c>
      <c r="N745" s="5">
        <f t="shared" si="95"/>
        <v>1</v>
      </c>
      <c r="O745" s="5">
        <f t="shared" si="96"/>
        <v>0</v>
      </c>
      <c r="P745" s="5">
        <f t="shared" si="89"/>
        <v>0</v>
      </c>
      <c r="Q745" s="5">
        <f t="shared" si="90"/>
        <v>2</v>
      </c>
      <c r="R745" s="7">
        <f t="shared" si="91"/>
        <v>0</v>
      </c>
      <c r="S745" s="7">
        <f t="shared" si="92"/>
        <v>0</v>
      </c>
      <c r="T745" s="3" t="str">
        <f t="shared" si="93"/>
        <v/>
      </c>
      <c r="V745" s="1" t="e">
        <f t="shared" si="94"/>
        <v>#DIV/0!</v>
      </c>
    </row>
    <row r="746" spans="8:22" x14ac:dyDescent="0.3">
      <c r="H746" s="10" t="str">
        <f>IF(Planilha1!B743="","",Planilha1!B743)</f>
        <v>7:00p</v>
      </c>
      <c r="I746" s="10" t="str">
        <f>IF(Planilha1!C743="","",Planilha1!C743)</f>
        <v>Los Angeles Lakers</v>
      </c>
      <c r="J746" s="10">
        <f>IF(Planilha1!D743="","",Planilha1!D743)</f>
        <v>0</v>
      </c>
      <c r="K746" s="10" t="str">
        <f>IF(Planilha1!E743="","",IF(Planilha1!E743=0,"",Planilha1!E743))</f>
        <v>Charlotte Hornets</v>
      </c>
      <c r="L746" s="10">
        <f>IF(Planilha1!F743="","",Planilha1!F743)</f>
        <v>0</v>
      </c>
      <c r="M746" s="10" t="str">
        <f>IF(Planilha1!G743="","",IF(Planilha1!G743=0,"",Planilha1!G743))</f>
        <v/>
      </c>
      <c r="N746" s="5">
        <f t="shared" si="95"/>
        <v>1</v>
      </c>
      <c r="O746" s="5">
        <f t="shared" si="96"/>
        <v>0</v>
      </c>
      <c r="P746" s="5">
        <f t="shared" si="89"/>
        <v>0</v>
      </c>
      <c r="Q746" s="5">
        <f t="shared" si="90"/>
        <v>2</v>
      </c>
      <c r="R746" s="7">
        <f t="shared" si="91"/>
        <v>0</v>
      </c>
      <c r="S746" s="7">
        <f t="shared" si="92"/>
        <v>0</v>
      </c>
      <c r="T746" s="3" t="str">
        <f t="shared" si="93"/>
        <v/>
      </c>
      <c r="V746" s="1" t="e">
        <f t="shared" si="94"/>
        <v>#DIV/0!</v>
      </c>
    </row>
    <row r="747" spans="8:22" x14ac:dyDescent="0.3">
      <c r="H747" s="10" t="str">
        <f>IF(Planilha1!B744="","",Planilha1!B744)</f>
        <v>7:00p</v>
      </c>
      <c r="I747" s="10" t="str">
        <f>IF(Planilha1!C744="","",Planilha1!C744)</f>
        <v>Sacramento Kings</v>
      </c>
      <c r="J747" s="10">
        <f>IF(Planilha1!D744="","",Planilha1!D744)</f>
        <v>0</v>
      </c>
      <c r="K747" s="10" t="str">
        <f>IF(Planilha1!E744="","",IF(Planilha1!E744=0,"",Planilha1!E744))</f>
        <v>Cleveland Cavaliers</v>
      </c>
      <c r="L747" s="10">
        <f>IF(Planilha1!F744="","",Planilha1!F744)</f>
        <v>0</v>
      </c>
      <c r="M747" s="10" t="str">
        <f>IF(Planilha1!G744="","",IF(Planilha1!G744=0,"",Planilha1!G744))</f>
        <v/>
      </c>
      <c r="N747" s="5">
        <f t="shared" si="95"/>
        <v>1</v>
      </c>
      <c r="O747" s="5">
        <f t="shared" si="96"/>
        <v>0</v>
      </c>
      <c r="P747" s="5">
        <f t="shared" si="89"/>
        <v>0</v>
      </c>
      <c r="Q747" s="5">
        <f t="shared" si="90"/>
        <v>2</v>
      </c>
      <c r="R747" s="7">
        <f t="shared" si="91"/>
        <v>0</v>
      </c>
      <c r="S747" s="7">
        <f t="shared" si="92"/>
        <v>0</v>
      </c>
      <c r="T747" s="3" t="str">
        <f t="shared" si="93"/>
        <v/>
      </c>
      <c r="V747" s="1" t="e">
        <f t="shared" si="94"/>
        <v>#DIV/0!</v>
      </c>
    </row>
    <row r="748" spans="8:22" x14ac:dyDescent="0.3">
      <c r="H748" s="10" t="str">
        <f>IF(Planilha1!B745="","",Planilha1!B745)</f>
        <v>7:00p</v>
      </c>
      <c r="I748" s="10" t="str">
        <f>IF(Planilha1!C745="","",Planilha1!C745)</f>
        <v>Dallas Mavericks</v>
      </c>
      <c r="J748" s="10">
        <f>IF(Planilha1!D745="","",Planilha1!D745)</f>
        <v>0</v>
      </c>
      <c r="K748" s="10" t="str">
        <f>IF(Planilha1!E745="","",IF(Planilha1!E745=0,"",Planilha1!E745))</f>
        <v>Philadelphia 76ers</v>
      </c>
      <c r="L748" s="10">
        <f>IF(Planilha1!F745="","",Planilha1!F745)</f>
        <v>0</v>
      </c>
      <c r="M748" s="10" t="str">
        <f>IF(Planilha1!G745="","",IF(Planilha1!G745=0,"",Planilha1!G745))</f>
        <v/>
      </c>
      <c r="N748" s="5">
        <f t="shared" si="95"/>
        <v>1</v>
      </c>
      <c r="O748" s="5">
        <f t="shared" si="96"/>
        <v>0</v>
      </c>
      <c r="P748" s="5">
        <f t="shared" si="89"/>
        <v>0</v>
      </c>
      <c r="Q748" s="5">
        <f t="shared" si="90"/>
        <v>2</v>
      </c>
      <c r="R748" s="7">
        <f t="shared" si="91"/>
        <v>0</v>
      </c>
      <c r="S748" s="7">
        <f t="shared" si="92"/>
        <v>0</v>
      </c>
      <c r="T748" s="3" t="str">
        <f t="shared" si="93"/>
        <v/>
      </c>
      <c r="V748" s="1" t="e">
        <f t="shared" si="94"/>
        <v>#DIV/0!</v>
      </c>
    </row>
    <row r="749" spans="8:22" x14ac:dyDescent="0.3">
      <c r="H749" s="10" t="str">
        <f>IF(Planilha1!B746="","",Planilha1!B746)</f>
        <v>7:30p</v>
      </c>
      <c r="I749" s="10" t="str">
        <f>IF(Planilha1!C746="","",Planilha1!C746)</f>
        <v>Los Angeles Clippers</v>
      </c>
      <c r="J749" s="10">
        <f>IF(Planilha1!D746="","",Planilha1!D746)</f>
        <v>0</v>
      </c>
      <c r="K749" s="10" t="str">
        <f>IF(Planilha1!E746="","",IF(Planilha1!E746=0,"",Planilha1!E746))</f>
        <v>Atlanta Hawks</v>
      </c>
      <c r="L749" s="10">
        <f>IF(Planilha1!F746="","",Planilha1!F746)</f>
        <v>0</v>
      </c>
      <c r="M749" s="10" t="str">
        <f>IF(Planilha1!G746="","",IF(Planilha1!G746=0,"",Planilha1!G746))</f>
        <v/>
      </c>
      <c r="N749" s="5">
        <f t="shared" si="95"/>
        <v>1</v>
      </c>
      <c r="O749" s="5">
        <f t="shared" si="96"/>
        <v>0</v>
      </c>
      <c r="P749" s="5">
        <f t="shared" si="89"/>
        <v>0</v>
      </c>
      <c r="Q749" s="5">
        <f t="shared" si="90"/>
        <v>2</v>
      </c>
      <c r="R749" s="7">
        <f t="shared" si="91"/>
        <v>0</v>
      </c>
      <c r="S749" s="7">
        <f t="shared" si="92"/>
        <v>0</v>
      </c>
      <c r="T749" s="3" t="str">
        <f t="shared" si="93"/>
        <v/>
      </c>
      <c r="V749" s="1" t="e">
        <f t="shared" si="94"/>
        <v>#DIV/0!</v>
      </c>
    </row>
    <row r="750" spans="8:22" x14ac:dyDescent="0.3">
      <c r="H750" s="10" t="str">
        <f>IF(Planilha1!B747="","",Planilha1!B747)</f>
        <v>7:30p</v>
      </c>
      <c r="I750" s="10" t="str">
        <f>IF(Planilha1!C747="","",Planilha1!C747)</f>
        <v>Golden State Warriors</v>
      </c>
      <c r="J750" s="10">
        <f>IF(Planilha1!D747="","",Planilha1!D747)</f>
        <v>0</v>
      </c>
      <c r="K750" s="10" t="str">
        <f>IF(Planilha1!E747="","",IF(Planilha1!E747=0,"",Planilha1!E747))</f>
        <v>Brooklyn Nets</v>
      </c>
      <c r="L750" s="10">
        <f>IF(Planilha1!F747="","",Planilha1!F747)</f>
        <v>0</v>
      </c>
      <c r="M750" s="10" t="str">
        <f>IF(Planilha1!G747="","",IF(Planilha1!G747=0,"",Planilha1!G747))</f>
        <v/>
      </c>
      <c r="N750" s="5">
        <f t="shared" si="95"/>
        <v>1</v>
      </c>
      <c r="O750" s="5">
        <f t="shared" si="96"/>
        <v>0</v>
      </c>
      <c r="P750" s="5">
        <f t="shared" si="89"/>
        <v>0</v>
      </c>
      <c r="Q750" s="5">
        <f t="shared" si="90"/>
        <v>2</v>
      </c>
      <c r="R750" s="7">
        <f t="shared" si="91"/>
        <v>0</v>
      </c>
      <c r="S750" s="7">
        <f t="shared" si="92"/>
        <v>0</v>
      </c>
      <c r="T750" s="3" t="str">
        <f t="shared" si="93"/>
        <v/>
      </c>
      <c r="V750" s="1" t="e">
        <f t="shared" si="94"/>
        <v>#DIV/0!</v>
      </c>
    </row>
    <row r="751" spans="8:22" x14ac:dyDescent="0.3">
      <c r="H751" s="10" t="str">
        <f>IF(Planilha1!B748="","",Planilha1!B748)</f>
        <v>8:00p</v>
      </c>
      <c r="I751" s="10" t="str">
        <f>IF(Planilha1!C748="","",Planilha1!C748)</f>
        <v>Toronto Raptors</v>
      </c>
      <c r="J751" s="10">
        <f>IF(Planilha1!D748="","",Planilha1!D748)</f>
        <v>0</v>
      </c>
      <c r="K751" s="10" t="str">
        <f>IF(Planilha1!E748="","",IF(Planilha1!E748=0,"",Planilha1!E748))</f>
        <v>New Orleans Pelicans</v>
      </c>
      <c r="L751" s="10">
        <f>IF(Planilha1!F748="","",Planilha1!F748)</f>
        <v>0</v>
      </c>
      <c r="M751" s="10" t="str">
        <f>IF(Planilha1!G748="","",IF(Planilha1!G748=0,"",Planilha1!G748))</f>
        <v/>
      </c>
      <c r="N751" s="5">
        <f t="shared" si="95"/>
        <v>1</v>
      </c>
      <c r="O751" s="5">
        <f t="shared" si="96"/>
        <v>0</v>
      </c>
      <c r="P751" s="5">
        <f t="shared" si="89"/>
        <v>0</v>
      </c>
      <c r="Q751" s="5">
        <f t="shared" si="90"/>
        <v>2</v>
      </c>
      <c r="R751" s="7">
        <f t="shared" si="91"/>
        <v>0</v>
      </c>
      <c r="S751" s="7">
        <f t="shared" si="92"/>
        <v>0</v>
      </c>
      <c r="T751" s="3" t="str">
        <f t="shared" si="93"/>
        <v/>
      </c>
      <c r="V751" s="1" t="e">
        <f t="shared" si="94"/>
        <v>#DIV/0!</v>
      </c>
    </row>
    <row r="752" spans="8:22" x14ac:dyDescent="0.3">
      <c r="H752" s="10" t="str">
        <f>IF(Planilha1!B749="","",Planilha1!B749)</f>
        <v>7:00p</v>
      </c>
      <c r="I752" s="10" t="str">
        <f>IF(Planilha1!C749="","",Planilha1!C749)</f>
        <v>Houston Rockets</v>
      </c>
      <c r="J752" s="10">
        <f>IF(Planilha1!D749="","",Planilha1!D749)</f>
        <v>0</v>
      </c>
      <c r="K752" s="10" t="str">
        <f>IF(Planilha1!E749="","",IF(Planilha1!E749=0,"",Planilha1!E749))</f>
        <v>Indiana Pacers</v>
      </c>
      <c r="L752" s="10">
        <f>IF(Planilha1!F749="","",Planilha1!F749)</f>
        <v>0</v>
      </c>
      <c r="M752" s="10" t="str">
        <f>IF(Planilha1!G749="","",IF(Planilha1!G749=0,"",Planilha1!G749))</f>
        <v/>
      </c>
      <c r="N752" s="5">
        <f t="shared" si="95"/>
        <v>1</v>
      </c>
      <c r="O752" s="5">
        <f t="shared" si="96"/>
        <v>0</v>
      </c>
      <c r="P752" s="5">
        <f t="shared" si="89"/>
        <v>0</v>
      </c>
      <c r="Q752" s="5">
        <f t="shared" si="90"/>
        <v>2</v>
      </c>
      <c r="R752" s="7">
        <f t="shared" si="91"/>
        <v>0</v>
      </c>
      <c r="S752" s="7">
        <f t="shared" si="92"/>
        <v>0</v>
      </c>
      <c r="T752" s="3" t="str">
        <f t="shared" si="93"/>
        <v/>
      </c>
      <c r="V752" s="1" t="e">
        <f t="shared" si="94"/>
        <v>#DIV/0!</v>
      </c>
    </row>
    <row r="753" spans="8:22" x14ac:dyDescent="0.3">
      <c r="H753" s="10" t="str">
        <f>IF(Planilha1!B750="","",Planilha1!B750)</f>
        <v>7:30p</v>
      </c>
      <c r="I753" s="10" t="str">
        <f>IF(Planilha1!C750="","",Planilha1!C750)</f>
        <v>Dallas Mavericks</v>
      </c>
      <c r="J753" s="10">
        <f>IF(Planilha1!D750="","",Planilha1!D750)</f>
        <v>0</v>
      </c>
      <c r="K753" s="10" t="str">
        <f>IF(Planilha1!E750="","",IF(Planilha1!E750=0,"",Planilha1!E750))</f>
        <v>Brooklyn Nets</v>
      </c>
      <c r="L753" s="10">
        <f>IF(Planilha1!F750="","",Planilha1!F750)</f>
        <v>0</v>
      </c>
      <c r="M753" s="10" t="str">
        <f>IF(Planilha1!G750="","",IF(Planilha1!G750=0,"",Planilha1!G750))</f>
        <v/>
      </c>
      <c r="N753" s="5">
        <f t="shared" si="95"/>
        <v>1</v>
      </c>
      <c r="O753" s="5">
        <f t="shared" si="96"/>
        <v>0</v>
      </c>
      <c r="P753" s="5">
        <f t="shared" si="89"/>
        <v>0</v>
      </c>
      <c r="Q753" s="5">
        <f t="shared" si="90"/>
        <v>2</v>
      </c>
      <c r="R753" s="7">
        <f t="shared" si="91"/>
        <v>0</v>
      </c>
      <c r="S753" s="7">
        <f t="shared" si="92"/>
        <v>0</v>
      </c>
      <c r="T753" s="3" t="str">
        <f t="shared" si="93"/>
        <v/>
      </c>
      <c r="V753" s="1" t="e">
        <f t="shared" si="94"/>
        <v>#DIV/0!</v>
      </c>
    </row>
    <row r="754" spans="8:22" x14ac:dyDescent="0.3">
      <c r="H754" s="10" t="str">
        <f>IF(Planilha1!B751="","",Planilha1!B751)</f>
        <v>7:30p</v>
      </c>
      <c r="I754" s="10" t="str">
        <f>IF(Planilha1!C751="","",Planilha1!C751)</f>
        <v>Orlando Magic</v>
      </c>
      <c r="J754" s="10">
        <f>IF(Planilha1!D751="","",Planilha1!D751)</f>
        <v>0</v>
      </c>
      <c r="K754" s="10" t="str">
        <f>IF(Planilha1!E751="","",IF(Planilha1!E751=0,"",Planilha1!E751))</f>
        <v>Miami Heat</v>
      </c>
      <c r="L754" s="10">
        <f>IF(Planilha1!F751="","",Planilha1!F751)</f>
        <v>0</v>
      </c>
      <c r="M754" s="10" t="str">
        <f>IF(Planilha1!G751="","",IF(Planilha1!G751=0,"",Planilha1!G751))</f>
        <v/>
      </c>
      <c r="N754" s="5">
        <f t="shared" si="95"/>
        <v>1</v>
      </c>
      <c r="O754" s="5">
        <f t="shared" si="96"/>
        <v>0</v>
      </c>
      <c r="P754" s="5">
        <f t="shared" si="89"/>
        <v>0</v>
      </c>
      <c r="Q754" s="5">
        <f t="shared" si="90"/>
        <v>2</v>
      </c>
      <c r="R754" s="7">
        <f t="shared" si="91"/>
        <v>0</v>
      </c>
      <c r="S754" s="7">
        <f t="shared" si="92"/>
        <v>0</v>
      </c>
      <c r="T754" s="3" t="str">
        <f t="shared" si="93"/>
        <v/>
      </c>
      <c r="V754" s="1" t="e">
        <f t="shared" si="94"/>
        <v>#DIV/0!</v>
      </c>
    </row>
    <row r="755" spans="8:22" x14ac:dyDescent="0.3">
      <c r="H755" s="10" t="str">
        <f>IF(Planilha1!B752="","",Planilha1!B752)</f>
        <v>7:30p</v>
      </c>
      <c r="I755" s="10" t="str">
        <f>IF(Planilha1!C752="","",Planilha1!C752)</f>
        <v>Memphis Grizzlies</v>
      </c>
      <c r="J755" s="10">
        <f>IF(Planilha1!D752="","",Planilha1!D752)</f>
        <v>0</v>
      </c>
      <c r="K755" s="10" t="str">
        <f>IF(Planilha1!E752="","",IF(Planilha1!E752=0,"",Planilha1!E752))</f>
        <v>New York Knicks</v>
      </c>
      <c r="L755" s="10">
        <f>IF(Planilha1!F752="","",Planilha1!F752)</f>
        <v>0</v>
      </c>
      <c r="M755" s="10" t="str">
        <f>IF(Planilha1!G752="","",IF(Planilha1!G752=0,"",Planilha1!G752))</f>
        <v/>
      </c>
      <c r="N755" s="5">
        <f t="shared" si="95"/>
        <v>1</v>
      </c>
      <c r="O755" s="5">
        <f t="shared" si="96"/>
        <v>0</v>
      </c>
      <c r="P755" s="5">
        <f t="shared" si="89"/>
        <v>0</v>
      </c>
      <c r="Q755" s="5">
        <f t="shared" si="90"/>
        <v>2</v>
      </c>
      <c r="R755" s="7">
        <f t="shared" si="91"/>
        <v>0</v>
      </c>
      <c r="S755" s="7">
        <f t="shared" si="92"/>
        <v>0</v>
      </c>
      <c r="T755" s="3" t="str">
        <f t="shared" si="93"/>
        <v/>
      </c>
      <c r="V755" s="1" t="e">
        <f t="shared" si="94"/>
        <v>#DIV/0!</v>
      </c>
    </row>
    <row r="756" spans="8:22" x14ac:dyDescent="0.3">
      <c r="H756" s="10" t="str">
        <f>IF(Planilha1!B753="","",Planilha1!B753)</f>
        <v>8:00p</v>
      </c>
      <c r="I756" s="10" t="str">
        <f>IF(Planilha1!C753="","",Planilha1!C753)</f>
        <v>Minnesota Timberwolves</v>
      </c>
      <c r="J756" s="10">
        <f>IF(Planilha1!D753="","",Planilha1!D753)</f>
        <v>0</v>
      </c>
      <c r="K756" s="10" t="str">
        <f>IF(Planilha1!E753="","",IF(Planilha1!E753=0,"",Planilha1!E753))</f>
        <v>Chicago Bulls</v>
      </c>
      <c r="L756" s="10">
        <f>IF(Planilha1!F753="","",Planilha1!F753)</f>
        <v>0</v>
      </c>
      <c r="M756" s="10" t="str">
        <f>IF(Planilha1!G753="","",IF(Planilha1!G753=0,"",Planilha1!G753))</f>
        <v/>
      </c>
      <c r="N756" s="5">
        <f t="shared" si="95"/>
        <v>1</v>
      </c>
      <c r="O756" s="5">
        <f t="shared" si="96"/>
        <v>0</v>
      </c>
      <c r="P756" s="5">
        <f t="shared" si="89"/>
        <v>0</v>
      </c>
      <c r="Q756" s="5">
        <f t="shared" si="90"/>
        <v>2</v>
      </c>
      <c r="R756" s="7">
        <f t="shared" si="91"/>
        <v>0</v>
      </c>
      <c r="S756" s="7">
        <f t="shared" si="92"/>
        <v>0</v>
      </c>
      <c r="T756" s="3" t="str">
        <f t="shared" si="93"/>
        <v/>
      </c>
      <c r="V756" s="1" t="e">
        <f t="shared" si="94"/>
        <v>#DIV/0!</v>
      </c>
    </row>
    <row r="757" spans="8:22" x14ac:dyDescent="0.3">
      <c r="H757" s="10" t="str">
        <f>IF(Planilha1!B754="","",Planilha1!B754)</f>
        <v>9:00p</v>
      </c>
      <c r="I757" s="10" t="str">
        <f>IF(Planilha1!C754="","",Planilha1!C754)</f>
        <v>Oklahoma City Thunder</v>
      </c>
      <c r="J757" s="10">
        <f>IF(Planilha1!D754="","",Planilha1!D754)</f>
        <v>0</v>
      </c>
      <c r="K757" s="10" t="str">
        <f>IF(Planilha1!E754="","",IF(Planilha1!E754=0,"",Planilha1!E754))</f>
        <v>Utah Jazz</v>
      </c>
      <c r="L757" s="10">
        <f>IF(Planilha1!F754="","",Planilha1!F754)</f>
        <v>0</v>
      </c>
      <c r="M757" s="10" t="str">
        <f>IF(Planilha1!G754="","",IF(Planilha1!G754=0,"",Planilha1!G754))</f>
        <v/>
      </c>
      <c r="N757" s="5">
        <f t="shared" si="95"/>
        <v>1</v>
      </c>
      <c r="O757" s="5">
        <f t="shared" si="96"/>
        <v>0</v>
      </c>
      <c r="P757" s="5">
        <f t="shared" si="89"/>
        <v>0</v>
      </c>
      <c r="Q757" s="5">
        <f t="shared" si="90"/>
        <v>2</v>
      </c>
      <c r="R757" s="7">
        <f t="shared" si="91"/>
        <v>0</v>
      </c>
      <c r="S757" s="7">
        <f t="shared" si="92"/>
        <v>0</v>
      </c>
      <c r="T757" s="3" t="str">
        <f t="shared" si="93"/>
        <v/>
      </c>
      <c r="V757" s="1" t="e">
        <f t="shared" si="94"/>
        <v>#DIV/0!</v>
      </c>
    </row>
    <row r="758" spans="8:22" x14ac:dyDescent="0.3">
      <c r="H758" s="10" t="str">
        <f>IF(Planilha1!B755="","",Planilha1!B755)</f>
        <v>10:00p</v>
      </c>
      <c r="I758" s="10" t="str">
        <f>IF(Planilha1!C755="","",Planilha1!C755)</f>
        <v>Milwaukee Bucks</v>
      </c>
      <c r="J758" s="10">
        <f>IF(Planilha1!D755="","",Planilha1!D755)</f>
        <v>0</v>
      </c>
      <c r="K758" s="10" t="str">
        <f>IF(Planilha1!E755="","",IF(Planilha1!E755=0,"",Planilha1!E755))</f>
        <v>Phoenix Suns</v>
      </c>
      <c r="L758" s="10">
        <f>IF(Planilha1!F755="","",Planilha1!F755)</f>
        <v>0</v>
      </c>
      <c r="M758" s="10" t="str">
        <f>IF(Planilha1!G755="","",IF(Planilha1!G755=0,"",Planilha1!G755))</f>
        <v/>
      </c>
      <c r="N758" s="5">
        <f t="shared" si="95"/>
        <v>1</v>
      </c>
      <c r="O758" s="5">
        <f t="shared" si="96"/>
        <v>0</v>
      </c>
      <c r="P758" s="5">
        <f t="shared" si="89"/>
        <v>0</v>
      </c>
      <c r="Q758" s="5">
        <f t="shared" si="90"/>
        <v>2</v>
      </c>
      <c r="R758" s="7">
        <f t="shared" si="91"/>
        <v>0</v>
      </c>
      <c r="S758" s="7">
        <f t="shared" si="92"/>
        <v>0</v>
      </c>
      <c r="T758" s="3" t="str">
        <f t="shared" si="93"/>
        <v/>
      </c>
      <c r="V758" s="1" t="e">
        <f t="shared" si="94"/>
        <v>#DIV/0!</v>
      </c>
    </row>
    <row r="759" spans="8:22" x14ac:dyDescent="0.3">
      <c r="H759" s="10" t="str">
        <f>IF(Planilha1!B756="","",Planilha1!B756)</f>
        <v>7:00p</v>
      </c>
      <c r="I759" s="10" t="str">
        <f>IF(Planilha1!C756="","",Planilha1!C756)</f>
        <v>Toronto Raptors</v>
      </c>
      <c r="J759" s="10">
        <f>IF(Planilha1!D756="","",Planilha1!D756)</f>
        <v>0</v>
      </c>
      <c r="K759" s="10" t="str">
        <f>IF(Planilha1!E756="","",IF(Planilha1!E756=0,"",Planilha1!E756))</f>
        <v>Charlotte Hornets</v>
      </c>
      <c r="L759" s="10">
        <f>IF(Planilha1!F756="","",Planilha1!F756)</f>
        <v>0</v>
      </c>
      <c r="M759" s="10" t="str">
        <f>IF(Planilha1!G756="","",IF(Planilha1!G756=0,"",Planilha1!G756))</f>
        <v/>
      </c>
      <c r="N759" s="5">
        <f t="shared" si="95"/>
        <v>1</v>
      </c>
      <c r="O759" s="5">
        <f t="shared" si="96"/>
        <v>0</v>
      </c>
      <c r="P759" s="5">
        <f t="shared" si="89"/>
        <v>0</v>
      </c>
      <c r="Q759" s="5">
        <f t="shared" si="90"/>
        <v>2</v>
      </c>
      <c r="R759" s="7">
        <f t="shared" si="91"/>
        <v>0</v>
      </c>
      <c r="S759" s="7">
        <f t="shared" si="92"/>
        <v>0</v>
      </c>
      <c r="T759" s="3" t="str">
        <f t="shared" si="93"/>
        <v/>
      </c>
      <c r="V759" s="1" t="e">
        <f t="shared" si="94"/>
        <v>#DIV/0!</v>
      </c>
    </row>
    <row r="760" spans="8:22" x14ac:dyDescent="0.3">
      <c r="H760" s="10" t="str">
        <f>IF(Planilha1!B757="","",Planilha1!B757)</f>
        <v>7:00p</v>
      </c>
      <c r="I760" s="10" t="str">
        <f>IF(Planilha1!C757="","",Planilha1!C757)</f>
        <v>Cleveland Cavaliers</v>
      </c>
      <c r="J760" s="10">
        <f>IF(Planilha1!D757="","",Planilha1!D757)</f>
        <v>0</v>
      </c>
      <c r="K760" s="10" t="str">
        <f>IF(Planilha1!E757="","",IF(Planilha1!E757=0,"",Planilha1!E757))</f>
        <v>Washington Wizards</v>
      </c>
      <c r="L760" s="10">
        <f>IF(Planilha1!F757="","",Planilha1!F757)</f>
        <v>0</v>
      </c>
      <c r="M760" s="10" t="str">
        <f>IF(Planilha1!G757="","",IF(Planilha1!G757=0,"",Planilha1!G757))</f>
        <v/>
      </c>
      <c r="N760" s="5">
        <f t="shared" si="95"/>
        <v>1</v>
      </c>
      <c r="O760" s="5">
        <f t="shared" si="96"/>
        <v>0</v>
      </c>
      <c r="P760" s="5">
        <f t="shared" si="89"/>
        <v>0</v>
      </c>
      <c r="Q760" s="5">
        <f t="shared" si="90"/>
        <v>2</v>
      </c>
      <c r="R760" s="7">
        <f t="shared" si="91"/>
        <v>0</v>
      </c>
      <c r="S760" s="7">
        <f t="shared" si="92"/>
        <v>0</v>
      </c>
      <c r="T760" s="3" t="str">
        <f t="shared" si="93"/>
        <v/>
      </c>
      <c r="V760" s="1" t="e">
        <f t="shared" si="94"/>
        <v>#DIV/0!</v>
      </c>
    </row>
    <row r="761" spans="8:22" x14ac:dyDescent="0.3">
      <c r="H761" s="10" t="str">
        <f>IF(Planilha1!B758="","",Planilha1!B758)</f>
        <v>7:30p</v>
      </c>
      <c r="I761" s="10" t="str">
        <f>IF(Planilha1!C758="","",Planilha1!C758)</f>
        <v>Atlanta Hawks</v>
      </c>
      <c r="J761" s="10">
        <f>IF(Planilha1!D758="","",Planilha1!D758)</f>
        <v>0</v>
      </c>
      <c r="K761" s="10" t="str">
        <f>IF(Planilha1!E758="","",IF(Planilha1!E758=0,"",Planilha1!E758))</f>
        <v>Boston Celtics</v>
      </c>
      <c r="L761" s="10">
        <f>IF(Planilha1!F758="","",Planilha1!F758)</f>
        <v>0</v>
      </c>
      <c r="M761" s="10" t="str">
        <f>IF(Planilha1!G758="","",IF(Planilha1!G758=0,"",Planilha1!G758))</f>
        <v/>
      </c>
      <c r="N761" s="5">
        <f t="shared" si="95"/>
        <v>1</v>
      </c>
      <c r="O761" s="5">
        <f t="shared" si="96"/>
        <v>0</v>
      </c>
      <c r="P761" s="5">
        <f t="shared" si="89"/>
        <v>0</v>
      </c>
      <c r="Q761" s="5">
        <f t="shared" si="90"/>
        <v>2</v>
      </c>
      <c r="R761" s="7">
        <f t="shared" si="91"/>
        <v>0</v>
      </c>
      <c r="S761" s="7">
        <f t="shared" si="92"/>
        <v>0</v>
      </c>
      <c r="T761" s="3" t="str">
        <f t="shared" si="93"/>
        <v/>
      </c>
      <c r="V761" s="1" t="e">
        <f t="shared" si="94"/>
        <v>#DIV/0!</v>
      </c>
    </row>
    <row r="762" spans="8:22" x14ac:dyDescent="0.3">
      <c r="H762" s="10" t="str">
        <f>IF(Planilha1!B759="","",Planilha1!B759)</f>
        <v>7:30p</v>
      </c>
      <c r="I762" s="10" t="str">
        <f>IF(Planilha1!C759="","",Planilha1!C759)</f>
        <v>San Antonio Spurs</v>
      </c>
      <c r="J762" s="10">
        <f>IF(Planilha1!D759="","",Planilha1!D759)</f>
        <v>0</v>
      </c>
      <c r="K762" s="10" t="str">
        <f>IF(Planilha1!E759="","",IF(Planilha1!E759=0,"",Planilha1!E759))</f>
        <v>Miami Heat</v>
      </c>
      <c r="L762" s="10">
        <f>IF(Planilha1!F759="","",Planilha1!F759)</f>
        <v>0</v>
      </c>
      <c r="M762" s="10" t="str">
        <f>IF(Planilha1!G759="","",IF(Planilha1!G759=0,"",Planilha1!G759))</f>
        <v/>
      </c>
      <c r="N762" s="5">
        <f t="shared" si="95"/>
        <v>1</v>
      </c>
      <c r="O762" s="5">
        <f t="shared" si="96"/>
        <v>0</v>
      </c>
      <c r="P762" s="5">
        <f t="shared" si="89"/>
        <v>0</v>
      </c>
      <c r="Q762" s="5">
        <f t="shared" si="90"/>
        <v>2</v>
      </c>
      <c r="R762" s="7">
        <f t="shared" si="91"/>
        <v>0</v>
      </c>
      <c r="S762" s="7">
        <f t="shared" si="92"/>
        <v>0</v>
      </c>
      <c r="T762" s="3" t="str">
        <f t="shared" si="93"/>
        <v/>
      </c>
      <c r="V762" s="1" t="e">
        <f t="shared" si="94"/>
        <v>#DIV/0!</v>
      </c>
    </row>
    <row r="763" spans="8:22" x14ac:dyDescent="0.3">
      <c r="H763" s="10" t="str">
        <f>IF(Planilha1!B760="","",Planilha1!B760)</f>
        <v>7:30p</v>
      </c>
      <c r="I763" s="10" t="str">
        <f>IF(Planilha1!C760="","",Planilha1!C760)</f>
        <v>Golden State Warriors</v>
      </c>
      <c r="J763" s="10">
        <f>IF(Planilha1!D760="","",Planilha1!D760)</f>
        <v>0</v>
      </c>
      <c r="K763" s="10" t="str">
        <f>IF(Planilha1!E760="","",IF(Planilha1!E760=0,"",Planilha1!E760))</f>
        <v>Philadelphia 76ers</v>
      </c>
      <c r="L763" s="10">
        <f>IF(Planilha1!F760="","",Planilha1!F760)</f>
        <v>0</v>
      </c>
      <c r="M763" s="10" t="str">
        <f>IF(Planilha1!G760="","",IF(Planilha1!G760=0,"",Planilha1!G760))</f>
        <v/>
      </c>
      <c r="N763" s="5">
        <f t="shared" si="95"/>
        <v>1</v>
      </c>
      <c r="O763" s="5">
        <f t="shared" si="96"/>
        <v>0</v>
      </c>
      <c r="P763" s="5">
        <f t="shared" si="89"/>
        <v>0</v>
      </c>
      <c r="Q763" s="5">
        <f t="shared" si="90"/>
        <v>2</v>
      </c>
      <c r="R763" s="7">
        <f t="shared" si="91"/>
        <v>0</v>
      </c>
      <c r="S763" s="7">
        <f t="shared" si="92"/>
        <v>0</v>
      </c>
      <c r="T763" s="3" t="str">
        <f t="shared" si="93"/>
        <v/>
      </c>
      <c r="V763" s="1" t="e">
        <f t="shared" si="94"/>
        <v>#DIV/0!</v>
      </c>
    </row>
    <row r="764" spans="8:22" x14ac:dyDescent="0.3">
      <c r="H764" s="10" t="str">
        <f>IF(Planilha1!B761="","",Planilha1!B761)</f>
        <v>10:00p</v>
      </c>
      <c r="I764" s="10" t="str">
        <f>IF(Planilha1!C761="","",Planilha1!C761)</f>
        <v>New Orleans Pelicans</v>
      </c>
      <c r="J764" s="10">
        <f>IF(Planilha1!D761="","",Planilha1!D761)</f>
        <v>0</v>
      </c>
      <c r="K764" s="10" t="str">
        <f>IF(Planilha1!E761="","",IF(Planilha1!E761=0,"",Planilha1!E761))</f>
        <v>Los Angeles Clippers</v>
      </c>
      <c r="L764" s="10">
        <f>IF(Planilha1!F761="","",Planilha1!F761)</f>
        <v>0</v>
      </c>
      <c r="M764" s="10" t="str">
        <f>IF(Planilha1!G761="","",IF(Planilha1!G761=0,"",Planilha1!G761))</f>
        <v/>
      </c>
      <c r="N764" s="5">
        <f t="shared" si="95"/>
        <v>1</v>
      </c>
      <c r="O764" s="5">
        <f t="shared" si="96"/>
        <v>0</v>
      </c>
      <c r="P764" s="5">
        <f t="shared" si="89"/>
        <v>0</v>
      </c>
      <c r="Q764" s="5">
        <f t="shared" si="90"/>
        <v>2</v>
      </c>
      <c r="R764" s="7">
        <f t="shared" si="91"/>
        <v>0</v>
      </c>
      <c r="S764" s="7">
        <f t="shared" si="92"/>
        <v>0</v>
      </c>
      <c r="T764" s="3" t="str">
        <f t="shared" si="93"/>
        <v/>
      </c>
      <c r="V764" s="1" t="e">
        <f t="shared" si="94"/>
        <v>#DIV/0!</v>
      </c>
    </row>
    <row r="765" spans="8:22" x14ac:dyDescent="0.3">
      <c r="H765" s="10" t="str">
        <f>IF(Planilha1!B762="","",Planilha1!B762)</f>
        <v>10:00p</v>
      </c>
      <c r="I765" s="10" t="str">
        <f>IF(Planilha1!C762="","",Planilha1!C762)</f>
        <v>Detroit Pistons</v>
      </c>
      <c r="J765" s="10">
        <f>IF(Planilha1!D762="","",Planilha1!D762)</f>
        <v>0</v>
      </c>
      <c r="K765" s="10" t="str">
        <f>IF(Planilha1!E762="","",IF(Planilha1!E762=0,"",Planilha1!E762))</f>
        <v>Sacramento Kings</v>
      </c>
      <c r="L765" s="10">
        <f>IF(Planilha1!F762="","",Planilha1!F762)</f>
        <v>0</v>
      </c>
      <c r="M765" s="10" t="str">
        <f>IF(Planilha1!G762="","",IF(Planilha1!G762=0,"",Planilha1!G762))</f>
        <v/>
      </c>
      <c r="N765" s="5">
        <f t="shared" si="95"/>
        <v>1</v>
      </c>
      <c r="O765" s="5">
        <f t="shared" si="96"/>
        <v>0</v>
      </c>
      <c r="P765" s="5">
        <f t="shared" si="89"/>
        <v>0</v>
      </c>
      <c r="Q765" s="5">
        <f t="shared" si="90"/>
        <v>2</v>
      </c>
      <c r="R765" s="7">
        <f t="shared" si="91"/>
        <v>0</v>
      </c>
      <c r="S765" s="7">
        <f t="shared" si="92"/>
        <v>0</v>
      </c>
      <c r="T765" s="3" t="str">
        <f t="shared" si="93"/>
        <v/>
      </c>
      <c r="V765" s="1" t="e">
        <f t="shared" si="94"/>
        <v>#DIV/0!</v>
      </c>
    </row>
    <row r="766" spans="8:22" x14ac:dyDescent="0.3">
      <c r="H766" s="10" t="str">
        <f>IF(Planilha1!B763="","",Planilha1!B763)</f>
        <v>7:00p</v>
      </c>
      <c r="I766" s="10" t="str">
        <f>IF(Planilha1!C763="","",Planilha1!C763)</f>
        <v>Golden State Warriors</v>
      </c>
      <c r="J766" s="10">
        <f>IF(Planilha1!D763="","",Planilha1!D763)</f>
        <v>0</v>
      </c>
      <c r="K766" s="10" t="str">
        <f>IF(Planilha1!E763="","",IF(Planilha1!E763=0,"",Planilha1!E763))</f>
        <v>Indiana Pacers</v>
      </c>
      <c r="L766" s="10">
        <f>IF(Planilha1!F763="","",Planilha1!F763)</f>
        <v>0</v>
      </c>
      <c r="M766" s="10" t="str">
        <f>IF(Planilha1!G763="","",IF(Planilha1!G763=0,"",Planilha1!G763))</f>
        <v/>
      </c>
      <c r="N766" s="5">
        <f t="shared" si="95"/>
        <v>1</v>
      </c>
      <c r="O766" s="5">
        <f t="shared" si="96"/>
        <v>0</v>
      </c>
      <c r="P766" s="5">
        <f t="shared" si="89"/>
        <v>0</v>
      </c>
      <c r="Q766" s="5">
        <f t="shared" si="90"/>
        <v>2</v>
      </c>
      <c r="R766" s="7">
        <f t="shared" si="91"/>
        <v>0</v>
      </c>
      <c r="S766" s="7">
        <f t="shared" si="92"/>
        <v>0</v>
      </c>
      <c r="T766" s="3" t="str">
        <f t="shared" si="93"/>
        <v/>
      </c>
      <c r="V766" s="1" t="e">
        <f t="shared" si="94"/>
        <v>#DIV/0!</v>
      </c>
    </row>
    <row r="767" spans="8:22" x14ac:dyDescent="0.3">
      <c r="H767" s="10" t="str">
        <f>IF(Planilha1!B764="","",Planilha1!B764)</f>
        <v>7:00p</v>
      </c>
      <c r="I767" s="10" t="str">
        <f>IF(Planilha1!C764="","",Planilha1!C764)</f>
        <v>San Antonio Spurs</v>
      </c>
      <c r="J767" s="10">
        <f>IF(Planilha1!D764="","",Planilha1!D764)</f>
        <v>0</v>
      </c>
      <c r="K767" s="10" t="str">
        <f>IF(Planilha1!E764="","",IF(Planilha1!E764=0,"",Planilha1!E764))</f>
        <v>Orlando Magic</v>
      </c>
      <c r="L767" s="10">
        <f>IF(Planilha1!F764="","",Planilha1!F764)</f>
        <v>0</v>
      </c>
      <c r="M767" s="10" t="str">
        <f>IF(Planilha1!G764="","",IF(Planilha1!G764=0,"",Planilha1!G764))</f>
        <v/>
      </c>
      <c r="N767" s="5">
        <f t="shared" si="95"/>
        <v>1</v>
      </c>
      <c r="O767" s="5">
        <f t="shared" si="96"/>
        <v>0</v>
      </c>
      <c r="P767" s="5">
        <f t="shared" si="89"/>
        <v>0</v>
      </c>
      <c r="Q767" s="5">
        <f t="shared" si="90"/>
        <v>2</v>
      </c>
      <c r="R767" s="7">
        <f t="shared" si="91"/>
        <v>0</v>
      </c>
      <c r="S767" s="7">
        <f t="shared" si="92"/>
        <v>0</v>
      </c>
      <c r="T767" s="3" t="str">
        <f t="shared" si="93"/>
        <v/>
      </c>
      <c r="V767" s="1" t="e">
        <f t="shared" si="94"/>
        <v>#DIV/0!</v>
      </c>
    </row>
    <row r="768" spans="8:22" x14ac:dyDescent="0.3">
      <c r="H768" s="10" t="str">
        <f>IF(Planilha1!B765="","",Planilha1!B765)</f>
        <v>7:30p</v>
      </c>
      <c r="I768" s="10" t="str">
        <f>IF(Planilha1!C765="","",Planilha1!C765)</f>
        <v>Cleveland Cavaliers</v>
      </c>
      <c r="J768" s="10">
        <f>IF(Planilha1!D765="","",Planilha1!D765)</f>
        <v>0</v>
      </c>
      <c r="K768" s="10" t="str">
        <f>IF(Planilha1!E765="","",IF(Planilha1!E765=0,"",Planilha1!E765))</f>
        <v>Brooklyn Nets</v>
      </c>
      <c r="L768" s="10">
        <f>IF(Planilha1!F765="","",Planilha1!F765)</f>
        <v>0</v>
      </c>
      <c r="M768" s="10" t="str">
        <f>IF(Planilha1!G765="","",IF(Planilha1!G765=0,"",Planilha1!G765))</f>
        <v/>
      </c>
      <c r="N768" s="5">
        <f t="shared" si="95"/>
        <v>1</v>
      </c>
      <c r="O768" s="5">
        <f t="shared" si="96"/>
        <v>0</v>
      </c>
      <c r="P768" s="5">
        <f t="shared" si="89"/>
        <v>0</v>
      </c>
      <c r="Q768" s="5">
        <f t="shared" si="90"/>
        <v>2</v>
      </c>
      <c r="R768" s="7">
        <f t="shared" si="91"/>
        <v>0</v>
      </c>
      <c r="S768" s="7">
        <f t="shared" si="92"/>
        <v>0</v>
      </c>
      <c r="T768" s="3" t="str">
        <f t="shared" si="93"/>
        <v/>
      </c>
      <c r="V768" s="1" t="e">
        <f t="shared" si="94"/>
        <v>#DIV/0!</v>
      </c>
    </row>
    <row r="769" spans="8:22" x14ac:dyDescent="0.3">
      <c r="H769" s="10" t="str">
        <f>IF(Planilha1!B766="","",Planilha1!B766)</f>
        <v>7:30p</v>
      </c>
      <c r="I769" s="10" t="str">
        <f>IF(Planilha1!C766="","",Planilha1!C766)</f>
        <v>Dallas Mavericks</v>
      </c>
      <c r="J769" s="10">
        <f>IF(Planilha1!D766="","",Planilha1!D766)</f>
        <v>0</v>
      </c>
      <c r="K769" s="10" t="str">
        <f>IF(Planilha1!E766="","",IF(Planilha1!E766=0,"",Planilha1!E766))</f>
        <v>New York Knicks</v>
      </c>
      <c r="L769" s="10">
        <f>IF(Planilha1!F766="","",Planilha1!F766)</f>
        <v>0</v>
      </c>
      <c r="M769" s="10" t="str">
        <f>IF(Planilha1!G766="","",IF(Planilha1!G766=0,"",Planilha1!G766))</f>
        <v/>
      </c>
      <c r="N769" s="5">
        <f t="shared" si="95"/>
        <v>1</v>
      </c>
      <c r="O769" s="5">
        <f t="shared" si="96"/>
        <v>0</v>
      </c>
      <c r="P769" s="5">
        <f t="shared" si="89"/>
        <v>0</v>
      </c>
      <c r="Q769" s="5">
        <f t="shared" si="90"/>
        <v>2</v>
      </c>
      <c r="R769" s="7">
        <f t="shared" si="91"/>
        <v>0</v>
      </c>
      <c r="S769" s="7">
        <f t="shared" si="92"/>
        <v>0</v>
      </c>
      <c r="T769" s="3" t="str">
        <f t="shared" si="93"/>
        <v/>
      </c>
      <c r="V769" s="1" t="e">
        <f t="shared" si="94"/>
        <v>#DIV/0!</v>
      </c>
    </row>
    <row r="770" spans="8:22" x14ac:dyDescent="0.3">
      <c r="H770" s="10" t="str">
        <f>IF(Planilha1!B767="","",Planilha1!B767)</f>
        <v>8:00p</v>
      </c>
      <c r="I770" s="10" t="str">
        <f>IF(Planilha1!C767="","",Planilha1!C767)</f>
        <v>Chicago Bulls</v>
      </c>
      <c r="J770" s="10">
        <f>IF(Planilha1!D767="","",Planilha1!D767)</f>
        <v>0</v>
      </c>
      <c r="K770" s="10" t="str">
        <f>IF(Planilha1!E767="","",IF(Planilha1!E767=0,"",Planilha1!E767))</f>
        <v>Memphis Grizzlies</v>
      </c>
      <c r="L770" s="10">
        <f>IF(Planilha1!F767="","",Planilha1!F767)</f>
        <v>0</v>
      </c>
      <c r="M770" s="10" t="str">
        <f>IF(Planilha1!G767="","",IF(Planilha1!G767=0,"",Planilha1!G767))</f>
        <v/>
      </c>
      <c r="N770" s="5">
        <f t="shared" si="95"/>
        <v>1</v>
      </c>
      <c r="O770" s="5">
        <f t="shared" si="96"/>
        <v>0</v>
      </c>
      <c r="P770" s="5">
        <f t="shared" si="89"/>
        <v>0</v>
      </c>
      <c r="Q770" s="5">
        <f t="shared" si="90"/>
        <v>2</v>
      </c>
      <c r="R770" s="7">
        <f t="shared" si="91"/>
        <v>0</v>
      </c>
      <c r="S770" s="7">
        <f t="shared" si="92"/>
        <v>0</v>
      </c>
      <c r="T770" s="3" t="str">
        <f t="shared" si="93"/>
        <v/>
      </c>
      <c r="V770" s="1" t="e">
        <f t="shared" si="94"/>
        <v>#DIV/0!</v>
      </c>
    </row>
    <row r="771" spans="8:22" x14ac:dyDescent="0.3">
      <c r="H771" s="10" t="str">
        <f>IF(Planilha1!B768="","",Planilha1!B768)</f>
        <v>8:00p</v>
      </c>
      <c r="I771" s="10" t="str">
        <f>IF(Planilha1!C768="","",Planilha1!C768)</f>
        <v>Minnesota Timberwolves</v>
      </c>
      <c r="J771" s="10">
        <f>IF(Planilha1!D768="","",Planilha1!D768)</f>
        <v>0</v>
      </c>
      <c r="K771" s="10" t="str">
        <f>IF(Planilha1!E768="","",IF(Planilha1!E768=0,"",Planilha1!E768))</f>
        <v>Milwaukee Bucks</v>
      </c>
      <c r="L771" s="10">
        <f>IF(Planilha1!F768="","",Planilha1!F768)</f>
        <v>0</v>
      </c>
      <c r="M771" s="10" t="str">
        <f>IF(Planilha1!G768="","",IF(Planilha1!G768=0,"",Planilha1!G768))</f>
        <v/>
      </c>
      <c r="N771" s="5">
        <f t="shared" si="95"/>
        <v>1</v>
      </c>
      <c r="O771" s="5">
        <f t="shared" si="96"/>
        <v>0</v>
      </c>
      <c r="P771" s="5">
        <f t="shared" si="89"/>
        <v>0</v>
      </c>
      <c r="Q771" s="5">
        <f t="shared" si="90"/>
        <v>2</v>
      </c>
      <c r="R771" s="7">
        <f t="shared" si="91"/>
        <v>0</v>
      </c>
      <c r="S771" s="7">
        <f t="shared" si="92"/>
        <v>0</v>
      </c>
      <c r="T771" s="3" t="str">
        <f t="shared" si="93"/>
        <v/>
      </c>
      <c r="V771" s="1" t="e">
        <f t="shared" si="94"/>
        <v>#DIV/0!</v>
      </c>
    </row>
    <row r="772" spans="8:22" x14ac:dyDescent="0.3">
      <c r="H772" s="10" t="str">
        <f>IF(Planilha1!B769="","",Planilha1!B769)</f>
        <v>9:00p</v>
      </c>
      <c r="I772" s="10" t="str">
        <f>IF(Planilha1!C769="","",Planilha1!C769)</f>
        <v>Utah Jazz</v>
      </c>
      <c r="J772" s="10">
        <f>IF(Planilha1!D769="","",Planilha1!D769)</f>
        <v>0</v>
      </c>
      <c r="K772" s="10" t="str">
        <f>IF(Planilha1!E769="","",IF(Planilha1!E769=0,"",Planilha1!E769))</f>
        <v>Phoenix Suns</v>
      </c>
      <c r="L772" s="10">
        <f>IF(Planilha1!F769="","",Planilha1!F769)</f>
        <v>0</v>
      </c>
      <c r="M772" s="10" t="str">
        <f>IF(Planilha1!G769="","",IF(Planilha1!G769=0,"",Planilha1!G769))</f>
        <v/>
      </c>
      <c r="N772" s="5">
        <f t="shared" si="95"/>
        <v>1</v>
      </c>
      <c r="O772" s="5">
        <f t="shared" si="96"/>
        <v>0</v>
      </c>
      <c r="P772" s="5">
        <f t="shared" si="89"/>
        <v>0</v>
      </c>
      <c r="Q772" s="5">
        <f t="shared" si="90"/>
        <v>2</v>
      </c>
      <c r="R772" s="7">
        <f t="shared" si="91"/>
        <v>0</v>
      </c>
      <c r="S772" s="7">
        <f t="shared" si="92"/>
        <v>0</v>
      </c>
      <c r="T772" s="3" t="str">
        <f t="shared" si="93"/>
        <v/>
      </c>
      <c r="V772" s="1" t="e">
        <f t="shared" si="94"/>
        <v>#DIV/0!</v>
      </c>
    </row>
    <row r="773" spans="8:22" x14ac:dyDescent="0.3">
      <c r="H773" s="10" t="str">
        <f>IF(Planilha1!B770="","",Planilha1!B770)</f>
        <v>10:00p</v>
      </c>
      <c r="I773" s="10" t="str">
        <f>IF(Planilha1!C770="","",Planilha1!C770)</f>
        <v>Denver Nuggets</v>
      </c>
      <c r="J773" s="10">
        <f>IF(Planilha1!D770="","",Planilha1!D770)</f>
        <v>0</v>
      </c>
      <c r="K773" s="10" t="str">
        <f>IF(Planilha1!E770="","",IF(Planilha1!E770=0,"",Planilha1!E770))</f>
        <v>Los Angeles Lakers</v>
      </c>
      <c r="L773" s="10">
        <f>IF(Planilha1!F770="","",Planilha1!F770)</f>
        <v>0</v>
      </c>
      <c r="M773" s="10" t="str">
        <f>IF(Planilha1!G770="","",IF(Planilha1!G770=0,"",Planilha1!G770))</f>
        <v/>
      </c>
      <c r="N773" s="5">
        <f t="shared" si="95"/>
        <v>1</v>
      </c>
      <c r="O773" s="5">
        <f t="shared" si="96"/>
        <v>0</v>
      </c>
      <c r="P773" s="5">
        <f t="shared" ref="P773:P836" si="97">IF(M773="",IF(R773&gt;S773,2,0),IF(K773&lt;M773,2,0))</f>
        <v>0</v>
      </c>
      <c r="Q773" s="5">
        <f t="shared" ref="Q773:Q836" si="98">IF(M773="",IF(R773&gt;S773,0,2),IF(K773&gt;M773,2,0))</f>
        <v>2</v>
      </c>
      <c r="R773" s="7">
        <f t="shared" ref="R773:R836" si="99">SUMIF($B:$B,J773,$C:$C)+(SUMIF($B:$B,L773,$F:$F))</f>
        <v>0</v>
      </c>
      <c r="S773" s="7">
        <f t="shared" ref="S773:S836" si="100">SUMIF($B:$B,L773,$E:$E)+(SUMIF($B:$B,J773,$D:$D))</f>
        <v>0</v>
      </c>
      <c r="T773" s="3" t="str">
        <f t="shared" ref="T773:T836" si="101">IF(M773="","",(N773-S773)^2+(O773-R773)^2)</f>
        <v/>
      </c>
      <c r="V773" s="1" t="e">
        <f t="shared" ref="V773:V836" si="102">IF(O773="","",1/((O773-N773)/(R773-S773)))</f>
        <v>#DIV/0!</v>
      </c>
    </row>
    <row r="774" spans="8:22" x14ac:dyDescent="0.3">
      <c r="H774" s="10" t="str">
        <f>IF(Planilha1!B771="","",Planilha1!B771)</f>
        <v>10:00p</v>
      </c>
      <c r="I774" s="10" t="str">
        <f>IF(Planilha1!C771="","",Planilha1!C771)</f>
        <v>Detroit Pistons</v>
      </c>
      <c r="J774" s="10">
        <f>IF(Planilha1!D771="","",Planilha1!D771)</f>
        <v>0</v>
      </c>
      <c r="K774" s="10" t="str">
        <f>IF(Planilha1!E771="","",IF(Planilha1!E771=0,"",Planilha1!E771))</f>
        <v>Portland Trail Blazers</v>
      </c>
      <c r="L774" s="10">
        <f>IF(Planilha1!F771="","",Planilha1!F771)</f>
        <v>0</v>
      </c>
      <c r="M774" s="10" t="str">
        <f>IF(Planilha1!G771="","",IF(Planilha1!G771=0,"",Planilha1!G771))</f>
        <v/>
      </c>
      <c r="N774" s="5">
        <f t="shared" ref="N774:N837" si="103">IF(K774="","",IF(K774&gt;M774,100%,0%))</f>
        <v>1</v>
      </c>
      <c r="O774" s="5">
        <f t="shared" ref="O774:O837" si="104">IF(K774="","",IF(K774&lt;M774,100%,0%))</f>
        <v>0</v>
      </c>
      <c r="P774" s="5">
        <f t="shared" si="97"/>
        <v>0</v>
      </c>
      <c r="Q774" s="5">
        <f t="shared" si="98"/>
        <v>2</v>
      </c>
      <c r="R774" s="7">
        <f t="shared" si="99"/>
        <v>0</v>
      </c>
      <c r="S774" s="7">
        <f t="shared" si="100"/>
        <v>0</v>
      </c>
      <c r="T774" s="3" t="str">
        <f t="shared" si="101"/>
        <v/>
      </c>
      <c r="V774" s="1" t="e">
        <f t="shared" si="102"/>
        <v>#DIV/0!</v>
      </c>
    </row>
    <row r="775" spans="8:22" x14ac:dyDescent="0.3">
      <c r="H775" s="10" t="str">
        <f>IF(Planilha1!B772="","",Planilha1!B772)</f>
        <v>7:00p</v>
      </c>
      <c r="I775" s="10" t="str">
        <f>IF(Planilha1!C772="","",Planilha1!C772)</f>
        <v>Atlanta Hawks</v>
      </c>
      <c r="J775" s="10">
        <f>IF(Planilha1!D772="","",Planilha1!D772)</f>
        <v>0</v>
      </c>
      <c r="K775" s="10" t="str">
        <f>IF(Planilha1!E772="","",IF(Planilha1!E772=0,"",Planilha1!E772))</f>
        <v>Philadelphia 76ers</v>
      </c>
      <c r="L775" s="10">
        <f>IF(Planilha1!F772="","",Planilha1!F772)</f>
        <v>0</v>
      </c>
      <c r="M775" s="10" t="str">
        <f>IF(Planilha1!G772="","",IF(Planilha1!G772=0,"",Planilha1!G772))</f>
        <v/>
      </c>
      <c r="N775" s="5">
        <f t="shared" si="103"/>
        <v>1</v>
      </c>
      <c r="O775" s="5">
        <f t="shared" si="104"/>
        <v>0</v>
      </c>
      <c r="P775" s="5">
        <f t="shared" si="97"/>
        <v>0</v>
      </c>
      <c r="Q775" s="5">
        <f t="shared" si="98"/>
        <v>2</v>
      </c>
      <c r="R775" s="7">
        <f t="shared" si="99"/>
        <v>0</v>
      </c>
      <c r="S775" s="7">
        <f t="shared" si="100"/>
        <v>0</v>
      </c>
      <c r="T775" s="3" t="str">
        <f t="shared" si="101"/>
        <v/>
      </c>
      <c r="V775" s="1" t="e">
        <f t="shared" si="102"/>
        <v>#DIV/0!</v>
      </c>
    </row>
    <row r="776" spans="8:22" x14ac:dyDescent="0.3">
      <c r="H776" s="10" t="str">
        <f>IF(Planilha1!B773="","",Planilha1!B773)</f>
        <v>7:30p</v>
      </c>
      <c r="I776" s="10" t="str">
        <f>IF(Planilha1!C773="","",Planilha1!C773)</f>
        <v>Washington Wizards</v>
      </c>
      <c r="J776" s="10">
        <f>IF(Planilha1!D773="","",Planilha1!D773)</f>
        <v>0</v>
      </c>
      <c r="K776" s="10" t="str">
        <f>IF(Planilha1!E773="","",IF(Planilha1!E773=0,"",Planilha1!E773))</f>
        <v>Boston Celtics</v>
      </c>
      <c r="L776" s="10">
        <f>IF(Planilha1!F773="","",Planilha1!F773)</f>
        <v>0</v>
      </c>
      <c r="M776" s="10" t="str">
        <f>IF(Planilha1!G773="","",IF(Planilha1!G773=0,"",Planilha1!G773))</f>
        <v/>
      </c>
      <c r="N776" s="5">
        <f t="shared" si="103"/>
        <v>1</v>
      </c>
      <c r="O776" s="5">
        <f t="shared" si="104"/>
        <v>0</v>
      </c>
      <c r="P776" s="5">
        <f t="shared" si="97"/>
        <v>0</v>
      </c>
      <c r="Q776" s="5">
        <f t="shared" si="98"/>
        <v>2</v>
      </c>
      <c r="R776" s="7">
        <f t="shared" si="99"/>
        <v>0</v>
      </c>
      <c r="S776" s="7">
        <f t="shared" si="100"/>
        <v>0</v>
      </c>
      <c r="T776" s="3" t="str">
        <f t="shared" si="101"/>
        <v/>
      </c>
      <c r="V776" s="1" t="e">
        <f t="shared" si="102"/>
        <v>#DIV/0!</v>
      </c>
    </row>
    <row r="777" spans="8:22" x14ac:dyDescent="0.3">
      <c r="H777" s="10" t="str">
        <f>IF(Planilha1!B774="","",Planilha1!B774)</f>
        <v>7:30p</v>
      </c>
      <c r="I777" s="10" t="str">
        <f>IF(Planilha1!C774="","",Planilha1!C774)</f>
        <v>Houston Rockets</v>
      </c>
      <c r="J777" s="10">
        <f>IF(Planilha1!D774="","",Planilha1!D774)</f>
        <v>0</v>
      </c>
      <c r="K777" s="10" t="str">
        <f>IF(Planilha1!E774="","",IF(Planilha1!E774=0,"",Planilha1!E774))</f>
        <v>Toronto Raptors</v>
      </c>
      <c r="L777" s="10">
        <f>IF(Planilha1!F774="","",Planilha1!F774)</f>
        <v>0</v>
      </c>
      <c r="M777" s="10" t="str">
        <f>IF(Planilha1!G774="","",IF(Planilha1!G774=0,"",Planilha1!G774))</f>
        <v/>
      </c>
      <c r="N777" s="5">
        <f t="shared" si="103"/>
        <v>1</v>
      </c>
      <c r="O777" s="5">
        <f t="shared" si="104"/>
        <v>0</v>
      </c>
      <c r="P777" s="5">
        <f t="shared" si="97"/>
        <v>0</v>
      </c>
      <c r="Q777" s="5">
        <f t="shared" si="98"/>
        <v>2</v>
      </c>
      <c r="R777" s="7">
        <f t="shared" si="99"/>
        <v>0</v>
      </c>
      <c r="S777" s="7">
        <f t="shared" si="100"/>
        <v>0</v>
      </c>
      <c r="T777" s="3" t="str">
        <f t="shared" si="101"/>
        <v/>
      </c>
      <c r="V777" s="1" t="e">
        <f t="shared" si="102"/>
        <v>#DIV/0!</v>
      </c>
    </row>
    <row r="778" spans="8:22" x14ac:dyDescent="0.3">
      <c r="H778" s="10" t="str">
        <f>IF(Planilha1!B775="","",Planilha1!B775)</f>
        <v>8:00p</v>
      </c>
      <c r="I778" s="10" t="str">
        <f>IF(Planilha1!C775="","",Planilha1!C775)</f>
        <v>Charlotte Hornets</v>
      </c>
      <c r="J778" s="10">
        <f>IF(Planilha1!D775="","",Planilha1!D775)</f>
        <v>0</v>
      </c>
      <c r="K778" s="10" t="str">
        <f>IF(Planilha1!E775="","",IF(Planilha1!E775=0,"",Planilha1!E775))</f>
        <v>Milwaukee Bucks</v>
      </c>
      <c r="L778" s="10">
        <f>IF(Planilha1!F775="","",Planilha1!F775)</f>
        <v>0</v>
      </c>
      <c r="M778" s="10" t="str">
        <f>IF(Planilha1!G775="","",IF(Planilha1!G775=0,"",Planilha1!G775))</f>
        <v/>
      </c>
      <c r="N778" s="5">
        <f t="shared" si="103"/>
        <v>1</v>
      </c>
      <c r="O778" s="5">
        <f t="shared" si="104"/>
        <v>0</v>
      </c>
      <c r="P778" s="5">
        <f t="shared" si="97"/>
        <v>0</v>
      </c>
      <c r="Q778" s="5">
        <f t="shared" si="98"/>
        <v>2</v>
      </c>
      <c r="R778" s="7">
        <f t="shared" si="99"/>
        <v>0</v>
      </c>
      <c r="S778" s="7">
        <f t="shared" si="100"/>
        <v>0</v>
      </c>
      <c r="T778" s="3" t="str">
        <f t="shared" si="101"/>
        <v/>
      </c>
      <c r="V778" s="1" t="e">
        <f t="shared" si="102"/>
        <v>#DIV/0!</v>
      </c>
    </row>
    <row r="779" spans="8:22" x14ac:dyDescent="0.3">
      <c r="H779" s="10" t="str">
        <f>IF(Planilha1!B776="","",Planilha1!B776)</f>
        <v>10:00p</v>
      </c>
      <c r="I779" s="10" t="str">
        <f>IF(Planilha1!C776="","",Planilha1!C776)</f>
        <v>Denver Nuggets</v>
      </c>
      <c r="J779" s="10">
        <f>IF(Planilha1!D776="","",Planilha1!D776)</f>
        <v>0</v>
      </c>
      <c r="K779" s="10" t="str">
        <f>IF(Planilha1!E776="","",IF(Planilha1!E776=0,"",Planilha1!E776))</f>
        <v>Sacramento Kings</v>
      </c>
      <c r="L779" s="10">
        <f>IF(Planilha1!F776="","",Planilha1!F776)</f>
        <v>0</v>
      </c>
      <c r="M779" s="10" t="str">
        <f>IF(Planilha1!G776="","",IF(Planilha1!G776=0,"",Planilha1!G776))</f>
        <v/>
      </c>
      <c r="N779" s="5">
        <f t="shared" si="103"/>
        <v>1</v>
      </c>
      <c r="O779" s="5">
        <f t="shared" si="104"/>
        <v>0</v>
      </c>
      <c r="P779" s="5">
        <f t="shared" si="97"/>
        <v>0</v>
      </c>
      <c r="Q779" s="5">
        <f t="shared" si="98"/>
        <v>2</v>
      </c>
      <c r="R779" s="7">
        <f t="shared" si="99"/>
        <v>0</v>
      </c>
      <c r="S779" s="7">
        <f t="shared" si="100"/>
        <v>0</v>
      </c>
      <c r="T779" s="3" t="str">
        <f t="shared" si="101"/>
        <v/>
      </c>
      <c r="V779" s="1" t="e">
        <f t="shared" si="102"/>
        <v>#DIV/0!</v>
      </c>
    </row>
    <row r="780" spans="8:22" x14ac:dyDescent="0.3">
      <c r="H780" s="10" t="str">
        <f>IF(Planilha1!B777="","",Planilha1!B777)</f>
        <v>10:30p</v>
      </c>
      <c r="I780" s="10" t="str">
        <f>IF(Planilha1!C777="","",Planilha1!C777)</f>
        <v>New Orleans Pelicans</v>
      </c>
      <c r="J780" s="10">
        <f>IF(Planilha1!D777="","",Planilha1!D777)</f>
        <v>0</v>
      </c>
      <c r="K780" s="10" t="str">
        <f>IF(Planilha1!E777="","",IF(Planilha1!E777=0,"",Planilha1!E777))</f>
        <v>Los Angeles Lakers</v>
      </c>
      <c r="L780" s="10">
        <f>IF(Planilha1!F777="","",Planilha1!F777)</f>
        <v>0</v>
      </c>
      <c r="M780" s="10" t="str">
        <f>IF(Planilha1!G777="","",IF(Planilha1!G777=0,"",Planilha1!G777))</f>
        <v/>
      </c>
      <c r="N780" s="5">
        <f t="shared" si="103"/>
        <v>1</v>
      </c>
      <c r="O780" s="5">
        <f t="shared" si="104"/>
        <v>0</v>
      </c>
      <c r="P780" s="5">
        <f t="shared" si="97"/>
        <v>0</v>
      </c>
      <c r="Q780" s="5">
        <f t="shared" si="98"/>
        <v>2</v>
      </c>
      <c r="R780" s="7">
        <f t="shared" si="99"/>
        <v>0</v>
      </c>
      <c r="S780" s="7">
        <f t="shared" si="100"/>
        <v>0</v>
      </c>
      <c r="T780" s="3" t="str">
        <f t="shared" si="101"/>
        <v/>
      </c>
      <c r="V780" s="1" t="e">
        <f t="shared" si="102"/>
        <v>#DIV/0!</v>
      </c>
    </row>
    <row r="781" spans="8:22" x14ac:dyDescent="0.3">
      <c r="H781" s="10" t="str">
        <f>IF(Planilha1!B778="","",Planilha1!B778)</f>
        <v>3:00p</v>
      </c>
      <c r="I781" s="10" t="str">
        <f>IF(Planilha1!C778="","",Planilha1!C778)</f>
        <v>Oklahoma City Thunder</v>
      </c>
      <c r="J781" s="10">
        <f>IF(Planilha1!D778="","",Planilha1!D778)</f>
        <v>0</v>
      </c>
      <c r="K781" s="10" t="str">
        <f>IF(Planilha1!E778="","",IF(Planilha1!E778=0,"",Planilha1!E778))</f>
        <v>Dallas Mavericks</v>
      </c>
      <c r="L781" s="10">
        <f>IF(Planilha1!F778="","",Planilha1!F778)</f>
        <v>0</v>
      </c>
      <c r="M781" s="10" t="str">
        <f>IF(Planilha1!G778="","",IF(Planilha1!G778=0,"",Planilha1!G778))</f>
        <v/>
      </c>
      <c r="N781" s="5">
        <f t="shared" si="103"/>
        <v>1</v>
      </c>
      <c r="O781" s="5">
        <f t="shared" si="104"/>
        <v>0</v>
      </c>
      <c r="P781" s="5">
        <f t="shared" si="97"/>
        <v>0</v>
      </c>
      <c r="Q781" s="5">
        <f t="shared" si="98"/>
        <v>2</v>
      </c>
      <c r="R781" s="7">
        <f t="shared" si="99"/>
        <v>0</v>
      </c>
      <c r="S781" s="7">
        <f t="shared" si="100"/>
        <v>0</v>
      </c>
      <c r="T781" s="3" t="str">
        <f t="shared" si="101"/>
        <v/>
      </c>
      <c r="V781" s="1" t="e">
        <f t="shared" si="102"/>
        <v>#DIV/0!</v>
      </c>
    </row>
    <row r="782" spans="8:22" x14ac:dyDescent="0.3">
      <c r="H782" s="10" t="str">
        <f>IF(Planilha1!B779="","",Planilha1!B779)</f>
        <v>3:30p</v>
      </c>
      <c r="I782" s="10" t="str">
        <f>IF(Planilha1!C779="","",Planilha1!C779)</f>
        <v>Detroit Pistons</v>
      </c>
      <c r="J782" s="10">
        <f>IF(Planilha1!D779="","",Planilha1!D779)</f>
        <v>0</v>
      </c>
      <c r="K782" s="10" t="str">
        <f>IF(Planilha1!E779="","",IF(Planilha1!E779=0,"",Planilha1!E779))</f>
        <v>Los Angeles Clippers</v>
      </c>
      <c r="L782" s="10">
        <f>IF(Planilha1!F779="","",Planilha1!F779)</f>
        <v>0</v>
      </c>
      <c r="M782" s="10" t="str">
        <f>IF(Planilha1!G779="","",IF(Planilha1!G779=0,"",Planilha1!G779))</f>
        <v/>
      </c>
      <c r="N782" s="5">
        <f t="shared" si="103"/>
        <v>1</v>
      </c>
      <c r="O782" s="5">
        <f t="shared" si="104"/>
        <v>0</v>
      </c>
      <c r="P782" s="5">
        <f t="shared" si="97"/>
        <v>0</v>
      </c>
      <c r="Q782" s="5">
        <f t="shared" si="98"/>
        <v>2</v>
      </c>
      <c r="R782" s="7">
        <f t="shared" si="99"/>
        <v>0</v>
      </c>
      <c r="S782" s="7">
        <f t="shared" si="100"/>
        <v>0</v>
      </c>
      <c r="T782" s="3" t="str">
        <f t="shared" si="101"/>
        <v/>
      </c>
      <c r="V782" s="1" t="e">
        <f t="shared" si="102"/>
        <v>#DIV/0!</v>
      </c>
    </row>
    <row r="783" spans="8:22" x14ac:dyDescent="0.3">
      <c r="H783" s="10" t="str">
        <f>IF(Planilha1!B780="","",Planilha1!B780)</f>
        <v>6:00p</v>
      </c>
      <c r="I783" s="10" t="str">
        <f>IF(Planilha1!C780="","",Planilha1!C780)</f>
        <v>San Antonio Spurs</v>
      </c>
      <c r="J783" s="10">
        <f>IF(Planilha1!D780="","",Planilha1!D780)</f>
        <v>0</v>
      </c>
      <c r="K783" s="10" t="str">
        <f>IF(Planilha1!E780="","",IF(Planilha1!E780=0,"",Planilha1!E780))</f>
        <v>Brooklyn Nets</v>
      </c>
      <c r="L783" s="10">
        <f>IF(Planilha1!F780="","",Planilha1!F780)</f>
        <v>0</v>
      </c>
      <c r="M783" s="10" t="str">
        <f>IF(Planilha1!G780="","",IF(Planilha1!G780=0,"",Planilha1!G780))</f>
        <v/>
      </c>
      <c r="N783" s="5">
        <f t="shared" si="103"/>
        <v>1</v>
      </c>
      <c r="O783" s="5">
        <f t="shared" si="104"/>
        <v>0</v>
      </c>
      <c r="P783" s="5">
        <f t="shared" si="97"/>
        <v>0</v>
      </c>
      <c r="Q783" s="5">
        <f t="shared" si="98"/>
        <v>2</v>
      </c>
      <c r="R783" s="7">
        <f t="shared" si="99"/>
        <v>0</v>
      </c>
      <c r="S783" s="7">
        <f t="shared" si="100"/>
        <v>0</v>
      </c>
      <c r="T783" s="3" t="str">
        <f t="shared" si="101"/>
        <v/>
      </c>
      <c r="V783" s="1" t="e">
        <f t="shared" si="102"/>
        <v>#DIV/0!</v>
      </c>
    </row>
    <row r="784" spans="8:22" x14ac:dyDescent="0.3">
      <c r="H784" s="10" t="str">
        <f>IF(Planilha1!B781="","",Planilha1!B781)</f>
        <v>7:00p</v>
      </c>
      <c r="I784" s="10" t="str">
        <f>IF(Planilha1!C781="","",Planilha1!C781)</f>
        <v>Memphis Grizzlies</v>
      </c>
      <c r="J784" s="10">
        <f>IF(Planilha1!D781="","",Planilha1!D781)</f>
        <v>0</v>
      </c>
      <c r="K784" s="10" t="str">
        <f>IF(Planilha1!E781="","",IF(Planilha1!E781=0,"",Planilha1!E781))</f>
        <v>Charlotte Hornets</v>
      </c>
      <c r="L784" s="10">
        <f>IF(Planilha1!F781="","",Planilha1!F781)</f>
        <v>0</v>
      </c>
      <c r="M784" s="10" t="str">
        <f>IF(Planilha1!G781="","",IF(Planilha1!G781=0,"",Planilha1!G781))</f>
        <v/>
      </c>
      <c r="N784" s="5">
        <f t="shared" si="103"/>
        <v>1</v>
      </c>
      <c r="O784" s="5">
        <f t="shared" si="104"/>
        <v>0</v>
      </c>
      <c r="P784" s="5">
        <f t="shared" si="97"/>
        <v>0</v>
      </c>
      <c r="Q784" s="5">
        <f t="shared" si="98"/>
        <v>2</v>
      </c>
      <c r="R784" s="7">
        <f t="shared" si="99"/>
        <v>0</v>
      </c>
      <c r="S784" s="7">
        <f t="shared" si="100"/>
        <v>0</v>
      </c>
      <c r="T784" s="3" t="str">
        <f t="shared" si="101"/>
        <v/>
      </c>
      <c r="V784" s="1" t="e">
        <f t="shared" si="102"/>
        <v>#DIV/0!</v>
      </c>
    </row>
    <row r="785" spans="8:22" x14ac:dyDescent="0.3">
      <c r="H785" s="10" t="str">
        <f>IF(Planilha1!B782="","",Planilha1!B782)</f>
        <v>7:00p</v>
      </c>
      <c r="I785" s="10" t="str">
        <f>IF(Planilha1!C782="","",Planilha1!C782)</f>
        <v>Chicago Bulls</v>
      </c>
      <c r="J785" s="10">
        <f>IF(Planilha1!D782="","",Planilha1!D782)</f>
        <v>0</v>
      </c>
      <c r="K785" s="10" t="str">
        <f>IF(Planilha1!E782="","",IF(Planilha1!E782=0,"",Planilha1!E782))</f>
        <v>Orlando Magic</v>
      </c>
      <c r="L785" s="10">
        <f>IF(Planilha1!F782="","",Planilha1!F782)</f>
        <v>0</v>
      </c>
      <c r="M785" s="10" t="str">
        <f>IF(Planilha1!G782="","",IF(Planilha1!G782=0,"",Planilha1!G782))</f>
        <v/>
      </c>
      <c r="N785" s="5">
        <f t="shared" si="103"/>
        <v>1</v>
      </c>
      <c r="O785" s="5">
        <f t="shared" si="104"/>
        <v>0</v>
      </c>
      <c r="P785" s="5">
        <f t="shared" si="97"/>
        <v>0</v>
      </c>
      <c r="Q785" s="5">
        <f t="shared" si="98"/>
        <v>2</v>
      </c>
      <c r="R785" s="7">
        <f t="shared" si="99"/>
        <v>0</v>
      </c>
      <c r="S785" s="7">
        <f t="shared" si="100"/>
        <v>0</v>
      </c>
      <c r="T785" s="3" t="str">
        <f t="shared" si="101"/>
        <v/>
      </c>
      <c r="V785" s="1" t="e">
        <f t="shared" si="102"/>
        <v>#DIV/0!</v>
      </c>
    </row>
    <row r="786" spans="8:22" x14ac:dyDescent="0.3">
      <c r="H786" s="10" t="str">
        <f>IF(Planilha1!B783="","",Planilha1!B783)</f>
        <v>7:00p</v>
      </c>
      <c r="I786" s="10" t="str">
        <f>IF(Planilha1!C783="","",Planilha1!C783)</f>
        <v>Philadelphia 76ers</v>
      </c>
      <c r="J786" s="10">
        <f>IF(Planilha1!D783="","",Planilha1!D783)</f>
        <v>0</v>
      </c>
      <c r="K786" s="10" t="str">
        <f>IF(Planilha1!E783="","",IF(Planilha1!E783=0,"",Planilha1!E783))</f>
        <v>Washington Wizards</v>
      </c>
      <c r="L786" s="10">
        <f>IF(Planilha1!F783="","",Planilha1!F783)</f>
        <v>0</v>
      </c>
      <c r="M786" s="10" t="str">
        <f>IF(Planilha1!G783="","",IF(Planilha1!G783=0,"",Planilha1!G783))</f>
        <v/>
      </c>
      <c r="N786" s="5">
        <f t="shared" si="103"/>
        <v>1</v>
      </c>
      <c r="O786" s="5">
        <f t="shared" si="104"/>
        <v>0</v>
      </c>
      <c r="P786" s="5">
        <f t="shared" si="97"/>
        <v>0</v>
      </c>
      <c r="Q786" s="5">
        <f t="shared" si="98"/>
        <v>2</v>
      </c>
      <c r="R786" s="7">
        <f t="shared" si="99"/>
        <v>0</v>
      </c>
      <c r="S786" s="7">
        <f t="shared" si="100"/>
        <v>0</v>
      </c>
      <c r="T786" s="3" t="str">
        <f t="shared" si="101"/>
        <v/>
      </c>
      <c r="V786" s="1" t="e">
        <f t="shared" si="102"/>
        <v>#DIV/0!</v>
      </c>
    </row>
    <row r="787" spans="8:22" x14ac:dyDescent="0.3">
      <c r="H787" s="10" t="str">
        <f>IF(Planilha1!B784="","",Planilha1!B784)</f>
        <v>7:30p</v>
      </c>
      <c r="I787" s="10" t="str">
        <f>IF(Planilha1!C784="","",Planilha1!C784)</f>
        <v>Houston Rockets</v>
      </c>
      <c r="J787" s="10">
        <f>IF(Planilha1!D784="","",Planilha1!D784)</f>
        <v>0</v>
      </c>
      <c r="K787" s="10" t="str">
        <f>IF(Planilha1!E784="","",IF(Planilha1!E784=0,"",Planilha1!E784))</f>
        <v>Atlanta Hawks</v>
      </c>
      <c r="L787" s="10">
        <f>IF(Planilha1!F784="","",Planilha1!F784)</f>
        <v>0</v>
      </c>
      <c r="M787" s="10" t="str">
        <f>IF(Planilha1!G784="","",IF(Planilha1!G784=0,"",Planilha1!G784))</f>
        <v/>
      </c>
      <c r="N787" s="5">
        <f t="shared" si="103"/>
        <v>1</v>
      </c>
      <c r="O787" s="5">
        <f t="shared" si="104"/>
        <v>0</v>
      </c>
      <c r="P787" s="5">
        <f t="shared" si="97"/>
        <v>0</v>
      </c>
      <c r="Q787" s="5">
        <f t="shared" si="98"/>
        <v>2</v>
      </c>
      <c r="R787" s="7">
        <f t="shared" si="99"/>
        <v>0</v>
      </c>
      <c r="S787" s="7">
        <f t="shared" si="100"/>
        <v>0</v>
      </c>
      <c r="T787" s="3" t="str">
        <f t="shared" si="101"/>
        <v/>
      </c>
      <c r="V787" s="1" t="e">
        <f t="shared" si="102"/>
        <v>#DIV/0!</v>
      </c>
    </row>
    <row r="788" spans="8:22" x14ac:dyDescent="0.3">
      <c r="H788" s="10" t="str">
        <f>IF(Planilha1!B785="","",Planilha1!B785)</f>
        <v>7:30p</v>
      </c>
      <c r="I788" s="10" t="str">
        <f>IF(Planilha1!C785="","",Planilha1!C785)</f>
        <v>Indiana Pacers</v>
      </c>
      <c r="J788" s="10">
        <f>IF(Planilha1!D785="","",Planilha1!D785)</f>
        <v>0</v>
      </c>
      <c r="K788" s="10" t="str">
        <f>IF(Planilha1!E785="","",IF(Planilha1!E785=0,"",Planilha1!E785))</f>
        <v>New York Knicks</v>
      </c>
      <c r="L788" s="10">
        <f>IF(Planilha1!F785="","",Planilha1!F785)</f>
        <v>0</v>
      </c>
      <c r="M788" s="10" t="str">
        <f>IF(Planilha1!G785="","",IF(Planilha1!G785=0,"",Planilha1!G785))</f>
        <v/>
      </c>
      <c r="N788" s="5">
        <f t="shared" si="103"/>
        <v>1</v>
      </c>
      <c r="O788" s="5">
        <f t="shared" si="104"/>
        <v>0</v>
      </c>
      <c r="P788" s="5">
        <f t="shared" si="97"/>
        <v>0</v>
      </c>
      <c r="Q788" s="5">
        <f t="shared" si="98"/>
        <v>2</v>
      </c>
      <c r="R788" s="7">
        <f t="shared" si="99"/>
        <v>0</v>
      </c>
      <c r="S788" s="7">
        <f t="shared" si="100"/>
        <v>0</v>
      </c>
      <c r="T788" s="3" t="str">
        <f t="shared" si="101"/>
        <v/>
      </c>
      <c r="V788" s="1" t="e">
        <f t="shared" si="102"/>
        <v>#DIV/0!</v>
      </c>
    </row>
    <row r="789" spans="8:22" x14ac:dyDescent="0.3">
      <c r="H789" s="10" t="str">
        <f>IF(Planilha1!B786="","",Planilha1!B786)</f>
        <v>7:30p</v>
      </c>
      <c r="I789" s="10" t="str">
        <f>IF(Planilha1!C786="","",Planilha1!C786)</f>
        <v>Cleveland Cavaliers</v>
      </c>
      <c r="J789" s="10">
        <f>IF(Planilha1!D786="","",Planilha1!D786)</f>
        <v>0</v>
      </c>
      <c r="K789" s="10" t="str">
        <f>IF(Planilha1!E786="","",IF(Planilha1!E786=0,"",Planilha1!E786))</f>
        <v>Toronto Raptors</v>
      </c>
      <c r="L789" s="10">
        <f>IF(Planilha1!F786="","",Planilha1!F786)</f>
        <v>0</v>
      </c>
      <c r="M789" s="10" t="str">
        <f>IF(Planilha1!G786="","",IF(Planilha1!G786=0,"",Planilha1!G786))</f>
        <v/>
      </c>
      <c r="N789" s="5">
        <f t="shared" si="103"/>
        <v>1</v>
      </c>
      <c r="O789" s="5">
        <f t="shared" si="104"/>
        <v>0</v>
      </c>
      <c r="P789" s="5">
        <f t="shared" si="97"/>
        <v>0</v>
      </c>
      <c r="Q789" s="5">
        <f t="shared" si="98"/>
        <v>2</v>
      </c>
      <c r="R789" s="7">
        <f t="shared" si="99"/>
        <v>0</v>
      </c>
      <c r="S789" s="7">
        <f t="shared" si="100"/>
        <v>0</v>
      </c>
      <c r="T789" s="3" t="str">
        <f t="shared" si="101"/>
        <v/>
      </c>
      <c r="V789" s="1" t="e">
        <f t="shared" si="102"/>
        <v>#DIV/0!</v>
      </c>
    </row>
    <row r="790" spans="8:22" x14ac:dyDescent="0.3">
      <c r="H790" s="10" t="str">
        <f>IF(Planilha1!B787="","",Planilha1!B787)</f>
        <v>8:30p</v>
      </c>
      <c r="I790" s="10" t="str">
        <f>IF(Planilha1!C787="","",Planilha1!C787)</f>
        <v>Phoenix Suns</v>
      </c>
      <c r="J790" s="10">
        <f>IF(Planilha1!D787="","",Planilha1!D787)</f>
        <v>0</v>
      </c>
      <c r="K790" s="10" t="str">
        <f>IF(Planilha1!E787="","",IF(Planilha1!E787=0,"",Planilha1!E787))</f>
        <v>Golden State Warriors</v>
      </c>
      <c r="L790" s="10">
        <f>IF(Planilha1!F787="","",Planilha1!F787)</f>
        <v>0</v>
      </c>
      <c r="M790" s="10" t="str">
        <f>IF(Planilha1!G787="","",IF(Planilha1!G787=0,"",Planilha1!G787))</f>
        <v/>
      </c>
      <c r="N790" s="5">
        <f t="shared" si="103"/>
        <v>1</v>
      </c>
      <c r="O790" s="5">
        <f t="shared" si="104"/>
        <v>0</v>
      </c>
      <c r="P790" s="5">
        <f t="shared" si="97"/>
        <v>0</v>
      </c>
      <c r="Q790" s="5">
        <f t="shared" si="98"/>
        <v>2</v>
      </c>
      <c r="R790" s="7">
        <f t="shared" si="99"/>
        <v>0</v>
      </c>
      <c r="S790" s="7">
        <f t="shared" si="100"/>
        <v>0</v>
      </c>
      <c r="T790" s="3" t="str">
        <f t="shared" si="101"/>
        <v/>
      </c>
      <c r="V790" s="1" t="e">
        <f t="shared" si="102"/>
        <v>#DIV/0!</v>
      </c>
    </row>
    <row r="791" spans="8:22" x14ac:dyDescent="0.3">
      <c r="H791" s="10" t="str">
        <f>IF(Planilha1!B788="","",Planilha1!B788)</f>
        <v>10:00p</v>
      </c>
      <c r="I791" s="10" t="str">
        <f>IF(Planilha1!C788="","",Planilha1!C788)</f>
        <v>New Orleans Pelicans</v>
      </c>
      <c r="J791" s="10">
        <f>IF(Planilha1!D788="","",Planilha1!D788)</f>
        <v>0</v>
      </c>
      <c r="K791" s="10" t="str">
        <f>IF(Planilha1!E788="","",IF(Planilha1!E788=0,"",Planilha1!E788))</f>
        <v>Portland Trail Blazers</v>
      </c>
      <c r="L791" s="10">
        <f>IF(Planilha1!F788="","",Planilha1!F788)</f>
        <v>0</v>
      </c>
      <c r="M791" s="10" t="str">
        <f>IF(Planilha1!G788="","",IF(Planilha1!G788=0,"",Planilha1!G788))</f>
        <v/>
      </c>
      <c r="N791" s="5">
        <f t="shared" si="103"/>
        <v>1</v>
      </c>
      <c r="O791" s="5">
        <f t="shared" si="104"/>
        <v>0</v>
      </c>
      <c r="P791" s="5">
        <f t="shared" si="97"/>
        <v>0</v>
      </c>
      <c r="Q791" s="5">
        <f t="shared" si="98"/>
        <v>2</v>
      </c>
      <c r="R791" s="7">
        <f t="shared" si="99"/>
        <v>0</v>
      </c>
      <c r="S791" s="7">
        <f t="shared" si="100"/>
        <v>0</v>
      </c>
      <c r="T791" s="3" t="str">
        <f t="shared" si="101"/>
        <v/>
      </c>
      <c r="V791" s="1" t="e">
        <f t="shared" si="102"/>
        <v>#DIV/0!</v>
      </c>
    </row>
    <row r="792" spans="8:22" x14ac:dyDescent="0.3">
      <c r="H792" s="10" t="str">
        <f>IF(Planilha1!B789="","",Planilha1!B789)</f>
        <v>2:00p</v>
      </c>
      <c r="I792" s="10" t="str">
        <f>IF(Planilha1!C789="","",Planilha1!C789)</f>
        <v>Boston Celtics</v>
      </c>
      <c r="J792" s="10">
        <f>IF(Planilha1!D789="","",Planilha1!D789)</f>
        <v>0</v>
      </c>
      <c r="K792" s="10" t="str">
        <f>IF(Planilha1!E789="","",IF(Planilha1!E789=0,"",Planilha1!E789))</f>
        <v>Miami Heat</v>
      </c>
      <c r="L792" s="10">
        <f>IF(Planilha1!F789="","",Planilha1!F789)</f>
        <v>0</v>
      </c>
      <c r="M792" s="10" t="str">
        <f>IF(Planilha1!G789="","",IF(Planilha1!G789=0,"",Planilha1!G789))</f>
        <v/>
      </c>
      <c r="N792" s="5">
        <f t="shared" si="103"/>
        <v>1</v>
      </c>
      <c r="O792" s="5">
        <f t="shared" si="104"/>
        <v>0</v>
      </c>
      <c r="P792" s="5">
        <f t="shared" si="97"/>
        <v>0</v>
      </c>
      <c r="Q792" s="5">
        <f t="shared" si="98"/>
        <v>2</v>
      </c>
      <c r="R792" s="7">
        <f t="shared" si="99"/>
        <v>0</v>
      </c>
      <c r="S792" s="7">
        <f t="shared" si="100"/>
        <v>0</v>
      </c>
      <c r="T792" s="3" t="str">
        <f t="shared" si="101"/>
        <v/>
      </c>
      <c r="V792" s="1" t="e">
        <f t="shared" si="102"/>
        <v>#DIV/0!</v>
      </c>
    </row>
    <row r="793" spans="8:22" x14ac:dyDescent="0.3">
      <c r="H793" s="10" t="str">
        <f>IF(Planilha1!B790="","",Planilha1!B790)</f>
        <v>3:00p</v>
      </c>
      <c r="I793" s="10" t="str">
        <f>IF(Planilha1!C790="","",Planilha1!C790)</f>
        <v>Sacramento Kings</v>
      </c>
      <c r="J793" s="10">
        <f>IF(Planilha1!D790="","",Planilha1!D790)</f>
        <v>0</v>
      </c>
      <c r="K793" s="10" t="str">
        <f>IF(Planilha1!E790="","",IF(Planilha1!E790=0,"",Planilha1!E790))</f>
        <v>Oklahoma City Thunder</v>
      </c>
      <c r="L793" s="10">
        <f>IF(Planilha1!F790="","",Planilha1!F790)</f>
        <v>0</v>
      </c>
      <c r="M793" s="10" t="str">
        <f>IF(Planilha1!G790="","",IF(Planilha1!G790=0,"",Planilha1!G790))</f>
        <v/>
      </c>
      <c r="N793" s="5">
        <f t="shared" si="103"/>
        <v>1</v>
      </c>
      <c r="O793" s="5">
        <f t="shared" si="104"/>
        <v>0</v>
      </c>
      <c r="P793" s="5">
        <f t="shared" si="97"/>
        <v>0</v>
      </c>
      <c r="Q793" s="5">
        <f t="shared" si="98"/>
        <v>2</v>
      </c>
      <c r="R793" s="7">
        <f t="shared" si="99"/>
        <v>0</v>
      </c>
      <c r="S793" s="7">
        <f t="shared" si="100"/>
        <v>0</v>
      </c>
      <c r="T793" s="3" t="str">
        <f t="shared" si="101"/>
        <v/>
      </c>
      <c r="V793" s="1" t="e">
        <f t="shared" si="102"/>
        <v>#DIV/0!</v>
      </c>
    </row>
    <row r="794" spans="8:22" x14ac:dyDescent="0.3">
      <c r="H794" s="10" t="str">
        <f>IF(Planilha1!B791="","",Planilha1!B791)</f>
        <v>7:00p</v>
      </c>
      <c r="I794" s="10" t="str">
        <f>IF(Planilha1!C791="","",Planilha1!C791)</f>
        <v>Indiana Pacers</v>
      </c>
      <c r="J794" s="10">
        <f>IF(Planilha1!D791="","",Planilha1!D791)</f>
        <v>0</v>
      </c>
      <c r="K794" s="10" t="str">
        <f>IF(Planilha1!E791="","",IF(Planilha1!E791=0,"",Planilha1!E791))</f>
        <v>Charlotte Hornets</v>
      </c>
      <c r="L794" s="10">
        <f>IF(Planilha1!F791="","",Planilha1!F791)</f>
        <v>0</v>
      </c>
      <c r="M794" s="10" t="str">
        <f>IF(Planilha1!G791="","",IF(Planilha1!G791=0,"",Planilha1!G791))</f>
        <v/>
      </c>
      <c r="N794" s="5">
        <f t="shared" si="103"/>
        <v>1</v>
      </c>
      <c r="O794" s="5">
        <f t="shared" si="104"/>
        <v>0</v>
      </c>
      <c r="P794" s="5">
        <f t="shared" si="97"/>
        <v>0</v>
      </c>
      <c r="Q794" s="5">
        <f t="shared" si="98"/>
        <v>2</v>
      </c>
      <c r="R794" s="7">
        <f t="shared" si="99"/>
        <v>0</v>
      </c>
      <c r="S794" s="7">
        <f t="shared" si="100"/>
        <v>0</v>
      </c>
      <c r="T794" s="3" t="str">
        <f t="shared" si="101"/>
        <v/>
      </c>
      <c r="V794" s="1" t="e">
        <f t="shared" si="102"/>
        <v>#DIV/0!</v>
      </c>
    </row>
    <row r="795" spans="8:22" x14ac:dyDescent="0.3">
      <c r="H795" s="10" t="str">
        <f>IF(Planilha1!B792="","",Planilha1!B792)</f>
        <v>7:00p</v>
      </c>
      <c r="I795" s="10" t="str">
        <f>IF(Planilha1!C792="","",Planilha1!C792)</f>
        <v>Philadelphia 76ers</v>
      </c>
      <c r="J795" s="10">
        <f>IF(Planilha1!D792="","",Planilha1!D792)</f>
        <v>0</v>
      </c>
      <c r="K795" s="10" t="str">
        <f>IF(Planilha1!E792="","",IF(Planilha1!E792=0,"",Planilha1!E792))</f>
        <v>Cleveland Cavaliers</v>
      </c>
      <c r="L795" s="10">
        <f>IF(Planilha1!F792="","",Planilha1!F792)</f>
        <v>0</v>
      </c>
      <c r="M795" s="10" t="str">
        <f>IF(Planilha1!G792="","",IF(Planilha1!G792=0,"",Planilha1!G792))</f>
        <v/>
      </c>
      <c r="N795" s="5">
        <f t="shared" si="103"/>
        <v>1</v>
      </c>
      <c r="O795" s="5">
        <f t="shared" si="104"/>
        <v>0</v>
      </c>
      <c r="P795" s="5">
        <f t="shared" si="97"/>
        <v>0</v>
      </c>
      <c r="Q795" s="5">
        <f t="shared" si="98"/>
        <v>2</v>
      </c>
      <c r="R795" s="7">
        <f t="shared" si="99"/>
        <v>0</v>
      </c>
      <c r="S795" s="7">
        <f t="shared" si="100"/>
        <v>0</v>
      </c>
      <c r="T795" s="3" t="str">
        <f t="shared" si="101"/>
        <v/>
      </c>
      <c r="V795" s="1" t="e">
        <f t="shared" si="102"/>
        <v>#DIV/0!</v>
      </c>
    </row>
    <row r="796" spans="8:22" x14ac:dyDescent="0.3">
      <c r="H796" s="10" t="str">
        <f>IF(Planilha1!B793="","",Planilha1!B793)</f>
        <v>7:30p</v>
      </c>
      <c r="I796" s="10" t="str">
        <f>IF(Planilha1!C793="","",Planilha1!C793)</f>
        <v>Chicago Bulls</v>
      </c>
      <c r="J796" s="10">
        <f>IF(Planilha1!D793="","",Planilha1!D793)</f>
        <v>0</v>
      </c>
      <c r="K796" s="10" t="str">
        <f>IF(Planilha1!E793="","",IF(Planilha1!E793=0,"",Planilha1!E793))</f>
        <v>Atlanta Hawks</v>
      </c>
      <c r="L796" s="10">
        <f>IF(Planilha1!F793="","",Planilha1!F793)</f>
        <v>0</v>
      </c>
      <c r="M796" s="10" t="str">
        <f>IF(Planilha1!G793="","",IF(Planilha1!G793=0,"",Planilha1!G793))</f>
        <v/>
      </c>
      <c r="N796" s="5">
        <f t="shared" si="103"/>
        <v>1</v>
      </c>
      <c r="O796" s="5">
        <f t="shared" si="104"/>
        <v>0</v>
      </c>
      <c r="P796" s="5">
        <f t="shared" si="97"/>
        <v>0</v>
      </c>
      <c r="Q796" s="5">
        <f t="shared" si="98"/>
        <v>2</v>
      </c>
      <c r="R796" s="7">
        <f t="shared" si="99"/>
        <v>0</v>
      </c>
      <c r="S796" s="7">
        <f t="shared" si="100"/>
        <v>0</v>
      </c>
      <c r="T796" s="3" t="str">
        <f t="shared" si="101"/>
        <v/>
      </c>
      <c r="V796" s="1" t="e">
        <f t="shared" si="102"/>
        <v>#DIV/0!</v>
      </c>
    </row>
    <row r="797" spans="8:22" x14ac:dyDescent="0.3">
      <c r="H797" s="10" t="str">
        <f>IF(Planilha1!B794="","",Planilha1!B794)</f>
        <v>7:30p</v>
      </c>
      <c r="I797" s="10" t="str">
        <f>IF(Planilha1!C794="","",Planilha1!C794)</f>
        <v>San Antonio Spurs</v>
      </c>
      <c r="J797" s="10">
        <f>IF(Planilha1!D794="","",Planilha1!D794)</f>
        <v>0</v>
      </c>
      <c r="K797" s="10" t="str">
        <f>IF(Planilha1!E794="","",IF(Planilha1!E794=0,"",Planilha1!E794))</f>
        <v>Toronto Raptors</v>
      </c>
      <c r="L797" s="10">
        <f>IF(Planilha1!F794="","",Planilha1!F794)</f>
        <v>0</v>
      </c>
      <c r="M797" s="10" t="str">
        <f>IF(Planilha1!G794="","",IF(Planilha1!G794=0,"",Planilha1!G794))</f>
        <v/>
      </c>
      <c r="N797" s="5">
        <f t="shared" si="103"/>
        <v>1</v>
      </c>
      <c r="O797" s="5">
        <f t="shared" si="104"/>
        <v>0</v>
      </c>
      <c r="P797" s="5">
        <f t="shared" si="97"/>
        <v>0</v>
      </c>
      <c r="Q797" s="5">
        <f t="shared" si="98"/>
        <v>2</v>
      </c>
      <c r="R797" s="7">
        <f t="shared" si="99"/>
        <v>0</v>
      </c>
      <c r="S797" s="7">
        <f t="shared" si="100"/>
        <v>0</v>
      </c>
      <c r="T797" s="3" t="str">
        <f t="shared" si="101"/>
        <v/>
      </c>
      <c r="V797" s="1" t="e">
        <f t="shared" si="102"/>
        <v>#DIV/0!</v>
      </c>
    </row>
    <row r="798" spans="8:22" x14ac:dyDescent="0.3">
      <c r="H798" s="10" t="str">
        <f>IF(Planilha1!B795="","",Planilha1!B795)</f>
        <v>8:00p</v>
      </c>
      <c r="I798" s="10" t="str">
        <f>IF(Planilha1!C795="","",Planilha1!C795)</f>
        <v>New York Knicks</v>
      </c>
      <c r="J798" s="10">
        <f>IF(Planilha1!D795="","",Planilha1!D795)</f>
        <v>0</v>
      </c>
      <c r="K798" s="10" t="str">
        <f>IF(Planilha1!E795="","",IF(Planilha1!E795=0,"",Planilha1!E795))</f>
        <v>Houston Rockets</v>
      </c>
      <c r="L798" s="10">
        <f>IF(Planilha1!F795="","",Planilha1!F795)</f>
        <v>0</v>
      </c>
      <c r="M798" s="10" t="str">
        <f>IF(Planilha1!G795="","",IF(Planilha1!G795=0,"",Planilha1!G795))</f>
        <v/>
      </c>
      <c r="N798" s="5">
        <f t="shared" si="103"/>
        <v>1</v>
      </c>
      <c r="O798" s="5">
        <f t="shared" si="104"/>
        <v>0</v>
      </c>
      <c r="P798" s="5">
        <f t="shared" si="97"/>
        <v>0</v>
      </c>
      <c r="Q798" s="5">
        <f t="shared" si="98"/>
        <v>2</v>
      </c>
      <c r="R798" s="7">
        <f t="shared" si="99"/>
        <v>0</v>
      </c>
      <c r="S798" s="7">
        <f t="shared" si="100"/>
        <v>0</v>
      </c>
      <c r="T798" s="3" t="str">
        <f t="shared" si="101"/>
        <v/>
      </c>
      <c r="V798" s="1" t="e">
        <f t="shared" si="102"/>
        <v>#DIV/0!</v>
      </c>
    </row>
    <row r="799" spans="8:22" x14ac:dyDescent="0.3">
      <c r="H799" s="10" t="str">
        <f>IF(Planilha1!B796="","",Planilha1!B796)</f>
        <v>8:00p</v>
      </c>
      <c r="I799" s="10" t="str">
        <f>IF(Planilha1!C796="","",Planilha1!C796)</f>
        <v>New Orleans Pelicans</v>
      </c>
      <c r="J799" s="10">
        <f>IF(Planilha1!D796="","",Planilha1!D796)</f>
        <v>0</v>
      </c>
      <c r="K799" s="10" t="str">
        <f>IF(Planilha1!E796="","",IF(Planilha1!E796=0,"",Planilha1!E796))</f>
        <v>Memphis Grizzlies</v>
      </c>
      <c r="L799" s="10">
        <f>IF(Planilha1!F796="","",Planilha1!F796)</f>
        <v>0</v>
      </c>
      <c r="M799" s="10" t="str">
        <f>IF(Planilha1!G796="","",IF(Planilha1!G796=0,"",Planilha1!G796))</f>
        <v/>
      </c>
      <c r="N799" s="5">
        <f t="shared" si="103"/>
        <v>1</v>
      </c>
      <c r="O799" s="5">
        <f t="shared" si="104"/>
        <v>0</v>
      </c>
      <c r="P799" s="5">
        <f t="shared" si="97"/>
        <v>0</v>
      </c>
      <c r="Q799" s="5">
        <f t="shared" si="98"/>
        <v>2</v>
      </c>
      <c r="R799" s="7">
        <f t="shared" si="99"/>
        <v>0</v>
      </c>
      <c r="S799" s="7">
        <f t="shared" si="100"/>
        <v>0</v>
      </c>
      <c r="T799" s="3" t="str">
        <f t="shared" si="101"/>
        <v/>
      </c>
      <c r="V799" s="1" t="e">
        <f t="shared" si="102"/>
        <v>#DIV/0!</v>
      </c>
    </row>
    <row r="800" spans="8:22" x14ac:dyDescent="0.3">
      <c r="H800" s="10" t="str">
        <f>IF(Planilha1!B797="","",Planilha1!B797)</f>
        <v>8:00p</v>
      </c>
      <c r="I800" s="10" t="str">
        <f>IF(Planilha1!C797="","",Planilha1!C797)</f>
        <v>Denver Nuggets</v>
      </c>
      <c r="J800" s="10">
        <f>IF(Planilha1!D797="","",Planilha1!D797)</f>
        <v>0</v>
      </c>
      <c r="K800" s="10" t="str">
        <f>IF(Planilha1!E797="","",IF(Planilha1!E797=0,"",Planilha1!E797))</f>
        <v>Milwaukee Bucks</v>
      </c>
      <c r="L800" s="10">
        <f>IF(Planilha1!F797="","",Planilha1!F797)</f>
        <v>0</v>
      </c>
      <c r="M800" s="10" t="str">
        <f>IF(Planilha1!G797="","",IF(Planilha1!G797=0,"",Planilha1!G797))</f>
        <v/>
      </c>
      <c r="N800" s="5">
        <f t="shared" si="103"/>
        <v>1</v>
      </c>
      <c r="O800" s="5">
        <f t="shared" si="104"/>
        <v>0</v>
      </c>
      <c r="P800" s="5">
        <f t="shared" si="97"/>
        <v>0</v>
      </c>
      <c r="Q800" s="5">
        <f t="shared" si="98"/>
        <v>2</v>
      </c>
      <c r="R800" s="7">
        <f t="shared" si="99"/>
        <v>0</v>
      </c>
      <c r="S800" s="7">
        <f t="shared" si="100"/>
        <v>0</v>
      </c>
      <c r="T800" s="3" t="str">
        <f t="shared" si="101"/>
        <v/>
      </c>
      <c r="V800" s="1" t="e">
        <f t="shared" si="102"/>
        <v>#DIV/0!</v>
      </c>
    </row>
    <row r="801" spans="8:22" x14ac:dyDescent="0.3">
      <c r="H801" s="10" t="str">
        <f>IF(Planilha1!B798="","",Planilha1!B798)</f>
        <v>8:30p</v>
      </c>
      <c r="I801" s="10" t="str">
        <f>IF(Planilha1!C798="","",Planilha1!C798)</f>
        <v>Washington Wizards</v>
      </c>
      <c r="J801" s="10">
        <f>IF(Planilha1!D798="","",Planilha1!D798)</f>
        <v>0</v>
      </c>
      <c r="K801" s="10" t="str">
        <f>IF(Planilha1!E798="","",IF(Planilha1!E798=0,"",Planilha1!E798))</f>
        <v>Dallas Mavericks</v>
      </c>
      <c r="L801" s="10">
        <f>IF(Planilha1!F798="","",Planilha1!F798)</f>
        <v>0</v>
      </c>
      <c r="M801" s="10" t="str">
        <f>IF(Planilha1!G798="","",IF(Planilha1!G798=0,"",Planilha1!G798))</f>
        <v/>
      </c>
      <c r="N801" s="5">
        <f t="shared" si="103"/>
        <v>1</v>
      </c>
      <c r="O801" s="5">
        <f t="shared" si="104"/>
        <v>0</v>
      </c>
      <c r="P801" s="5">
        <f t="shared" si="97"/>
        <v>0</v>
      </c>
      <c r="Q801" s="5">
        <f t="shared" si="98"/>
        <v>2</v>
      </c>
      <c r="R801" s="7">
        <f t="shared" si="99"/>
        <v>0</v>
      </c>
      <c r="S801" s="7">
        <f t="shared" si="100"/>
        <v>0</v>
      </c>
      <c r="T801" s="3" t="str">
        <f t="shared" si="101"/>
        <v/>
      </c>
      <c r="V801" s="1" t="e">
        <f t="shared" si="102"/>
        <v>#DIV/0!</v>
      </c>
    </row>
    <row r="802" spans="8:22" x14ac:dyDescent="0.3">
      <c r="H802" s="10" t="str">
        <f>IF(Planilha1!B799="","",Planilha1!B799)</f>
        <v>9:00p</v>
      </c>
      <c r="I802" s="10" t="str">
        <f>IF(Planilha1!C799="","",Planilha1!C799)</f>
        <v>Golden State Warriors</v>
      </c>
      <c r="J802" s="10">
        <f>IF(Planilha1!D799="","",Planilha1!D799)</f>
        <v>0</v>
      </c>
      <c r="K802" s="10" t="str">
        <f>IF(Planilha1!E799="","",IF(Planilha1!E799=0,"",Planilha1!E799))</f>
        <v>Utah Jazz</v>
      </c>
      <c r="L802" s="10">
        <f>IF(Planilha1!F799="","",Planilha1!F799)</f>
        <v>0</v>
      </c>
      <c r="M802" s="10" t="str">
        <f>IF(Planilha1!G799="","",IF(Planilha1!G799=0,"",Planilha1!G799))</f>
        <v/>
      </c>
      <c r="N802" s="5">
        <f t="shared" si="103"/>
        <v>1</v>
      </c>
      <c r="O802" s="5">
        <f t="shared" si="104"/>
        <v>0</v>
      </c>
      <c r="P802" s="5">
        <f t="shared" si="97"/>
        <v>0</v>
      </c>
      <c r="Q802" s="5">
        <f t="shared" si="98"/>
        <v>2</v>
      </c>
      <c r="R802" s="7">
        <f t="shared" si="99"/>
        <v>0</v>
      </c>
      <c r="S802" s="7">
        <f t="shared" si="100"/>
        <v>0</v>
      </c>
      <c r="T802" s="3" t="str">
        <f t="shared" si="101"/>
        <v/>
      </c>
      <c r="V802" s="1" t="e">
        <f t="shared" si="102"/>
        <v>#DIV/0!</v>
      </c>
    </row>
    <row r="803" spans="8:22" x14ac:dyDescent="0.3">
      <c r="H803" s="10" t="str">
        <f>IF(Planilha1!B800="","",Planilha1!B800)</f>
        <v>10:30p</v>
      </c>
      <c r="I803" s="10" t="str">
        <f>IF(Planilha1!C800="","",Planilha1!C800)</f>
        <v>Minnesota Timberwolves</v>
      </c>
      <c r="J803" s="10">
        <f>IF(Planilha1!D800="","",Planilha1!D800)</f>
        <v>0</v>
      </c>
      <c r="K803" s="10" t="str">
        <f>IF(Planilha1!E800="","",IF(Planilha1!E800=0,"",Planilha1!E800))</f>
        <v>Los Angeles Clippers</v>
      </c>
      <c r="L803" s="10">
        <f>IF(Planilha1!F800="","",Planilha1!F800)</f>
        <v>0</v>
      </c>
      <c r="M803" s="10" t="str">
        <f>IF(Planilha1!G800="","",IF(Planilha1!G800=0,"",Planilha1!G800))</f>
        <v/>
      </c>
      <c r="N803" s="5">
        <f t="shared" si="103"/>
        <v>1</v>
      </c>
      <c r="O803" s="5">
        <f t="shared" si="104"/>
        <v>0</v>
      </c>
      <c r="P803" s="5">
        <f t="shared" si="97"/>
        <v>0</v>
      </c>
      <c r="Q803" s="5">
        <f t="shared" si="98"/>
        <v>2</v>
      </c>
      <c r="R803" s="7">
        <f t="shared" si="99"/>
        <v>0</v>
      </c>
      <c r="S803" s="7">
        <f t="shared" si="100"/>
        <v>0</v>
      </c>
      <c r="T803" s="3" t="str">
        <f t="shared" si="101"/>
        <v/>
      </c>
      <c r="V803" s="1" t="e">
        <f t="shared" si="102"/>
        <v>#DIV/0!</v>
      </c>
    </row>
    <row r="804" spans="8:22" x14ac:dyDescent="0.3">
      <c r="H804" s="10" t="str">
        <f>IF(Planilha1!B801="","",Planilha1!B801)</f>
        <v>7:30p</v>
      </c>
      <c r="I804" s="10" t="str">
        <f>IF(Planilha1!C801="","",Planilha1!C801)</f>
        <v>Boston Celtics</v>
      </c>
      <c r="J804" s="10">
        <f>IF(Planilha1!D801="","",Planilha1!D801)</f>
        <v>0</v>
      </c>
      <c r="K804" s="10" t="str">
        <f>IF(Planilha1!E801="","",IF(Planilha1!E801=0,"",Planilha1!E801))</f>
        <v>Brooklyn Nets</v>
      </c>
      <c r="L804" s="10">
        <f>IF(Planilha1!F801="","",Planilha1!F801)</f>
        <v>0</v>
      </c>
      <c r="M804" s="10" t="str">
        <f>IF(Planilha1!G801="","",IF(Planilha1!G801=0,"",Planilha1!G801))</f>
        <v/>
      </c>
      <c r="N804" s="5">
        <f t="shared" si="103"/>
        <v>1</v>
      </c>
      <c r="O804" s="5">
        <f t="shared" si="104"/>
        <v>0</v>
      </c>
      <c r="P804" s="5">
        <f t="shared" si="97"/>
        <v>0</v>
      </c>
      <c r="Q804" s="5">
        <f t="shared" si="98"/>
        <v>2</v>
      </c>
      <c r="R804" s="7">
        <f t="shared" si="99"/>
        <v>0</v>
      </c>
      <c r="S804" s="7">
        <f t="shared" si="100"/>
        <v>0</v>
      </c>
      <c r="T804" s="3" t="str">
        <f t="shared" si="101"/>
        <v/>
      </c>
      <c r="V804" s="1" t="e">
        <f t="shared" si="102"/>
        <v>#DIV/0!</v>
      </c>
    </row>
    <row r="805" spans="8:22" x14ac:dyDescent="0.3">
      <c r="H805" s="10" t="str">
        <f>IF(Planilha1!B802="","",Planilha1!B802)</f>
        <v>7:30p</v>
      </c>
      <c r="I805" s="10" t="str">
        <f>IF(Planilha1!C802="","",Planilha1!C802)</f>
        <v>Oklahoma City Thunder</v>
      </c>
      <c r="J805" s="10">
        <f>IF(Planilha1!D802="","",Planilha1!D802)</f>
        <v>0</v>
      </c>
      <c r="K805" s="10" t="str">
        <f>IF(Planilha1!E802="","",IF(Planilha1!E802=0,"",Planilha1!E802))</f>
        <v>Orlando Magic</v>
      </c>
      <c r="L805" s="10">
        <f>IF(Planilha1!F802="","",Planilha1!F802)</f>
        <v>0</v>
      </c>
      <c r="M805" s="10" t="str">
        <f>IF(Planilha1!G802="","",IF(Planilha1!G802=0,"",Planilha1!G802))</f>
        <v/>
      </c>
      <c r="N805" s="5">
        <f t="shared" si="103"/>
        <v>1</v>
      </c>
      <c r="O805" s="5">
        <f t="shared" si="104"/>
        <v>0</v>
      </c>
      <c r="P805" s="5">
        <f t="shared" si="97"/>
        <v>0</v>
      </c>
      <c r="Q805" s="5">
        <f t="shared" si="98"/>
        <v>2</v>
      </c>
      <c r="R805" s="7">
        <f t="shared" si="99"/>
        <v>0</v>
      </c>
      <c r="S805" s="7">
        <f t="shared" si="100"/>
        <v>0</v>
      </c>
      <c r="T805" s="3" t="str">
        <f t="shared" si="101"/>
        <v/>
      </c>
      <c r="V805" s="1" t="e">
        <f t="shared" si="102"/>
        <v>#DIV/0!</v>
      </c>
    </row>
    <row r="806" spans="8:22" x14ac:dyDescent="0.3">
      <c r="H806" s="10" t="str">
        <f>IF(Planilha1!B803="","",Planilha1!B803)</f>
        <v>8:00p</v>
      </c>
      <c r="I806" s="10" t="str">
        <f>IF(Planilha1!C803="","",Planilha1!C803)</f>
        <v>Miami Heat</v>
      </c>
      <c r="J806" s="10">
        <f>IF(Planilha1!D803="","",Planilha1!D803)</f>
        <v>0</v>
      </c>
      <c r="K806" s="10" t="str">
        <f>IF(Planilha1!E803="","",IF(Planilha1!E803=0,"",Planilha1!E803))</f>
        <v>Milwaukee Bucks</v>
      </c>
      <c r="L806" s="10">
        <f>IF(Planilha1!F803="","",Planilha1!F803)</f>
        <v>0</v>
      </c>
      <c r="M806" s="10" t="str">
        <f>IF(Planilha1!G803="","",IF(Planilha1!G803=0,"",Planilha1!G803))</f>
        <v/>
      </c>
      <c r="N806" s="5">
        <f t="shared" si="103"/>
        <v>1</v>
      </c>
      <c r="O806" s="5">
        <f t="shared" si="104"/>
        <v>0</v>
      </c>
      <c r="P806" s="5">
        <f t="shared" si="97"/>
        <v>0</v>
      </c>
      <c r="Q806" s="5">
        <f t="shared" si="98"/>
        <v>2</v>
      </c>
      <c r="R806" s="7">
        <f t="shared" si="99"/>
        <v>0</v>
      </c>
      <c r="S806" s="7">
        <f t="shared" si="100"/>
        <v>0</v>
      </c>
      <c r="T806" s="3" t="str">
        <f t="shared" si="101"/>
        <v/>
      </c>
      <c r="V806" s="1" t="e">
        <f t="shared" si="102"/>
        <v>#DIV/0!</v>
      </c>
    </row>
    <row r="807" spans="8:22" x14ac:dyDescent="0.3">
      <c r="H807" s="10" t="str">
        <f>IF(Planilha1!B804="","",Planilha1!B804)</f>
        <v>10:00p</v>
      </c>
      <c r="I807" s="10" t="str">
        <f>IF(Planilha1!C804="","",Planilha1!C804)</f>
        <v>Sacramento Kings</v>
      </c>
      <c r="J807" s="10">
        <f>IF(Planilha1!D804="","",Planilha1!D804)</f>
        <v>0</v>
      </c>
      <c r="K807" s="10" t="str">
        <f>IF(Planilha1!E804="","",IF(Planilha1!E804=0,"",Planilha1!E804))</f>
        <v>Phoenix Suns</v>
      </c>
      <c r="L807" s="10">
        <f>IF(Planilha1!F804="","",Planilha1!F804)</f>
        <v>0</v>
      </c>
      <c r="M807" s="10" t="str">
        <f>IF(Planilha1!G804="","",IF(Planilha1!G804=0,"",Planilha1!G804))</f>
        <v/>
      </c>
      <c r="N807" s="5">
        <f t="shared" si="103"/>
        <v>1</v>
      </c>
      <c r="O807" s="5">
        <f t="shared" si="104"/>
        <v>0</v>
      </c>
      <c r="P807" s="5">
        <f t="shared" si="97"/>
        <v>0</v>
      </c>
      <c r="Q807" s="5">
        <f t="shared" si="98"/>
        <v>2</v>
      </c>
      <c r="R807" s="7">
        <f t="shared" si="99"/>
        <v>0</v>
      </c>
      <c r="S807" s="7">
        <f t="shared" si="100"/>
        <v>0</v>
      </c>
      <c r="T807" s="3" t="str">
        <f t="shared" si="101"/>
        <v/>
      </c>
      <c r="V807" s="1" t="e">
        <f t="shared" si="102"/>
        <v>#DIV/0!</v>
      </c>
    </row>
    <row r="808" spans="8:22" x14ac:dyDescent="0.3">
      <c r="H808" s="10" t="str">
        <f>IF(Planilha1!B805="","",Planilha1!B805)</f>
        <v>10:00p</v>
      </c>
      <c r="I808" s="10" t="str">
        <f>IF(Planilha1!C805="","",Planilha1!C805)</f>
        <v>Minnesota Timberwolves</v>
      </c>
      <c r="J808" s="10">
        <f>IF(Planilha1!D805="","",Planilha1!D805)</f>
        <v>0</v>
      </c>
      <c r="K808" s="10" t="str">
        <f>IF(Planilha1!E805="","",IF(Planilha1!E805=0,"",Planilha1!E805))</f>
        <v>Portland Trail Blazers</v>
      </c>
      <c r="L808" s="10">
        <f>IF(Planilha1!F805="","",Planilha1!F805)</f>
        <v>0</v>
      </c>
      <c r="M808" s="10" t="str">
        <f>IF(Planilha1!G805="","",IF(Planilha1!G805=0,"",Planilha1!G805))</f>
        <v/>
      </c>
      <c r="N808" s="5">
        <f t="shared" si="103"/>
        <v>1</v>
      </c>
      <c r="O808" s="5">
        <f t="shared" si="104"/>
        <v>0</v>
      </c>
      <c r="P808" s="5">
        <f t="shared" si="97"/>
        <v>0</v>
      </c>
      <c r="Q808" s="5">
        <f t="shared" si="98"/>
        <v>2</v>
      </c>
      <c r="R808" s="7">
        <f t="shared" si="99"/>
        <v>0</v>
      </c>
      <c r="S808" s="7">
        <f t="shared" si="100"/>
        <v>0</v>
      </c>
      <c r="T808" s="3" t="str">
        <f t="shared" si="101"/>
        <v/>
      </c>
      <c r="V808" s="1" t="e">
        <f t="shared" si="102"/>
        <v>#DIV/0!</v>
      </c>
    </row>
    <row r="809" spans="8:22" x14ac:dyDescent="0.3">
      <c r="H809" s="10" t="str">
        <f>IF(Planilha1!B806="","",Planilha1!B806)</f>
        <v>10:30p</v>
      </c>
      <c r="I809" s="10" t="str">
        <f>IF(Planilha1!C806="","",Planilha1!C806)</f>
        <v>Detroit Pistons</v>
      </c>
      <c r="J809" s="10">
        <f>IF(Planilha1!D806="","",Planilha1!D806)</f>
        <v>0</v>
      </c>
      <c r="K809" s="10" t="str">
        <f>IF(Planilha1!E806="","",IF(Planilha1!E806=0,"",Planilha1!E806))</f>
        <v>Los Angeles Lakers</v>
      </c>
      <c r="L809" s="10">
        <f>IF(Planilha1!F806="","",Planilha1!F806)</f>
        <v>0</v>
      </c>
      <c r="M809" s="10" t="str">
        <f>IF(Planilha1!G806="","",IF(Planilha1!G806=0,"",Planilha1!G806))</f>
        <v/>
      </c>
      <c r="N809" s="5">
        <f t="shared" si="103"/>
        <v>1</v>
      </c>
      <c r="O809" s="5">
        <f t="shared" si="104"/>
        <v>0</v>
      </c>
      <c r="P809" s="5">
        <f t="shared" si="97"/>
        <v>0</v>
      </c>
      <c r="Q809" s="5">
        <f t="shared" si="98"/>
        <v>2</v>
      </c>
      <c r="R809" s="7">
        <f t="shared" si="99"/>
        <v>0</v>
      </c>
      <c r="S809" s="7">
        <f t="shared" si="100"/>
        <v>0</v>
      </c>
      <c r="T809" s="3" t="str">
        <f t="shared" si="101"/>
        <v/>
      </c>
      <c r="V809" s="1" t="e">
        <f t="shared" si="102"/>
        <v>#DIV/0!</v>
      </c>
    </row>
    <row r="810" spans="8:22" x14ac:dyDescent="0.3">
      <c r="H810" s="10" t="str">
        <f>IF(Planilha1!B807="","",Planilha1!B807)</f>
        <v>7:00p</v>
      </c>
      <c r="I810" s="10" t="str">
        <f>IF(Planilha1!C807="","",Planilha1!C807)</f>
        <v>Atlanta Hawks</v>
      </c>
      <c r="J810" s="10">
        <f>IF(Planilha1!D807="","",Planilha1!D807)</f>
        <v>0</v>
      </c>
      <c r="K810" s="10" t="str">
        <f>IF(Planilha1!E807="","",IF(Planilha1!E807=0,"",Planilha1!E807))</f>
        <v>Charlotte Hornets</v>
      </c>
      <c r="L810" s="10">
        <f>IF(Planilha1!F807="","",Planilha1!F807)</f>
        <v>0</v>
      </c>
      <c r="M810" s="10" t="str">
        <f>IF(Planilha1!G807="","",IF(Planilha1!G807=0,"",Planilha1!G807))</f>
        <v/>
      </c>
      <c r="N810" s="5">
        <f t="shared" si="103"/>
        <v>1</v>
      </c>
      <c r="O810" s="5">
        <f t="shared" si="104"/>
        <v>0</v>
      </c>
      <c r="P810" s="5">
        <f t="shared" si="97"/>
        <v>0</v>
      </c>
      <c r="Q810" s="5">
        <f t="shared" si="98"/>
        <v>2</v>
      </c>
      <c r="R810" s="7">
        <f t="shared" si="99"/>
        <v>0</v>
      </c>
      <c r="S810" s="7">
        <f t="shared" si="100"/>
        <v>0</v>
      </c>
      <c r="T810" s="3" t="str">
        <f t="shared" si="101"/>
        <v/>
      </c>
      <c r="V810" s="1" t="e">
        <f t="shared" si="102"/>
        <v>#DIV/0!</v>
      </c>
    </row>
    <row r="811" spans="8:22" x14ac:dyDescent="0.3">
      <c r="H811" s="10" t="str">
        <f>IF(Planilha1!B808="","",Planilha1!B808)</f>
        <v>7:00p</v>
      </c>
      <c r="I811" s="10" t="str">
        <f>IF(Planilha1!C808="","",Planilha1!C808)</f>
        <v>New York Knicks</v>
      </c>
      <c r="J811" s="10">
        <f>IF(Planilha1!D808="","",Planilha1!D808)</f>
        <v>0</v>
      </c>
      <c r="K811" s="10" t="str">
        <f>IF(Planilha1!E808="","",IF(Planilha1!E808=0,"",Planilha1!E808))</f>
        <v>Orlando Magic</v>
      </c>
      <c r="L811" s="10">
        <f>IF(Planilha1!F808="","",Planilha1!F808)</f>
        <v>0</v>
      </c>
      <c r="M811" s="10" t="str">
        <f>IF(Planilha1!G808="","",IF(Planilha1!G808=0,"",Planilha1!G808))</f>
        <v/>
      </c>
      <c r="N811" s="5">
        <f t="shared" si="103"/>
        <v>1</v>
      </c>
      <c r="O811" s="5">
        <f t="shared" si="104"/>
        <v>0</v>
      </c>
      <c r="P811" s="5">
        <f t="shared" si="97"/>
        <v>0</v>
      </c>
      <c r="Q811" s="5">
        <f t="shared" si="98"/>
        <v>2</v>
      </c>
      <c r="R811" s="7">
        <f t="shared" si="99"/>
        <v>0</v>
      </c>
      <c r="S811" s="7">
        <f t="shared" si="100"/>
        <v>0</v>
      </c>
      <c r="T811" s="3" t="str">
        <f t="shared" si="101"/>
        <v/>
      </c>
      <c r="V811" s="1" t="e">
        <f t="shared" si="102"/>
        <v>#DIV/0!</v>
      </c>
    </row>
    <row r="812" spans="8:22" x14ac:dyDescent="0.3">
      <c r="H812" s="10" t="str">
        <f>IF(Planilha1!B809="","",Planilha1!B809)</f>
        <v>7:00p</v>
      </c>
      <c r="I812" s="10" t="str">
        <f>IF(Planilha1!C809="","",Planilha1!C809)</f>
        <v>Miami Heat</v>
      </c>
      <c r="J812" s="10">
        <f>IF(Planilha1!D809="","",Planilha1!D809)</f>
        <v>0</v>
      </c>
      <c r="K812" s="10" t="str">
        <f>IF(Planilha1!E809="","",IF(Planilha1!E809=0,"",Planilha1!E809))</f>
        <v>Philadelphia 76ers</v>
      </c>
      <c r="L812" s="10">
        <f>IF(Planilha1!F809="","",Planilha1!F809)</f>
        <v>0</v>
      </c>
      <c r="M812" s="10" t="str">
        <f>IF(Planilha1!G809="","",IF(Planilha1!G809=0,"",Planilha1!G809))</f>
        <v/>
      </c>
      <c r="N812" s="5">
        <f t="shared" si="103"/>
        <v>1</v>
      </c>
      <c r="O812" s="5">
        <f t="shared" si="104"/>
        <v>0</v>
      </c>
      <c r="P812" s="5">
        <f t="shared" si="97"/>
        <v>0</v>
      </c>
      <c r="Q812" s="5">
        <f t="shared" si="98"/>
        <v>2</v>
      </c>
      <c r="R812" s="7">
        <f t="shared" si="99"/>
        <v>0</v>
      </c>
      <c r="S812" s="7">
        <f t="shared" si="100"/>
        <v>0</v>
      </c>
      <c r="T812" s="3" t="str">
        <f t="shared" si="101"/>
        <v/>
      </c>
      <c r="V812" s="1" t="e">
        <f t="shared" si="102"/>
        <v>#DIV/0!</v>
      </c>
    </row>
    <row r="813" spans="8:22" x14ac:dyDescent="0.3">
      <c r="H813" s="10" t="str">
        <f>IF(Planilha1!B810="","",Planilha1!B810)</f>
        <v>7:30p</v>
      </c>
      <c r="I813" s="10" t="str">
        <f>IF(Planilha1!C810="","",Planilha1!C810)</f>
        <v>Brooklyn Nets</v>
      </c>
      <c r="J813" s="10">
        <f>IF(Planilha1!D810="","",Planilha1!D810)</f>
        <v>0</v>
      </c>
      <c r="K813" s="10" t="str">
        <f>IF(Planilha1!E810="","",IF(Planilha1!E810=0,"",Planilha1!E810))</f>
        <v>Boston Celtics</v>
      </c>
      <c r="L813" s="10">
        <f>IF(Planilha1!F810="","",Planilha1!F810)</f>
        <v>0</v>
      </c>
      <c r="M813" s="10" t="str">
        <f>IF(Planilha1!G810="","",IF(Planilha1!G810=0,"",Planilha1!G810))</f>
        <v/>
      </c>
      <c r="N813" s="5">
        <f t="shared" si="103"/>
        <v>1</v>
      </c>
      <c r="O813" s="5">
        <f t="shared" si="104"/>
        <v>0</v>
      </c>
      <c r="P813" s="5">
        <f t="shared" si="97"/>
        <v>0</v>
      </c>
      <c r="Q813" s="5">
        <f t="shared" si="98"/>
        <v>2</v>
      </c>
      <c r="R813" s="7">
        <f t="shared" si="99"/>
        <v>0</v>
      </c>
      <c r="S813" s="7">
        <f t="shared" si="100"/>
        <v>0</v>
      </c>
      <c r="T813" s="3" t="str">
        <f t="shared" si="101"/>
        <v/>
      </c>
      <c r="V813" s="1" t="e">
        <f t="shared" si="102"/>
        <v>#DIV/0!</v>
      </c>
    </row>
    <row r="814" spans="8:22" x14ac:dyDescent="0.3">
      <c r="H814" s="10" t="str">
        <f>IF(Planilha1!B811="","",Planilha1!B811)</f>
        <v>7:30p</v>
      </c>
      <c r="I814" s="10" t="str">
        <f>IF(Planilha1!C811="","",Planilha1!C811)</f>
        <v>Chicago Bulls</v>
      </c>
      <c r="J814" s="10">
        <f>IF(Planilha1!D811="","",Planilha1!D811)</f>
        <v>0</v>
      </c>
      <c r="K814" s="10" t="str">
        <f>IF(Planilha1!E811="","",IF(Planilha1!E811=0,"",Planilha1!E811))</f>
        <v>Cleveland Cavaliers</v>
      </c>
      <c r="L814" s="10">
        <f>IF(Planilha1!F811="","",Planilha1!F811)</f>
        <v>0</v>
      </c>
      <c r="M814" s="10" t="str">
        <f>IF(Planilha1!G811="","",IF(Planilha1!G811=0,"",Planilha1!G811))</f>
        <v/>
      </c>
      <c r="N814" s="5">
        <f t="shared" si="103"/>
        <v>1</v>
      </c>
      <c r="O814" s="5">
        <f t="shared" si="104"/>
        <v>0</v>
      </c>
      <c r="P814" s="5">
        <f t="shared" si="97"/>
        <v>0</v>
      </c>
      <c r="Q814" s="5">
        <f t="shared" si="98"/>
        <v>2</v>
      </c>
      <c r="R814" s="7">
        <f t="shared" si="99"/>
        <v>0</v>
      </c>
      <c r="S814" s="7">
        <f t="shared" si="100"/>
        <v>0</v>
      </c>
      <c r="T814" s="3" t="str">
        <f t="shared" si="101"/>
        <v/>
      </c>
      <c r="V814" s="1" t="e">
        <f t="shared" si="102"/>
        <v>#DIV/0!</v>
      </c>
    </row>
    <row r="815" spans="8:22" x14ac:dyDescent="0.3">
      <c r="H815" s="10" t="str">
        <f>IF(Planilha1!B812="","",Planilha1!B812)</f>
        <v>7:30p</v>
      </c>
      <c r="I815" s="10" t="str">
        <f>IF(Planilha1!C812="","",Planilha1!C812)</f>
        <v>Indiana Pacers</v>
      </c>
      <c r="J815" s="10">
        <f>IF(Planilha1!D812="","",Planilha1!D812)</f>
        <v>0</v>
      </c>
      <c r="K815" s="10" t="str">
        <f>IF(Planilha1!E812="","",IF(Planilha1!E812=0,"",Planilha1!E812))</f>
        <v>Toronto Raptors</v>
      </c>
      <c r="L815" s="10">
        <f>IF(Planilha1!F812="","",Planilha1!F812)</f>
        <v>0</v>
      </c>
      <c r="M815" s="10" t="str">
        <f>IF(Planilha1!G812="","",IF(Planilha1!G812=0,"",Planilha1!G812))</f>
        <v/>
      </c>
      <c r="N815" s="5">
        <f t="shared" si="103"/>
        <v>1</v>
      </c>
      <c r="O815" s="5">
        <f t="shared" si="104"/>
        <v>0</v>
      </c>
      <c r="P815" s="5">
        <f t="shared" si="97"/>
        <v>0</v>
      </c>
      <c r="Q815" s="5">
        <f t="shared" si="98"/>
        <v>2</v>
      </c>
      <c r="R815" s="7">
        <f t="shared" si="99"/>
        <v>0</v>
      </c>
      <c r="S815" s="7">
        <f t="shared" si="100"/>
        <v>0</v>
      </c>
      <c r="T815" s="3" t="str">
        <f t="shared" si="101"/>
        <v/>
      </c>
      <c r="V815" s="1" t="e">
        <f t="shared" si="102"/>
        <v>#DIV/0!</v>
      </c>
    </row>
    <row r="816" spans="8:22" x14ac:dyDescent="0.3">
      <c r="H816" s="10" t="str">
        <f>IF(Planilha1!B813="","",Planilha1!B813)</f>
        <v>8:00p</v>
      </c>
      <c r="I816" s="10" t="str">
        <f>IF(Planilha1!C813="","",Planilha1!C813)</f>
        <v>Houston Rockets</v>
      </c>
      <c r="J816" s="10">
        <f>IF(Planilha1!D813="","",Planilha1!D813)</f>
        <v>0</v>
      </c>
      <c r="K816" s="10" t="str">
        <f>IF(Planilha1!E813="","",IF(Planilha1!E813=0,"",Planilha1!E813))</f>
        <v>Memphis Grizzlies</v>
      </c>
      <c r="L816" s="10">
        <f>IF(Planilha1!F813="","",Planilha1!F813)</f>
        <v>0</v>
      </c>
      <c r="M816" s="10" t="str">
        <f>IF(Planilha1!G813="","",IF(Planilha1!G813=0,"",Planilha1!G813))</f>
        <v/>
      </c>
      <c r="N816" s="5">
        <f t="shared" si="103"/>
        <v>1</v>
      </c>
      <c r="O816" s="5">
        <f t="shared" si="104"/>
        <v>0</v>
      </c>
      <c r="P816" s="5">
        <f t="shared" si="97"/>
        <v>0</v>
      </c>
      <c r="Q816" s="5">
        <f t="shared" si="98"/>
        <v>2</v>
      </c>
      <c r="R816" s="7">
        <f t="shared" si="99"/>
        <v>0</v>
      </c>
      <c r="S816" s="7">
        <f t="shared" si="100"/>
        <v>0</v>
      </c>
      <c r="T816" s="3" t="str">
        <f t="shared" si="101"/>
        <v/>
      </c>
      <c r="V816" s="1" t="e">
        <f t="shared" si="102"/>
        <v>#DIV/0!</v>
      </c>
    </row>
    <row r="817" spans="8:22" x14ac:dyDescent="0.3">
      <c r="H817" s="10" t="str">
        <f>IF(Planilha1!B814="","",Planilha1!B814)</f>
        <v>8:00p</v>
      </c>
      <c r="I817" s="10" t="str">
        <f>IF(Planilha1!C814="","",Planilha1!C814)</f>
        <v>Washington Wizards</v>
      </c>
      <c r="J817" s="10">
        <f>IF(Planilha1!D814="","",Planilha1!D814)</f>
        <v>0</v>
      </c>
      <c r="K817" s="10" t="str">
        <f>IF(Planilha1!E814="","",IF(Planilha1!E814=0,"",Planilha1!E814))</f>
        <v>New Orleans Pelicans</v>
      </c>
      <c r="L817" s="10">
        <f>IF(Planilha1!F814="","",Planilha1!F814)</f>
        <v>0</v>
      </c>
      <c r="M817" s="10" t="str">
        <f>IF(Planilha1!G814="","",IF(Planilha1!G814=0,"",Planilha1!G814))</f>
        <v/>
      </c>
      <c r="N817" s="5">
        <f t="shared" si="103"/>
        <v>1</v>
      </c>
      <c r="O817" s="5">
        <f t="shared" si="104"/>
        <v>0</v>
      </c>
      <c r="P817" s="5">
        <f t="shared" si="97"/>
        <v>0</v>
      </c>
      <c r="Q817" s="5">
        <f t="shared" si="98"/>
        <v>2</v>
      </c>
      <c r="R817" s="7">
        <f t="shared" si="99"/>
        <v>0</v>
      </c>
      <c r="S817" s="7">
        <f t="shared" si="100"/>
        <v>0</v>
      </c>
      <c r="T817" s="3" t="str">
        <f t="shared" si="101"/>
        <v/>
      </c>
      <c r="V817" s="1" t="e">
        <f t="shared" si="102"/>
        <v>#DIV/0!</v>
      </c>
    </row>
    <row r="818" spans="8:22" x14ac:dyDescent="0.3">
      <c r="H818" s="10" t="str">
        <f>IF(Planilha1!B815="","",Planilha1!B815)</f>
        <v>8:30p</v>
      </c>
      <c r="I818" s="10" t="str">
        <f>IF(Planilha1!C815="","",Planilha1!C815)</f>
        <v>San Antonio Spurs</v>
      </c>
      <c r="J818" s="10">
        <f>IF(Planilha1!D815="","",Planilha1!D815)</f>
        <v>0</v>
      </c>
      <c r="K818" s="10" t="str">
        <f>IF(Planilha1!E815="","",IF(Planilha1!E815=0,"",Planilha1!E815))</f>
        <v>Dallas Mavericks</v>
      </c>
      <c r="L818" s="10">
        <f>IF(Planilha1!F815="","",Planilha1!F815)</f>
        <v>0</v>
      </c>
      <c r="M818" s="10" t="str">
        <f>IF(Planilha1!G815="","",IF(Planilha1!G815=0,"",Planilha1!G815))</f>
        <v/>
      </c>
      <c r="N818" s="5">
        <f t="shared" si="103"/>
        <v>1</v>
      </c>
      <c r="O818" s="5">
        <f t="shared" si="104"/>
        <v>0</v>
      </c>
      <c r="P818" s="5">
        <f t="shared" si="97"/>
        <v>0</v>
      </c>
      <c r="Q818" s="5">
        <f t="shared" si="98"/>
        <v>2</v>
      </c>
      <c r="R818" s="7">
        <f t="shared" si="99"/>
        <v>0</v>
      </c>
      <c r="S818" s="7">
        <f t="shared" si="100"/>
        <v>0</v>
      </c>
      <c r="T818" s="3" t="str">
        <f t="shared" si="101"/>
        <v/>
      </c>
      <c r="V818" s="1" t="e">
        <f t="shared" si="102"/>
        <v>#DIV/0!</v>
      </c>
    </row>
    <row r="819" spans="8:22" x14ac:dyDescent="0.3">
      <c r="H819" s="10" t="str">
        <f>IF(Planilha1!B816="","",Planilha1!B816)</f>
        <v>9:00p</v>
      </c>
      <c r="I819" s="10" t="str">
        <f>IF(Planilha1!C816="","",Planilha1!C816)</f>
        <v>Sacramento Kings</v>
      </c>
      <c r="J819" s="10">
        <f>IF(Planilha1!D816="","",Planilha1!D816)</f>
        <v>0</v>
      </c>
      <c r="K819" s="10" t="str">
        <f>IF(Planilha1!E816="","",IF(Planilha1!E816=0,"",Planilha1!E816))</f>
        <v>Denver Nuggets</v>
      </c>
      <c r="L819" s="10">
        <f>IF(Planilha1!F816="","",Planilha1!F816)</f>
        <v>0</v>
      </c>
      <c r="M819" s="10" t="str">
        <f>IF(Planilha1!G816="","",IF(Planilha1!G816=0,"",Planilha1!G816))</f>
        <v/>
      </c>
      <c r="N819" s="5">
        <f t="shared" si="103"/>
        <v>1</v>
      </c>
      <c r="O819" s="5">
        <f t="shared" si="104"/>
        <v>0</v>
      </c>
      <c r="P819" s="5">
        <f t="shared" si="97"/>
        <v>0</v>
      </c>
      <c r="Q819" s="5">
        <f t="shared" si="98"/>
        <v>2</v>
      </c>
      <c r="R819" s="7">
        <f t="shared" si="99"/>
        <v>0</v>
      </c>
      <c r="S819" s="7">
        <f t="shared" si="100"/>
        <v>0</v>
      </c>
      <c r="T819" s="3" t="str">
        <f t="shared" si="101"/>
        <v/>
      </c>
      <c r="V819" s="1" t="e">
        <f t="shared" si="102"/>
        <v>#DIV/0!</v>
      </c>
    </row>
    <row r="820" spans="8:22" x14ac:dyDescent="0.3">
      <c r="H820" s="10" t="str">
        <f>IF(Planilha1!B817="","",Planilha1!B817)</f>
        <v>9:00p</v>
      </c>
      <c r="I820" s="10" t="str">
        <f>IF(Planilha1!C817="","",Planilha1!C817)</f>
        <v>Detroit Pistons</v>
      </c>
      <c r="J820" s="10">
        <f>IF(Planilha1!D817="","",Planilha1!D817)</f>
        <v>0</v>
      </c>
      <c r="K820" s="10" t="str">
        <f>IF(Planilha1!E817="","",IF(Planilha1!E817=0,"",Planilha1!E817))</f>
        <v>Phoenix Suns</v>
      </c>
      <c r="L820" s="10">
        <f>IF(Planilha1!F817="","",Planilha1!F817)</f>
        <v>0</v>
      </c>
      <c r="M820" s="10" t="str">
        <f>IF(Planilha1!G817="","",IF(Planilha1!G817=0,"",Planilha1!G817))</f>
        <v/>
      </c>
      <c r="N820" s="5">
        <f t="shared" si="103"/>
        <v>1</v>
      </c>
      <c r="O820" s="5">
        <f t="shared" si="104"/>
        <v>0</v>
      </c>
      <c r="P820" s="5">
        <f t="shared" si="97"/>
        <v>0</v>
      </c>
      <c r="Q820" s="5">
        <f t="shared" si="98"/>
        <v>2</v>
      </c>
      <c r="R820" s="7">
        <f t="shared" si="99"/>
        <v>0</v>
      </c>
      <c r="S820" s="7">
        <f t="shared" si="100"/>
        <v>0</v>
      </c>
      <c r="T820" s="3" t="str">
        <f t="shared" si="101"/>
        <v/>
      </c>
      <c r="V820" s="1" t="e">
        <f t="shared" si="102"/>
        <v>#DIV/0!</v>
      </c>
    </row>
    <row r="821" spans="8:22" x14ac:dyDescent="0.3">
      <c r="H821" s="10" t="str">
        <f>IF(Planilha1!B818="","",Planilha1!B818)</f>
        <v>9:00p</v>
      </c>
      <c r="I821" s="10" t="str">
        <f>IF(Planilha1!C818="","",Planilha1!C818)</f>
        <v>Los Angeles Lakers</v>
      </c>
      <c r="J821" s="10">
        <f>IF(Planilha1!D818="","",Planilha1!D818)</f>
        <v>0</v>
      </c>
      <c r="K821" s="10" t="str">
        <f>IF(Planilha1!E818="","",IF(Planilha1!E818=0,"",Planilha1!E818))</f>
        <v>Utah Jazz</v>
      </c>
      <c r="L821" s="10">
        <f>IF(Planilha1!F818="","",Planilha1!F818)</f>
        <v>0</v>
      </c>
      <c r="M821" s="10" t="str">
        <f>IF(Planilha1!G818="","",IF(Planilha1!G818=0,"",Planilha1!G818))</f>
        <v/>
      </c>
      <c r="N821" s="5">
        <f t="shared" si="103"/>
        <v>1</v>
      </c>
      <c r="O821" s="5">
        <f t="shared" si="104"/>
        <v>0</v>
      </c>
      <c r="P821" s="5">
        <f t="shared" si="97"/>
        <v>0</v>
      </c>
      <c r="Q821" s="5">
        <f t="shared" si="98"/>
        <v>2</v>
      </c>
      <c r="R821" s="7">
        <f t="shared" si="99"/>
        <v>0</v>
      </c>
      <c r="S821" s="7">
        <f t="shared" si="100"/>
        <v>0</v>
      </c>
      <c r="T821" s="3" t="str">
        <f t="shared" si="101"/>
        <v/>
      </c>
      <c r="V821" s="1" t="e">
        <f t="shared" si="102"/>
        <v>#DIV/0!</v>
      </c>
    </row>
    <row r="822" spans="8:22" x14ac:dyDescent="0.3">
      <c r="H822" s="10" t="str">
        <f>IF(Planilha1!B819="","",Planilha1!B819)</f>
        <v>10:00p</v>
      </c>
      <c r="I822" s="10" t="str">
        <f>IF(Planilha1!C819="","",Planilha1!C819)</f>
        <v>Los Angeles Clippers</v>
      </c>
      <c r="J822" s="10">
        <f>IF(Planilha1!D819="","",Planilha1!D819)</f>
        <v>0</v>
      </c>
      <c r="K822" s="10" t="str">
        <f>IF(Planilha1!E819="","",IF(Planilha1!E819=0,"",Planilha1!E819))</f>
        <v>Golden State Warriors</v>
      </c>
      <c r="L822" s="10">
        <f>IF(Planilha1!F819="","",Planilha1!F819)</f>
        <v>0</v>
      </c>
      <c r="M822" s="10" t="str">
        <f>IF(Planilha1!G819="","",IF(Planilha1!G819=0,"",Planilha1!G819))</f>
        <v/>
      </c>
      <c r="N822" s="5">
        <f t="shared" si="103"/>
        <v>1</v>
      </c>
      <c r="O822" s="5">
        <f t="shared" si="104"/>
        <v>0</v>
      </c>
      <c r="P822" s="5">
        <f t="shared" si="97"/>
        <v>0</v>
      </c>
      <c r="Q822" s="5">
        <f t="shared" si="98"/>
        <v>2</v>
      </c>
      <c r="R822" s="7">
        <f t="shared" si="99"/>
        <v>0</v>
      </c>
      <c r="S822" s="7">
        <f t="shared" si="100"/>
        <v>0</v>
      </c>
      <c r="T822" s="3" t="str">
        <f t="shared" si="101"/>
        <v/>
      </c>
      <c r="V822" s="1" t="e">
        <f t="shared" si="102"/>
        <v>#DIV/0!</v>
      </c>
    </row>
    <row r="823" spans="8:22" x14ac:dyDescent="0.3">
      <c r="H823" s="10" t="str">
        <f>IF(Planilha1!B820="","",Planilha1!B820)</f>
        <v>8:30p</v>
      </c>
      <c r="I823" s="10" t="str">
        <f>IF(Planilha1!C820="","",Planilha1!C820)</f>
        <v>Milwaukee Bucks</v>
      </c>
      <c r="J823" s="10">
        <f>IF(Planilha1!D820="","",Planilha1!D820)</f>
        <v>0</v>
      </c>
      <c r="K823" s="10" t="str">
        <f>IF(Planilha1!E820="","",IF(Planilha1!E820=0,"",Planilha1!E820))</f>
        <v>Memphis Grizzlies</v>
      </c>
      <c r="L823" s="10">
        <f>IF(Planilha1!F820="","",Planilha1!F820)</f>
        <v>0</v>
      </c>
      <c r="M823" s="10" t="str">
        <f>IF(Planilha1!G820="","",IF(Planilha1!G820=0,"",Planilha1!G820))</f>
        <v/>
      </c>
      <c r="N823" s="5">
        <f t="shared" si="103"/>
        <v>1</v>
      </c>
      <c r="O823" s="5">
        <f t="shared" si="104"/>
        <v>0</v>
      </c>
      <c r="P823" s="5">
        <f t="shared" si="97"/>
        <v>0</v>
      </c>
      <c r="Q823" s="5">
        <f t="shared" si="98"/>
        <v>2</v>
      </c>
      <c r="R823" s="7">
        <f t="shared" si="99"/>
        <v>0</v>
      </c>
      <c r="S823" s="7">
        <f t="shared" si="100"/>
        <v>0</v>
      </c>
      <c r="T823" s="3" t="str">
        <f t="shared" si="101"/>
        <v/>
      </c>
      <c r="V823" s="1" t="e">
        <f t="shared" si="102"/>
        <v>#DIV/0!</v>
      </c>
    </row>
    <row r="824" spans="8:22" x14ac:dyDescent="0.3">
      <c r="H824" s="10" t="str">
        <f>IF(Planilha1!B821="","",Planilha1!B821)</f>
        <v>9:00p</v>
      </c>
      <c r="I824" s="10" t="str">
        <f>IF(Planilha1!C821="","",Planilha1!C821)</f>
        <v>Golden State Warriors</v>
      </c>
      <c r="J824" s="10">
        <f>IF(Planilha1!D821="","",Planilha1!D821)</f>
        <v>0</v>
      </c>
      <c r="K824" s="10" t="str">
        <f>IF(Planilha1!E821="","",IF(Planilha1!E821=0,"",Planilha1!E821))</f>
        <v>Utah Jazz</v>
      </c>
      <c r="L824" s="10">
        <f>IF(Planilha1!F821="","",Planilha1!F821)</f>
        <v>0</v>
      </c>
      <c r="M824" s="10" t="str">
        <f>IF(Planilha1!G821="","",IF(Planilha1!G821=0,"",Planilha1!G821))</f>
        <v/>
      </c>
      <c r="N824" s="5">
        <f t="shared" si="103"/>
        <v>1</v>
      </c>
      <c r="O824" s="5">
        <f t="shared" si="104"/>
        <v>0</v>
      </c>
      <c r="P824" s="5">
        <f t="shared" si="97"/>
        <v>0</v>
      </c>
      <c r="Q824" s="5">
        <f t="shared" si="98"/>
        <v>2</v>
      </c>
      <c r="R824" s="7">
        <f t="shared" si="99"/>
        <v>0</v>
      </c>
      <c r="S824" s="7">
        <f t="shared" si="100"/>
        <v>0</v>
      </c>
      <c r="T824" s="3" t="str">
        <f t="shared" si="101"/>
        <v/>
      </c>
      <c r="V824" s="1" t="e">
        <f t="shared" si="102"/>
        <v>#DIV/0!</v>
      </c>
    </row>
    <row r="825" spans="8:22" x14ac:dyDescent="0.3">
      <c r="H825" s="10" t="str">
        <f>IF(Planilha1!B822="","",Planilha1!B822)</f>
        <v>10:00p</v>
      </c>
      <c r="I825" s="10" t="str">
        <f>IF(Planilha1!C822="","",Planilha1!C822)</f>
        <v>Minnesota Timberwolves</v>
      </c>
      <c r="J825" s="10">
        <f>IF(Planilha1!D822="","",Planilha1!D822)</f>
        <v>0</v>
      </c>
      <c r="K825" s="10" t="str">
        <f>IF(Planilha1!E822="","",IF(Planilha1!E822=0,"",Planilha1!E822))</f>
        <v>Portland Trail Blazers</v>
      </c>
      <c r="L825" s="10">
        <f>IF(Planilha1!F822="","",Planilha1!F822)</f>
        <v>0</v>
      </c>
      <c r="M825" s="10" t="str">
        <f>IF(Planilha1!G822="","",IF(Planilha1!G822=0,"",Planilha1!G822))</f>
        <v/>
      </c>
      <c r="N825" s="5">
        <f t="shared" si="103"/>
        <v>1</v>
      </c>
      <c r="O825" s="5">
        <f t="shared" si="104"/>
        <v>0</v>
      </c>
      <c r="P825" s="5">
        <f t="shared" si="97"/>
        <v>0</v>
      </c>
      <c r="Q825" s="5">
        <f t="shared" si="98"/>
        <v>2</v>
      </c>
      <c r="R825" s="7">
        <f t="shared" si="99"/>
        <v>0</v>
      </c>
      <c r="S825" s="7">
        <f t="shared" si="100"/>
        <v>0</v>
      </c>
      <c r="T825" s="3" t="str">
        <f t="shared" si="101"/>
        <v/>
      </c>
      <c r="V825" s="1" t="e">
        <f t="shared" si="102"/>
        <v>#DIV/0!</v>
      </c>
    </row>
    <row r="826" spans="8:22" x14ac:dyDescent="0.3">
      <c r="H826" s="10" t="str">
        <f>IF(Planilha1!B823="","",Planilha1!B823)</f>
        <v>7:00p</v>
      </c>
      <c r="I826" s="10" t="str">
        <f>IF(Planilha1!C823="","",Planilha1!C823)</f>
        <v>Orlando Magic</v>
      </c>
      <c r="J826" s="10">
        <f>IF(Planilha1!D823="","",Planilha1!D823)</f>
        <v>0</v>
      </c>
      <c r="K826" s="10" t="str">
        <f>IF(Planilha1!E823="","",IF(Planilha1!E823=0,"",Planilha1!E823))</f>
        <v>Cleveland Cavaliers</v>
      </c>
      <c r="L826" s="10">
        <f>IF(Planilha1!F823="","",Planilha1!F823)</f>
        <v>0</v>
      </c>
      <c r="M826" s="10" t="str">
        <f>IF(Planilha1!G823="","",IF(Planilha1!G823=0,"",Planilha1!G823))</f>
        <v/>
      </c>
      <c r="N826" s="5">
        <f t="shared" si="103"/>
        <v>1</v>
      </c>
      <c r="O826" s="5">
        <f t="shared" si="104"/>
        <v>0</v>
      </c>
      <c r="P826" s="5">
        <f t="shared" si="97"/>
        <v>0</v>
      </c>
      <c r="Q826" s="5">
        <f t="shared" si="98"/>
        <v>2</v>
      </c>
      <c r="R826" s="7">
        <f t="shared" si="99"/>
        <v>0</v>
      </c>
      <c r="S826" s="7">
        <f t="shared" si="100"/>
        <v>0</v>
      </c>
      <c r="T826" s="3" t="str">
        <f t="shared" si="101"/>
        <v/>
      </c>
      <c r="V826" s="1" t="e">
        <f t="shared" si="102"/>
        <v>#DIV/0!</v>
      </c>
    </row>
    <row r="827" spans="8:22" x14ac:dyDescent="0.3">
      <c r="H827" s="10" t="str">
        <f>IF(Planilha1!B824="","",Planilha1!B824)</f>
        <v>7:00p</v>
      </c>
      <c r="I827" s="10" t="str">
        <f>IF(Planilha1!C824="","",Planilha1!C824)</f>
        <v>Detroit Pistons</v>
      </c>
      <c r="J827" s="10">
        <f>IF(Planilha1!D824="","",Planilha1!D824)</f>
        <v>0</v>
      </c>
      <c r="K827" s="10" t="str">
        <f>IF(Planilha1!E824="","",IF(Planilha1!E824=0,"",Planilha1!E824))</f>
        <v>Indiana Pacers</v>
      </c>
      <c r="L827" s="10">
        <f>IF(Planilha1!F824="","",Planilha1!F824)</f>
        <v>0</v>
      </c>
      <c r="M827" s="10" t="str">
        <f>IF(Planilha1!G824="","",IF(Planilha1!G824=0,"",Planilha1!G824))</f>
        <v/>
      </c>
      <c r="N827" s="5">
        <f t="shared" si="103"/>
        <v>1</v>
      </c>
      <c r="O827" s="5">
        <f t="shared" si="104"/>
        <v>0</v>
      </c>
      <c r="P827" s="5">
        <f t="shared" si="97"/>
        <v>0</v>
      </c>
      <c r="Q827" s="5">
        <f t="shared" si="98"/>
        <v>2</v>
      </c>
      <c r="R827" s="7">
        <f t="shared" si="99"/>
        <v>0</v>
      </c>
      <c r="S827" s="7">
        <f t="shared" si="100"/>
        <v>0</v>
      </c>
      <c r="T827" s="3" t="str">
        <f t="shared" si="101"/>
        <v/>
      </c>
      <c r="V827" s="1" t="e">
        <f t="shared" si="102"/>
        <v>#DIV/0!</v>
      </c>
    </row>
    <row r="828" spans="8:22" x14ac:dyDescent="0.3">
      <c r="H828" s="10" t="str">
        <f>IF(Planilha1!B825="","",Planilha1!B825)</f>
        <v>7:00p</v>
      </c>
      <c r="I828" s="10" t="str">
        <f>IF(Planilha1!C825="","",Planilha1!C825)</f>
        <v>New York Knicks</v>
      </c>
      <c r="J828" s="10">
        <f>IF(Planilha1!D825="","",Planilha1!D825)</f>
        <v>0</v>
      </c>
      <c r="K828" s="10" t="str">
        <f>IF(Planilha1!E825="","",IF(Planilha1!E825=0,"",Planilha1!E825))</f>
        <v>Philadelphia 76ers</v>
      </c>
      <c r="L828" s="10">
        <f>IF(Planilha1!F825="","",Planilha1!F825)</f>
        <v>0</v>
      </c>
      <c r="M828" s="10" t="str">
        <f>IF(Planilha1!G825="","",IF(Planilha1!G825=0,"",Planilha1!G825))</f>
        <v/>
      </c>
      <c r="N828" s="5">
        <f t="shared" si="103"/>
        <v>1</v>
      </c>
      <c r="O828" s="5">
        <f t="shared" si="104"/>
        <v>0</v>
      </c>
      <c r="P828" s="5">
        <f t="shared" si="97"/>
        <v>0</v>
      </c>
      <c r="Q828" s="5">
        <f t="shared" si="98"/>
        <v>2</v>
      </c>
      <c r="R828" s="7">
        <f t="shared" si="99"/>
        <v>0</v>
      </c>
      <c r="S828" s="7">
        <f t="shared" si="100"/>
        <v>0</v>
      </c>
      <c r="T828" s="3" t="str">
        <f t="shared" si="101"/>
        <v/>
      </c>
      <c r="V828" s="1" t="e">
        <f t="shared" si="102"/>
        <v>#DIV/0!</v>
      </c>
    </row>
    <row r="829" spans="8:22" x14ac:dyDescent="0.3">
      <c r="H829" s="10" t="str">
        <f>IF(Planilha1!B826="","",Planilha1!B826)</f>
        <v>7:00p</v>
      </c>
      <c r="I829" s="10" t="str">
        <f>IF(Planilha1!C826="","",Planilha1!C826)</f>
        <v>Brooklyn Nets</v>
      </c>
      <c r="J829" s="10">
        <f>IF(Planilha1!D826="","",Planilha1!D826)</f>
        <v>0</v>
      </c>
      <c r="K829" s="10" t="str">
        <f>IF(Planilha1!E826="","",IF(Planilha1!E826=0,"",Planilha1!E826))</f>
        <v>Toronto Raptors</v>
      </c>
      <c r="L829" s="10">
        <f>IF(Planilha1!F826="","",Planilha1!F826)</f>
        <v>0</v>
      </c>
      <c r="M829" s="10" t="str">
        <f>IF(Planilha1!G826="","",IF(Planilha1!G826=0,"",Planilha1!G826))</f>
        <v/>
      </c>
      <c r="N829" s="5">
        <f t="shared" si="103"/>
        <v>1</v>
      </c>
      <c r="O829" s="5">
        <f t="shared" si="104"/>
        <v>0</v>
      </c>
      <c r="P829" s="5">
        <f t="shared" si="97"/>
        <v>0</v>
      </c>
      <c r="Q829" s="5">
        <f t="shared" si="98"/>
        <v>2</v>
      </c>
      <c r="R829" s="7">
        <f t="shared" si="99"/>
        <v>0</v>
      </c>
      <c r="S829" s="7">
        <f t="shared" si="100"/>
        <v>0</v>
      </c>
      <c r="T829" s="3" t="str">
        <f t="shared" si="101"/>
        <v/>
      </c>
      <c r="V829" s="1" t="e">
        <f t="shared" si="102"/>
        <v>#DIV/0!</v>
      </c>
    </row>
    <row r="830" spans="8:22" x14ac:dyDescent="0.3">
      <c r="H830" s="10" t="str">
        <f>IF(Planilha1!B827="","",Planilha1!B827)</f>
        <v>7:30p</v>
      </c>
      <c r="I830" s="10" t="str">
        <f>IF(Planilha1!C827="","",Planilha1!C827)</f>
        <v>Phoenix Suns</v>
      </c>
      <c r="J830" s="10">
        <f>IF(Planilha1!D827="","",Planilha1!D827)</f>
        <v>0</v>
      </c>
      <c r="K830" s="10" t="str">
        <f>IF(Planilha1!E827="","",IF(Planilha1!E827=0,"",Planilha1!E827))</f>
        <v>Dallas Mavericks</v>
      </c>
      <c r="L830" s="10">
        <f>IF(Planilha1!F827="","",Planilha1!F827)</f>
        <v>0</v>
      </c>
      <c r="M830" s="10" t="str">
        <f>IF(Planilha1!G827="","",IF(Planilha1!G827=0,"",Planilha1!G827))</f>
        <v/>
      </c>
      <c r="N830" s="5">
        <f t="shared" si="103"/>
        <v>1</v>
      </c>
      <c r="O830" s="5">
        <f t="shared" si="104"/>
        <v>0</v>
      </c>
      <c r="P830" s="5">
        <f t="shared" si="97"/>
        <v>0</v>
      </c>
      <c r="Q830" s="5">
        <f t="shared" si="98"/>
        <v>2</v>
      </c>
      <c r="R830" s="7">
        <f t="shared" si="99"/>
        <v>0</v>
      </c>
      <c r="S830" s="7">
        <f t="shared" si="100"/>
        <v>0</v>
      </c>
      <c r="T830" s="3" t="str">
        <f t="shared" si="101"/>
        <v/>
      </c>
      <c r="V830" s="1" t="e">
        <f t="shared" si="102"/>
        <v>#DIV/0!</v>
      </c>
    </row>
    <row r="831" spans="8:22" x14ac:dyDescent="0.3">
      <c r="H831" s="10" t="str">
        <f>IF(Planilha1!B828="","",Planilha1!B828)</f>
        <v>8:00p</v>
      </c>
      <c r="I831" s="10" t="str">
        <f>IF(Planilha1!C828="","",Planilha1!C828)</f>
        <v>Boston Celtics</v>
      </c>
      <c r="J831" s="10">
        <f>IF(Planilha1!D828="","",Planilha1!D828)</f>
        <v>0</v>
      </c>
      <c r="K831" s="10" t="str">
        <f>IF(Planilha1!E828="","",IF(Planilha1!E828=0,"",Planilha1!E828))</f>
        <v>Chicago Bulls</v>
      </c>
      <c r="L831" s="10">
        <f>IF(Planilha1!F828="","",Planilha1!F828)</f>
        <v>0</v>
      </c>
      <c r="M831" s="10" t="str">
        <f>IF(Planilha1!G828="","",IF(Planilha1!G828=0,"",Planilha1!G828))</f>
        <v/>
      </c>
      <c r="N831" s="5">
        <f t="shared" si="103"/>
        <v>1</v>
      </c>
      <c r="O831" s="5">
        <f t="shared" si="104"/>
        <v>0</v>
      </c>
      <c r="P831" s="5">
        <f t="shared" si="97"/>
        <v>0</v>
      </c>
      <c r="Q831" s="5">
        <f t="shared" si="98"/>
        <v>2</v>
      </c>
      <c r="R831" s="7">
        <f t="shared" si="99"/>
        <v>0</v>
      </c>
      <c r="S831" s="7">
        <f t="shared" si="100"/>
        <v>0</v>
      </c>
      <c r="T831" s="3" t="str">
        <f t="shared" si="101"/>
        <v/>
      </c>
      <c r="V831" s="1" t="e">
        <f t="shared" si="102"/>
        <v>#DIV/0!</v>
      </c>
    </row>
    <row r="832" spans="8:22" x14ac:dyDescent="0.3">
      <c r="H832" s="10" t="str">
        <f>IF(Planilha1!B829="","",Planilha1!B829)</f>
        <v>8:00p</v>
      </c>
      <c r="I832" s="10" t="str">
        <f>IF(Planilha1!C829="","",Planilha1!C829)</f>
        <v>Houston Rockets</v>
      </c>
      <c r="J832" s="10">
        <f>IF(Planilha1!D829="","",Planilha1!D829)</f>
        <v>0</v>
      </c>
      <c r="K832" s="10" t="str">
        <f>IF(Planilha1!E829="","",IF(Planilha1!E829=0,"",Planilha1!E829))</f>
        <v>New Orleans Pelicans</v>
      </c>
      <c r="L832" s="10">
        <f>IF(Planilha1!F829="","",Planilha1!F829)</f>
        <v>0</v>
      </c>
      <c r="M832" s="10" t="str">
        <f>IF(Planilha1!G829="","",IF(Planilha1!G829=0,"",Planilha1!G829))</f>
        <v/>
      </c>
      <c r="N832" s="5">
        <f t="shared" si="103"/>
        <v>1</v>
      </c>
      <c r="O832" s="5">
        <f t="shared" si="104"/>
        <v>0</v>
      </c>
      <c r="P832" s="5">
        <f t="shared" si="97"/>
        <v>0</v>
      </c>
      <c r="Q832" s="5">
        <f t="shared" si="98"/>
        <v>2</v>
      </c>
      <c r="R832" s="7">
        <f t="shared" si="99"/>
        <v>0</v>
      </c>
      <c r="S832" s="7">
        <f t="shared" si="100"/>
        <v>0</v>
      </c>
      <c r="T832" s="3" t="str">
        <f t="shared" si="101"/>
        <v/>
      </c>
      <c r="V832" s="1" t="e">
        <f t="shared" si="102"/>
        <v>#DIV/0!</v>
      </c>
    </row>
    <row r="833" spans="8:22" x14ac:dyDescent="0.3">
      <c r="H833" s="10" t="str">
        <f>IF(Planilha1!B830="","",Planilha1!B830)</f>
        <v>8:00p</v>
      </c>
      <c r="I833" s="10" t="str">
        <f>IF(Planilha1!C830="","",Planilha1!C830)</f>
        <v>Los Angeles Clippers</v>
      </c>
      <c r="J833" s="10">
        <f>IF(Planilha1!D830="","",Planilha1!D830)</f>
        <v>0</v>
      </c>
      <c r="K833" s="10" t="str">
        <f>IF(Planilha1!E830="","",IF(Planilha1!E830=0,"",Planilha1!E830))</f>
        <v>Oklahoma City Thunder</v>
      </c>
      <c r="L833" s="10">
        <f>IF(Planilha1!F830="","",Planilha1!F830)</f>
        <v>0</v>
      </c>
      <c r="M833" s="10" t="str">
        <f>IF(Planilha1!G830="","",IF(Planilha1!G830=0,"",Planilha1!G830))</f>
        <v/>
      </c>
      <c r="N833" s="5">
        <f t="shared" si="103"/>
        <v>1</v>
      </c>
      <c r="O833" s="5">
        <f t="shared" si="104"/>
        <v>0</v>
      </c>
      <c r="P833" s="5">
        <f t="shared" si="97"/>
        <v>0</v>
      </c>
      <c r="Q833" s="5">
        <f t="shared" si="98"/>
        <v>2</v>
      </c>
      <c r="R833" s="7">
        <f t="shared" si="99"/>
        <v>0</v>
      </c>
      <c r="S833" s="7">
        <f t="shared" si="100"/>
        <v>0</v>
      </c>
      <c r="T833" s="3" t="str">
        <f t="shared" si="101"/>
        <v/>
      </c>
      <c r="V833" s="1" t="e">
        <f t="shared" si="102"/>
        <v>#DIV/0!</v>
      </c>
    </row>
    <row r="834" spans="8:22" x14ac:dyDescent="0.3">
      <c r="H834" s="10" t="str">
        <f>IF(Planilha1!B831="","",Planilha1!B831)</f>
        <v>9:00p</v>
      </c>
      <c r="I834" s="10" t="str">
        <f>IF(Planilha1!C831="","",Planilha1!C831)</f>
        <v>Washington Wizards</v>
      </c>
      <c r="J834" s="10">
        <f>IF(Planilha1!D831="","",Planilha1!D831)</f>
        <v>0</v>
      </c>
      <c r="K834" s="10" t="str">
        <f>IF(Planilha1!E831="","",IF(Planilha1!E831=0,"",Planilha1!E831))</f>
        <v>Denver Nuggets</v>
      </c>
      <c r="L834" s="10">
        <f>IF(Planilha1!F831="","",Planilha1!F831)</f>
        <v>0</v>
      </c>
      <c r="M834" s="10" t="str">
        <f>IF(Planilha1!G831="","",IF(Planilha1!G831=0,"",Planilha1!G831))</f>
        <v/>
      </c>
      <c r="N834" s="5">
        <f t="shared" si="103"/>
        <v>1</v>
      </c>
      <c r="O834" s="5">
        <f t="shared" si="104"/>
        <v>0</v>
      </c>
      <c r="P834" s="5">
        <f t="shared" si="97"/>
        <v>0</v>
      </c>
      <c r="Q834" s="5">
        <f t="shared" si="98"/>
        <v>2</v>
      </c>
      <c r="R834" s="7">
        <f t="shared" si="99"/>
        <v>0</v>
      </c>
      <c r="S834" s="7">
        <f t="shared" si="100"/>
        <v>0</v>
      </c>
      <c r="T834" s="3" t="str">
        <f t="shared" si="101"/>
        <v/>
      </c>
      <c r="V834" s="1" t="e">
        <f t="shared" si="102"/>
        <v>#DIV/0!</v>
      </c>
    </row>
    <row r="835" spans="8:22" x14ac:dyDescent="0.3">
      <c r="H835" s="10" t="str">
        <f>IF(Planilha1!B832="","",Planilha1!B832)</f>
        <v>9:00p</v>
      </c>
      <c r="I835" s="10" t="str">
        <f>IF(Planilha1!C832="","",Planilha1!C832)</f>
        <v>Charlotte Hornets</v>
      </c>
      <c r="J835" s="10">
        <f>IF(Planilha1!D832="","",Planilha1!D832)</f>
        <v>0</v>
      </c>
      <c r="K835" s="10" t="str">
        <f>IF(Planilha1!E832="","",IF(Planilha1!E832=0,"",Planilha1!E832))</f>
        <v>Utah Jazz</v>
      </c>
      <c r="L835" s="10">
        <f>IF(Planilha1!F832="","",Planilha1!F832)</f>
        <v>0</v>
      </c>
      <c r="M835" s="10" t="str">
        <f>IF(Planilha1!G832="","",IF(Planilha1!G832=0,"",Planilha1!G832))</f>
        <v/>
      </c>
      <c r="N835" s="5">
        <f t="shared" si="103"/>
        <v>1</v>
      </c>
      <c r="O835" s="5">
        <f t="shared" si="104"/>
        <v>0</v>
      </c>
      <c r="P835" s="5">
        <f t="shared" si="97"/>
        <v>0</v>
      </c>
      <c r="Q835" s="5">
        <f t="shared" si="98"/>
        <v>2</v>
      </c>
      <c r="R835" s="7">
        <f t="shared" si="99"/>
        <v>0</v>
      </c>
      <c r="S835" s="7">
        <f t="shared" si="100"/>
        <v>0</v>
      </c>
      <c r="T835" s="3" t="str">
        <f t="shared" si="101"/>
        <v/>
      </c>
      <c r="V835" s="1" t="e">
        <f t="shared" si="102"/>
        <v>#DIV/0!</v>
      </c>
    </row>
    <row r="836" spans="8:22" x14ac:dyDescent="0.3">
      <c r="H836" s="10" t="str">
        <f>IF(Planilha1!B833="","",Planilha1!B833)</f>
        <v>10:00p</v>
      </c>
      <c r="I836" s="10" t="str">
        <f>IF(Planilha1!C833="","",Planilha1!C833)</f>
        <v>Los Angeles Lakers</v>
      </c>
      <c r="J836" s="10">
        <f>IF(Planilha1!D833="","",Planilha1!D833)</f>
        <v>0</v>
      </c>
      <c r="K836" s="10" t="str">
        <f>IF(Planilha1!E833="","",IF(Planilha1!E833=0,"",Planilha1!E833))</f>
        <v>Golden State Warriors</v>
      </c>
      <c r="L836" s="10">
        <f>IF(Planilha1!F833="","",Planilha1!F833)</f>
        <v>0</v>
      </c>
      <c r="M836" s="10" t="str">
        <f>IF(Planilha1!G833="","",IF(Planilha1!G833=0,"",Planilha1!G833))</f>
        <v/>
      </c>
      <c r="N836" s="5">
        <f t="shared" si="103"/>
        <v>1</v>
      </c>
      <c r="O836" s="5">
        <f t="shared" si="104"/>
        <v>0</v>
      </c>
      <c r="P836" s="5">
        <f t="shared" si="97"/>
        <v>0</v>
      </c>
      <c r="Q836" s="5">
        <f t="shared" si="98"/>
        <v>2</v>
      </c>
      <c r="R836" s="7">
        <f t="shared" si="99"/>
        <v>0</v>
      </c>
      <c r="S836" s="7">
        <f t="shared" si="100"/>
        <v>0</v>
      </c>
      <c r="T836" s="3" t="str">
        <f t="shared" si="101"/>
        <v/>
      </c>
      <c r="V836" s="1" t="e">
        <f t="shared" si="102"/>
        <v>#DIV/0!</v>
      </c>
    </row>
    <row r="837" spans="8:22" x14ac:dyDescent="0.3">
      <c r="H837" s="10" t="str">
        <f>IF(Planilha1!B834="","",Planilha1!B834)</f>
        <v>10:00p</v>
      </c>
      <c r="I837" s="10" t="str">
        <f>IF(Planilha1!C834="","",Planilha1!C834)</f>
        <v>San Antonio Spurs</v>
      </c>
      <c r="J837" s="10">
        <f>IF(Planilha1!D834="","",Planilha1!D834)</f>
        <v>0</v>
      </c>
      <c r="K837" s="10" t="str">
        <f>IF(Planilha1!E834="","",IF(Planilha1!E834=0,"",Planilha1!E834))</f>
        <v>Sacramento Kings</v>
      </c>
      <c r="L837" s="10">
        <f>IF(Planilha1!F834="","",Planilha1!F834)</f>
        <v>0</v>
      </c>
      <c r="M837" s="10" t="str">
        <f>IF(Planilha1!G834="","",IF(Planilha1!G834=0,"",Planilha1!G834))</f>
        <v/>
      </c>
      <c r="N837" s="5">
        <f t="shared" si="103"/>
        <v>1</v>
      </c>
      <c r="O837" s="5">
        <f t="shared" si="104"/>
        <v>0</v>
      </c>
      <c r="P837" s="5">
        <f t="shared" ref="P837:P900" si="105">IF(M837="",IF(R837&gt;S837,2,0),IF(K837&lt;M837,2,0))</f>
        <v>0</v>
      </c>
      <c r="Q837" s="5">
        <f t="shared" ref="Q837:Q900" si="106">IF(M837="",IF(R837&gt;S837,0,2),IF(K837&gt;M837,2,0))</f>
        <v>2</v>
      </c>
      <c r="R837" s="7">
        <f t="shared" ref="R837:R900" si="107">SUMIF($B:$B,J837,$C:$C)+(SUMIF($B:$B,L837,$F:$F))</f>
        <v>0</v>
      </c>
      <c r="S837" s="7">
        <f t="shared" ref="S837:S900" si="108">SUMIF($B:$B,L837,$E:$E)+(SUMIF($B:$B,J837,$D:$D))</f>
        <v>0</v>
      </c>
      <c r="T837" s="3" t="str">
        <f t="shared" ref="T837:T900" si="109">IF(M837="","",(N837-S837)^2+(O837-R837)^2)</f>
        <v/>
      </c>
      <c r="V837" s="1" t="e">
        <f t="shared" ref="V837:V900" si="110">IF(O837="","",1/((O837-N837)/(R837-S837)))</f>
        <v>#DIV/0!</v>
      </c>
    </row>
    <row r="838" spans="8:22" x14ac:dyDescent="0.3">
      <c r="H838" s="10" t="str">
        <f>IF(Planilha1!B835="","",Planilha1!B835)</f>
        <v>7:30p</v>
      </c>
      <c r="I838" s="10" t="str">
        <f>IF(Planilha1!C835="","",Planilha1!C835)</f>
        <v>Toronto Raptors</v>
      </c>
      <c r="J838" s="10">
        <f>IF(Planilha1!D835="","",Planilha1!D835)</f>
        <v>0</v>
      </c>
      <c r="K838" s="10" t="str">
        <f>IF(Planilha1!E835="","",IF(Planilha1!E835=0,"",Planilha1!E835))</f>
        <v>Atlanta Hawks</v>
      </c>
      <c r="L838" s="10">
        <f>IF(Planilha1!F835="","",Planilha1!F835)</f>
        <v>0</v>
      </c>
      <c r="M838" s="10" t="str">
        <f>IF(Planilha1!G835="","",IF(Planilha1!G835=0,"",Planilha1!G835))</f>
        <v/>
      </c>
      <c r="N838" s="5">
        <f t="shared" ref="N838:N901" si="111">IF(K838="","",IF(K838&gt;M838,100%,0%))</f>
        <v>1</v>
      </c>
      <c r="O838" s="5">
        <f t="shared" ref="O838:O901" si="112">IF(K838="","",IF(K838&lt;M838,100%,0%))</f>
        <v>0</v>
      </c>
      <c r="P838" s="5">
        <f t="shared" si="105"/>
        <v>0</v>
      </c>
      <c r="Q838" s="5">
        <f t="shared" si="106"/>
        <v>2</v>
      </c>
      <c r="R838" s="7">
        <f t="shared" si="107"/>
        <v>0</v>
      </c>
      <c r="S838" s="7">
        <f t="shared" si="108"/>
        <v>0</v>
      </c>
      <c r="T838" s="3" t="str">
        <f t="shared" si="109"/>
        <v/>
      </c>
      <c r="V838" s="1" t="e">
        <f t="shared" si="110"/>
        <v>#DIV/0!</v>
      </c>
    </row>
    <row r="839" spans="8:22" x14ac:dyDescent="0.3">
      <c r="H839" s="10" t="str">
        <f>IF(Planilha1!B836="","",Planilha1!B836)</f>
        <v>7:30p</v>
      </c>
      <c r="I839" s="10" t="str">
        <f>IF(Planilha1!C836="","",Planilha1!C836)</f>
        <v>Cleveland Cavaliers</v>
      </c>
      <c r="J839" s="10">
        <f>IF(Planilha1!D836="","",Planilha1!D836)</f>
        <v>0</v>
      </c>
      <c r="K839" s="10" t="str">
        <f>IF(Planilha1!E836="","",IF(Planilha1!E836=0,"",Planilha1!E836))</f>
        <v>Philadelphia 76ers</v>
      </c>
      <c r="L839" s="10">
        <f>IF(Planilha1!F836="","",Planilha1!F836)</f>
        <v>0</v>
      </c>
      <c r="M839" s="10" t="str">
        <f>IF(Planilha1!G836="","",IF(Planilha1!G836=0,"",Planilha1!G836))</f>
        <v/>
      </c>
      <c r="N839" s="5">
        <f t="shared" si="111"/>
        <v>1</v>
      </c>
      <c r="O839" s="5">
        <f t="shared" si="112"/>
        <v>0</v>
      </c>
      <c r="P839" s="5">
        <f t="shared" si="105"/>
        <v>0</v>
      </c>
      <c r="Q839" s="5">
        <f t="shared" si="106"/>
        <v>2</v>
      </c>
      <c r="R839" s="7">
        <f t="shared" si="107"/>
        <v>0</v>
      </c>
      <c r="S839" s="7">
        <f t="shared" si="108"/>
        <v>0</v>
      </c>
      <c r="T839" s="3" t="str">
        <f t="shared" si="109"/>
        <v/>
      </c>
      <c r="V839" s="1" t="e">
        <f t="shared" si="110"/>
        <v>#DIV/0!</v>
      </c>
    </row>
    <row r="840" spans="8:22" x14ac:dyDescent="0.3">
      <c r="H840" s="10" t="str">
        <f>IF(Planilha1!B837="","",Planilha1!B837)</f>
        <v>8:00p</v>
      </c>
      <c r="I840" s="10" t="str">
        <f>IF(Planilha1!C837="","",Planilha1!C837)</f>
        <v>Phoenix Suns</v>
      </c>
      <c r="J840" s="10">
        <f>IF(Planilha1!D837="","",Planilha1!D837)</f>
        <v>0</v>
      </c>
      <c r="K840" s="10" t="str">
        <f>IF(Planilha1!E837="","",IF(Planilha1!E837=0,"",Planilha1!E837))</f>
        <v>Houston Rockets</v>
      </c>
      <c r="L840" s="10">
        <f>IF(Planilha1!F837="","",Planilha1!F837)</f>
        <v>0</v>
      </c>
      <c r="M840" s="10" t="str">
        <f>IF(Planilha1!G837="","",IF(Planilha1!G837=0,"",Planilha1!G837))</f>
        <v/>
      </c>
      <c r="N840" s="5">
        <f t="shared" si="111"/>
        <v>1</v>
      </c>
      <c r="O840" s="5">
        <f t="shared" si="112"/>
        <v>0</v>
      </c>
      <c r="P840" s="5">
        <f t="shared" si="105"/>
        <v>0</v>
      </c>
      <c r="Q840" s="5">
        <f t="shared" si="106"/>
        <v>2</v>
      </c>
      <c r="R840" s="7">
        <f t="shared" si="107"/>
        <v>0</v>
      </c>
      <c r="S840" s="7">
        <f t="shared" si="108"/>
        <v>0</v>
      </c>
      <c r="T840" s="3" t="str">
        <f t="shared" si="109"/>
        <v/>
      </c>
      <c r="V840" s="1" t="e">
        <f t="shared" si="110"/>
        <v>#DIV/0!</v>
      </c>
    </row>
    <row r="841" spans="8:22" x14ac:dyDescent="0.3">
      <c r="H841" s="10" t="str">
        <f>IF(Planilha1!B838="","",Planilha1!B838)</f>
        <v>8:00p</v>
      </c>
      <c r="I841" s="10" t="str">
        <f>IF(Planilha1!C838="","",Planilha1!C838)</f>
        <v>Los Angeles Clippers</v>
      </c>
      <c r="J841" s="10">
        <f>IF(Planilha1!D838="","",Planilha1!D838)</f>
        <v>0</v>
      </c>
      <c r="K841" s="10" t="str">
        <f>IF(Planilha1!E838="","",IF(Planilha1!E838=0,"",Planilha1!E838))</f>
        <v>Memphis Grizzlies</v>
      </c>
      <c r="L841" s="10">
        <f>IF(Planilha1!F838="","",Planilha1!F838)</f>
        <v>0</v>
      </c>
      <c r="M841" s="10" t="str">
        <f>IF(Planilha1!G838="","",IF(Planilha1!G838=0,"",Planilha1!G838))</f>
        <v/>
      </c>
      <c r="N841" s="5">
        <f t="shared" si="111"/>
        <v>1</v>
      </c>
      <c r="O841" s="5">
        <f t="shared" si="112"/>
        <v>0</v>
      </c>
      <c r="P841" s="5">
        <f t="shared" si="105"/>
        <v>0</v>
      </c>
      <c r="Q841" s="5">
        <f t="shared" si="106"/>
        <v>2</v>
      </c>
      <c r="R841" s="7">
        <f t="shared" si="107"/>
        <v>0</v>
      </c>
      <c r="S841" s="7">
        <f t="shared" si="108"/>
        <v>0</v>
      </c>
      <c r="T841" s="3" t="str">
        <f t="shared" si="109"/>
        <v/>
      </c>
      <c r="V841" s="1" t="e">
        <f t="shared" si="110"/>
        <v>#DIV/0!</v>
      </c>
    </row>
    <row r="842" spans="8:22" x14ac:dyDescent="0.3">
      <c r="H842" s="10" t="str">
        <f>IF(Planilha1!B839="","",Planilha1!B839)</f>
        <v>8:00p</v>
      </c>
      <c r="I842" s="10" t="str">
        <f>IF(Planilha1!C839="","",Planilha1!C839)</f>
        <v>Milwaukee Bucks</v>
      </c>
      <c r="J842" s="10">
        <f>IF(Planilha1!D839="","",Planilha1!D839)</f>
        <v>0</v>
      </c>
      <c r="K842" s="10" t="str">
        <f>IF(Planilha1!E839="","",IF(Planilha1!E839=0,"",Planilha1!E839))</f>
        <v>Minnesota Timberwolves</v>
      </c>
      <c r="L842" s="10">
        <f>IF(Planilha1!F839="","",Planilha1!F839)</f>
        <v>0</v>
      </c>
      <c r="M842" s="10" t="str">
        <f>IF(Planilha1!G839="","",IF(Planilha1!G839=0,"",Planilha1!G839))</f>
        <v/>
      </c>
      <c r="N842" s="5">
        <f t="shared" si="111"/>
        <v>1</v>
      </c>
      <c r="O842" s="5">
        <f t="shared" si="112"/>
        <v>0</v>
      </c>
      <c r="P842" s="5">
        <f t="shared" si="105"/>
        <v>0</v>
      </c>
      <c r="Q842" s="5">
        <f t="shared" si="106"/>
        <v>2</v>
      </c>
      <c r="R842" s="7">
        <f t="shared" si="107"/>
        <v>0</v>
      </c>
      <c r="S842" s="7">
        <f t="shared" si="108"/>
        <v>0</v>
      </c>
      <c r="T842" s="3" t="str">
        <f t="shared" si="109"/>
        <v/>
      </c>
      <c r="V842" s="1" t="e">
        <f t="shared" si="110"/>
        <v>#DIV/0!</v>
      </c>
    </row>
    <row r="843" spans="8:22" x14ac:dyDescent="0.3">
      <c r="H843" s="10" t="str">
        <f>IF(Planilha1!B840="","",Planilha1!B840)</f>
        <v>8:00p</v>
      </c>
      <c r="I843" s="10" t="str">
        <f>IF(Planilha1!C840="","",Planilha1!C840)</f>
        <v>Washington Wizards</v>
      </c>
      <c r="J843" s="10">
        <f>IF(Planilha1!D840="","",Planilha1!D840)</f>
        <v>0</v>
      </c>
      <c r="K843" s="10" t="str">
        <f>IF(Planilha1!E840="","",IF(Planilha1!E840=0,"",Planilha1!E840))</f>
        <v>Oklahoma City Thunder</v>
      </c>
      <c r="L843" s="10">
        <f>IF(Planilha1!F840="","",Planilha1!F840)</f>
        <v>0</v>
      </c>
      <c r="M843" s="10" t="str">
        <f>IF(Planilha1!G840="","",IF(Planilha1!G840=0,"",Planilha1!G840))</f>
        <v/>
      </c>
      <c r="N843" s="5">
        <f t="shared" si="111"/>
        <v>1</v>
      </c>
      <c r="O843" s="5">
        <f t="shared" si="112"/>
        <v>0</v>
      </c>
      <c r="P843" s="5">
        <f t="shared" si="105"/>
        <v>0</v>
      </c>
      <c r="Q843" s="5">
        <f t="shared" si="106"/>
        <v>2</v>
      </c>
      <c r="R843" s="7">
        <f t="shared" si="107"/>
        <v>0</v>
      </c>
      <c r="S843" s="7">
        <f t="shared" si="108"/>
        <v>0</v>
      </c>
      <c r="T843" s="3" t="str">
        <f t="shared" si="109"/>
        <v/>
      </c>
      <c r="V843" s="1" t="e">
        <f t="shared" si="110"/>
        <v>#DIV/0!</v>
      </c>
    </row>
    <row r="844" spans="8:22" x14ac:dyDescent="0.3">
      <c r="H844" s="10" t="str">
        <f>IF(Planilha1!B841="","",Planilha1!B841)</f>
        <v>10:00p</v>
      </c>
      <c r="I844" s="10" t="str">
        <f>IF(Planilha1!C841="","",Planilha1!C841)</f>
        <v>Charlotte Hornets</v>
      </c>
      <c r="J844" s="10">
        <f>IF(Planilha1!D841="","",Planilha1!D841)</f>
        <v>0</v>
      </c>
      <c r="K844" s="10" t="str">
        <f>IF(Planilha1!E841="","",IF(Planilha1!E841=0,"",Planilha1!E841))</f>
        <v>Golden State Warriors</v>
      </c>
      <c r="L844" s="10">
        <f>IF(Planilha1!F841="","",Planilha1!F841)</f>
        <v>0</v>
      </c>
      <c r="M844" s="10" t="str">
        <f>IF(Planilha1!G841="","",IF(Planilha1!G841=0,"",Planilha1!G841))</f>
        <v/>
      </c>
      <c r="N844" s="5">
        <f t="shared" si="111"/>
        <v>1</v>
      </c>
      <c r="O844" s="5">
        <f t="shared" si="112"/>
        <v>0</v>
      </c>
      <c r="P844" s="5">
        <f t="shared" si="105"/>
        <v>0</v>
      </c>
      <c r="Q844" s="5">
        <f t="shared" si="106"/>
        <v>2</v>
      </c>
      <c r="R844" s="7">
        <f t="shared" si="107"/>
        <v>0</v>
      </c>
      <c r="S844" s="7">
        <f t="shared" si="108"/>
        <v>0</v>
      </c>
      <c r="T844" s="3" t="str">
        <f t="shared" si="109"/>
        <v/>
      </c>
      <c r="V844" s="1" t="e">
        <f t="shared" si="110"/>
        <v>#DIV/0!</v>
      </c>
    </row>
    <row r="845" spans="8:22" x14ac:dyDescent="0.3">
      <c r="H845" s="10" t="str">
        <f>IF(Planilha1!B842="","",Planilha1!B842)</f>
        <v>10:00p</v>
      </c>
      <c r="I845" s="10" t="str">
        <f>IF(Planilha1!C842="","",Planilha1!C842)</f>
        <v>Miami Heat</v>
      </c>
      <c r="J845" s="10">
        <f>IF(Planilha1!D842="","",Planilha1!D842)</f>
        <v>0</v>
      </c>
      <c r="K845" s="10" t="str">
        <f>IF(Planilha1!E842="","",IF(Planilha1!E842=0,"",Planilha1!E842))</f>
        <v>New Orleans Pelicans</v>
      </c>
      <c r="L845" s="10">
        <f>IF(Planilha1!F842="","",Planilha1!F842)</f>
        <v>0</v>
      </c>
      <c r="M845" s="10" t="str">
        <f>IF(Planilha1!G842="","",IF(Planilha1!G842=0,"",Planilha1!G842))</f>
        <v/>
      </c>
      <c r="N845" s="5">
        <f t="shared" si="111"/>
        <v>1</v>
      </c>
      <c r="O845" s="5">
        <f t="shared" si="112"/>
        <v>0</v>
      </c>
      <c r="P845" s="5">
        <f t="shared" si="105"/>
        <v>0</v>
      </c>
      <c r="Q845" s="5">
        <f t="shared" si="106"/>
        <v>2</v>
      </c>
      <c r="R845" s="7">
        <f t="shared" si="107"/>
        <v>0</v>
      </c>
      <c r="S845" s="7">
        <f t="shared" si="108"/>
        <v>0</v>
      </c>
      <c r="T845" s="3" t="str">
        <f t="shared" si="109"/>
        <v/>
      </c>
      <c r="V845" s="1" t="e">
        <f t="shared" si="110"/>
        <v>#DIV/0!</v>
      </c>
    </row>
    <row r="846" spans="8:22" x14ac:dyDescent="0.3">
      <c r="H846" s="10" t="str">
        <f>IF(Planilha1!B843="","",Planilha1!B843)</f>
        <v>10:00p</v>
      </c>
      <c r="I846" s="10" t="str">
        <f>IF(Planilha1!C843="","",Planilha1!C843)</f>
        <v>Denver Nuggets</v>
      </c>
      <c r="J846" s="10">
        <f>IF(Planilha1!D843="","",Planilha1!D843)</f>
        <v>0</v>
      </c>
      <c r="K846" s="10" t="str">
        <f>IF(Planilha1!E843="","",IF(Planilha1!E843=0,"",Planilha1!E843))</f>
        <v>Portland Trail Blazers</v>
      </c>
      <c r="L846" s="10">
        <f>IF(Planilha1!F843="","",Planilha1!F843)</f>
        <v>0</v>
      </c>
      <c r="M846" s="10" t="str">
        <f>IF(Planilha1!G843="","",IF(Planilha1!G843=0,"",Planilha1!G843))</f>
        <v/>
      </c>
      <c r="N846" s="5">
        <f t="shared" si="111"/>
        <v>1</v>
      </c>
      <c r="O846" s="5">
        <f t="shared" si="112"/>
        <v>0</v>
      </c>
      <c r="P846" s="5">
        <f t="shared" si="105"/>
        <v>0</v>
      </c>
      <c r="Q846" s="5">
        <f t="shared" si="106"/>
        <v>2</v>
      </c>
      <c r="R846" s="7">
        <f t="shared" si="107"/>
        <v>0</v>
      </c>
      <c r="S846" s="7">
        <f t="shared" si="108"/>
        <v>0</v>
      </c>
      <c r="T846" s="3" t="str">
        <f t="shared" si="109"/>
        <v/>
      </c>
      <c r="V846" s="1" t="e">
        <f t="shared" si="110"/>
        <v>#DIV/0!</v>
      </c>
    </row>
    <row r="847" spans="8:22" x14ac:dyDescent="0.3">
      <c r="H847" s="10" t="str">
        <f>IF(Planilha1!B844="","",Planilha1!B844)</f>
        <v>10:30p</v>
      </c>
      <c r="I847" s="10" t="str">
        <f>IF(Planilha1!C844="","",Planilha1!C844)</f>
        <v>San Antonio Spurs</v>
      </c>
      <c r="J847" s="10">
        <f>IF(Planilha1!D844="","",Planilha1!D844)</f>
        <v>0</v>
      </c>
      <c r="K847" s="10" t="str">
        <f>IF(Planilha1!E844="","",IF(Planilha1!E844=0,"",Planilha1!E844))</f>
        <v>Los Angeles Lakers</v>
      </c>
      <c r="L847" s="10">
        <f>IF(Planilha1!F844="","",Planilha1!F844)</f>
        <v>0</v>
      </c>
      <c r="M847" s="10" t="str">
        <f>IF(Planilha1!G844="","",IF(Planilha1!G844=0,"",Planilha1!G844))</f>
        <v/>
      </c>
      <c r="N847" s="5">
        <f t="shared" si="111"/>
        <v>1</v>
      </c>
      <c r="O847" s="5">
        <f t="shared" si="112"/>
        <v>0</v>
      </c>
      <c r="P847" s="5">
        <f t="shared" si="105"/>
        <v>0</v>
      </c>
      <c r="Q847" s="5">
        <f t="shared" si="106"/>
        <v>2</v>
      </c>
      <c r="R847" s="7">
        <f t="shared" si="107"/>
        <v>0</v>
      </c>
      <c r="S847" s="7">
        <f t="shared" si="108"/>
        <v>0</v>
      </c>
      <c r="T847" s="3" t="str">
        <f t="shared" si="109"/>
        <v/>
      </c>
      <c r="V847" s="1" t="e">
        <f t="shared" si="110"/>
        <v>#DIV/0!</v>
      </c>
    </row>
    <row r="848" spans="8:22" x14ac:dyDescent="0.3">
      <c r="H848" s="10" t="str">
        <f>IF(Planilha1!B845="","",Planilha1!B845)</f>
        <v>8:00p</v>
      </c>
      <c r="I848" s="10" t="str">
        <f>IF(Planilha1!C845="","",Planilha1!C845)</f>
        <v>Orlando Magic</v>
      </c>
      <c r="J848" s="10">
        <f>IF(Planilha1!D845="","",Planilha1!D845)</f>
        <v>0</v>
      </c>
      <c r="K848" s="10" t="str">
        <f>IF(Planilha1!E845="","",IF(Planilha1!E845=0,"",Planilha1!E845))</f>
        <v>Detroit Pistons</v>
      </c>
      <c r="L848" s="10">
        <f>IF(Planilha1!F845="","",Planilha1!F845)</f>
        <v>0</v>
      </c>
      <c r="M848" s="10" t="str">
        <f>IF(Planilha1!G845="","",IF(Planilha1!G845=0,"",Planilha1!G845))</f>
        <v/>
      </c>
      <c r="N848" s="5">
        <f t="shared" si="111"/>
        <v>1</v>
      </c>
      <c r="O848" s="5">
        <f t="shared" si="112"/>
        <v>0</v>
      </c>
      <c r="P848" s="5">
        <f t="shared" si="105"/>
        <v>0</v>
      </c>
      <c r="Q848" s="5">
        <f t="shared" si="106"/>
        <v>2</v>
      </c>
      <c r="R848" s="7">
        <f t="shared" si="107"/>
        <v>0</v>
      </c>
      <c r="S848" s="7">
        <f t="shared" si="108"/>
        <v>0</v>
      </c>
      <c r="T848" s="3" t="str">
        <f t="shared" si="109"/>
        <v/>
      </c>
      <c r="V848" s="1" t="e">
        <f t="shared" si="110"/>
        <v>#DIV/0!</v>
      </c>
    </row>
    <row r="849" spans="8:22" x14ac:dyDescent="0.3">
      <c r="H849" s="10" t="str">
        <f>IF(Planilha1!B846="","",Planilha1!B846)</f>
        <v>8:00p</v>
      </c>
      <c r="I849" s="10" t="str">
        <f>IF(Planilha1!C846="","",Planilha1!C846)</f>
        <v>Brooklyn Nets</v>
      </c>
      <c r="J849" s="10">
        <f>IF(Planilha1!D846="","",Planilha1!D846)</f>
        <v>0</v>
      </c>
      <c r="K849" s="10" t="str">
        <f>IF(Planilha1!E846="","",IF(Planilha1!E846=0,"",Planilha1!E846))</f>
        <v>Minnesota Timberwolves</v>
      </c>
      <c r="L849" s="10">
        <f>IF(Planilha1!F846="","",Planilha1!F846)</f>
        <v>0</v>
      </c>
      <c r="M849" s="10" t="str">
        <f>IF(Planilha1!G846="","",IF(Planilha1!G846=0,"",Planilha1!G846))</f>
        <v/>
      </c>
      <c r="N849" s="5">
        <f t="shared" si="111"/>
        <v>1</v>
      </c>
      <c r="O849" s="5">
        <f t="shared" si="112"/>
        <v>0</v>
      </c>
      <c r="P849" s="5">
        <f t="shared" si="105"/>
        <v>0</v>
      </c>
      <c r="Q849" s="5">
        <f t="shared" si="106"/>
        <v>2</v>
      </c>
      <c r="R849" s="7">
        <f t="shared" si="107"/>
        <v>0</v>
      </c>
      <c r="S849" s="7">
        <f t="shared" si="108"/>
        <v>0</v>
      </c>
      <c r="T849" s="3" t="str">
        <f t="shared" si="109"/>
        <v/>
      </c>
      <c r="V849" s="1" t="e">
        <f t="shared" si="110"/>
        <v>#DIV/0!</v>
      </c>
    </row>
    <row r="850" spans="8:22" x14ac:dyDescent="0.3">
      <c r="H850" s="10" t="str">
        <f>IF(Planilha1!B847="","",Planilha1!B847)</f>
        <v>8:30p</v>
      </c>
      <c r="I850" s="10" t="str">
        <f>IF(Planilha1!C847="","",Planilha1!C847)</f>
        <v>Boston Celtics</v>
      </c>
      <c r="J850" s="10">
        <f>IF(Planilha1!D847="","",Planilha1!D847)</f>
        <v>0</v>
      </c>
      <c r="K850" s="10" t="str">
        <f>IF(Planilha1!E847="","",IF(Planilha1!E847=0,"",Planilha1!E847))</f>
        <v>New York Knicks</v>
      </c>
      <c r="L850" s="10">
        <f>IF(Planilha1!F847="","",Planilha1!F847)</f>
        <v>0</v>
      </c>
      <c r="M850" s="10" t="str">
        <f>IF(Planilha1!G847="","",IF(Planilha1!G847=0,"",Planilha1!G847))</f>
        <v/>
      </c>
      <c r="N850" s="5">
        <f t="shared" si="111"/>
        <v>1</v>
      </c>
      <c r="O850" s="5">
        <f t="shared" si="112"/>
        <v>0</v>
      </c>
      <c r="P850" s="5">
        <f t="shared" si="105"/>
        <v>0</v>
      </c>
      <c r="Q850" s="5">
        <f t="shared" si="106"/>
        <v>2</v>
      </c>
      <c r="R850" s="7">
        <f t="shared" si="107"/>
        <v>0</v>
      </c>
      <c r="S850" s="7">
        <f t="shared" si="108"/>
        <v>0</v>
      </c>
      <c r="T850" s="3" t="str">
        <f t="shared" si="109"/>
        <v/>
      </c>
      <c r="V850" s="1" t="e">
        <f t="shared" si="110"/>
        <v>#DIV/0!</v>
      </c>
    </row>
    <row r="851" spans="8:22" x14ac:dyDescent="0.3">
      <c r="H851" s="10" t="str">
        <f>IF(Planilha1!B848="","",Planilha1!B848)</f>
        <v>1:00p</v>
      </c>
      <c r="I851" s="10" t="str">
        <f>IF(Planilha1!C848="","",Planilha1!C848)</f>
        <v>Milwaukee Bucks</v>
      </c>
      <c r="J851" s="10">
        <f>IF(Planilha1!D848="","",Planilha1!D848)</f>
        <v>0</v>
      </c>
      <c r="K851" s="10" t="str">
        <f>IF(Planilha1!E848="","",IF(Planilha1!E848=0,"",Planilha1!E848))</f>
        <v>Philadelphia 76ers</v>
      </c>
      <c r="L851" s="10">
        <f>IF(Planilha1!F848="","",Planilha1!F848)</f>
        <v>0</v>
      </c>
      <c r="M851" s="10" t="str">
        <f>IF(Planilha1!G848="","",IF(Planilha1!G848=0,"",Planilha1!G848))</f>
        <v/>
      </c>
      <c r="N851" s="5">
        <f t="shared" si="111"/>
        <v>1</v>
      </c>
      <c r="O851" s="5">
        <f t="shared" si="112"/>
        <v>0</v>
      </c>
      <c r="P851" s="5">
        <f t="shared" si="105"/>
        <v>0</v>
      </c>
      <c r="Q851" s="5">
        <f t="shared" si="106"/>
        <v>2</v>
      </c>
      <c r="R851" s="7">
        <f t="shared" si="107"/>
        <v>0</v>
      </c>
      <c r="S851" s="7">
        <f t="shared" si="108"/>
        <v>0</v>
      </c>
      <c r="T851" s="3" t="str">
        <f t="shared" si="109"/>
        <v/>
      </c>
      <c r="V851" s="1" t="e">
        <f t="shared" si="110"/>
        <v>#DIV/0!</v>
      </c>
    </row>
    <row r="852" spans="8:22" x14ac:dyDescent="0.3">
      <c r="H852" s="10" t="str">
        <f>IF(Planilha1!B849="","",Planilha1!B849)</f>
        <v>3:30p</v>
      </c>
      <c r="I852" s="10" t="str">
        <f>IF(Planilha1!C849="","",Planilha1!C849)</f>
        <v>Los Angeles Lakers</v>
      </c>
      <c r="J852" s="10">
        <f>IF(Planilha1!D849="","",Planilha1!D849)</f>
        <v>0</v>
      </c>
      <c r="K852" s="10" t="str">
        <f>IF(Planilha1!E849="","",IF(Planilha1!E849=0,"",Planilha1!E849))</f>
        <v>Phoenix Suns</v>
      </c>
      <c r="L852" s="10">
        <f>IF(Planilha1!F849="","",Planilha1!F849)</f>
        <v>0</v>
      </c>
      <c r="M852" s="10" t="str">
        <f>IF(Planilha1!G849="","",IF(Planilha1!G849=0,"",Planilha1!G849))</f>
        <v/>
      </c>
      <c r="N852" s="5">
        <f t="shared" si="111"/>
        <v>1</v>
      </c>
      <c r="O852" s="5">
        <f t="shared" si="112"/>
        <v>0</v>
      </c>
      <c r="P852" s="5">
        <f t="shared" si="105"/>
        <v>0</v>
      </c>
      <c r="Q852" s="5">
        <f t="shared" si="106"/>
        <v>2</v>
      </c>
      <c r="R852" s="7">
        <f t="shared" si="107"/>
        <v>0</v>
      </c>
      <c r="S852" s="7">
        <f t="shared" si="108"/>
        <v>0</v>
      </c>
      <c r="T852" s="3" t="str">
        <f t="shared" si="109"/>
        <v/>
      </c>
      <c r="V852" s="1" t="e">
        <f t="shared" si="110"/>
        <v>#DIV/0!</v>
      </c>
    </row>
    <row r="853" spans="8:22" x14ac:dyDescent="0.3">
      <c r="H853" s="10" t="str">
        <f>IF(Planilha1!B850="","",Planilha1!B850)</f>
        <v>5:00p</v>
      </c>
      <c r="I853" s="10" t="str">
        <f>IF(Planilha1!C850="","",Planilha1!C850)</f>
        <v>Dallas Mavericks</v>
      </c>
      <c r="J853" s="10">
        <f>IF(Planilha1!D850="","",Planilha1!D850)</f>
        <v>0</v>
      </c>
      <c r="K853" s="10" t="str">
        <f>IF(Planilha1!E850="","",IF(Planilha1!E850=0,"",Planilha1!E850))</f>
        <v>Indiana Pacers</v>
      </c>
      <c r="L853" s="10">
        <f>IF(Planilha1!F850="","",Planilha1!F850)</f>
        <v>0</v>
      </c>
      <c r="M853" s="10" t="str">
        <f>IF(Planilha1!G850="","",IF(Planilha1!G850=0,"",Planilha1!G850))</f>
        <v/>
      </c>
      <c r="N853" s="5">
        <f t="shared" si="111"/>
        <v>1</v>
      </c>
      <c r="O853" s="5">
        <f t="shared" si="112"/>
        <v>0</v>
      </c>
      <c r="P853" s="5">
        <f t="shared" si="105"/>
        <v>0</v>
      </c>
      <c r="Q853" s="5">
        <f t="shared" si="106"/>
        <v>2</v>
      </c>
      <c r="R853" s="7">
        <f t="shared" si="107"/>
        <v>0</v>
      </c>
      <c r="S853" s="7">
        <f t="shared" si="108"/>
        <v>0</v>
      </c>
      <c r="T853" s="3" t="str">
        <f t="shared" si="109"/>
        <v/>
      </c>
      <c r="V853" s="1" t="e">
        <f t="shared" si="110"/>
        <v>#DIV/0!</v>
      </c>
    </row>
    <row r="854" spans="8:22" x14ac:dyDescent="0.3">
      <c r="H854" s="10" t="str">
        <f>IF(Planilha1!B851="","",Planilha1!B851)</f>
        <v>6:00p</v>
      </c>
      <c r="I854" s="10" t="str">
        <f>IF(Planilha1!C851="","",Planilha1!C851)</f>
        <v>Cleveland Cavaliers</v>
      </c>
      <c r="J854" s="10">
        <f>IF(Planilha1!D851="","",Planilha1!D851)</f>
        <v>0</v>
      </c>
      <c r="K854" s="10" t="str">
        <f>IF(Planilha1!E851="","",IF(Planilha1!E851=0,"",Planilha1!E851))</f>
        <v>Washington Wizards</v>
      </c>
      <c r="L854" s="10">
        <f>IF(Planilha1!F851="","",Planilha1!F851)</f>
        <v>0</v>
      </c>
      <c r="M854" s="10" t="str">
        <f>IF(Planilha1!G851="","",IF(Planilha1!G851=0,"",Planilha1!G851))</f>
        <v/>
      </c>
      <c r="N854" s="5">
        <f t="shared" si="111"/>
        <v>1</v>
      </c>
      <c r="O854" s="5">
        <f t="shared" si="112"/>
        <v>0</v>
      </c>
      <c r="P854" s="5">
        <f t="shared" si="105"/>
        <v>0</v>
      </c>
      <c r="Q854" s="5">
        <f t="shared" si="106"/>
        <v>2</v>
      </c>
      <c r="R854" s="7">
        <f t="shared" si="107"/>
        <v>0</v>
      </c>
      <c r="S854" s="7">
        <f t="shared" si="108"/>
        <v>0</v>
      </c>
      <c r="T854" s="3" t="str">
        <f t="shared" si="109"/>
        <v/>
      </c>
      <c r="V854" s="1" t="e">
        <f t="shared" si="110"/>
        <v>#DIV/0!</v>
      </c>
    </row>
    <row r="855" spans="8:22" x14ac:dyDescent="0.3">
      <c r="H855" s="10" t="str">
        <f>IF(Planilha1!B852="","",Planilha1!B852)</f>
        <v>7:00p</v>
      </c>
      <c r="I855" s="10" t="str">
        <f>IF(Planilha1!C852="","",Planilha1!C852)</f>
        <v>Orlando Magic</v>
      </c>
      <c r="J855" s="10">
        <f>IF(Planilha1!D852="","",Planilha1!D852)</f>
        <v>0</v>
      </c>
      <c r="K855" s="10" t="str">
        <f>IF(Planilha1!E852="","",IF(Planilha1!E852=0,"",Planilha1!E852))</f>
        <v>Atlanta Hawks</v>
      </c>
      <c r="L855" s="10">
        <f>IF(Planilha1!F852="","",Planilha1!F852)</f>
        <v>0</v>
      </c>
      <c r="M855" s="10" t="str">
        <f>IF(Planilha1!G852="","",IF(Planilha1!G852=0,"",Planilha1!G852))</f>
        <v/>
      </c>
      <c r="N855" s="5">
        <f t="shared" si="111"/>
        <v>1</v>
      </c>
      <c r="O855" s="5">
        <f t="shared" si="112"/>
        <v>0</v>
      </c>
      <c r="P855" s="5">
        <f t="shared" si="105"/>
        <v>0</v>
      </c>
      <c r="Q855" s="5">
        <f t="shared" si="106"/>
        <v>2</v>
      </c>
      <c r="R855" s="7">
        <f t="shared" si="107"/>
        <v>0</v>
      </c>
      <c r="S855" s="7">
        <f t="shared" si="108"/>
        <v>0</v>
      </c>
      <c r="T855" s="3" t="str">
        <f t="shared" si="109"/>
        <v/>
      </c>
      <c r="V855" s="1" t="e">
        <f t="shared" si="110"/>
        <v>#DIV/0!</v>
      </c>
    </row>
    <row r="856" spans="8:22" x14ac:dyDescent="0.3">
      <c r="H856" s="10" t="str">
        <f>IF(Planilha1!B853="","",Planilha1!B853)</f>
        <v>7:00p</v>
      </c>
      <c r="I856" s="10" t="str">
        <f>IF(Planilha1!C853="","",Planilha1!C853)</f>
        <v>Denver Nuggets</v>
      </c>
      <c r="J856" s="10">
        <f>IF(Planilha1!D853="","",Planilha1!D853)</f>
        <v>0</v>
      </c>
      <c r="K856" s="10" t="str">
        <f>IF(Planilha1!E853="","",IF(Planilha1!E853=0,"",Planilha1!E853))</f>
        <v>Golden State Warriors</v>
      </c>
      <c r="L856" s="10">
        <f>IF(Planilha1!F853="","",Planilha1!F853)</f>
        <v>0</v>
      </c>
      <c r="M856" s="10" t="str">
        <f>IF(Planilha1!G853="","",IF(Planilha1!G853=0,"",Planilha1!G853))</f>
        <v/>
      </c>
      <c r="N856" s="5">
        <f t="shared" si="111"/>
        <v>1</v>
      </c>
      <c r="O856" s="5">
        <f t="shared" si="112"/>
        <v>0</v>
      </c>
      <c r="P856" s="5">
        <f t="shared" si="105"/>
        <v>0</v>
      </c>
      <c r="Q856" s="5">
        <f t="shared" si="106"/>
        <v>2</v>
      </c>
      <c r="R856" s="7">
        <f t="shared" si="107"/>
        <v>0</v>
      </c>
      <c r="S856" s="7">
        <f t="shared" si="108"/>
        <v>0</v>
      </c>
      <c r="T856" s="3" t="str">
        <f t="shared" si="109"/>
        <v/>
      </c>
      <c r="V856" s="1" t="e">
        <f t="shared" si="110"/>
        <v>#DIV/0!</v>
      </c>
    </row>
    <row r="857" spans="8:22" x14ac:dyDescent="0.3">
      <c r="H857" s="10" t="str">
        <f>IF(Planilha1!B854="","",Planilha1!B854)</f>
        <v>7:00p</v>
      </c>
      <c r="I857" s="10" t="str">
        <f>IF(Planilha1!C854="","",Planilha1!C854)</f>
        <v>Oklahoma City Thunder</v>
      </c>
      <c r="J857" s="10">
        <f>IF(Planilha1!D854="","",Planilha1!D854)</f>
        <v>0</v>
      </c>
      <c r="K857" s="10" t="str">
        <f>IF(Planilha1!E854="","",IF(Planilha1!E854=0,"",Planilha1!E854))</f>
        <v>Houston Rockets</v>
      </c>
      <c r="L857" s="10">
        <f>IF(Planilha1!F854="","",Planilha1!F854)</f>
        <v>0</v>
      </c>
      <c r="M857" s="10" t="str">
        <f>IF(Planilha1!G854="","",IF(Planilha1!G854=0,"",Planilha1!G854))</f>
        <v/>
      </c>
      <c r="N857" s="5">
        <f t="shared" si="111"/>
        <v>1</v>
      </c>
      <c r="O857" s="5">
        <f t="shared" si="112"/>
        <v>0</v>
      </c>
      <c r="P857" s="5">
        <f t="shared" si="105"/>
        <v>0</v>
      </c>
      <c r="Q857" s="5">
        <f t="shared" si="106"/>
        <v>2</v>
      </c>
      <c r="R857" s="7">
        <f t="shared" si="107"/>
        <v>0</v>
      </c>
      <c r="S857" s="7">
        <f t="shared" si="108"/>
        <v>0</v>
      </c>
      <c r="T857" s="3" t="str">
        <f t="shared" si="109"/>
        <v/>
      </c>
      <c r="V857" s="1" t="e">
        <f t="shared" si="110"/>
        <v>#DIV/0!</v>
      </c>
    </row>
    <row r="858" spans="8:22" x14ac:dyDescent="0.3">
      <c r="H858" s="10" t="str">
        <f>IF(Planilha1!B855="","",Planilha1!B855)</f>
        <v>7:00p</v>
      </c>
      <c r="I858" s="10" t="str">
        <f>IF(Planilha1!C855="","",Planilha1!C855)</f>
        <v>Chicago Bulls</v>
      </c>
      <c r="J858" s="10">
        <f>IF(Planilha1!D855="","",Planilha1!D855)</f>
        <v>0</v>
      </c>
      <c r="K858" s="10" t="str">
        <f>IF(Planilha1!E855="","",IF(Planilha1!E855=0,"",Planilha1!E855))</f>
        <v>New Orleans Pelicans</v>
      </c>
      <c r="L858" s="10">
        <f>IF(Planilha1!F855="","",Planilha1!F855)</f>
        <v>0</v>
      </c>
      <c r="M858" s="10" t="str">
        <f>IF(Planilha1!G855="","",IF(Planilha1!G855=0,"",Planilha1!G855))</f>
        <v/>
      </c>
      <c r="N858" s="5">
        <f t="shared" si="111"/>
        <v>1</v>
      </c>
      <c r="O858" s="5">
        <f t="shared" si="112"/>
        <v>0</v>
      </c>
      <c r="P858" s="5">
        <f t="shared" si="105"/>
        <v>0</v>
      </c>
      <c r="Q858" s="5">
        <f t="shared" si="106"/>
        <v>2</v>
      </c>
      <c r="R858" s="7">
        <f t="shared" si="107"/>
        <v>0</v>
      </c>
      <c r="S858" s="7">
        <f t="shared" si="108"/>
        <v>0</v>
      </c>
      <c r="T858" s="3" t="str">
        <f t="shared" si="109"/>
        <v/>
      </c>
      <c r="V858" s="1" t="e">
        <f t="shared" si="110"/>
        <v>#DIV/0!</v>
      </c>
    </row>
    <row r="859" spans="8:22" x14ac:dyDescent="0.3">
      <c r="H859" s="10" t="str">
        <f>IF(Planilha1!B856="","",Planilha1!B856)</f>
        <v>8:00p</v>
      </c>
      <c r="I859" s="10" t="str">
        <f>IF(Planilha1!C856="","",Planilha1!C856)</f>
        <v>San Antonio Spurs</v>
      </c>
      <c r="J859" s="10">
        <f>IF(Planilha1!D856="","",Planilha1!D856)</f>
        <v>0</v>
      </c>
      <c r="K859" s="10" t="str">
        <f>IF(Planilha1!E856="","",IF(Planilha1!E856=0,"",Planilha1!E856))</f>
        <v>Utah Jazz</v>
      </c>
      <c r="L859" s="10">
        <f>IF(Planilha1!F856="","",Planilha1!F856)</f>
        <v>0</v>
      </c>
      <c r="M859" s="10" t="str">
        <f>IF(Planilha1!G856="","",IF(Planilha1!G856=0,"",Planilha1!G856))</f>
        <v/>
      </c>
      <c r="N859" s="5">
        <f t="shared" si="111"/>
        <v>1</v>
      </c>
      <c r="O859" s="5">
        <f t="shared" si="112"/>
        <v>0</v>
      </c>
      <c r="P859" s="5">
        <f t="shared" si="105"/>
        <v>0</v>
      </c>
      <c r="Q859" s="5">
        <f t="shared" si="106"/>
        <v>2</v>
      </c>
      <c r="R859" s="7">
        <f t="shared" si="107"/>
        <v>0</v>
      </c>
      <c r="S859" s="7">
        <f t="shared" si="108"/>
        <v>0</v>
      </c>
      <c r="T859" s="3" t="str">
        <f t="shared" si="109"/>
        <v/>
      </c>
      <c r="V859" s="1" t="e">
        <f t="shared" si="110"/>
        <v>#DIV/0!</v>
      </c>
    </row>
    <row r="860" spans="8:22" x14ac:dyDescent="0.3">
      <c r="H860" s="10" t="str">
        <f>IF(Planilha1!B857="","",Planilha1!B857)</f>
        <v>9:00p</v>
      </c>
      <c r="I860" s="10" t="str">
        <f>IF(Planilha1!C857="","",Planilha1!C857)</f>
        <v>Charlotte Hornets</v>
      </c>
      <c r="J860" s="10">
        <f>IF(Planilha1!D857="","",Planilha1!D857)</f>
        <v>0</v>
      </c>
      <c r="K860" s="10" t="str">
        <f>IF(Planilha1!E857="","",IF(Planilha1!E857=0,"",Planilha1!E857))</f>
        <v>Portland Trail Blazers</v>
      </c>
      <c r="L860" s="10">
        <f>IF(Planilha1!F857="","",Planilha1!F857)</f>
        <v>0</v>
      </c>
      <c r="M860" s="10" t="str">
        <f>IF(Planilha1!G857="","",IF(Planilha1!G857=0,"",Planilha1!G857))</f>
        <v/>
      </c>
      <c r="N860" s="5">
        <f t="shared" si="111"/>
        <v>1</v>
      </c>
      <c r="O860" s="5">
        <f t="shared" si="112"/>
        <v>0</v>
      </c>
      <c r="P860" s="5">
        <f t="shared" si="105"/>
        <v>0</v>
      </c>
      <c r="Q860" s="5">
        <f t="shared" si="106"/>
        <v>2</v>
      </c>
      <c r="R860" s="7">
        <f t="shared" si="107"/>
        <v>0</v>
      </c>
      <c r="S860" s="7">
        <f t="shared" si="108"/>
        <v>0</v>
      </c>
      <c r="T860" s="3" t="str">
        <f t="shared" si="109"/>
        <v/>
      </c>
      <c r="V860" s="1" t="e">
        <f t="shared" si="110"/>
        <v>#DIV/0!</v>
      </c>
    </row>
    <row r="861" spans="8:22" x14ac:dyDescent="0.3">
      <c r="H861" s="10" t="str">
        <f>IF(Planilha1!B858="","",Planilha1!B858)</f>
        <v>9:30p</v>
      </c>
      <c r="I861" s="10" t="str">
        <f>IF(Planilha1!C858="","",Planilha1!C858)</f>
        <v>Sacramento Kings</v>
      </c>
      <c r="J861" s="10">
        <f>IF(Planilha1!D858="","",Planilha1!D858)</f>
        <v>0</v>
      </c>
      <c r="K861" s="10" t="str">
        <f>IF(Planilha1!E858="","",IF(Planilha1!E858=0,"",Planilha1!E858))</f>
        <v>Los Angeles Clippers</v>
      </c>
      <c r="L861" s="10">
        <f>IF(Planilha1!F858="","",Planilha1!F858)</f>
        <v>0</v>
      </c>
      <c r="M861" s="10" t="str">
        <f>IF(Planilha1!G858="","",IF(Planilha1!G858=0,"",Planilha1!G858))</f>
        <v/>
      </c>
      <c r="N861" s="5">
        <f t="shared" si="111"/>
        <v>1</v>
      </c>
      <c r="O861" s="5">
        <f t="shared" si="112"/>
        <v>0</v>
      </c>
      <c r="P861" s="5">
        <f t="shared" si="105"/>
        <v>0</v>
      </c>
      <c r="Q861" s="5">
        <f t="shared" si="106"/>
        <v>2</v>
      </c>
      <c r="R861" s="7">
        <f t="shared" si="107"/>
        <v>0</v>
      </c>
      <c r="S861" s="7">
        <f t="shared" si="108"/>
        <v>0</v>
      </c>
      <c r="T861" s="3" t="str">
        <f t="shared" si="109"/>
        <v/>
      </c>
      <c r="V861" s="1" t="e">
        <f t="shared" si="110"/>
        <v>#DIV/0!</v>
      </c>
    </row>
    <row r="862" spans="8:22" x14ac:dyDescent="0.3">
      <c r="H862" s="10" t="str">
        <f>IF(Planilha1!B859="","",Planilha1!B859)</f>
        <v>7:00p</v>
      </c>
      <c r="I862" s="10" t="str">
        <f>IF(Planilha1!C859="","",Planilha1!C859)</f>
        <v>Toronto Raptors</v>
      </c>
      <c r="J862" s="10">
        <f>IF(Planilha1!D859="","",Planilha1!D859)</f>
        <v>0</v>
      </c>
      <c r="K862" s="10" t="str">
        <f>IF(Planilha1!E859="","",IF(Planilha1!E859=0,"",Planilha1!E859))</f>
        <v>Indiana Pacers</v>
      </c>
      <c r="L862" s="10">
        <f>IF(Planilha1!F859="","",Planilha1!F859)</f>
        <v>0</v>
      </c>
      <c r="M862" s="10" t="str">
        <f>IF(Planilha1!G859="","",IF(Planilha1!G859=0,"",Planilha1!G859))</f>
        <v/>
      </c>
      <c r="N862" s="5">
        <f t="shared" si="111"/>
        <v>1</v>
      </c>
      <c r="O862" s="5">
        <f t="shared" si="112"/>
        <v>0</v>
      </c>
      <c r="P862" s="5">
        <f t="shared" si="105"/>
        <v>0</v>
      </c>
      <c r="Q862" s="5">
        <f t="shared" si="106"/>
        <v>2</v>
      </c>
      <c r="R862" s="7">
        <f t="shared" si="107"/>
        <v>0</v>
      </c>
      <c r="S862" s="7">
        <f t="shared" si="108"/>
        <v>0</v>
      </c>
      <c r="T862" s="3" t="str">
        <f t="shared" si="109"/>
        <v/>
      </c>
      <c r="V862" s="1" t="e">
        <f t="shared" si="110"/>
        <v>#DIV/0!</v>
      </c>
    </row>
    <row r="863" spans="8:22" x14ac:dyDescent="0.3">
      <c r="H863" s="10" t="str">
        <f>IF(Planilha1!B860="","",Planilha1!B860)</f>
        <v>7:30p</v>
      </c>
      <c r="I863" s="10" t="str">
        <f>IF(Planilha1!C860="","",Planilha1!C860)</f>
        <v>Detroit Pistons</v>
      </c>
      <c r="J863" s="10">
        <f>IF(Planilha1!D860="","",Planilha1!D860)</f>
        <v>0</v>
      </c>
      <c r="K863" s="10" t="str">
        <f>IF(Planilha1!E860="","",IF(Planilha1!E860=0,"",Planilha1!E860))</f>
        <v>New York Knicks</v>
      </c>
      <c r="L863" s="10">
        <f>IF(Planilha1!F860="","",Planilha1!F860)</f>
        <v>0</v>
      </c>
      <c r="M863" s="10" t="str">
        <f>IF(Planilha1!G860="","",IF(Planilha1!G860=0,"",Planilha1!G860))</f>
        <v/>
      </c>
      <c r="N863" s="5">
        <f t="shared" si="111"/>
        <v>1</v>
      </c>
      <c r="O863" s="5">
        <f t="shared" si="112"/>
        <v>0</v>
      </c>
      <c r="P863" s="5">
        <f t="shared" si="105"/>
        <v>0</v>
      </c>
      <c r="Q863" s="5">
        <f t="shared" si="106"/>
        <v>2</v>
      </c>
      <c r="R863" s="7">
        <f t="shared" si="107"/>
        <v>0</v>
      </c>
      <c r="S863" s="7">
        <f t="shared" si="108"/>
        <v>0</v>
      </c>
      <c r="T863" s="3" t="str">
        <f t="shared" si="109"/>
        <v/>
      </c>
      <c r="V863" s="1" t="e">
        <f t="shared" si="110"/>
        <v>#DIV/0!</v>
      </c>
    </row>
    <row r="864" spans="8:22" x14ac:dyDescent="0.3">
      <c r="H864" s="10" t="str">
        <f>IF(Planilha1!B861="","",Planilha1!B861)</f>
        <v>8:00p</v>
      </c>
      <c r="I864" s="10" t="str">
        <f>IF(Planilha1!C861="","",Planilha1!C861)</f>
        <v>Brooklyn Nets</v>
      </c>
      <c r="J864" s="10">
        <f>IF(Planilha1!D861="","",Planilha1!D861)</f>
        <v>0</v>
      </c>
      <c r="K864" s="10" t="str">
        <f>IF(Planilha1!E861="","",IF(Planilha1!E861=0,"",Planilha1!E861))</f>
        <v>Memphis Grizzlies</v>
      </c>
      <c r="L864" s="10">
        <f>IF(Planilha1!F861="","",Planilha1!F861)</f>
        <v>0</v>
      </c>
      <c r="M864" s="10" t="str">
        <f>IF(Planilha1!G861="","",IF(Planilha1!G861=0,"",Planilha1!G861))</f>
        <v/>
      </c>
      <c r="N864" s="5">
        <f t="shared" si="111"/>
        <v>1</v>
      </c>
      <c r="O864" s="5">
        <f t="shared" si="112"/>
        <v>0</v>
      </c>
      <c r="P864" s="5">
        <f t="shared" si="105"/>
        <v>0</v>
      </c>
      <c r="Q864" s="5">
        <f t="shared" si="106"/>
        <v>2</v>
      </c>
      <c r="R864" s="7">
        <f t="shared" si="107"/>
        <v>0</v>
      </c>
      <c r="S864" s="7">
        <f t="shared" si="108"/>
        <v>0</v>
      </c>
      <c r="T864" s="3" t="str">
        <f t="shared" si="109"/>
        <v/>
      </c>
      <c r="V864" s="1" t="e">
        <f t="shared" si="110"/>
        <v>#DIV/0!</v>
      </c>
    </row>
    <row r="865" spans="8:22" x14ac:dyDescent="0.3">
      <c r="H865" s="10" t="str">
        <f>IF(Planilha1!B862="","",Planilha1!B862)</f>
        <v>10:00p</v>
      </c>
      <c r="I865" s="10" t="str">
        <f>IF(Planilha1!C862="","",Planilha1!C862)</f>
        <v>Miami Heat</v>
      </c>
      <c r="J865" s="10">
        <f>IF(Planilha1!D862="","",Planilha1!D862)</f>
        <v>0</v>
      </c>
      <c r="K865" s="10" t="str">
        <f>IF(Planilha1!E862="","",IF(Planilha1!E862=0,"",Planilha1!E862))</f>
        <v>Sacramento Kings</v>
      </c>
      <c r="L865" s="10">
        <f>IF(Planilha1!F862="","",Planilha1!F862)</f>
        <v>0</v>
      </c>
      <c r="M865" s="10" t="str">
        <f>IF(Planilha1!G862="","",IF(Planilha1!G862=0,"",Planilha1!G862))</f>
        <v/>
      </c>
      <c r="N865" s="5">
        <f t="shared" si="111"/>
        <v>1</v>
      </c>
      <c r="O865" s="5">
        <f t="shared" si="112"/>
        <v>0</v>
      </c>
      <c r="P865" s="5">
        <f t="shared" si="105"/>
        <v>0</v>
      </c>
      <c r="Q865" s="5">
        <f t="shared" si="106"/>
        <v>2</v>
      </c>
      <c r="R865" s="7">
        <f t="shared" si="107"/>
        <v>0</v>
      </c>
      <c r="S865" s="7">
        <f t="shared" si="108"/>
        <v>0</v>
      </c>
      <c r="T865" s="3" t="str">
        <f t="shared" si="109"/>
        <v/>
      </c>
      <c r="V865" s="1" t="e">
        <f t="shared" si="110"/>
        <v>#DIV/0!</v>
      </c>
    </row>
    <row r="866" spans="8:22" x14ac:dyDescent="0.3">
      <c r="H866" s="10" t="str">
        <f>IF(Planilha1!B863="","",Planilha1!B863)</f>
        <v>7:00p</v>
      </c>
      <c r="I866" s="10" t="str">
        <f>IF(Planilha1!C863="","",Planilha1!C863)</f>
        <v>Dallas Mavericks</v>
      </c>
      <c r="J866" s="10">
        <f>IF(Planilha1!D863="","",Planilha1!D863)</f>
        <v>0</v>
      </c>
      <c r="K866" s="10" t="str">
        <f>IF(Planilha1!E863="","",IF(Planilha1!E863=0,"",Planilha1!E863))</f>
        <v>Cleveland Cavaliers</v>
      </c>
      <c r="L866" s="10">
        <f>IF(Planilha1!F863="","",Planilha1!F863)</f>
        <v>0</v>
      </c>
      <c r="M866" s="10" t="str">
        <f>IF(Planilha1!G863="","",IF(Planilha1!G863=0,"",Planilha1!G863))</f>
        <v/>
      </c>
      <c r="N866" s="5">
        <f t="shared" si="111"/>
        <v>1</v>
      </c>
      <c r="O866" s="5">
        <f t="shared" si="112"/>
        <v>0</v>
      </c>
      <c r="P866" s="5">
        <f t="shared" si="105"/>
        <v>0</v>
      </c>
      <c r="Q866" s="5">
        <f t="shared" si="106"/>
        <v>2</v>
      </c>
      <c r="R866" s="7">
        <f t="shared" si="107"/>
        <v>0</v>
      </c>
      <c r="S866" s="7">
        <f t="shared" si="108"/>
        <v>0</v>
      </c>
      <c r="T866" s="3" t="str">
        <f t="shared" si="109"/>
        <v/>
      </c>
      <c r="V866" s="1" t="e">
        <f t="shared" si="110"/>
        <v>#DIV/0!</v>
      </c>
    </row>
    <row r="867" spans="8:22" x14ac:dyDescent="0.3">
      <c r="H867" s="10" t="str">
        <f>IF(Planilha1!B864="","",Planilha1!B864)</f>
        <v>7:00p</v>
      </c>
      <c r="I867" s="10" t="str">
        <f>IF(Planilha1!C864="","",Planilha1!C864)</f>
        <v>Brooklyn Nets</v>
      </c>
      <c r="J867" s="10">
        <f>IF(Planilha1!D864="","",Planilha1!D864)</f>
        <v>0</v>
      </c>
      <c r="K867" s="10" t="str">
        <f>IF(Planilha1!E864="","",IF(Planilha1!E864=0,"",Planilha1!E864))</f>
        <v>Orlando Magic</v>
      </c>
      <c r="L867" s="10">
        <f>IF(Planilha1!F864="","",Planilha1!F864)</f>
        <v>0</v>
      </c>
      <c r="M867" s="10" t="str">
        <f>IF(Planilha1!G864="","",IF(Planilha1!G864=0,"",Planilha1!G864))</f>
        <v/>
      </c>
      <c r="N867" s="5">
        <f t="shared" si="111"/>
        <v>1</v>
      </c>
      <c r="O867" s="5">
        <f t="shared" si="112"/>
        <v>0</v>
      </c>
      <c r="P867" s="5">
        <f t="shared" si="105"/>
        <v>0</v>
      </c>
      <c r="Q867" s="5">
        <f t="shared" si="106"/>
        <v>2</v>
      </c>
      <c r="R867" s="7">
        <f t="shared" si="107"/>
        <v>0</v>
      </c>
      <c r="S867" s="7">
        <f t="shared" si="108"/>
        <v>0</v>
      </c>
      <c r="T867" s="3" t="str">
        <f t="shared" si="109"/>
        <v/>
      </c>
      <c r="V867" s="1" t="e">
        <f t="shared" si="110"/>
        <v>#DIV/0!</v>
      </c>
    </row>
    <row r="868" spans="8:22" x14ac:dyDescent="0.3">
      <c r="H868" s="10" t="str">
        <f>IF(Planilha1!B865="","",Planilha1!B865)</f>
        <v>7:00p</v>
      </c>
      <c r="I868" s="10" t="str">
        <f>IF(Planilha1!C865="","",Planilha1!C865)</f>
        <v>Golden State Warriors</v>
      </c>
      <c r="J868" s="10">
        <f>IF(Planilha1!D865="","",Planilha1!D865)</f>
        <v>0</v>
      </c>
      <c r="K868" s="10" t="str">
        <f>IF(Planilha1!E865="","",IF(Planilha1!E865=0,"",Planilha1!E865))</f>
        <v>Washington Wizards</v>
      </c>
      <c r="L868" s="10">
        <f>IF(Planilha1!F865="","",Planilha1!F865)</f>
        <v>0</v>
      </c>
      <c r="M868" s="10" t="str">
        <f>IF(Planilha1!G865="","",IF(Planilha1!G865=0,"",Planilha1!G865))</f>
        <v/>
      </c>
      <c r="N868" s="5">
        <f t="shared" si="111"/>
        <v>1</v>
      </c>
      <c r="O868" s="5">
        <f t="shared" si="112"/>
        <v>0</v>
      </c>
      <c r="P868" s="5">
        <f t="shared" si="105"/>
        <v>0</v>
      </c>
      <c r="Q868" s="5">
        <f t="shared" si="106"/>
        <v>2</v>
      </c>
      <c r="R868" s="7">
        <f t="shared" si="107"/>
        <v>0</v>
      </c>
      <c r="S868" s="7">
        <f t="shared" si="108"/>
        <v>0</v>
      </c>
      <c r="T868" s="3" t="str">
        <f t="shared" si="109"/>
        <v/>
      </c>
      <c r="V868" s="1" t="e">
        <f t="shared" si="110"/>
        <v>#DIV/0!</v>
      </c>
    </row>
    <row r="869" spans="8:22" x14ac:dyDescent="0.3">
      <c r="H869" s="10" t="str">
        <f>IF(Planilha1!B866="","",Planilha1!B866)</f>
        <v>7:30p</v>
      </c>
      <c r="I869" s="10" t="str">
        <f>IF(Planilha1!C866="","",Planilha1!C866)</f>
        <v>Utah Jazz</v>
      </c>
      <c r="J869" s="10">
        <f>IF(Planilha1!D866="","",Planilha1!D866)</f>
        <v>0</v>
      </c>
      <c r="K869" s="10" t="str">
        <f>IF(Planilha1!E866="","",IF(Planilha1!E866=0,"",Planilha1!E866))</f>
        <v>Atlanta Hawks</v>
      </c>
      <c r="L869" s="10">
        <f>IF(Planilha1!F866="","",Planilha1!F866)</f>
        <v>0</v>
      </c>
      <c r="M869" s="10" t="str">
        <f>IF(Planilha1!G866="","",IF(Planilha1!G866=0,"",Planilha1!G866))</f>
        <v/>
      </c>
      <c r="N869" s="5">
        <f t="shared" si="111"/>
        <v>1</v>
      </c>
      <c r="O869" s="5">
        <f t="shared" si="112"/>
        <v>0</v>
      </c>
      <c r="P869" s="5">
        <f t="shared" si="105"/>
        <v>0</v>
      </c>
      <c r="Q869" s="5">
        <f t="shared" si="106"/>
        <v>2</v>
      </c>
      <c r="R869" s="7">
        <f t="shared" si="107"/>
        <v>0</v>
      </c>
      <c r="S869" s="7">
        <f t="shared" si="108"/>
        <v>0</v>
      </c>
      <c r="T869" s="3" t="str">
        <f t="shared" si="109"/>
        <v/>
      </c>
      <c r="V869" s="1" t="e">
        <f t="shared" si="110"/>
        <v>#DIV/0!</v>
      </c>
    </row>
    <row r="870" spans="8:22" x14ac:dyDescent="0.3">
      <c r="H870" s="10" t="str">
        <f>IF(Planilha1!B867="","",Planilha1!B867)</f>
        <v>7:30p</v>
      </c>
      <c r="I870" s="10" t="str">
        <f>IF(Planilha1!C867="","",Planilha1!C867)</f>
        <v>Philadelphia 76ers</v>
      </c>
      <c r="J870" s="10">
        <f>IF(Planilha1!D867="","",Planilha1!D867)</f>
        <v>0</v>
      </c>
      <c r="K870" s="10" t="str">
        <f>IF(Planilha1!E867="","",IF(Planilha1!E867=0,"",Planilha1!E867))</f>
        <v>Boston Celtics</v>
      </c>
      <c r="L870" s="10">
        <f>IF(Planilha1!F867="","",Planilha1!F867)</f>
        <v>0</v>
      </c>
      <c r="M870" s="10" t="str">
        <f>IF(Planilha1!G867="","",IF(Planilha1!G867=0,"",Planilha1!G867))</f>
        <v/>
      </c>
      <c r="N870" s="5">
        <f t="shared" si="111"/>
        <v>1</v>
      </c>
      <c r="O870" s="5">
        <f t="shared" si="112"/>
        <v>0</v>
      </c>
      <c r="P870" s="5">
        <f t="shared" si="105"/>
        <v>0</v>
      </c>
      <c r="Q870" s="5">
        <f t="shared" si="106"/>
        <v>2</v>
      </c>
      <c r="R870" s="7">
        <f t="shared" si="107"/>
        <v>0</v>
      </c>
      <c r="S870" s="7">
        <f t="shared" si="108"/>
        <v>0</v>
      </c>
      <c r="T870" s="3" t="str">
        <f t="shared" si="109"/>
        <v/>
      </c>
      <c r="V870" s="1" t="e">
        <f t="shared" si="110"/>
        <v>#DIV/0!</v>
      </c>
    </row>
    <row r="871" spans="8:22" x14ac:dyDescent="0.3">
      <c r="H871" s="10" t="str">
        <f>IF(Planilha1!B868="","",Planilha1!B868)</f>
        <v>7:30p</v>
      </c>
      <c r="I871" s="10" t="str">
        <f>IF(Planilha1!C868="","",Planilha1!C868)</f>
        <v>San Antonio Spurs</v>
      </c>
      <c r="J871" s="10">
        <f>IF(Planilha1!D868="","",Planilha1!D868)</f>
        <v>0</v>
      </c>
      <c r="K871" s="10" t="str">
        <f>IF(Planilha1!E868="","",IF(Planilha1!E868=0,"",Planilha1!E868))</f>
        <v>Minnesota Timberwolves</v>
      </c>
      <c r="L871" s="10">
        <f>IF(Planilha1!F868="","",Planilha1!F868)</f>
        <v>0</v>
      </c>
      <c r="M871" s="10" t="str">
        <f>IF(Planilha1!G868="","",IF(Planilha1!G868=0,"",Planilha1!G868))</f>
        <v/>
      </c>
      <c r="N871" s="5">
        <f t="shared" si="111"/>
        <v>1</v>
      </c>
      <c r="O871" s="5">
        <f t="shared" si="112"/>
        <v>0</v>
      </c>
      <c r="P871" s="5">
        <f t="shared" si="105"/>
        <v>0</v>
      </c>
      <c r="Q871" s="5">
        <f t="shared" si="106"/>
        <v>2</v>
      </c>
      <c r="R871" s="7">
        <f t="shared" si="107"/>
        <v>0</v>
      </c>
      <c r="S871" s="7">
        <f t="shared" si="108"/>
        <v>0</v>
      </c>
      <c r="T871" s="3" t="str">
        <f t="shared" si="109"/>
        <v/>
      </c>
      <c r="V871" s="1" t="e">
        <f t="shared" si="110"/>
        <v>#DIV/0!</v>
      </c>
    </row>
    <row r="872" spans="8:22" x14ac:dyDescent="0.3">
      <c r="H872" s="10" t="str">
        <f>IF(Planilha1!B869="","",Planilha1!B869)</f>
        <v>7:30p</v>
      </c>
      <c r="I872" s="10" t="str">
        <f>IF(Planilha1!C869="","",Planilha1!C869)</f>
        <v>New Orleans Pelicans</v>
      </c>
      <c r="J872" s="10">
        <f>IF(Planilha1!D869="","",Planilha1!D869)</f>
        <v>0</v>
      </c>
      <c r="K872" s="10" t="str">
        <f>IF(Planilha1!E869="","",IF(Planilha1!E869=0,"",Planilha1!E869))</f>
        <v>New York Knicks</v>
      </c>
      <c r="L872" s="10">
        <f>IF(Planilha1!F869="","",Planilha1!F869)</f>
        <v>0</v>
      </c>
      <c r="M872" s="10" t="str">
        <f>IF(Planilha1!G869="","",IF(Planilha1!G869=0,"",Planilha1!G869))</f>
        <v/>
      </c>
      <c r="N872" s="5">
        <f t="shared" si="111"/>
        <v>1</v>
      </c>
      <c r="O872" s="5">
        <f t="shared" si="112"/>
        <v>0</v>
      </c>
      <c r="P872" s="5">
        <f t="shared" si="105"/>
        <v>0</v>
      </c>
      <c r="Q872" s="5">
        <f t="shared" si="106"/>
        <v>2</v>
      </c>
      <c r="R872" s="7">
        <f t="shared" si="107"/>
        <v>0</v>
      </c>
      <c r="S872" s="7">
        <f t="shared" si="108"/>
        <v>0</v>
      </c>
      <c r="T872" s="3" t="str">
        <f t="shared" si="109"/>
        <v/>
      </c>
      <c r="V872" s="1" t="e">
        <f t="shared" si="110"/>
        <v>#DIV/0!</v>
      </c>
    </row>
    <row r="873" spans="8:22" x14ac:dyDescent="0.3">
      <c r="H873" s="10" t="str">
        <f>IF(Planilha1!B870="","",Planilha1!B870)</f>
        <v>8:00p</v>
      </c>
      <c r="I873" s="10" t="str">
        <f>IF(Planilha1!C870="","",Planilha1!C870)</f>
        <v>Detroit Pistons</v>
      </c>
      <c r="J873" s="10">
        <f>IF(Planilha1!D870="","",Planilha1!D870)</f>
        <v>0</v>
      </c>
      <c r="K873" s="10" t="str">
        <f>IF(Planilha1!E870="","",IF(Planilha1!E870=0,"",Planilha1!E870))</f>
        <v>Chicago Bulls</v>
      </c>
      <c r="L873" s="10">
        <f>IF(Planilha1!F870="","",Planilha1!F870)</f>
        <v>0</v>
      </c>
      <c r="M873" s="10" t="str">
        <f>IF(Planilha1!G870="","",IF(Planilha1!G870=0,"",Planilha1!G870))</f>
        <v/>
      </c>
      <c r="N873" s="5">
        <f t="shared" si="111"/>
        <v>1</v>
      </c>
      <c r="O873" s="5">
        <f t="shared" si="112"/>
        <v>0</v>
      </c>
      <c r="P873" s="5">
        <f t="shared" si="105"/>
        <v>0</v>
      </c>
      <c r="Q873" s="5">
        <f t="shared" si="106"/>
        <v>2</v>
      </c>
      <c r="R873" s="7">
        <f t="shared" si="107"/>
        <v>0</v>
      </c>
      <c r="S873" s="7">
        <f t="shared" si="108"/>
        <v>0</v>
      </c>
      <c r="T873" s="3" t="str">
        <f t="shared" si="109"/>
        <v/>
      </c>
      <c r="V873" s="1" t="e">
        <f t="shared" si="110"/>
        <v>#DIV/0!</v>
      </c>
    </row>
    <row r="874" spans="8:22" x14ac:dyDescent="0.3">
      <c r="H874" s="10" t="str">
        <f>IF(Planilha1!B871="","",Planilha1!B871)</f>
        <v>8:00p</v>
      </c>
      <c r="I874" s="10" t="str">
        <f>IF(Planilha1!C871="","",Planilha1!C871)</f>
        <v>Charlotte Hornets</v>
      </c>
      <c r="J874" s="10">
        <f>IF(Planilha1!D871="","",Planilha1!D871)</f>
        <v>0</v>
      </c>
      <c r="K874" s="10" t="str">
        <f>IF(Planilha1!E871="","",IF(Planilha1!E871=0,"",Planilha1!E871))</f>
        <v>Milwaukee Bucks</v>
      </c>
      <c r="L874" s="10">
        <f>IF(Planilha1!F871="","",Planilha1!F871)</f>
        <v>0</v>
      </c>
      <c r="M874" s="10" t="str">
        <f>IF(Planilha1!G871="","",IF(Planilha1!G871=0,"",Planilha1!G871))</f>
        <v/>
      </c>
      <c r="N874" s="5">
        <f t="shared" si="111"/>
        <v>1</v>
      </c>
      <c r="O874" s="5">
        <f t="shared" si="112"/>
        <v>0</v>
      </c>
      <c r="P874" s="5">
        <f t="shared" si="105"/>
        <v>0</v>
      </c>
      <c r="Q874" s="5">
        <f t="shared" si="106"/>
        <v>2</v>
      </c>
      <c r="R874" s="7">
        <f t="shared" si="107"/>
        <v>0</v>
      </c>
      <c r="S874" s="7">
        <f t="shared" si="108"/>
        <v>0</v>
      </c>
      <c r="T874" s="3" t="str">
        <f t="shared" si="109"/>
        <v/>
      </c>
      <c r="V874" s="1" t="e">
        <f t="shared" si="110"/>
        <v>#DIV/0!</v>
      </c>
    </row>
    <row r="875" spans="8:22" x14ac:dyDescent="0.3">
      <c r="H875" s="10" t="str">
        <f>IF(Planilha1!B872="","",Planilha1!B872)</f>
        <v>10:00p</v>
      </c>
      <c r="I875" s="10" t="str">
        <f>IF(Planilha1!C872="","",Planilha1!C872)</f>
        <v>Houston Rockets</v>
      </c>
      <c r="J875" s="10">
        <f>IF(Planilha1!D872="","",Planilha1!D872)</f>
        <v>0</v>
      </c>
      <c r="K875" s="10" t="str">
        <f>IF(Planilha1!E872="","",IF(Planilha1!E872=0,"",Planilha1!E872))</f>
        <v>Oklahoma City Thunder</v>
      </c>
      <c r="L875" s="10">
        <f>IF(Planilha1!F872="","",Planilha1!F872)</f>
        <v>0</v>
      </c>
      <c r="M875" s="10" t="str">
        <f>IF(Planilha1!G872="","",IF(Planilha1!G872=0,"",Planilha1!G872))</f>
        <v/>
      </c>
      <c r="N875" s="5">
        <f t="shared" si="111"/>
        <v>1</v>
      </c>
      <c r="O875" s="5">
        <f t="shared" si="112"/>
        <v>0</v>
      </c>
      <c r="P875" s="5">
        <f t="shared" si="105"/>
        <v>0</v>
      </c>
      <c r="Q875" s="5">
        <f t="shared" si="106"/>
        <v>2</v>
      </c>
      <c r="R875" s="7">
        <f t="shared" si="107"/>
        <v>0</v>
      </c>
      <c r="S875" s="7">
        <f t="shared" si="108"/>
        <v>0</v>
      </c>
      <c r="T875" s="3" t="str">
        <f t="shared" si="109"/>
        <v/>
      </c>
      <c r="V875" s="1" t="e">
        <f t="shared" si="110"/>
        <v>#DIV/0!</v>
      </c>
    </row>
    <row r="876" spans="8:22" x14ac:dyDescent="0.3">
      <c r="H876" s="10" t="str">
        <f>IF(Planilha1!B873="","",Planilha1!B873)</f>
        <v>10:00p</v>
      </c>
      <c r="I876" s="10" t="str">
        <f>IF(Planilha1!C873="","",Planilha1!C873)</f>
        <v>Miami Heat</v>
      </c>
      <c r="J876" s="10">
        <f>IF(Planilha1!D873="","",Planilha1!D873)</f>
        <v>0</v>
      </c>
      <c r="K876" s="10" t="str">
        <f>IF(Planilha1!E873="","",IF(Planilha1!E873=0,"",Planilha1!E873))</f>
        <v>Portland Trail Blazers</v>
      </c>
      <c r="L876" s="10">
        <f>IF(Planilha1!F873="","",Planilha1!F873)</f>
        <v>0</v>
      </c>
      <c r="M876" s="10" t="str">
        <f>IF(Planilha1!G873="","",IF(Planilha1!G873=0,"",Planilha1!G873))</f>
        <v/>
      </c>
      <c r="N876" s="5">
        <f t="shared" si="111"/>
        <v>1</v>
      </c>
      <c r="O876" s="5">
        <f t="shared" si="112"/>
        <v>0</v>
      </c>
      <c r="P876" s="5">
        <f t="shared" si="105"/>
        <v>0</v>
      </c>
      <c r="Q876" s="5">
        <f t="shared" si="106"/>
        <v>2</v>
      </c>
      <c r="R876" s="7">
        <f t="shared" si="107"/>
        <v>0</v>
      </c>
      <c r="S876" s="7">
        <f t="shared" si="108"/>
        <v>0</v>
      </c>
      <c r="T876" s="3" t="str">
        <f t="shared" si="109"/>
        <v/>
      </c>
      <c r="V876" s="1" t="e">
        <f t="shared" si="110"/>
        <v>#DIV/0!</v>
      </c>
    </row>
    <row r="877" spans="8:22" x14ac:dyDescent="0.3">
      <c r="H877" s="10" t="str">
        <f>IF(Planilha1!B874="","",Planilha1!B874)</f>
        <v>7:00p</v>
      </c>
      <c r="I877" s="10" t="str">
        <f>IF(Planilha1!C874="","",Planilha1!C874)</f>
        <v>New Orleans Pelicans</v>
      </c>
      <c r="J877" s="10">
        <f>IF(Planilha1!D874="","",Planilha1!D874)</f>
        <v>0</v>
      </c>
      <c r="K877" s="10" t="str">
        <f>IF(Planilha1!E874="","",IF(Planilha1!E874=0,"",Planilha1!E874))</f>
        <v>Indiana Pacers</v>
      </c>
      <c r="L877" s="10">
        <f>IF(Planilha1!F874="","",Planilha1!F874)</f>
        <v>0</v>
      </c>
      <c r="M877" s="10" t="str">
        <f>IF(Planilha1!G874="","",IF(Planilha1!G874=0,"",Planilha1!G874))</f>
        <v/>
      </c>
      <c r="N877" s="5">
        <f t="shared" si="111"/>
        <v>1</v>
      </c>
      <c r="O877" s="5">
        <f t="shared" si="112"/>
        <v>0</v>
      </c>
      <c r="P877" s="5">
        <f t="shared" si="105"/>
        <v>0</v>
      </c>
      <c r="Q877" s="5">
        <f t="shared" si="106"/>
        <v>2</v>
      </c>
      <c r="R877" s="7">
        <f t="shared" si="107"/>
        <v>0</v>
      </c>
      <c r="S877" s="7">
        <f t="shared" si="108"/>
        <v>0</v>
      </c>
      <c r="T877" s="3" t="str">
        <f t="shared" si="109"/>
        <v/>
      </c>
      <c r="V877" s="1" t="e">
        <f t="shared" si="110"/>
        <v>#DIV/0!</v>
      </c>
    </row>
    <row r="878" spans="8:22" x14ac:dyDescent="0.3">
      <c r="H878" s="10" t="str">
        <f>IF(Planilha1!B875="","",Planilha1!B875)</f>
        <v>7:30p</v>
      </c>
      <c r="I878" s="10" t="str">
        <f>IF(Planilha1!C875="","",Planilha1!C875)</f>
        <v>Memphis Grizzlies</v>
      </c>
      <c r="J878" s="10">
        <f>IF(Planilha1!D875="","",Planilha1!D875)</f>
        <v>0</v>
      </c>
      <c r="K878" s="10" t="str">
        <f>IF(Planilha1!E875="","",IF(Planilha1!E875=0,"",Planilha1!E875))</f>
        <v>Minnesota Timberwolves</v>
      </c>
      <c r="L878" s="10">
        <f>IF(Planilha1!F875="","",Planilha1!F875)</f>
        <v>0</v>
      </c>
      <c r="M878" s="10" t="str">
        <f>IF(Planilha1!G875="","",IF(Planilha1!G875=0,"",Planilha1!G875))</f>
        <v/>
      </c>
      <c r="N878" s="5">
        <f t="shared" si="111"/>
        <v>1</v>
      </c>
      <c r="O878" s="5">
        <f t="shared" si="112"/>
        <v>0</v>
      </c>
      <c r="P878" s="5">
        <f t="shared" si="105"/>
        <v>0</v>
      </c>
      <c r="Q878" s="5">
        <f t="shared" si="106"/>
        <v>2</v>
      </c>
      <c r="R878" s="7">
        <f t="shared" si="107"/>
        <v>0</v>
      </c>
      <c r="S878" s="7">
        <f t="shared" si="108"/>
        <v>0</v>
      </c>
      <c r="T878" s="3" t="str">
        <f t="shared" si="109"/>
        <v/>
      </c>
      <c r="V878" s="1" t="e">
        <f t="shared" si="110"/>
        <v>#DIV/0!</v>
      </c>
    </row>
    <row r="879" spans="8:22" x14ac:dyDescent="0.3">
      <c r="H879" s="10" t="str">
        <f>IF(Planilha1!B876="","",Planilha1!B876)</f>
        <v>7:30p</v>
      </c>
      <c r="I879" s="10" t="str">
        <f>IF(Planilha1!C876="","",Planilha1!C876)</f>
        <v>Dallas Mavericks</v>
      </c>
      <c r="J879" s="10">
        <f>IF(Planilha1!D876="","",Planilha1!D876)</f>
        <v>0</v>
      </c>
      <c r="K879" s="10" t="str">
        <f>IF(Planilha1!E876="","",IF(Planilha1!E876=0,"",Planilha1!E876))</f>
        <v>Toronto Raptors</v>
      </c>
      <c r="L879" s="10">
        <f>IF(Planilha1!F876="","",Planilha1!F876)</f>
        <v>0</v>
      </c>
      <c r="M879" s="10" t="str">
        <f>IF(Planilha1!G876="","",IF(Planilha1!G876=0,"",Planilha1!G876))</f>
        <v/>
      </c>
      <c r="N879" s="5">
        <f t="shared" si="111"/>
        <v>1</v>
      </c>
      <c r="O879" s="5">
        <f t="shared" si="112"/>
        <v>0</v>
      </c>
      <c r="P879" s="5">
        <f t="shared" si="105"/>
        <v>0</v>
      </c>
      <c r="Q879" s="5">
        <f t="shared" si="106"/>
        <v>2</v>
      </c>
      <c r="R879" s="7">
        <f t="shared" si="107"/>
        <v>0</v>
      </c>
      <c r="S879" s="7">
        <f t="shared" si="108"/>
        <v>0</v>
      </c>
      <c r="T879" s="3" t="str">
        <f t="shared" si="109"/>
        <v/>
      </c>
      <c r="V879" s="1" t="e">
        <f t="shared" si="110"/>
        <v>#DIV/0!</v>
      </c>
    </row>
    <row r="880" spans="8:22" x14ac:dyDescent="0.3">
      <c r="H880" s="10" t="str">
        <f>IF(Planilha1!B877="","",Planilha1!B877)</f>
        <v>8:00p</v>
      </c>
      <c r="I880" s="10" t="str">
        <f>IF(Planilha1!C877="","",Planilha1!C877)</f>
        <v>Cleveland Cavaliers</v>
      </c>
      <c r="J880" s="10">
        <f>IF(Planilha1!D877="","",Planilha1!D877)</f>
        <v>0</v>
      </c>
      <c r="K880" s="10" t="str">
        <f>IF(Planilha1!E877="","",IF(Planilha1!E877=0,"",Planilha1!E877))</f>
        <v>Chicago Bulls</v>
      </c>
      <c r="L880" s="10">
        <f>IF(Planilha1!F877="","",Planilha1!F877)</f>
        <v>0</v>
      </c>
      <c r="M880" s="10" t="str">
        <f>IF(Planilha1!G877="","",IF(Planilha1!G877=0,"",Planilha1!G877))</f>
        <v/>
      </c>
      <c r="N880" s="5">
        <f t="shared" si="111"/>
        <v>1</v>
      </c>
      <c r="O880" s="5">
        <f t="shared" si="112"/>
        <v>0</v>
      </c>
      <c r="P880" s="5">
        <f t="shared" si="105"/>
        <v>0</v>
      </c>
      <c r="Q880" s="5">
        <f t="shared" si="106"/>
        <v>2</v>
      </c>
      <c r="R880" s="7">
        <f t="shared" si="107"/>
        <v>0</v>
      </c>
      <c r="S880" s="7">
        <f t="shared" si="108"/>
        <v>0</v>
      </c>
      <c r="T880" s="3" t="str">
        <f t="shared" si="109"/>
        <v/>
      </c>
      <c r="V880" s="1" t="e">
        <f t="shared" si="110"/>
        <v>#DIV/0!</v>
      </c>
    </row>
    <row r="881" spans="8:22" x14ac:dyDescent="0.3">
      <c r="H881" s="10" t="str">
        <f>IF(Planilha1!B878="","",Planilha1!B878)</f>
        <v>9:00p</v>
      </c>
      <c r="I881" s="10" t="str">
        <f>IF(Planilha1!C878="","",Planilha1!C878)</f>
        <v>Sacramento Kings</v>
      </c>
      <c r="J881" s="10">
        <f>IF(Planilha1!D878="","",Planilha1!D878)</f>
        <v>0</v>
      </c>
      <c r="K881" s="10" t="str">
        <f>IF(Planilha1!E878="","",IF(Planilha1!E878=0,"",Planilha1!E878))</f>
        <v>Denver Nuggets</v>
      </c>
      <c r="L881" s="10">
        <f>IF(Planilha1!F878="","",Planilha1!F878)</f>
        <v>0</v>
      </c>
      <c r="M881" s="10" t="str">
        <f>IF(Planilha1!G878="","",IF(Planilha1!G878=0,"",Planilha1!G878))</f>
        <v/>
      </c>
      <c r="N881" s="5">
        <f t="shared" si="111"/>
        <v>1</v>
      </c>
      <c r="O881" s="5">
        <f t="shared" si="112"/>
        <v>0</v>
      </c>
      <c r="P881" s="5">
        <f t="shared" si="105"/>
        <v>0</v>
      </c>
      <c r="Q881" s="5">
        <f t="shared" si="106"/>
        <v>2</v>
      </c>
      <c r="R881" s="7">
        <f t="shared" si="107"/>
        <v>0</v>
      </c>
      <c r="S881" s="7">
        <f t="shared" si="108"/>
        <v>0</v>
      </c>
      <c r="T881" s="3" t="str">
        <f t="shared" si="109"/>
        <v/>
      </c>
      <c r="V881" s="1" t="e">
        <f t="shared" si="110"/>
        <v>#DIV/0!</v>
      </c>
    </row>
    <row r="882" spans="8:22" x14ac:dyDescent="0.3">
      <c r="H882" s="10" t="str">
        <f>IF(Planilha1!B879="","",Planilha1!B879)</f>
        <v>10:00p</v>
      </c>
      <c r="I882" s="10" t="str">
        <f>IF(Planilha1!C879="","",Planilha1!C879)</f>
        <v>Los Angeles Lakers</v>
      </c>
      <c r="J882" s="10">
        <f>IF(Planilha1!D879="","",Planilha1!D879)</f>
        <v>0</v>
      </c>
      <c r="K882" s="10" t="str">
        <f>IF(Planilha1!E879="","",IF(Planilha1!E879=0,"",Planilha1!E879))</f>
        <v>Los Angeles Clippers</v>
      </c>
      <c r="L882" s="10">
        <f>IF(Planilha1!F879="","",Planilha1!F879)</f>
        <v>0</v>
      </c>
      <c r="M882" s="10" t="str">
        <f>IF(Planilha1!G879="","",IF(Planilha1!G879=0,"",Planilha1!G879))</f>
        <v/>
      </c>
      <c r="N882" s="5">
        <f t="shared" si="111"/>
        <v>1</v>
      </c>
      <c r="O882" s="5">
        <f t="shared" si="112"/>
        <v>0</v>
      </c>
      <c r="P882" s="5">
        <f t="shared" si="105"/>
        <v>0</v>
      </c>
      <c r="Q882" s="5">
        <f t="shared" si="106"/>
        <v>2</v>
      </c>
      <c r="R882" s="7">
        <f t="shared" si="107"/>
        <v>0</v>
      </c>
      <c r="S882" s="7">
        <f t="shared" si="108"/>
        <v>0</v>
      </c>
      <c r="T882" s="3" t="str">
        <f t="shared" si="109"/>
        <v/>
      </c>
      <c r="V882" s="1" t="e">
        <f t="shared" si="110"/>
        <v>#DIV/0!</v>
      </c>
    </row>
    <row r="883" spans="8:22" x14ac:dyDescent="0.3">
      <c r="H883" s="10" t="str">
        <f>IF(Planilha1!B880="","",Planilha1!B880)</f>
        <v>7:00p</v>
      </c>
      <c r="I883" s="10" t="str">
        <f>IF(Planilha1!C880="","",Planilha1!C880)</f>
        <v>Milwaukee Bucks</v>
      </c>
      <c r="J883" s="10">
        <f>IF(Planilha1!D880="","",Planilha1!D880)</f>
        <v>0</v>
      </c>
      <c r="K883" s="10" t="str">
        <f>IF(Planilha1!E880="","",IF(Planilha1!E880=0,"",Planilha1!E880))</f>
        <v>Charlotte Hornets</v>
      </c>
      <c r="L883" s="10">
        <f>IF(Planilha1!F880="","",Planilha1!F880)</f>
        <v>0</v>
      </c>
      <c r="M883" s="10" t="str">
        <f>IF(Planilha1!G880="","",IF(Planilha1!G880=0,"",Planilha1!G880))</f>
        <v/>
      </c>
      <c r="N883" s="5">
        <f t="shared" si="111"/>
        <v>1</v>
      </c>
      <c r="O883" s="5">
        <f t="shared" si="112"/>
        <v>0</v>
      </c>
      <c r="P883" s="5">
        <f t="shared" si="105"/>
        <v>0</v>
      </c>
      <c r="Q883" s="5">
        <f t="shared" si="106"/>
        <v>2</v>
      </c>
      <c r="R883" s="7">
        <f t="shared" si="107"/>
        <v>0</v>
      </c>
      <c r="S883" s="7">
        <f t="shared" si="108"/>
        <v>0</v>
      </c>
      <c r="T883" s="3" t="str">
        <f t="shared" si="109"/>
        <v/>
      </c>
      <c r="V883" s="1" t="e">
        <f t="shared" si="110"/>
        <v>#DIV/0!</v>
      </c>
    </row>
    <row r="884" spans="8:22" x14ac:dyDescent="0.3">
      <c r="H884" s="10" t="str">
        <f>IF(Planilha1!B881="","",Planilha1!B881)</f>
        <v>7:00p</v>
      </c>
      <c r="I884" s="10" t="str">
        <f>IF(Planilha1!C881="","",Planilha1!C881)</f>
        <v>Utah Jazz</v>
      </c>
      <c r="J884" s="10">
        <f>IF(Planilha1!D881="","",Planilha1!D881)</f>
        <v>0</v>
      </c>
      <c r="K884" s="10" t="str">
        <f>IF(Planilha1!E881="","",IF(Planilha1!E881=0,"",Planilha1!E881))</f>
        <v>Orlando Magic</v>
      </c>
      <c r="L884" s="10">
        <f>IF(Planilha1!F881="","",Planilha1!F881)</f>
        <v>0</v>
      </c>
      <c r="M884" s="10" t="str">
        <f>IF(Planilha1!G881="","",IF(Planilha1!G881=0,"",Planilha1!G881))</f>
        <v/>
      </c>
      <c r="N884" s="5">
        <f t="shared" si="111"/>
        <v>1</v>
      </c>
      <c r="O884" s="5">
        <f t="shared" si="112"/>
        <v>0</v>
      </c>
      <c r="P884" s="5">
        <f t="shared" si="105"/>
        <v>0</v>
      </c>
      <c r="Q884" s="5">
        <f t="shared" si="106"/>
        <v>2</v>
      </c>
      <c r="R884" s="7">
        <f t="shared" si="107"/>
        <v>0</v>
      </c>
      <c r="S884" s="7">
        <f t="shared" si="108"/>
        <v>0</v>
      </c>
      <c r="T884" s="3" t="str">
        <f t="shared" si="109"/>
        <v/>
      </c>
      <c r="V884" s="1" t="e">
        <f t="shared" si="110"/>
        <v>#DIV/0!</v>
      </c>
    </row>
    <row r="885" spans="8:22" x14ac:dyDescent="0.3">
      <c r="H885" s="10" t="str">
        <f>IF(Planilha1!B882="","",Planilha1!B882)</f>
        <v>7:30p</v>
      </c>
      <c r="I885" s="10" t="str">
        <f>IF(Planilha1!C882="","",Planilha1!C882)</f>
        <v>Atlanta Hawks</v>
      </c>
      <c r="J885" s="10">
        <f>IF(Planilha1!D882="","",Planilha1!D882)</f>
        <v>0</v>
      </c>
      <c r="K885" s="10" t="str">
        <f>IF(Planilha1!E882="","",IF(Planilha1!E882=0,"",Planilha1!E882))</f>
        <v>Brooklyn Nets</v>
      </c>
      <c r="L885" s="10">
        <f>IF(Planilha1!F882="","",Planilha1!F882)</f>
        <v>0</v>
      </c>
      <c r="M885" s="10" t="str">
        <f>IF(Planilha1!G882="","",IF(Planilha1!G882=0,"",Planilha1!G882))</f>
        <v/>
      </c>
      <c r="N885" s="5">
        <f t="shared" si="111"/>
        <v>1</v>
      </c>
      <c r="O885" s="5">
        <f t="shared" si="112"/>
        <v>0</v>
      </c>
      <c r="P885" s="5">
        <f t="shared" si="105"/>
        <v>0</v>
      </c>
      <c r="Q885" s="5">
        <f t="shared" si="106"/>
        <v>2</v>
      </c>
      <c r="R885" s="7">
        <f t="shared" si="107"/>
        <v>0</v>
      </c>
      <c r="S885" s="7">
        <f t="shared" si="108"/>
        <v>0</v>
      </c>
      <c r="T885" s="3" t="str">
        <f t="shared" si="109"/>
        <v/>
      </c>
      <c r="V885" s="1" t="e">
        <f t="shared" si="110"/>
        <v>#DIV/0!</v>
      </c>
    </row>
    <row r="886" spans="8:22" x14ac:dyDescent="0.3">
      <c r="H886" s="10" t="str">
        <f>IF(Planilha1!B883="","",Planilha1!B883)</f>
        <v>7:30p</v>
      </c>
      <c r="I886" s="10" t="str">
        <f>IF(Planilha1!C883="","",Planilha1!C883)</f>
        <v>Golden State Warriors</v>
      </c>
      <c r="J886" s="10">
        <f>IF(Planilha1!D883="","",Planilha1!D883)</f>
        <v>0</v>
      </c>
      <c r="K886" s="10" t="str">
        <f>IF(Planilha1!E883="","",IF(Planilha1!E883=0,"",Planilha1!E883))</f>
        <v>New York Knicks</v>
      </c>
      <c r="L886" s="10">
        <f>IF(Planilha1!F883="","",Planilha1!F883)</f>
        <v>0</v>
      </c>
      <c r="M886" s="10" t="str">
        <f>IF(Planilha1!G883="","",IF(Planilha1!G883=0,"",Planilha1!G883))</f>
        <v/>
      </c>
      <c r="N886" s="5">
        <f t="shared" si="111"/>
        <v>1</v>
      </c>
      <c r="O886" s="5">
        <f t="shared" si="112"/>
        <v>0</v>
      </c>
      <c r="P886" s="5">
        <f t="shared" si="105"/>
        <v>0</v>
      </c>
      <c r="Q886" s="5">
        <f t="shared" si="106"/>
        <v>2</v>
      </c>
      <c r="R886" s="7">
        <f t="shared" si="107"/>
        <v>0</v>
      </c>
      <c r="S886" s="7">
        <f t="shared" si="108"/>
        <v>0</v>
      </c>
      <c r="T886" s="3" t="str">
        <f t="shared" si="109"/>
        <v/>
      </c>
      <c r="V886" s="1" t="e">
        <f t="shared" si="110"/>
        <v>#DIV/0!</v>
      </c>
    </row>
    <row r="887" spans="8:22" x14ac:dyDescent="0.3">
      <c r="H887" s="10" t="str">
        <f>IF(Planilha1!B884="","",Planilha1!B884)</f>
        <v>8:30p</v>
      </c>
      <c r="I887" s="10" t="str">
        <f>IF(Planilha1!C884="","",Planilha1!C884)</f>
        <v>Oklahoma City Thunder</v>
      </c>
      <c r="J887" s="10">
        <f>IF(Planilha1!D884="","",Planilha1!D884)</f>
        <v>0</v>
      </c>
      <c r="K887" s="10" t="str">
        <f>IF(Planilha1!E884="","",IF(Planilha1!E884=0,"",Planilha1!E884))</f>
        <v>San Antonio Spurs</v>
      </c>
      <c r="L887" s="10">
        <f>IF(Planilha1!F884="","",Planilha1!F884)</f>
        <v>0</v>
      </c>
      <c r="M887" s="10" t="str">
        <f>IF(Planilha1!G884="","",IF(Planilha1!G884=0,"",Planilha1!G884))</f>
        <v/>
      </c>
      <c r="N887" s="5">
        <f t="shared" si="111"/>
        <v>1</v>
      </c>
      <c r="O887" s="5">
        <f t="shared" si="112"/>
        <v>0</v>
      </c>
      <c r="P887" s="5">
        <f t="shared" si="105"/>
        <v>0</v>
      </c>
      <c r="Q887" s="5">
        <f t="shared" si="106"/>
        <v>2</v>
      </c>
      <c r="R887" s="7">
        <f t="shared" si="107"/>
        <v>0</v>
      </c>
      <c r="S887" s="7">
        <f t="shared" si="108"/>
        <v>0</v>
      </c>
      <c r="T887" s="3" t="str">
        <f t="shared" si="109"/>
        <v/>
      </c>
      <c r="V887" s="1" t="e">
        <f t="shared" si="110"/>
        <v>#DIV/0!</v>
      </c>
    </row>
    <row r="888" spans="8:22" x14ac:dyDescent="0.3">
      <c r="H888" s="10" t="str">
        <f>IF(Planilha1!B885="","",Planilha1!B885)</f>
        <v>9:00p</v>
      </c>
      <c r="I888" s="10" t="str">
        <f>IF(Planilha1!C885="","",Planilha1!C885)</f>
        <v>Houston Rockets</v>
      </c>
      <c r="J888" s="10">
        <f>IF(Planilha1!D885="","",Planilha1!D885)</f>
        <v>0</v>
      </c>
      <c r="K888" s="10" t="str">
        <f>IF(Planilha1!E885="","",IF(Planilha1!E885=0,"",Planilha1!E885))</f>
        <v>Phoenix Suns</v>
      </c>
      <c r="L888" s="10">
        <f>IF(Planilha1!F885="","",Planilha1!F885)</f>
        <v>0</v>
      </c>
      <c r="M888" s="10" t="str">
        <f>IF(Planilha1!G885="","",IF(Planilha1!G885=0,"",Planilha1!G885))</f>
        <v/>
      </c>
      <c r="N888" s="5">
        <f t="shared" si="111"/>
        <v>1</v>
      </c>
      <c r="O888" s="5">
        <f t="shared" si="112"/>
        <v>0</v>
      </c>
      <c r="P888" s="5">
        <f t="shared" si="105"/>
        <v>0</v>
      </c>
      <c r="Q888" s="5">
        <f t="shared" si="106"/>
        <v>2</v>
      </c>
      <c r="R888" s="7">
        <f t="shared" si="107"/>
        <v>0</v>
      </c>
      <c r="S888" s="7">
        <f t="shared" si="108"/>
        <v>0</v>
      </c>
      <c r="T888" s="3" t="str">
        <f t="shared" si="109"/>
        <v/>
      </c>
      <c r="V888" s="1" t="e">
        <f t="shared" si="110"/>
        <v>#DIV/0!</v>
      </c>
    </row>
    <row r="889" spans="8:22" x14ac:dyDescent="0.3">
      <c r="H889" s="10" t="str">
        <f>IF(Planilha1!B886="","",Planilha1!B886)</f>
        <v>10:00p</v>
      </c>
      <c r="I889" s="10" t="str">
        <f>IF(Planilha1!C886="","",Planilha1!C886)</f>
        <v>Miami Heat</v>
      </c>
      <c r="J889" s="10">
        <f>IF(Planilha1!D886="","",Planilha1!D886)</f>
        <v>0</v>
      </c>
      <c r="K889" s="10" t="str">
        <f>IF(Planilha1!E886="","",IF(Planilha1!E886=0,"",Planilha1!E886))</f>
        <v>Denver Nuggets</v>
      </c>
      <c r="L889" s="10">
        <f>IF(Planilha1!F886="","",Planilha1!F886)</f>
        <v>0</v>
      </c>
      <c r="M889" s="10" t="str">
        <f>IF(Planilha1!G886="","",IF(Planilha1!G886=0,"",Planilha1!G886))</f>
        <v/>
      </c>
      <c r="N889" s="5">
        <f t="shared" si="111"/>
        <v>1</v>
      </c>
      <c r="O889" s="5">
        <f t="shared" si="112"/>
        <v>0</v>
      </c>
      <c r="P889" s="5">
        <f t="shared" si="105"/>
        <v>0</v>
      </c>
      <c r="Q889" s="5">
        <f t="shared" si="106"/>
        <v>2</v>
      </c>
      <c r="R889" s="7">
        <f t="shared" si="107"/>
        <v>0</v>
      </c>
      <c r="S889" s="7">
        <f t="shared" si="108"/>
        <v>0</v>
      </c>
      <c r="T889" s="3" t="str">
        <f t="shared" si="109"/>
        <v/>
      </c>
      <c r="V889" s="1" t="e">
        <f t="shared" si="110"/>
        <v>#DIV/0!</v>
      </c>
    </row>
    <row r="890" spans="8:22" x14ac:dyDescent="0.3">
      <c r="H890" s="10" t="str">
        <f>IF(Planilha1!B887="","",Planilha1!B887)</f>
        <v>10:30p</v>
      </c>
      <c r="I890" s="10" t="str">
        <f>IF(Planilha1!C887="","",Planilha1!C887)</f>
        <v>Washington Wizards</v>
      </c>
      <c r="J890" s="10">
        <f>IF(Planilha1!D887="","",Planilha1!D887)</f>
        <v>0</v>
      </c>
      <c r="K890" s="10" t="str">
        <f>IF(Planilha1!E887="","",IF(Planilha1!E887=0,"",Planilha1!E887))</f>
        <v>Los Angeles Lakers</v>
      </c>
      <c r="L890" s="10">
        <f>IF(Planilha1!F887="","",Planilha1!F887)</f>
        <v>0</v>
      </c>
      <c r="M890" s="10" t="str">
        <f>IF(Planilha1!G887="","",IF(Planilha1!G887=0,"",Planilha1!G887))</f>
        <v/>
      </c>
      <c r="N890" s="5">
        <f t="shared" si="111"/>
        <v>1</v>
      </c>
      <c r="O890" s="5">
        <f t="shared" si="112"/>
        <v>0</v>
      </c>
      <c r="P890" s="5">
        <f t="shared" si="105"/>
        <v>0</v>
      </c>
      <c r="Q890" s="5">
        <f t="shared" si="106"/>
        <v>2</v>
      </c>
      <c r="R890" s="7">
        <f t="shared" si="107"/>
        <v>0</v>
      </c>
      <c r="S890" s="7">
        <f t="shared" si="108"/>
        <v>0</v>
      </c>
      <c r="T890" s="3" t="str">
        <f t="shared" si="109"/>
        <v/>
      </c>
      <c r="V890" s="1" t="e">
        <f t="shared" si="110"/>
        <v>#DIV/0!</v>
      </c>
    </row>
    <row r="891" spans="8:22" x14ac:dyDescent="0.3">
      <c r="H891" s="10" t="str">
        <f>IF(Planilha1!B888="","",Planilha1!B888)</f>
        <v>7:00p</v>
      </c>
      <c r="I891" s="10" t="str">
        <f>IF(Planilha1!C888="","",Planilha1!C888)</f>
        <v>Cleveland Cavaliers</v>
      </c>
      <c r="J891" s="10">
        <f>IF(Planilha1!D888="","",Planilha1!D888)</f>
        <v>0</v>
      </c>
      <c r="K891" s="10" t="str">
        <f>IF(Planilha1!E888="","",IF(Planilha1!E888=0,"",Planilha1!E888))</f>
        <v>Detroit Pistons</v>
      </c>
      <c r="L891" s="10">
        <f>IF(Planilha1!F888="","",Planilha1!F888)</f>
        <v>0</v>
      </c>
      <c r="M891" s="10" t="str">
        <f>IF(Planilha1!G888="","",IF(Planilha1!G888=0,"",Planilha1!G888))</f>
        <v/>
      </c>
      <c r="N891" s="5">
        <f t="shared" si="111"/>
        <v>1</v>
      </c>
      <c r="O891" s="5">
        <f t="shared" si="112"/>
        <v>0</v>
      </c>
      <c r="P891" s="5">
        <f t="shared" si="105"/>
        <v>0</v>
      </c>
      <c r="Q891" s="5">
        <f t="shared" si="106"/>
        <v>2</v>
      </c>
      <c r="R891" s="7">
        <f t="shared" si="107"/>
        <v>0</v>
      </c>
      <c r="S891" s="7">
        <f t="shared" si="108"/>
        <v>0</v>
      </c>
      <c r="T891" s="3" t="str">
        <f t="shared" si="109"/>
        <v/>
      </c>
      <c r="V891" s="1" t="e">
        <f t="shared" si="110"/>
        <v>#DIV/0!</v>
      </c>
    </row>
    <row r="892" spans="8:22" x14ac:dyDescent="0.3">
      <c r="H892" s="10" t="str">
        <f>IF(Planilha1!B889="","",Planilha1!B889)</f>
        <v>7:00p</v>
      </c>
      <c r="I892" s="10" t="str">
        <f>IF(Planilha1!C889="","",Planilha1!C889)</f>
        <v>Charlotte Hornets</v>
      </c>
      <c r="J892" s="10">
        <f>IF(Planilha1!D889="","",Planilha1!D889)</f>
        <v>0</v>
      </c>
      <c r="K892" s="10" t="str">
        <f>IF(Planilha1!E889="","",IF(Planilha1!E889=0,"",Planilha1!E889))</f>
        <v>Philadelphia 76ers</v>
      </c>
      <c r="L892" s="10">
        <f>IF(Planilha1!F889="","",Planilha1!F889)</f>
        <v>0</v>
      </c>
      <c r="M892" s="10" t="str">
        <f>IF(Planilha1!G889="","",IF(Planilha1!G889=0,"",Planilha1!G889))</f>
        <v/>
      </c>
      <c r="N892" s="5">
        <f t="shared" si="111"/>
        <v>1</v>
      </c>
      <c r="O892" s="5">
        <f t="shared" si="112"/>
        <v>0</v>
      </c>
      <c r="P892" s="5">
        <f t="shared" si="105"/>
        <v>0</v>
      </c>
      <c r="Q892" s="5">
        <f t="shared" si="106"/>
        <v>2</v>
      </c>
      <c r="R892" s="7">
        <f t="shared" si="107"/>
        <v>0</v>
      </c>
      <c r="S892" s="7">
        <f t="shared" si="108"/>
        <v>0</v>
      </c>
      <c r="T892" s="3" t="str">
        <f t="shared" si="109"/>
        <v/>
      </c>
      <c r="V892" s="1" t="e">
        <f t="shared" si="110"/>
        <v>#DIV/0!</v>
      </c>
    </row>
    <row r="893" spans="8:22" x14ac:dyDescent="0.3">
      <c r="H893" s="10" t="str">
        <f>IF(Planilha1!B890="","",Planilha1!B890)</f>
        <v>7:30p</v>
      </c>
      <c r="I893" s="10" t="str">
        <f>IF(Planilha1!C890="","",Planilha1!C890)</f>
        <v>Dallas Mavericks</v>
      </c>
      <c r="J893" s="10">
        <f>IF(Planilha1!D890="","",Planilha1!D890)</f>
        <v>0</v>
      </c>
      <c r="K893" s="10" t="str">
        <f>IF(Planilha1!E890="","",IF(Planilha1!E890=0,"",Planilha1!E890))</f>
        <v>Boston Celtics</v>
      </c>
      <c r="L893" s="10">
        <f>IF(Planilha1!F890="","",Planilha1!F890)</f>
        <v>0</v>
      </c>
      <c r="M893" s="10" t="str">
        <f>IF(Planilha1!G890="","",IF(Planilha1!G890=0,"",Planilha1!G890))</f>
        <v/>
      </c>
      <c r="N893" s="5">
        <f t="shared" si="111"/>
        <v>1</v>
      </c>
      <c r="O893" s="5">
        <f t="shared" si="112"/>
        <v>0</v>
      </c>
      <c r="P893" s="5">
        <f t="shared" si="105"/>
        <v>0</v>
      </c>
      <c r="Q893" s="5">
        <f t="shared" si="106"/>
        <v>2</v>
      </c>
      <c r="R893" s="7">
        <f t="shared" si="107"/>
        <v>0</v>
      </c>
      <c r="S893" s="7">
        <f t="shared" si="108"/>
        <v>0</v>
      </c>
      <c r="T893" s="3" t="str">
        <f t="shared" si="109"/>
        <v/>
      </c>
      <c r="V893" s="1" t="e">
        <f t="shared" si="110"/>
        <v>#DIV/0!</v>
      </c>
    </row>
    <row r="894" spans="8:22" x14ac:dyDescent="0.3">
      <c r="H894" s="10" t="str">
        <f>IF(Planilha1!B891="","",Planilha1!B891)</f>
        <v>7:30p</v>
      </c>
      <c r="I894" s="10" t="str">
        <f>IF(Planilha1!C891="","",Planilha1!C891)</f>
        <v>Golden State Warriors</v>
      </c>
      <c r="J894" s="10">
        <f>IF(Planilha1!D891="","",Planilha1!D891)</f>
        <v>0</v>
      </c>
      <c r="K894" s="10" t="str">
        <f>IF(Planilha1!E891="","",IF(Planilha1!E891=0,"",Planilha1!E891))</f>
        <v>Toronto Raptors</v>
      </c>
      <c r="L894" s="10">
        <f>IF(Planilha1!F891="","",Planilha1!F891)</f>
        <v>0</v>
      </c>
      <c r="M894" s="10" t="str">
        <f>IF(Planilha1!G891="","",IF(Planilha1!G891=0,"",Planilha1!G891))</f>
        <v/>
      </c>
      <c r="N894" s="5">
        <f t="shared" si="111"/>
        <v>1</v>
      </c>
      <c r="O894" s="5">
        <f t="shared" si="112"/>
        <v>0</v>
      </c>
      <c r="P894" s="5">
        <f t="shared" si="105"/>
        <v>0</v>
      </c>
      <c r="Q894" s="5">
        <f t="shared" si="106"/>
        <v>2</v>
      </c>
      <c r="R894" s="7">
        <f t="shared" si="107"/>
        <v>0</v>
      </c>
      <c r="S894" s="7">
        <f t="shared" si="108"/>
        <v>0</v>
      </c>
      <c r="T894" s="3" t="str">
        <f t="shared" si="109"/>
        <v/>
      </c>
      <c r="V894" s="1" t="e">
        <f t="shared" si="110"/>
        <v>#DIV/0!</v>
      </c>
    </row>
    <row r="895" spans="8:22" x14ac:dyDescent="0.3">
      <c r="H895" s="10" t="str">
        <f>IF(Planilha1!B892="","",Planilha1!B892)</f>
        <v>8:00p</v>
      </c>
      <c r="I895" s="10" t="str">
        <f>IF(Planilha1!C892="","",Planilha1!C892)</f>
        <v>Portland Trail Blazers</v>
      </c>
      <c r="J895" s="10">
        <f>IF(Planilha1!D892="","",Planilha1!D892)</f>
        <v>0</v>
      </c>
      <c r="K895" s="10" t="str">
        <f>IF(Planilha1!E892="","",IF(Planilha1!E892=0,"",Planilha1!E892))</f>
        <v>Memphis Grizzlies</v>
      </c>
      <c r="L895" s="10">
        <f>IF(Planilha1!F892="","",Planilha1!F892)</f>
        <v>0</v>
      </c>
      <c r="M895" s="10" t="str">
        <f>IF(Planilha1!G892="","",IF(Planilha1!G892=0,"",Planilha1!G892))</f>
        <v/>
      </c>
      <c r="N895" s="5">
        <f t="shared" si="111"/>
        <v>1</v>
      </c>
      <c r="O895" s="5">
        <f t="shared" si="112"/>
        <v>0</v>
      </c>
      <c r="P895" s="5">
        <f t="shared" si="105"/>
        <v>0</v>
      </c>
      <c r="Q895" s="5">
        <f t="shared" si="106"/>
        <v>2</v>
      </c>
      <c r="R895" s="7">
        <f t="shared" si="107"/>
        <v>0</v>
      </c>
      <c r="S895" s="7">
        <f t="shared" si="108"/>
        <v>0</v>
      </c>
      <c r="T895" s="3" t="str">
        <f t="shared" si="109"/>
        <v/>
      </c>
      <c r="V895" s="1" t="e">
        <f t="shared" si="110"/>
        <v>#DIV/0!</v>
      </c>
    </row>
    <row r="896" spans="8:22" x14ac:dyDescent="0.3">
      <c r="H896" s="10" t="str">
        <f>IF(Planilha1!B893="","",Planilha1!B893)</f>
        <v>8:00p</v>
      </c>
      <c r="I896" s="10" t="str">
        <f>IF(Planilha1!C893="","",Planilha1!C893)</f>
        <v>Sacramento Kings</v>
      </c>
      <c r="J896" s="10">
        <f>IF(Planilha1!D893="","",Planilha1!D893)</f>
        <v>0</v>
      </c>
      <c r="K896" s="10" t="str">
        <f>IF(Planilha1!E893="","",IF(Planilha1!E893=0,"",Planilha1!E893))</f>
        <v>Minnesota Timberwolves</v>
      </c>
      <c r="L896" s="10">
        <f>IF(Planilha1!F893="","",Planilha1!F893)</f>
        <v>0</v>
      </c>
      <c r="M896" s="10" t="str">
        <f>IF(Planilha1!G893="","",IF(Planilha1!G893=0,"",Planilha1!G893))</f>
        <v/>
      </c>
      <c r="N896" s="5">
        <f t="shared" si="111"/>
        <v>1</v>
      </c>
      <c r="O896" s="5">
        <f t="shared" si="112"/>
        <v>0</v>
      </c>
      <c r="P896" s="5">
        <f t="shared" si="105"/>
        <v>0</v>
      </c>
      <c r="Q896" s="5">
        <f t="shared" si="106"/>
        <v>2</v>
      </c>
      <c r="R896" s="7">
        <f t="shared" si="107"/>
        <v>0</v>
      </c>
      <c r="S896" s="7">
        <f t="shared" si="108"/>
        <v>0</v>
      </c>
      <c r="T896" s="3" t="str">
        <f t="shared" si="109"/>
        <v/>
      </c>
      <c r="V896" s="1" t="e">
        <f t="shared" si="110"/>
        <v>#DIV/0!</v>
      </c>
    </row>
    <row r="897" spans="8:22" x14ac:dyDescent="0.3">
      <c r="H897" s="10" t="str">
        <f>IF(Planilha1!B894="","",Planilha1!B894)</f>
        <v>8:00p</v>
      </c>
      <c r="I897" s="10" t="str">
        <f>IF(Planilha1!C894="","",Planilha1!C894)</f>
        <v>Indiana Pacers</v>
      </c>
      <c r="J897" s="10">
        <f>IF(Planilha1!D894="","",Planilha1!D894)</f>
        <v>0</v>
      </c>
      <c r="K897" s="10" t="str">
        <f>IF(Planilha1!E894="","",IF(Planilha1!E894=0,"",Planilha1!E894))</f>
        <v>New Orleans Pelicans</v>
      </c>
      <c r="L897" s="10">
        <f>IF(Planilha1!F894="","",Planilha1!F894)</f>
        <v>0</v>
      </c>
      <c r="M897" s="10" t="str">
        <f>IF(Planilha1!G894="","",IF(Planilha1!G894=0,"",Planilha1!G894))</f>
        <v/>
      </c>
      <c r="N897" s="5">
        <f t="shared" si="111"/>
        <v>1</v>
      </c>
      <c r="O897" s="5">
        <f t="shared" si="112"/>
        <v>0</v>
      </c>
      <c r="P897" s="5">
        <f t="shared" si="105"/>
        <v>0</v>
      </c>
      <c r="Q897" s="5">
        <f t="shared" si="106"/>
        <v>2</v>
      </c>
      <c r="R897" s="7">
        <f t="shared" si="107"/>
        <v>0</v>
      </c>
      <c r="S897" s="7">
        <f t="shared" si="108"/>
        <v>0</v>
      </c>
      <c r="T897" s="3" t="str">
        <f t="shared" si="109"/>
        <v/>
      </c>
      <c r="V897" s="1" t="e">
        <f t="shared" si="110"/>
        <v>#DIV/0!</v>
      </c>
    </row>
    <row r="898" spans="8:22" x14ac:dyDescent="0.3">
      <c r="H898" s="10" t="str">
        <f>IF(Planilha1!B895="","",Planilha1!B895)</f>
        <v>10:00p</v>
      </c>
      <c r="I898" s="10" t="str">
        <f>IF(Planilha1!C895="","",Planilha1!C895)</f>
        <v>Milwaukee Bucks</v>
      </c>
      <c r="J898" s="10">
        <f>IF(Planilha1!D895="","",Planilha1!D895)</f>
        <v>0</v>
      </c>
      <c r="K898" s="10" t="str">
        <f>IF(Planilha1!E895="","",IF(Planilha1!E895=0,"",Planilha1!E895))</f>
        <v>Chicago Bulls</v>
      </c>
      <c r="L898" s="10">
        <f>IF(Planilha1!F895="","",Planilha1!F895)</f>
        <v>0</v>
      </c>
      <c r="M898" s="10" t="str">
        <f>IF(Planilha1!G895="","",IF(Planilha1!G895=0,"",Planilha1!G895))</f>
        <v/>
      </c>
      <c r="N898" s="5">
        <f t="shared" si="111"/>
        <v>1</v>
      </c>
      <c r="O898" s="5">
        <f t="shared" si="112"/>
        <v>0</v>
      </c>
      <c r="P898" s="5">
        <f t="shared" si="105"/>
        <v>0</v>
      </c>
      <c r="Q898" s="5">
        <f t="shared" si="106"/>
        <v>2</v>
      </c>
      <c r="R898" s="7">
        <f t="shared" si="107"/>
        <v>0</v>
      </c>
      <c r="S898" s="7">
        <f t="shared" si="108"/>
        <v>0</v>
      </c>
      <c r="T898" s="3" t="str">
        <f t="shared" si="109"/>
        <v/>
      </c>
      <c r="V898" s="1" t="e">
        <f t="shared" si="110"/>
        <v>#DIV/0!</v>
      </c>
    </row>
    <row r="899" spans="8:22" x14ac:dyDescent="0.3">
      <c r="H899" s="10" t="str">
        <f>IF(Planilha1!B896="","",Planilha1!B896)</f>
        <v>10:30p</v>
      </c>
      <c r="I899" s="10" t="str">
        <f>IF(Planilha1!C896="","",Planilha1!C896)</f>
        <v>Washington Wizards</v>
      </c>
      <c r="J899" s="10">
        <f>IF(Planilha1!D896="","",Planilha1!D896)</f>
        <v>0</v>
      </c>
      <c r="K899" s="10" t="str">
        <f>IF(Planilha1!E896="","",IF(Planilha1!E896=0,"",Planilha1!E896))</f>
        <v>Los Angeles Clippers</v>
      </c>
      <c r="L899" s="10">
        <f>IF(Planilha1!F896="","",Planilha1!F896)</f>
        <v>0</v>
      </c>
      <c r="M899" s="10" t="str">
        <f>IF(Planilha1!G896="","",IF(Planilha1!G896=0,"",Planilha1!G896))</f>
        <v/>
      </c>
      <c r="N899" s="5">
        <f t="shared" si="111"/>
        <v>1</v>
      </c>
      <c r="O899" s="5">
        <f t="shared" si="112"/>
        <v>0</v>
      </c>
      <c r="P899" s="5">
        <f t="shared" si="105"/>
        <v>0</v>
      </c>
      <c r="Q899" s="5">
        <f t="shared" si="106"/>
        <v>2</v>
      </c>
      <c r="R899" s="7">
        <f t="shared" si="107"/>
        <v>0</v>
      </c>
      <c r="S899" s="7">
        <f t="shared" si="108"/>
        <v>0</v>
      </c>
      <c r="T899" s="3" t="str">
        <f t="shared" si="109"/>
        <v/>
      </c>
      <c r="V899" s="1" t="e">
        <f t="shared" si="110"/>
        <v>#DIV/0!</v>
      </c>
    </row>
    <row r="900" spans="8:22" x14ac:dyDescent="0.3">
      <c r="H900" s="10" t="str">
        <f>IF(Planilha1!B897="","",Planilha1!B897)</f>
        <v>3:00p</v>
      </c>
      <c r="I900" s="10" t="str">
        <f>IF(Planilha1!C897="","",Planilha1!C897)</f>
        <v>Atlanta Hawks</v>
      </c>
      <c r="J900" s="10">
        <f>IF(Planilha1!D897="","",Planilha1!D897)</f>
        <v>0</v>
      </c>
      <c r="K900" s="10" t="str">
        <f>IF(Planilha1!E897="","",IF(Planilha1!E897=0,"",Planilha1!E897))</f>
        <v>Brooklyn Nets</v>
      </c>
      <c r="L900" s="10">
        <f>IF(Planilha1!F897="","",Planilha1!F897)</f>
        <v>0</v>
      </c>
      <c r="M900" s="10" t="str">
        <f>IF(Planilha1!G897="","",IF(Planilha1!G897=0,"",Planilha1!G897))</f>
        <v/>
      </c>
      <c r="N900" s="5">
        <f t="shared" si="111"/>
        <v>1</v>
      </c>
      <c r="O900" s="5">
        <f t="shared" si="112"/>
        <v>0</v>
      </c>
      <c r="P900" s="5">
        <f t="shared" si="105"/>
        <v>0</v>
      </c>
      <c r="Q900" s="5">
        <f t="shared" si="106"/>
        <v>2</v>
      </c>
      <c r="R900" s="7">
        <f t="shared" si="107"/>
        <v>0</v>
      </c>
      <c r="S900" s="7">
        <f t="shared" si="108"/>
        <v>0</v>
      </c>
      <c r="T900" s="3" t="str">
        <f t="shared" si="109"/>
        <v/>
      </c>
      <c r="V900" s="1" t="e">
        <f t="shared" si="110"/>
        <v>#DIV/0!</v>
      </c>
    </row>
    <row r="901" spans="8:22" x14ac:dyDescent="0.3">
      <c r="H901" s="10" t="str">
        <f>IF(Planilha1!B898="","",Planilha1!B898)</f>
        <v>5:00p</v>
      </c>
      <c r="I901" s="10" t="str">
        <f>IF(Planilha1!C898="","",Planilha1!C898)</f>
        <v>Utah Jazz</v>
      </c>
      <c r="J901" s="10">
        <f>IF(Planilha1!D898="","",Planilha1!D898)</f>
        <v>0</v>
      </c>
      <c r="K901" s="10" t="str">
        <f>IF(Planilha1!E898="","",IF(Planilha1!E898=0,"",Planilha1!E898))</f>
        <v>Miami Heat</v>
      </c>
      <c r="L901" s="10">
        <f>IF(Planilha1!F898="","",Planilha1!F898)</f>
        <v>0</v>
      </c>
      <c r="M901" s="10" t="str">
        <f>IF(Planilha1!G898="","",IF(Planilha1!G898=0,"",Planilha1!G898))</f>
        <v/>
      </c>
      <c r="N901" s="5">
        <f t="shared" si="111"/>
        <v>1</v>
      </c>
      <c r="O901" s="5">
        <f t="shared" si="112"/>
        <v>0</v>
      </c>
      <c r="P901" s="5">
        <f t="shared" ref="P901:P964" si="113">IF(M901="",IF(R901&gt;S901,2,0),IF(K901&lt;M901,2,0))</f>
        <v>0</v>
      </c>
      <c r="Q901" s="5">
        <f t="shared" ref="Q901:Q964" si="114">IF(M901="",IF(R901&gt;S901,0,2),IF(K901&gt;M901,2,0))</f>
        <v>2</v>
      </c>
      <c r="R901" s="7">
        <f t="shared" ref="R901:R964" si="115">SUMIF($B:$B,J901,$C:$C)+(SUMIF($B:$B,L901,$F:$F))</f>
        <v>0</v>
      </c>
      <c r="S901" s="7">
        <f t="shared" ref="S901:S964" si="116">SUMIF($B:$B,L901,$E:$E)+(SUMIF($B:$B,J901,$D:$D))</f>
        <v>0</v>
      </c>
      <c r="T901" s="3" t="str">
        <f t="shared" ref="T901:T964" si="117">IF(M901="","",(N901-S901)^2+(O901-R901)^2)</f>
        <v/>
      </c>
      <c r="V901" s="1" t="e">
        <f t="shared" ref="V901:V964" si="118">IF(O901="","",1/((O901-N901)/(R901-S901)))</f>
        <v>#DIV/0!</v>
      </c>
    </row>
    <row r="902" spans="8:22" x14ac:dyDescent="0.3">
      <c r="H902" s="10" t="str">
        <f>IF(Planilha1!B899="","",Planilha1!B899)</f>
        <v>8:00p</v>
      </c>
      <c r="I902" s="10" t="str">
        <f>IF(Planilha1!C899="","",Planilha1!C899)</f>
        <v>Portland Trail Blazers</v>
      </c>
      <c r="J902" s="10">
        <f>IF(Planilha1!D899="","",Planilha1!D899)</f>
        <v>0</v>
      </c>
      <c r="K902" s="10" t="str">
        <f>IF(Planilha1!E899="","",IF(Planilha1!E899=0,"",Planilha1!E899))</f>
        <v>Memphis Grizzlies</v>
      </c>
      <c r="L902" s="10">
        <f>IF(Planilha1!F899="","",Planilha1!F899)</f>
        <v>0</v>
      </c>
      <c r="M902" s="10" t="str">
        <f>IF(Planilha1!G899="","",IF(Planilha1!G899=0,"",Planilha1!G899))</f>
        <v/>
      </c>
      <c r="N902" s="5">
        <f t="shared" ref="N902:N965" si="119">IF(K902="","",IF(K902&gt;M902,100%,0%))</f>
        <v>1</v>
      </c>
      <c r="O902" s="5">
        <f t="shared" ref="O902:O965" si="120">IF(K902="","",IF(K902&lt;M902,100%,0%))</f>
        <v>0</v>
      </c>
      <c r="P902" s="5">
        <f t="shared" si="113"/>
        <v>0</v>
      </c>
      <c r="Q902" s="5">
        <f t="shared" si="114"/>
        <v>2</v>
      </c>
      <c r="R902" s="7">
        <f t="shared" si="115"/>
        <v>0</v>
      </c>
      <c r="S902" s="7">
        <f t="shared" si="116"/>
        <v>0</v>
      </c>
      <c r="T902" s="3" t="str">
        <f t="shared" si="117"/>
        <v/>
      </c>
      <c r="V902" s="1" t="e">
        <f t="shared" si="118"/>
        <v>#DIV/0!</v>
      </c>
    </row>
    <row r="903" spans="8:22" x14ac:dyDescent="0.3">
      <c r="H903" s="10" t="str">
        <f>IF(Planilha1!B900="","",Planilha1!B900)</f>
        <v>8:30p</v>
      </c>
      <c r="I903" s="10" t="str">
        <f>IF(Planilha1!C900="","",Planilha1!C900)</f>
        <v>Denver Nuggets</v>
      </c>
      <c r="J903" s="10">
        <f>IF(Planilha1!D900="","",Planilha1!D900)</f>
        <v>0</v>
      </c>
      <c r="K903" s="10" t="str">
        <f>IF(Planilha1!E900="","",IF(Planilha1!E900=0,"",Planilha1!E900))</f>
        <v>Los Angeles Lakers</v>
      </c>
      <c r="L903" s="10">
        <f>IF(Planilha1!F900="","",Planilha1!F900)</f>
        <v>0</v>
      </c>
      <c r="M903" s="10" t="str">
        <f>IF(Planilha1!G900="","",IF(Planilha1!G900=0,"",Planilha1!G900))</f>
        <v/>
      </c>
      <c r="N903" s="5">
        <f t="shared" si="119"/>
        <v>1</v>
      </c>
      <c r="O903" s="5">
        <f t="shared" si="120"/>
        <v>0</v>
      </c>
      <c r="P903" s="5">
        <f t="shared" si="113"/>
        <v>0</v>
      </c>
      <c r="Q903" s="5">
        <f t="shared" si="114"/>
        <v>2</v>
      </c>
      <c r="R903" s="7">
        <f t="shared" si="115"/>
        <v>0</v>
      </c>
      <c r="S903" s="7">
        <f t="shared" si="116"/>
        <v>0</v>
      </c>
      <c r="T903" s="3" t="str">
        <f t="shared" si="117"/>
        <v/>
      </c>
      <c r="V903" s="1" t="e">
        <f t="shared" si="118"/>
        <v>#DIV/0!</v>
      </c>
    </row>
    <row r="904" spans="8:22" x14ac:dyDescent="0.3">
      <c r="H904" s="10" t="str">
        <f>IF(Planilha1!B901="","",Planilha1!B901)</f>
        <v>9:00p</v>
      </c>
      <c r="I904" s="10" t="str">
        <f>IF(Planilha1!C901="","",Planilha1!C901)</f>
        <v>Houston Rockets</v>
      </c>
      <c r="J904" s="10">
        <f>IF(Planilha1!D901="","",Planilha1!D901)</f>
        <v>0</v>
      </c>
      <c r="K904" s="10" t="str">
        <f>IF(Planilha1!E901="","",IF(Planilha1!E901=0,"",Planilha1!E901))</f>
        <v>Phoenix Suns</v>
      </c>
      <c r="L904" s="10">
        <f>IF(Planilha1!F901="","",Planilha1!F901)</f>
        <v>0</v>
      </c>
      <c r="M904" s="10" t="str">
        <f>IF(Planilha1!G901="","",IF(Planilha1!G901=0,"",Planilha1!G901))</f>
        <v/>
      </c>
      <c r="N904" s="5">
        <f t="shared" si="119"/>
        <v>1</v>
      </c>
      <c r="O904" s="5">
        <f t="shared" si="120"/>
        <v>0</v>
      </c>
      <c r="P904" s="5">
        <f t="shared" si="113"/>
        <v>0</v>
      </c>
      <c r="Q904" s="5">
        <f t="shared" si="114"/>
        <v>2</v>
      </c>
      <c r="R904" s="7">
        <f t="shared" si="115"/>
        <v>0</v>
      </c>
      <c r="S904" s="7">
        <f t="shared" si="116"/>
        <v>0</v>
      </c>
      <c r="T904" s="3" t="str">
        <f t="shared" si="117"/>
        <v/>
      </c>
      <c r="V904" s="1" t="e">
        <f t="shared" si="118"/>
        <v>#DIV/0!</v>
      </c>
    </row>
    <row r="905" spans="8:22" x14ac:dyDescent="0.3">
      <c r="H905" s="10" t="str">
        <f>IF(Planilha1!B902="","",Planilha1!B902)</f>
        <v>1:00p</v>
      </c>
      <c r="I905" s="10" t="str">
        <f>IF(Planilha1!C902="","",Planilha1!C902)</f>
        <v>Philadelphia 76ers</v>
      </c>
      <c r="J905" s="10">
        <f>IF(Planilha1!D902="","",Planilha1!D902)</f>
        <v>0</v>
      </c>
      <c r="K905" s="10" t="str">
        <f>IF(Planilha1!E902="","",IF(Planilha1!E902=0,"",Planilha1!E902))</f>
        <v>Dallas Mavericks</v>
      </c>
      <c r="L905" s="10">
        <f>IF(Planilha1!F902="","",Planilha1!F902)</f>
        <v>0</v>
      </c>
      <c r="M905" s="10" t="str">
        <f>IF(Planilha1!G902="","",IF(Planilha1!G902=0,"",Planilha1!G902))</f>
        <v/>
      </c>
      <c r="N905" s="5">
        <f t="shared" si="119"/>
        <v>1</v>
      </c>
      <c r="O905" s="5">
        <f t="shared" si="120"/>
        <v>0</v>
      </c>
      <c r="P905" s="5">
        <f t="shared" si="113"/>
        <v>0</v>
      </c>
      <c r="Q905" s="5">
        <f t="shared" si="114"/>
        <v>2</v>
      </c>
      <c r="R905" s="7">
        <f t="shared" si="115"/>
        <v>0</v>
      </c>
      <c r="S905" s="7">
        <f t="shared" si="116"/>
        <v>0</v>
      </c>
      <c r="T905" s="3" t="str">
        <f t="shared" si="117"/>
        <v/>
      </c>
      <c r="V905" s="1" t="e">
        <f t="shared" si="118"/>
        <v>#DIV/0!</v>
      </c>
    </row>
    <row r="906" spans="8:22" x14ac:dyDescent="0.3">
      <c r="H906" s="10" t="str">
        <f>IF(Planilha1!B903="","",Planilha1!B903)</f>
        <v>3:30p</v>
      </c>
      <c r="I906" s="10" t="str">
        <f>IF(Planilha1!C903="","",Planilha1!C903)</f>
        <v>Golden State Warriors</v>
      </c>
      <c r="J906" s="10">
        <f>IF(Planilha1!D903="","",Planilha1!D903)</f>
        <v>0</v>
      </c>
      <c r="K906" s="10" t="str">
        <f>IF(Planilha1!E903="","",IF(Planilha1!E903=0,"",Planilha1!E903))</f>
        <v>Boston Celtics</v>
      </c>
      <c r="L906" s="10">
        <f>IF(Planilha1!F903="","",Planilha1!F903)</f>
        <v>0</v>
      </c>
      <c r="M906" s="10" t="str">
        <f>IF(Planilha1!G903="","",IF(Planilha1!G903=0,"",Planilha1!G903))</f>
        <v/>
      </c>
      <c r="N906" s="5">
        <f t="shared" si="119"/>
        <v>1</v>
      </c>
      <c r="O906" s="5">
        <f t="shared" si="120"/>
        <v>0</v>
      </c>
      <c r="P906" s="5">
        <f t="shared" si="113"/>
        <v>0</v>
      </c>
      <c r="Q906" s="5">
        <f t="shared" si="114"/>
        <v>2</v>
      </c>
      <c r="R906" s="7">
        <f t="shared" si="115"/>
        <v>0</v>
      </c>
      <c r="S906" s="7">
        <f t="shared" si="116"/>
        <v>0</v>
      </c>
      <c r="T906" s="3" t="str">
        <f t="shared" si="117"/>
        <v/>
      </c>
      <c r="V906" s="1" t="e">
        <f t="shared" si="118"/>
        <v>#DIV/0!</v>
      </c>
    </row>
    <row r="907" spans="8:22" x14ac:dyDescent="0.3">
      <c r="H907" s="10" t="str">
        <f>IF(Planilha1!B904="","",Planilha1!B904)</f>
        <v>3:30p</v>
      </c>
      <c r="I907" s="10" t="str">
        <f>IF(Planilha1!C904="","",Planilha1!C904)</f>
        <v>Los Angeles Clippers</v>
      </c>
      <c r="J907" s="10">
        <f>IF(Planilha1!D904="","",Planilha1!D904)</f>
        <v>0</v>
      </c>
      <c r="K907" s="10" t="str">
        <f>IF(Planilha1!E904="","",IF(Planilha1!E904=0,"",Planilha1!E904))</f>
        <v>Minnesota Timberwolves</v>
      </c>
      <c r="L907" s="10">
        <f>IF(Planilha1!F904="","",Planilha1!F904)</f>
        <v>0</v>
      </c>
      <c r="M907" s="10" t="str">
        <f>IF(Planilha1!G904="","",IF(Planilha1!G904=0,"",Planilha1!G904))</f>
        <v/>
      </c>
      <c r="N907" s="5">
        <f t="shared" si="119"/>
        <v>1</v>
      </c>
      <c r="O907" s="5">
        <f t="shared" si="120"/>
        <v>0</v>
      </c>
      <c r="P907" s="5">
        <f t="shared" si="113"/>
        <v>0</v>
      </c>
      <c r="Q907" s="5">
        <f t="shared" si="114"/>
        <v>2</v>
      </c>
      <c r="R907" s="7">
        <f t="shared" si="115"/>
        <v>0</v>
      </c>
      <c r="S907" s="7">
        <f t="shared" si="116"/>
        <v>0</v>
      </c>
      <c r="T907" s="3" t="str">
        <f t="shared" si="117"/>
        <v/>
      </c>
      <c r="V907" s="1" t="e">
        <f t="shared" si="118"/>
        <v>#DIV/0!</v>
      </c>
    </row>
    <row r="908" spans="8:22" x14ac:dyDescent="0.3">
      <c r="H908" s="10" t="str">
        <f>IF(Planilha1!B905="","",Planilha1!B905)</f>
        <v>6:00p</v>
      </c>
      <c r="I908" s="10" t="str">
        <f>IF(Planilha1!C905="","",Planilha1!C905)</f>
        <v>Detroit Pistons</v>
      </c>
      <c r="J908" s="10">
        <f>IF(Planilha1!D905="","",Planilha1!D905)</f>
        <v>0</v>
      </c>
      <c r="K908" s="10" t="str">
        <f>IF(Planilha1!E905="","",IF(Planilha1!E905=0,"",Planilha1!E905))</f>
        <v>Orlando Magic</v>
      </c>
      <c r="L908" s="10">
        <f>IF(Planilha1!F905="","",Planilha1!F905)</f>
        <v>0</v>
      </c>
      <c r="M908" s="10" t="str">
        <f>IF(Planilha1!G905="","",IF(Planilha1!G905=0,"",Planilha1!G905))</f>
        <v/>
      </c>
      <c r="N908" s="5">
        <f t="shared" si="119"/>
        <v>1</v>
      </c>
      <c r="O908" s="5">
        <f t="shared" si="120"/>
        <v>0</v>
      </c>
      <c r="P908" s="5">
        <f t="shared" si="113"/>
        <v>0</v>
      </c>
      <c r="Q908" s="5">
        <f t="shared" si="114"/>
        <v>2</v>
      </c>
      <c r="R908" s="7">
        <f t="shared" si="115"/>
        <v>0</v>
      </c>
      <c r="S908" s="7">
        <f t="shared" si="116"/>
        <v>0</v>
      </c>
      <c r="T908" s="3" t="str">
        <f t="shared" si="117"/>
        <v/>
      </c>
      <c r="V908" s="1" t="e">
        <f t="shared" si="118"/>
        <v>#DIV/0!</v>
      </c>
    </row>
    <row r="909" spans="8:22" x14ac:dyDescent="0.3">
      <c r="H909" s="10" t="str">
        <f>IF(Planilha1!B906="","",Planilha1!B906)</f>
        <v>6:00p</v>
      </c>
      <c r="I909" s="10" t="str">
        <f>IF(Planilha1!C906="","",Planilha1!C906)</f>
        <v>Charlotte Hornets</v>
      </c>
      <c r="J909" s="10">
        <f>IF(Planilha1!D906="","",Planilha1!D906)</f>
        <v>0</v>
      </c>
      <c r="K909" s="10" t="str">
        <f>IF(Planilha1!E906="","",IF(Planilha1!E906=0,"",Planilha1!E906))</f>
        <v>Toronto Raptors</v>
      </c>
      <c r="L909" s="10">
        <f>IF(Planilha1!F906="","",Planilha1!F906)</f>
        <v>0</v>
      </c>
      <c r="M909" s="10" t="str">
        <f>IF(Planilha1!G906="","",IF(Planilha1!G906=0,"",Planilha1!G906))</f>
        <v/>
      </c>
      <c r="N909" s="5">
        <f t="shared" si="119"/>
        <v>1</v>
      </c>
      <c r="O909" s="5">
        <f t="shared" si="120"/>
        <v>0</v>
      </c>
      <c r="P909" s="5">
        <f t="shared" si="113"/>
        <v>0</v>
      </c>
      <c r="Q909" s="5">
        <f t="shared" si="114"/>
        <v>2</v>
      </c>
      <c r="R909" s="7">
        <f t="shared" si="115"/>
        <v>0</v>
      </c>
      <c r="S909" s="7">
        <f t="shared" si="116"/>
        <v>0</v>
      </c>
      <c r="T909" s="3" t="str">
        <f t="shared" si="117"/>
        <v/>
      </c>
      <c r="V909" s="1" t="e">
        <f t="shared" si="118"/>
        <v>#DIV/0!</v>
      </c>
    </row>
    <row r="910" spans="8:22" x14ac:dyDescent="0.3">
      <c r="H910" s="10" t="str">
        <f>IF(Planilha1!B907="","",Planilha1!B907)</f>
        <v>7:00p</v>
      </c>
      <c r="I910" s="10" t="str">
        <f>IF(Planilha1!C907="","",Planilha1!C907)</f>
        <v>New York Knicks</v>
      </c>
      <c r="J910" s="10">
        <f>IF(Planilha1!D907="","",Planilha1!D907)</f>
        <v>0</v>
      </c>
      <c r="K910" s="10" t="str">
        <f>IF(Planilha1!E907="","",IF(Planilha1!E907=0,"",Planilha1!E907))</f>
        <v>Cleveland Cavaliers</v>
      </c>
      <c r="L910" s="10">
        <f>IF(Planilha1!F907="","",Planilha1!F907)</f>
        <v>0</v>
      </c>
      <c r="M910" s="10" t="str">
        <f>IF(Planilha1!G907="","",IF(Planilha1!G907=0,"",Planilha1!G907))</f>
        <v/>
      </c>
      <c r="N910" s="5">
        <f t="shared" si="119"/>
        <v>1</v>
      </c>
      <c r="O910" s="5">
        <f t="shared" si="120"/>
        <v>0</v>
      </c>
      <c r="P910" s="5">
        <f t="shared" si="113"/>
        <v>0</v>
      </c>
      <c r="Q910" s="5">
        <f t="shared" si="114"/>
        <v>2</v>
      </c>
      <c r="R910" s="7">
        <f t="shared" si="115"/>
        <v>0</v>
      </c>
      <c r="S910" s="7">
        <f t="shared" si="116"/>
        <v>0</v>
      </c>
      <c r="T910" s="3" t="str">
        <f t="shared" si="117"/>
        <v/>
      </c>
      <c r="V910" s="1" t="e">
        <f t="shared" si="118"/>
        <v>#DIV/0!</v>
      </c>
    </row>
    <row r="911" spans="8:22" x14ac:dyDescent="0.3">
      <c r="H911" s="10" t="str">
        <f>IF(Planilha1!B908="","",Planilha1!B908)</f>
        <v>7:00p</v>
      </c>
      <c r="I911" s="10" t="str">
        <f>IF(Planilha1!C908="","",Planilha1!C908)</f>
        <v>Indiana Pacers</v>
      </c>
      <c r="J911" s="10">
        <f>IF(Planilha1!D908="","",Planilha1!D908)</f>
        <v>0</v>
      </c>
      <c r="K911" s="10" t="str">
        <f>IF(Planilha1!E908="","",IF(Planilha1!E908=0,"",Planilha1!E908))</f>
        <v>San Antonio Spurs</v>
      </c>
      <c r="L911" s="10">
        <f>IF(Planilha1!F908="","",Planilha1!F908)</f>
        <v>0</v>
      </c>
      <c r="M911" s="10" t="str">
        <f>IF(Planilha1!G908="","",IF(Planilha1!G908=0,"",Planilha1!G908))</f>
        <v/>
      </c>
      <c r="N911" s="5">
        <f t="shared" si="119"/>
        <v>1</v>
      </c>
      <c r="O911" s="5">
        <f t="shared" si="120"/>
        <v>0</v>
      </c>
      <c r="P911" s="5">
        <f t="shared" si="113"/>
        <v>0</v>
      </c>
      <c r="Q911" s="5">
        <f t="shared" si="114"/>
        <v>2</v>
      </c>
      <c r="R911" s="7">
        <f t="shared" si="115"/>
        <v>0</v>
      </c>
      <c r="S911" s="7">
        <f t="shared" si="116"/>
        <v>0</v>
      </c>
      <c r="T911" s="3" t="str">
        <f t="shared" si="117"/>
        <v/>
      </c>
      <c r="V911" s="1" t="e">
        <f t="shared" si="118"/>
        <v>#DIV/0!</v>
      </c>
    </row>
    <row r="912" spans="8:22" x14ac:dyDescent="0.3">
      <c r="H912" s="10" t="str">
        <f>IF(Planilha1!B909="","",Planilha1!B909)</f>
        <v>9:30p</v>
      </c>
      <c r="I912" s="10" t="str">
        <f>IF(Planilha1!C909="","",Planilha1!C909)</f>
        <v>Oklahoma City Thunder</v>
      </c>
      <c r="J912" s="10">
        <f>IF(Planilha1!D909="","",Planilha1!D909)</f>
        <v>0</v>
      </c>
      <c r="K912" s="10" t="str">
        <f>IF(Planilha1!E909="","",IF(Planilha1!E909=0,"",Planilha1!E909))</f>
        <v>Phoenix Suns</v>
      </c>
      <c r="L912" s="10">
        <f>IF(Planilha1!F909="","",Planilha1!F909)</f>
        <v>0</v>
      </c>
      <c r="M912" s="10" t="str">
        <f>IF(Planilha1!G909="","",IF(Planilha1!G909=0,"",Planilha1!G909))</f>
        <v/>
      </c>
      <c r="N912" s="5">
        <f t="shared" si="119"/>
        <v>1</v>
      </c>
      <c r="O912" s="5">
        <f t="shared" si="120"/>
        <v>0</v>
      </c>
      <c r="P912" s="5">
        <f t="shared" si="113"/>
        <v>0</v>
      </c>
      <c r="Q912" s="5">
        <f t="shared" si="114"/>
        <v>2</v>
      </c>
      <c r="R912" s="7">
        <f t="shared" si="115"/>
        <v>0</v>
      </c>
      <c r="S912" s="7">
        <f t="shared" si="116"/>
        <v>0</v>
      </c>
      <c r="T912" s="3" t="str">
        <f t="shared" si="117"/>
        <v/>
      </c>
      <c r="V912" s="1" t="e">
        <f t="shared" si="118"/>
        <v>#DIV/0!</v>
      </c>
    </row>
    <row r="913" spans="8:22" x14ac:dyDescent="0.3">
      <c r="H913" s="10" t="str">
        <f>IF(Planilha1!B910="","",Planilha1!B910)</f>
        <v>7:30p</v>
      </c>
      <c r="I913" s="10" t="str">
        <f>IF(Planilha1!C910="","",Planilha1!C910)</f>
        <v>Memphis Grizzlies</v>
      </c>
      <c r="J913" s="10">
        <f>IF(Planilha1!D910="","",Planilha1!D910)</f>
        <v>0</v>
      </c>
      <c r="K913" s="10" t="str">
        <f>IF(Planilha1!E910="","",IF(Planilha1!E910=0,"",Planilha1!E910))</f>
        <v>Brooklyn Nets</v>
      </c>
      <c r="L913" s="10">
        <f>IF(Planilha1!F910="","",Planilha1!F910)</f>
        <v>0</v>
      </c>
      <c r="M913" s="10" t="str">
        <f>IF(Planilha1!G910="","",IF(Planilha1!G910=0,"",Planilha1!G910))</f>
        <v/>
      </c>
      <c r="N913" s="5">
        <f t="shared" si="119"/>
        <v>1</v>
      </c>
      <c r="O913" s="5">
        <f t="shared" si="120"/>
        <v>0</v>
      </c>
      <c r="P913" s="5">
        <f t="shared" si="113"/>
        <v>0</v>
      </c>
      <c r="Q913" s="5">
        <f t="shared" si="114"/>
        <v>2</v>
      </c>
      <c r="R913" s="7">
        <f t="shared" si="115"/>
        <v>0</v>
      </c>
      <c r="S913" s="7">
        <f t="shared" si="116"/>
        <v>0</v>
      </c>
      <c r="T913" s="3" t="str">
        <f t="shared" si="117"/>
        <v/>
      </c>
      <c r="V913" s="1" t="e">
        <f t="shared" si="118"/>
        <v>#DIV/0!</v>
      </c>
    </row>
    <row r="914" spans="8:22" x14ac:dyDescent="0.3">
      <c r="H914" s="10" t="str">
        <f>IF(Planilha1!B911="","",Planilha1!B911)</f>
        <v>8:00p</v>
      </c>
      <c r="I914" s="10" t="str">
        <f>IF(Planilha1!C911="","",Planilha1!C911)</f>
        <v>Los Angeles Clippers</v>
      </c>
      <c r="J914" s="10">
        <f>IF(Planilha1!D911="","",Planilha1!D911)</f>
        <v>0</v>
      </c>
      <c r="K914" s="10" t="str">
        <f>IF(Planilha1!E911="","",IF(Planilha1!E911=0,"",Planilha1!E911))</f>
        <v>Milwaukee Bucks</v>
      </c>
      <c r="L914" s="10">
        <f>IF(Planilha1!F911="","",Planilha1!F911)</f>
        <v>0</v>
      </c>
      <c r="M914" s="10" t="str">
        <f>IF(Planilha1!G911="","",IF(Planilha1!G911=0,"",Planilha1!G911))</f>
        <v/>
      </c>
      <c r="N914" s="5">
        <f t="shared" si="119"/>
        <v>1</v>
      </c>
      <c r="O914" s="5">
        <f t="shared" si="120"/>
        <v>0</v>
      </c>
      <c r="P914" s="5">
        <f t="shared" si="113"/>
        <v>0</v>
      </c>
      <c r="Q914" s="5">
        <f t="shared" si="114"/>
        <v>2</v>
      </c>
      <c r="R914" s="7">
        <f t="shared" si="115"/>
        <v>0</v>
      </c>
      <c r="S914" s="7">
        <f t="shared" si="116"/>
        <v>0</v>
      </c>
      <c r="T914" s="3" t="str">
        <f t="shared" si="117"/>
        <v/>
      </c>
      <c r="V914" s="1" t="e">
        <f t="shared" si="118"/>
        <v>#DIV/0!</v>
      </c>
    </row>
    <row r="915" spans="8:22" x14ac:dyDescent="0.3">
      <c r="H915" s="10" t="str">
        <f>IF(Planilha1!B912="","",Planilha1!B912)</f>
        <v>8:00p</v>
      </c>
      <c r="I915" s="10" t="str">
        <f>IF(Planilha1!C912="","",Planilha1!C912)</f>
        <v>Portland Trail Blazers</v>
      </c>
      <c r="J915" s="10">
        <f>IF(Planilha1!D912="","",Planilha1!D912)</f>
        <v>0</v>
      </c>
      <c r="K915" s="10" t="str">
        <f>IF(Planilha1!E912="","",IF(Planilha1!E912=0,"",Planilha1!E912))</f>
        <v>Minnesota Timberwolves</v>
      </c>
      <c r="L915" s="10">
        <f>IF(Planilha1!F912="","",Planilha1!F912)</f>
        <v>0</v>
      </c>
      <c r="M915" s="10" t="str">
        <f>IF(Planilha1!G912="","",IF(Planilha1!G912=0,"",Planilha1!G912))</f>
        <v/>
      </c>
      <c r="N915" s="5">
        <f t="shared" si="119"/>
        <v>1</v>
      </c>
      <c r="O915" s="5">
        <f t="shared" si="120"/>
        <v>0</v>
      </c>
      <c r="P915" s="5">
        <f t="shared" si="113"/>
        <v>0</v>
      </c>
      <c r="Q915" s="5">
        <f t="shared" si="114"/>
        <v>2</v>
      </c>
      <c r="R915" s="7">
        <f t="shared" si="115"/>
        <v>0</v>
      </c>
      <c r="S915" s="7">
        <f t="shared" si="116"/>
        <v>0</v>
      </c>
      <c r="T915" s="3" t="str">
        <f t="shared" si="117"/>
        <v/>
      </c>
      <c r="V915" s="1" t="e">
        <f t="shared" si="118"/>
        <v>#DIV/0!</v>
      </c>
    </row>
    <row r="916" spans="8:22" x14ac:dyDescent="0.3">
      <c r="H916" s="10" t="str">
        <f>IF(Planilha1!B913="","",Planilha1!B913)</f>
        <v>9:00p</v>
      </c>
      <c r="I916" s="10" t="str">
        <f>IF(Planilha1!C913="","",Planilha1!C913)</f>
        <v>Washington Wizards</v>
      </c>
      <c r="J916" s="10">
        <f>IF(Planilha1!D913="","",Planilha1!D913)</f>
        <v>0</v>
      </c>
      <c r="K916" s="10" t="str">
        <f>IF(Planilha1!E913="","",IF(Planilha1!E913=0,"",Planilha1!E913))</f>
        <v>Utah Jazz</v>
      </c>
      <c r="L916" s="10">
        <f>IF(Planilha1!F913="","",Planilha1!F913)</f>
        <v>0</v>
      </c>
      <c r="M916" s="10" t="str">
        <f>IF(Planilha1!G913="","",IF(Planilha1!G913=0,"",Planilha1!G913))</f>
        <v/>
      </c>
      <c r="N916" s="5">
        <f t="shared" si="119"/>
        <v>1</v>
      </c>
      <c r="O916" s="5">
        <f t="shared" si="120"/>
        <v>0</v>
      </c>
      <c r="P916" s="5">
        <f t="shared" si="113"/>
        <v>0</v>
      </c>
      <c r="Q916" s="5">
        <f t="shared" si="114"/>
        <v>2</v>
      </c>
      <c r="R916" s="7">
        <f t="shared" si="115"/>
        <v>0</v>
      </c>
      <c r="S916" s="7">
        <f t="shared" si="116"/>
        <v>0</v>
      </c>
      <c r="T916" s="3" t="str">
        <f t="shared" si="117"/>
        <v/>
      </c>
      <c r="V916" s="1" t="e">
        <f t="shared" si="118"/>
        <v>#DIV/0!</v>
      </c>
    </row>
    <row r="917" spans="8:22" x14ac:dyDescent="0.3">
      <c r="H917" s="10" t="str">
        <f>IF(Planilha1!B914="","",Planilha1!B914)</f>
        <v>10:00p</v>
      </c>
      <c r="I917" s="10" t="str">
        <f>IF(Planilha1!C914="","",Planilha1!C914)</f>
        <v>Chicago Bulls</v>
      </c>
      <c r="J917" s="10">
        <f>IF(Planilha1!D914="","",Planilha1!D914)</f>
        <v>0</v>
      </c>
      <c r="K917" s="10" t="str">
        <f>IF(Planilha1!E914="","",IF(Planilha1!E914=0,"",Planilha1!E914))</f>
        <v>Sacramento Kings</v>
      </c>
      <c r="L917" s="10">
        <f>IF(Planilha1!F914="","",Planilha1!F914)</f>
        <v>0</v>
      </c>
      <c r="M917" s="10" t="str">
        <f>IF(Planilha1!G914="","",IF(Planilha1!G914=0,"",Planilha1!G914))</f>
        <v/>
      </c>
      <c r="N917" s="5">
        <f t="shared" si="119"/>
        <v>1</v>
      </c>
      <c r="O917" s="5">
        <f t="shared" si="120"/>
        <v>0</v>
      </c>
      <c r="P917" s="5">
        <f t="shared" si="113"/>
        <v>0</v>
      </c>
      <c r="Q917" s="5">
        <f t="shared" si="114"/>
        <v>2</v>
      </c>
      <c r="R917" s="7">
        <f t="shared" si="115"/>
        <v>0</v>
      </c>
      <c r="S917" s="7">
        <f t="shared" si="116"/>
        <v>0</v>
      </c>
      <c r="T917" s="3" t="str">
        <f t="shared" si="117"/>
        <v/>
      </c>
      <c r="V917" s="1" t="e">
        <f t="shared" si="118"/>
        <v>#DIV/0!</v>
      </c>
    </row>
    <row r="918" spans="8:22" x14ac:dyDescent="0.3">
      <c r="H918" s="10" t="str">
        <f>IF(Planilha1!B915="","",Planilha1!B915)</f>
        <v>10:30p</v>
      </c>
      <c r="I918" s="10" t="str">
        <f>IF(Planilha1!C915="","",Planilha1!C915)</f>
        <v>Oklahoma City Thunder</v>
      </c>
      <c r="J918" s="10">
        <f>IF(Planilha1!D915="","",Planilha1!D915)</f>
        <v>0</v>
      </c>
      <c r="K918" s="10" t="str">
        <f>IF(Planilha1!E915="","",IF(Planilha1!E915=0,"",Planilha1!E915))</f>
        <v>Los Angeles Lakers</v>
      </c>
      <c r="L918" s="10">
        <f>IF(Planilha1!F915="","",Planilha1!F915)</f>
        <v>0</v>
      </c>
      <c r="M918" s="10" t="str">
        <f>IF(Planilha1!G915="","",IF(Planilha1!G915=0,"",Planilha1!G915))</f>
        <v/>
      </c>
      <c r="N918" s="5">
        <f t="shared" si="119"/>
        <v>1</v>
      </c>
      <c r="O918" s="5">
        <f t="shared" si="120"/>
        <v>0</v>
      </c>
      <c r="P918" s="5">
        <f t="shared" si="113"/>
        <v>0</v>
      </c>
      <c r="Q918" s="5">
        <f t="shared" si="114"/>
        <v>2</v>
      </c>
      <c r="R918" s="7">
        <f t="shared" si="115"/>
        <v>0</v>
      </c>
      <c r="S918" s="7">
        <f t="shared" si="116"/>
        <v>0</v>
      </c>
      <c r="T918" s="3" t="str">
        <f t="shared" si="117"/>
        <v/>
      </c>
      <c r="V918" s="1" t="e">
        <f t="shared" si="118"/>
        <v>#DIV/0!</v>
      </c>
    </row>
    <row r="919" spans="8:22" x14ac:dyDescent="0.3">
      <c r="H919" s="10" t="str">
        <f>IF(Planilha1!B916="","",Planilha1!B916)</f>
        <v>7:00p</v>
      </c>
      <c r="I919" s="10" t="str">
        <f>IF(Planilha1!C916="","",Planilha1!C916)</f>
        <v>Orlando Magic</v>
      </c>
      <c r="J919" s="10">
        <f>IF(Planilha1!D916="","",Planilha1!D916)</f>
        <v>0</v>
      </c>
      <c r="K919" s="10" t="str">
        <f>IF(Planilha1!E916="","",IF(Planilha1!E916=0,"",Planilha1!E916))</f>
        <v>Charlotte Hornets</v>
      </c>
      <c r="L919" s="10">
        <f>IF(Planilha1!F916="","",Planilha1!F916)</f>
        <v>0</v>
      </c>
      <c r="M919" s="10" t="str">
        <f>IF(Planilha1!G916="","",IF(Planilha1!G916=0,"",Planilha1!G916))</f>
        <v/>
      </c>
      <c r="N919" s="5">
        <f t="shared" si="119"/>
        <v>1</v>
      </c>
      <c r="O919" s="5">
        <f t="shared" si="120"/>
        <v>0</v>
      </c>
      <c r="P919" s="5">
        <f t="shared" si="113"/>
        <v>0</v>
      </c>
      <c r="Q919" s="5">
        <f t="shared" si="114"/>
        <v>2</v>
      </c>
      <c r="R919" s="7">
        <f t="shared" si="115"/>
        <v>0</v>
      </c>
      <c r="S919" s="7">
        <f t="shared" si="116"/>
        <v>0</v>
      </c>
      <c r="T919" s="3" t="str">
        <f t="shared" si="117"/>
        <v/>
      </c>
      <c r="V919" s="1" t="e">
        <f t="shared" si="118"/>
        <v>#DIV/0!</v>
      </c>
    </row>
    <row r="920" spans="8:22" x14ac:dyDescent="0.3">
      <c r="H920" s="10" t="str">
        <f>IF(Planilha1!B917="","",Planilha1!B917)</f>
        <v>7:00p</v>
      </c>
      <c r="I920" s="10" t="str">
        <f>IF(Planilha1!C917="","",Planilha1!C917)</f>
        <v>Boston Celtics</v>
      </c>
      <c r="J920" s="10">
        <f>IF(Planilha1!D917="","",Planilha1!D917)</f>
        <v>0</v>
      </c>
      <c r="K920" s="10" t="str">
        <f>IF(Planilha1!E917="","",IF(Planilha1!E917=0,"",Planilha1!E917))</f>
        <v>Cleveland Cavaliers</v>
      </c>
      <c r="L920" s="10">
        <f>IF(Planilha1!F917="","",Planilha1!F917)</f>
        <v>0</v>
      </c>
      <c r="M920" s="10" t="str">
        <f>IF(Planilha1!G917="","",IF(Planilha1!G917=0,"",Planilha1!G917))</f>
        <v/>
      </c>
      <c r="N920" s="5">
        <f t="shared" si="119"/>
        <v>1</v>
      </c>
      <c r="O920" s="5">
        <f t="shared" si="120"/>
        <v>0</v>
      </c>
      <c r="P920" s="5">
        <f t="shared" si="113"/>
        <v>0</v>
      </c>
      <c r="Q920" s="5">
        <f t="shared" si="114"/>
        <v>2</v>
      </c>
      <c r="R920" s="7">
        <f t="shared" si="115"/>
        <v>0</v>
      </c>
      <c r="S920" s="7">
        <f t="shared" si="116"/>
        <v>0</v>
      </c>
      <c r="T920" s="3" t="str">
        <f t="shared" si="117"/>
        <v/>
      </c>
      <c r="V920" s="1" t="e">
        <f t="shared" si="118"/>
        <v>#DIV/0!</v>
      </c>
    </row>
    <row r="921" spans="8:22" x14ac:dyDescent="0.3">
      <c r="H921" s="10" t="str">
        <f>IF(Planilha1!B918="","",Planilha1!B918)</f>
        <v>7:30p</v>
      </c>
      <c r="I921" s="10" t="str">
        <f>IF(Planilha1!C918="","",Planilha1!C918)</f>
        <v>Philadelphia 76ers</v>
      </c>
      <c r="J921" s="10">
        <f>IF(Planilha1!D918="","",Planilha1!D918)</f>
        <v>0</v>
      </c>
      <c r="K921" s="10" t="str">
        <f>IF(Planilha1!E918="","",IF(Planilha1!E918=0,"",Planilha1!E918))</f>
        <v>Brooklyn Nets</v>
      </c>
      <c r="L921" s="10">
        <f>IF(Planilha1!F918="","",Planilha1!F918)</f>
        <v>0</v>
      </c>
      <c r="M921" s="10" t="str">
        <f>IF(Planilha1!G918="","",IF(Planilha1!G918=0,"",Planilha1!G918))</f>
        <v/>
      </c>
      <c r="N921" s="5">
        <f t="shared" si="119"/>
        <v>1</v>
      </c>
      <c r="O921" s="5">
        <f t="shared" si="120"/>
        <v>0</v>
      </c>
      <c r="P921" s="5">
        <f t="shared" si="113"/>
        <v>0</v>
      </c>
      <c r="Q921" s="5">
        <f t="shared" si="114"/>
        <v>2</v>
      </c>
      <c r="R921" s="7">
        <f t="shared" si="115"/>
        <v>0</v>
      </c>
      <c r="S921" s="7">
        <f t="shared" si="116"/>
        <v>0</v>
      </c>
      <c r="T921" s="3" t="str">
        <f t="shared" si="117"/>
        <v/>
      </c>
      <c r="V921" s="1" t="e">
        <f t="shared" si="118"/>
        <v>#DIV/0!</v>
      </c>
    </row>
    <row r="922" spans="8:22" x14ac:dyDescent="0.3">
      <c r="H922" s="10" t="str">
        <f>IF(Planilha1!B919="","",Planilha1!B919)</f>
        <v>7:30p</v>
      </c>
      <c r="I922" s="10" t="str">
        <f>IF(Planilha1!C919="","",Planilha1!C919)</f>
        <v>Detroit Pistons</v>
      </c>
      <c r="J922" s="10">
        <f>IF(Planilha1!D919="","",Planilha1!D919)</f>
        <v>0</v>
      </c>
      <c r="K922" s="10" t="str">
        <f>IF(Planilha1!E919="","",IF(Planilha1!E919=0,"",Planilha1!E919))</f>
        <v>Miami Heat</v>
      </c>
      <c r="L922" s="10">
        <f>IF(Planilha1!F919="","",Planilha1!F919)</f>
        <v>0</v>
      </c>
      <c r="M922" s="10" t="str">
        <f>IF(Planilha1!G919="","",IF(Planilha1!G919=0,"",Planilha1!G919))</f>
        <v/>
      </c>
      <c r="N922" s="5">
        <f t="shared" si="119"/>
        <v>1</v>
      </c>
      <c r="O922" s="5">
        <f t="shared" si="120"/>
        <v>0</v>
      </c>
      <c r="P922" s="5">
        <f t="shared" si="113"/>
        <v>0</v>
      </c>
      <c r="Q922" s="5">
        <f t="shared" si="114"/>
        <v>2</v>
      </c>
      <c r="R922" s="7">
        <f t="shared" si="115"/>
        <v>0</v>
      </c>
      <c r="S922" s="7">
        <f t="shared" si="116"/>
        <v>0</v>
      </c>
      <c r="T922" s="3" t="str">
        <f t="shared" si="117"/>
        <v/>
      </c>
      <c r="V922" s="1" t="e">
        <f t="shared" si="118"/>
        <v>#DIV/0!</v>
      </c>
    </row>
    <row r="923" spans="8:22" x14ac:dyDescent="0.3">
      <c r="H923" s="10" t="str">
        <f>IF(Planilha1!B920="","",Planilha1!B920)</f>
        <v>7:30p</v>
      </c>
      <c r="I923" s="10" t="str">
        <f>IF(Planilha1!C920="","",Planilha1!C920)</f>
        <v>Atlanta Hawks</v>
      </c>
      <c r="J923" s="10">
        <f>IF(Planilha1!D920="","",Planilha1!D920)</f>
        <v>0</v>
      </c>
      <c r="K923" s="10" t="str">
        <f>IF(Planilha1!E920="","",IF(Planilha1!E920=0,"",Planilha1!E920))</f>
        <v>New York Knicks</v>
      </c>
      <c r="L923" s="10">
        <f>IF(Planilha1!F920="","",Planilha1!F920)</f>
        <v>0</v>
      </c>
      <c r="M923" s="10" t="str">
        <f>IF(Planilha1!G920="","",IF(Planilha1!G920=0,"",Planilha1!G920))</f>
        <v/>
      </c>
      <c r="N923" s="5">
        <f t="shared" si="119"/>
        <v>1</v>
      </c>
      <c r="O923" s="5">
        <f t="shared" si="120"/>
        <v>0</v>
      </c>
      <c r="P923" s="5">
        <f t="shared" si="113"/>
        <v>0</v>
      </c>
      <c r="Q923" s="5">
        <f t="shared" si="114"/>
        <v>2</v>
      </c>
      <c r="R923" s="7">
        <f t="shared" si="115"/>
        <v>0</v>
      </c>
      <c r="S923" s="7">
        <f t="shared" si="116"/>
        <v>0</v>
      </c>
      <c r="T923" s="3" t="str">
        <f t="shared" si="117"/>
        <v/>
      </c>
      <c r="V923" s="1" t="e">
        <f t="shared" si="118"/>
        <v>#DIV/0!</v>
      </c>
    </row>
    <row r="924" spans="8:22" x14ac:dyDescent="0.3">
      <c r="H924" s="10" t="str">
        <f>IF(Planilha1!B921="","",Planilha1!B921)</f>
        <v>7:30p</v>
      </c>
      <c r="I924" s="10" t="str">
        <f>IF(Planilha1!C921="","",Planilha1!C921)</f>
        <v>New Orleans Pelicans</v>
      </c>
      <c r="J924" s="10">
        <f>IF(Planilha1!D921="","",Planilha1!D921)</f>
        <v>0</v>
      </c>
      <c r="K924" s="10" t="str">
        <f>IF(Planilha1!E921="","",IF(Planilha1!E921=0,"",Planilha1!E921))</f>
        <v>Toronto Raptors</v>
      </c>
      <c r="L924" s="10">
        <f>IF(Planilha1!F921="","",Planilha1!F921)</f>
        <v>0</v>
      </c>
      <c r="M924" s="10" t="str">
        <f>IF(Planilha1!G921="","",IF(Planilha1!G921=0,"",Planilha1!G921))</f>
        <v/>
      </c>
      <c r="N924" s="5">
        <f t="shared" si="119"/>
        <v>1</v>
      </c>
      <c r="O924" s="5">
        <f t="shared" si="120"/>
        <v>0</v>
      </c>
      <c r="P924" s="5">
        <f t="shared" si="113"/>
        <v>0</v>
      </c>
      <c r="Q924" s="5">
        <f t="shared" si="114"/>
        <v>2</v>
      </c>
      <c r="R924" s="7">
        <f t="shared" si="115"/>
        <v>0</v>
      </c>
      <c r="S924" s="7">
        <f t="shared" si="116"/>
        <v>0</v>
      </c>
      <c r="T924" s="3" t="str">
        <f t="shared" si="117"/>
        <v/>
      </c>
      <c r="V924" s="1" t="e">
        <f t="shared" si="118"/>
        <v>#DIV/0!</v>
      </c>
    </row>
    <row r="925" spans="8:22" x14ac:dyDescent="0.3">
      <c r="H925" s="10" t="str">
        <f>IF(Planilha1!B922="","",Planilha1!B922)</f>
        <v>8:00p</v>
      </c>
      <c r="I925" s="10" t="str">
        <f>IF(Planilha1!C922="","",Planilha1!C922)</f>
        <v>San Antonio Spurs</v>
      </c>
      <c r="J925" s="10">
        <f>IF(Planilha1!D922="","",Planilha1!D922)</f>
        <v>0</v>
      </c>
      <c r="K925" s="10" t="str">
        <f>IF(Planilha1!E922="","",IF(Planilha1!E922=0,"",Planilha1!E922))</f>
        <v>Houston Rockets</v>
      </c>
      <c r="L925" s="10">
        <f>IF(Planilha1!F922="","",Planilha1!F922)</f>
        <v>0</v>
      </c>
      <c r="M925" s="10" t="str">
        <f>IF(Planilha1!G922="","",IF(Planilha1!G922=0,"",Planilha1!G922))</f>
        <v/>
      </c>
      <c r="N925" s="5">
        <f t="shared" si="119"/>
        <v>1</v>
      </c>
      <c r="O925" s="5">
        <f t="shared" si="120"/>
        <v>0</v>
      </c>
      <c r="P925" s="5">
        <f t="shared" si="113"/>
        <v>0</v>
      </c>
      <c r="Q925" s="5">
        <f t="shared" si="114"/>
        <v>2</v>
      </c>
      <c r="R925" s="7">
        <f t="shared" si="115"/>
        <v>0</v>
      </c>
      <c r="S925" s="7">
        <f t="shared" si="116"/>
        <v>0</v>
      </c>
      <c r="T925" s="3" t="str">
        <f t="shared" si="117"/>
        <v/>
      </c>
      <c r="V925" s="1" t="e">
        <f t="shared" si="118"/>
        <v>#DIV/0!</v>
      </c>
    </row>
    <row r="926" spans="8:22" x14ac:dyDescent="0.3">
      <c r="H926" s="10" t="str">
        <f>IF(Planilha1!B923="","",Planilha1!B923)</f>
        <v>8:30p</v>
      </c>
      <c r="I926" s="10" t="str">
        <f>IF(Planilha1!C923="","",Planilha1!C923)</f>
        <v>Indiana Pacers</v>
      </c>
      <c r="J926" s="10">
        <f>IF(Planilha1!D923="","",Planilha1!D923)</f>
        <v>0</v>
      </c>
      <c r="K926" s="10" t="str">
        <f>IF(Planilha1!E923="","",IF(Planilha1!E923=0,"",Planilha1!E923))</f>
        <v>Dallas Mavericks</v>
      </c>
      <c r="L926" s="10">
        <f>IF(Planilha1!F923="","",Planilha1!F923)</f>
        <v>0</v>
      </c>
      <c r="M926" s="10" t="str">
        <f>IF(Planilha1!G923="","",IF(Planilha1!G923=0,"",Planilha1!G923))</f>
        <v/>
      </c>
      <c r="N926" s="5">
        <f t="shared" si="119"/>
        <v>1</v>
      </c>
      <c r="O926" s="5">
        <f t="shared" si="120"/>
        <v>0</v>
      </c>
      <c r="P926" s="5">
        <f t="shared" si="113"/>
        <v>0</v>
      </c>
      <c r="Q926" s="5">
        <f t="shared" si="114"/>
        <v>2</v>
      </c>
      <c r="R926" s="7">
        <f t="shared" si="115"/>
        <v>0</v>
      </c>
      <c r="S926" s="7">
        <f t="shared" si="116"/>
        <v>0</v>
      </c>
      <c r="T926" s="3" t="str">
        <f t="shared" si="117"/>
        <v/>
      </c>
      <c r="V926" s="1" t="e">
        <f t="shared" si="118"/>
        <v>#DIV/0!</v>
      </c>
    </row>
    <row r="927" spans="8:22" x14ac:dyDescent="0.3">
      <c r="H927" s="10" t="str">
        <f>IF(Planilha1!B924="","",Planilha1!B924)</f>
        <v>10:00p</v>
      </c>
      <c r="I927" s="10" t="str">
        <f>IF(Planilha1!C924="","",Planilha1!C924)</f>
        <v>Phoenix Suns</v>
      </c>
      <c r="J927" s="10">
        <f>IF(Planilha1!D924="","",Planilha1!D924)</f>
        <v>0</v>
      </c>
      <c r="K927" s="10" t="str">
        <f>IF(Planilha1!E924="","",IF(Planilha1!E924=0,"",Planilha1!E924))</f>
        <v>Denver Nuggets</v>
      </c>
      <c r="L927" s="10">
        <f>IF(Planilha1!F924="","",Planilha1!F924)</f>
        <v>0</v>
      </c>
      <c r="M927" s="10" t="str">
        <f>IF(Planilha1!G924="","",IF(Planilha1!G924=0,"",Planilha1!G924))</f>
        <v/>
      </c>
      <c r="N927" s="5">
        <f t="shared" si="119"/>
        <v>1</v>
      </c>
      <c r="O927" s="5">
        <f t="shared" si="120"/>
        <v>0</v>
      </c>
      <c r="P927" s="5">
        <f t="shared" si="113"/>
        <v>0</v>
      </c>
      <c r="Q927" s="5">
        <f t="shared" si="114"/>
        <v>2</v>
      </c>
      <c r="R927" s="7">
        <f t="shared" si="115"/>
        <v>0</v>
      </c>
      <c r="S927" s="7">
        <f t="shared" si="116"/>
        <v>0</v>
      </c>
      <c r="T927" s="3" t="str">
        <f t="shared" si="117"/>
        <v/>
      </c>
      <c r="V927" s="1" t="e">
        <f t="shared" si="118"/>
        <v>#DIV/0!</v>
      </c>
    </row>
    <row r="928" spans="8:22" x14ac:dyDescent="0.3">
      <c r="H928" s="10" t="str">
        <f>IF(Planilha1!B925="","",Planilha1!B925)</f>
        <v>7:00p</v>
      </c>
      <c r="I928" s="10" t="str">
        <f>IF(Planilha1!C925="","",Planilha1!C925)</f>
        <v>Orlando Magic</v>
      </c>
      <c r="J928" s="10">
        <f>IF(Planilha1!D925="","",Planilha1!D925)</f>
        <v>0</v>
      </c>
      <c r="K928" s="10" t="str">
        <f>IF(Planilha1!E925="","",IF(Planilha1!E925=0,"",Planilha1!E925))</f>
        <v>Washington Wizards</v>
      </c>
      <c r="L928" s="10">
        <f>IF(Planilha1!F925="","",Planilha1!F925)</f>
        <v>0</v>
      </c>
      <c r="M928" s="10" t="str">
        <f>IF(Planilha1!G925="","",IF(Planilha1!G925=0,"",Planilha1!G925))</f>
        <v/>
      </c>
      <c r="N928" s="5">
        <f t="shared" si="119"/>
        <v>1</v>
      </c>
      <c r="O928" s="5">
        <f t="shared" si="120"/>
        <v>0</v>
      </c>
      <c r="P928" s="5">
        <f t="shared" si="113"/>
        <v>0</v>
      </c>
      <c r="Q928" s="5">
        <f t="shared" si="114"/>
        <v>2</v>
      </c>
      <c r="R928" s="7">
        <f t="shared" si="115"/>
        <v>0</v>
      </c>
      <c r="S928" s="7">
        <f t="shared" si="116"/>
        <v>0</v>
      </c>
      <c r="T928" s="3" t="str">
        <f t="shared" si="117"/>
        <v/>
      </c>
      <c r="V928" s="1" t="e">
        <f t="shared" si="118"/>
        <v>#DIV/0!</v>
      </c>
    </row>
    <row r="929" spans="8:22" x14ac:dyDescent="0.3">
      <c r="H929" s="10" t="str">
        <f>IF(Planilha1!B926="","",Planilha1!B926)</f>
        <v>7:30p</v>
      </c>
      <c r="I929" s="10" t="str">
        <f>IF(Planilha1!C926="","",Planilha1!C926)</f>
        <v>Cleveland Cavaliers</v>
      </c>
      <c r="J929" s="10">
        <f>IF(Planilha1!D926="","",Planilha1!D926)</f>
        <v>0</v>
      </c>
      <c r="K929" s="10" t="str">
        <f>IF(Planilha1!E926="","",IF(Planilha1!E926=0,"",Planilha1!E926))</f>
        <v>Atlanta Hawks</v>
      </c>
      <c r="L929" s="10">
        <f>IF(Planilha1!F926="","",Planilha1!F926)</f>
        <v>0</v>
      </c>
      <c r="M929" s="10" t="str">
        <f>IF(Planilha1!G926="","",IF(Planilha1!G926=0,"",Planilha1!G926))</f>
        <v/>
      </c>
      <c r="N929" s="5">
        <f t="shared" si="119"/>
        <v>1</v>
      </c>
      <c r="O929" s="5">
        <f t="shared" si="120"/>
        <v>0</v>
      </c>
      <c r="P929" s="5">
        <f t="shared" si="113"/>
        <v>0</v>
      </c>
      <c r="Q929" s="5">
        <f t="shared" si="114"/>
        <v>2</v>
      </c>
      <c r="R929" s="7">
        <f t="shared" si="115"/>
        <v>0</v>
      </c>
      <c r="S929" s="7">
        <f t="shared" si="116"/>
        <v>0</v>
      </c>
      <c r="T929" s="3" t="str">
        <f t="shared" si="117"/>
        <v/>
      </c>
      <c r="V929" s="1" t="e">
        <f t="shared" si="118"/>
        <v>#DIV/0!</v>
      </c>
    </row>
    <row r="930" spans="8:22" x14ac:dyDescent="0.3">
      <c r="H930" s="10" t="str">
        <f>IF(Planilha1!B927="","",Planilha1!B927)</f>
        <v>7:30p</v>
      </c>
      <c r="I930" s="10" t="str">
        <f>IF(Planilha1!C927="","",Planilha1!C927)</f>
        <v>Memphis Grizzlies</v>
      </c>
      <c r="J930" s="10">
        <f>IF(Planilha1!D927="","",Planilha1!D927)</f>
        <v>0</v>
      </c>
      <c r="K930" s="10" t="str">
        <f>IF(Planilha1!E927="","",IF(Planilha1!E927=0,"",Planilha1!E927))</f>
        <v>Philadelphia 76ers</v>
      </c>
      <c r="L930" s="10">
        <f>IF(Planilha1!F927="","",Planilha1!F927)</f>
        <v>0</v>
      </c>
      <c r="M930" s="10" t="str">
        <f>IF(Planilha1!G927="","",IF(Planilha1!G927=0,"",Planilha1!G927))</f>
        <v/>
      </c>
      <c r="N930" s="5">
        <f t="shared" si="119"/>
        <v>1</v>
      </c>
      <c r="O930" s="5">
        <f t="shared" si="120"/>
        <v>0</v>
      </c>
      <c r="P930" s="5">
        <f t="shared" si="113"/>
        <v>0</v>
      </c>
      <c r="Q930" s="5">
        <f t="shared" si="114"/>
        <v>2</v>
      </c>
      <c r="R930" s="7">
        <f t="shared" si="115"/>
        <v>0</v>
      </c>
      <c r="S930" s="7">
        <f t="shared" si="116"/>
        <v>0</v>
      </c>
      <c r="T930" s="3" t="str">
        <f t="shared" si="117"/>
        <v/>
      </c>
      <c r="V930" s="1" t="e">
        <f t="shared" si="118"/>
        <v>#DIV/0!</v>
      </c>
    </row>
    <row r="931" spans="8:22" x14ac:dyDescent="0.3">
      <c r="H931" s="10" t="str">
        <f>IF(Planilha1!B928="","",Planilha1!B928)</f>
        <v>8:00p</v>
      </c>
      <c r="I931" s="10" t="str">
        <f>IF(Planilha1!C928="","",Planilha1!C928)</f>
        <v>Los Angeles Clippers</v>
      </c>
      <c r="J931" s="10">
        <f>IF(Planilha1!D928="","",Planilha1!D928)</f>
        <v>0</v>
      </c>
      <c r="K931" s="10" t="str">
        <f>IF(Planilha1!E928="","",IF(Planilha1!E928=0,"",Planilha1!E928))</f>
        <v>Houston Rockets</v>
      </c>
      <c r="L931" s="10">
        <f>IF(Planilha1!F928="","",Planilha1!F928)</f>
        <v>0</v>
      </c>
      <c r="M931" s="10" t="str">
        <f>IF(Planilha1!G928="","",IF(Planilha1!G928=0,"",Planilha1!G928))</f>
        <v/>
      </c>
      <c r="N931" s="5">
        <f t="shared" si="119"/>
        <v>1</v>
      </c>
      <c r="O931" s="5">
        <f t="shared" si="120"/>
        <v>0</v>
      </c>
      <c r="P931" s="5">
        <f t="shared" si="113"/>
        <v>0</v>
      </c>
      <c r="Q931" s="5">
        <f t="shared" si="114"/>
        <v>2</v>
      </c>
      <c r="R931" s="7">
        <f t="shared" si="115"/>
        <v>0</v>
      </c>
      <c r="S931" s="7">
        <f t="shared" si="116"/>
        <v>0</v>
      </c>
      <c r="T931" s="3" t="str">
        <f t="shared" si="117"/>
        <v/>
      </c>
      <c r="V931" s="1" t="e">
        <f t="shared" si="118"/>
        <v>#DIV/0!</v>
      </c>
    </row>
    <row r="932" spans="8:22" x14ac:dyDescent="0.3">
      <c r="H932" s="10" t="str">
        <f>IF(Planilha1!B929="","",Planilha1!B929)</f>
        <v>9:00p</v>
      </c>
      <c r="I932" s="10" t="str">
        <f>IF(Planilha1!C929="","",Planilha1!C929)</f>
        <v>Chicago Bulls</v>
      </c>
      <c r="J932" s="10">
        <f>IF(Planilha1!D929="","",Planilha1!D929)</f>
        <v>0</v>
      </c>
      <c r="K932" s="10" t="str">
        <f>IF(Planilha1!E929="","",IF(Planilha1!E929=0,"",Planilha1!E929))</f>
        <v>Utah Jazz</v>
      </c>
      <c r="L932" s="10">
        <f>IF(Planilha1!F929="","",Planilha1!F929)</f>
        <v>0</v>
      </c>
      <c r="M932" s="10" t="str">
        <f>IF(Planilha1!G929="","",IF(Planilha1!G929=0,"",Planilha1!G929))</f>
        <v/>
      </c>
      <c r="N932" s="5">
        <f t="shared" si="119"/>
        <v>1</v>
      </c>
      <c r="O932" s="5">
        <f t="shared" si="120"/>
        <v>0</v>
      </c>
      <c r="P932" s="5">
        <f t="shared" si="113"/>
        <v>0</v>
      </c>
      <c r="Q932" s="5">
        <f t="shared" si="114"/>
        <v>2</v>
      </c>
      <c r="R932" s="7">
        <f t="shared" si="115"/>
        <v>0</v>
      </c>
      <c r="S932" s="7">
        <f t="shared" si="116"/>
        <v>0</v>
      </c>
      <c r="T932" s="3" t="str">
        <f t="shared" si="117"/>
        <v/>
      </c>
      <c r="V932" s="1" t="e">
        <f t="shared" si="118"/>
        <v>#DIV/0!</v>
      </c>
    </row>
    <row r="933" spans="8:22" x14ac:dyDescent="0.3">
      <c r="H933" s="10" t="str">
        <f>IF(Planilha1!B930="","",Planilha1!B930)</f>
        <v>10:00p</v>
      </c>
      <c r="I933" s="10" t="str">
        <f>IF(Planilha1!C930="","",Planilha1!C930)</f>
        <v>Milwaukee Bucks</v>
      </c>
      <c r="J933" s="10">
        <f>IF(Planilha1!D930="","",Planilha1!D930)</f>
        <v>0</v>
      </c>
      <c r="K933" s="10" t="str">
        <f>IF(Planilha1!E930="","",IF(Planilha1!E930=0,"",Planilha1!E930))</f>
        <v>Golden State Warriors</v>
      </c>
      <c r="L933" s="10">
        <f>IF(Planilha1!F930="","",Planilha1!F930)</f>
        <v>0</v>
      </c>
      <c r="M933" s="10" t="str">
        <f>IF(Planilha1!G930="","",IF(Planilha1!G930=0,"",Planilha1!G930))</f>
        <v/>
      </c>
      <c r="N933" s="5">
        <f t="shared" si="119"/>
        <v>1</v>
      </c>
      <c r="O933" s="5">
        <f t="shared" si="120"/>
        <v>0</v>
      </c>
      <c r="P933" s="5">
        <f t="shared" si="113"/>
        <v>0</v>
      </c>
      <c r="Q933" s="5">
        <f t="shared" si="114"/>
        <v>2</v>
      </c>
      <c r="R933" s="7">
        <f t="shared" si="115"/>
        <v>0</v>
      </c>
      <c r="S933" s="7">
        <f t="shared" si="116"/>
        <v>0</v>
      </c>
      <c r="T933" s="3" t="str">
        <f t="shared" si="117"/>
        <v/>
      </c>
      <c r="V933" s="1" t="e">
        <f t="shared" si="118"/>
        <v>#DIV/0!</v>
      </c>
    </row>
    <row r="934" spans="8:22" x14ac:dyDescent="0.3">
      <c r="H934" s="10" t="str">
        <f>IF(Planilha1!B931="","",Planilha1!B931)</f>
        <v>10:00p</v>
      </c>
      <c r="I934" s="10" t="str">
        <f>IF(Planilha1!C931="","",Planilha1!C931)</f>
        <v>Oklahoma City Thunder</v>
      </c>
      <c r="J934" s="10">
        <f>IF(Planilha1!D931="","",Planilha1!D931)</f>
        <v>0</v>
      </c>
      <c r="K934" s="10" t="str">
        <f>IF(Planilha1!E931="","",IF(Planilha1!E931=0,"",Planilha1!E931))</f>
        <v>Portland Trail Blazers</v>
      </c>
      <c r="L934" s="10">
        <f>IF(Planilha1!F931="","",Planilha1!F931)</f>
        <v>0</v>
      </c>
      <c r="M934" s="10" t="str">
        <f>IF(Planilha1!G931="","",IF(Planilha1!G931=0,"",Planilha1!G931))</f>
        <v/>
      </c>
      <c r="N934" s="5">
        <f t="shared" si="119"/>
        <v>1</v>
      </c>
      <c r="O934" s="5">
        <f t="shared" si="120"/>
        <v>0</v>
      </c>
      <c r="P934" s="5">
        <f t="shared" si="113"/>
        <v>0</v>
      </c>
      <c r="Q934" s="5">
        <f t="shared" si="114"/>
        <v>2</v>
      </c>
      <c r="R934" s="7">
        <f t="shared" si="115"/>
        <v>0</v>
      </c>
      <c r="S934" s="7">
        <f t="shared" si="116"/>
        <v>0</v>
      </c>
      <c r="T934" s="3" t="str">
        <f t="shared" si="117"/>
        <v/>
      </c>
      <c r="V934" s="1" t="e">
        <f t="shared" si="118"/>
        <v>#DIV/0!</v>
      </c>
    </row>
    <row r="935" spans="8:22" x14ac:dyDescent="0.3">
      <c r="H935" s="10" t="str">
        <f>IF(Planilha1!B932="","",Planilha1!B932)</f>
        <v>10:30p</v>
      </c>
      <c r="I935" s="10" t="str">
        <f>IF(Planilha1!C932="","",Planilha1!C932)</f>
        <v>Sacramento Kings</v>
      </c>
      <c r="J935" s="10">
        <f>IF(Planilha1!D932="","",Planilha1!D932)</f>
        <v>0</v>
      </c>
      <c r="K935" s="10" t="str">
        <f>IF(Planilha1!E932="","",IF(Planilha1!E932=0,"",Planilha1!E932))</f>
        <v>Los Angeles Lakers</v>
      </c>
      <c r="L935" s="10">
        <f>IF(Planilha1!F932="","",Planilha1!F932)</f>
        <v>0</v>
      </c>
      <c r="M935" s="10" t="str">
        <f>IF(Planilha1!G932="","",IF(Planilha1!G932=0,"",Planilha1!G932))</f>
        <v/>
      </c>
      <c r="N935" s="5">
        <f t="shared" si="119"/>
        <v>1</v>
      </c>
      <c r="O935" s="5">
        <f t="shared" si="120"/>
        <v>0</v>
      </c>
      <c r="P935" s="5">
        <f t="shared" si="113"/>
        <v>0</v>
      </c>
      <c r="Q935" s="5">
        <f t="shared" si="114"/>
        <v>2</v>
      </c>
      <c r="R935" s="7">
        <f t="shared" si="115"/>
        <v>0</v>
      </c>
      <c r="S935" s="7">
        <f t="shared" si="116"/>
        <v>0</v>
      </c>
      <c r="T935" s="3" t="str">
        <f t="shared" si="117"/>
        <v/>
      </c>
      <c r="V935" s="1" t="e">
        <f t="shared" si="118"/>
        <v>#DIV/0!</v>
      </c>
    </row>
    <row r="936" spans="8:22" x14ac:dyDescent="0.3">
      <c r="H936" s="10" t="str">
        <f>IF(Planilha1!B933="","",Planilha1!B933)</f>
        <v>7:00p</v>
      </c>
      <c r="I936" s="10" t="str">
        <f>IF(Planilha1!C933="","",Planilha1!C933)</f>
        <v>Brooklyn Nets</v>
      </c>
      <c r="J936" s="10">
        <f>IF(Planilha1!D933="","",Planilha1!D933)</f>
        <v>0</v>
      </c>
      <c r="K936" s="10" t="str">
        <f>IF(Planilha1!E933="","",IF(Planilha1!E933=0,"",Planilha1!E933))</f>
        <v>Detroit Pistons</v>
      </c>
      <c r="L936" s="10">
        <f>IF(Planilha1!F933="","",Planilha1!F933)</f>
        <v>0</v>
      </c>
      <c r="M936" s="10" t="str">
        <f>IF(Planilha1!G933="","",IF(Planilha1!G933=0,"",Planilha1!G933))</f>
        <v/>
      </c>
      <c r="N936" s="5">
        <f t="shared" si="119"/>
        <v>1</v>
      </c>
      <c r="O936" s="5">
        <f t="shared" si="120"/>
        <v>0</v>
      </c>
      <c r="P936" s="5">
        <f t="shared" si="113"/>
        <v>0</v>
      </c>
      <c r="Q936" s="5">
        <f t="shared" si="114"/>
        <v>2</v>
      </c>
      <c r="R936" s="7">
        <f t="shared" si="115"/>
        <v>0</v>
      </c>
      <c r="S936" s="7">
        <f t="shared" si="116"/>
        <v>0</v>
      </c>
      <c r="T936" s="3" t="str">
        <f t="shared" si="117"/>
        <v/>
      </c>
      <c r="V936" s="1" t="e">
        <f t="shared" si="118"/>
        <v>#DIV/0!</v>
      </c>
    </row>
    <row r="937" spans="8:22" x14ac:dyDescent="0.3">
      <c r="H937" s="10" t="str">
        <f>IF(Planilha1!B934="","",Planilha1!B934)</f>
        <v>7:00p</v>
      </c>
      <c r="I937" s="10" t="str">
        <f>IF(Planilha1!C934="","",Planilha1!C934)</f>
        <v>Minnesota Timberwolves</v>
      </c>
      <c r="J937" s="10">
        <f>IF(Planilha1!D934="","",Planilha1!D934)</f>
        <v>0</v>
      </c>
      <c r="K937" s="10" t="str">
        <f>IF(Planilha1!E934="","",IF(Planilha1!E934=0,"",Planilha1!E934))</f>
        <v>Indiana Pacers</v>
      </c>
      <c r="L937" s="10">
        <f>IF(Planilha1!F934="","",Planilha1!F934)</f>
        <v>0</v>
      </c>
      <c r="M937" s="10" t="str">
        <f>IF(Planilha1!G934="","",IF(Planilha1!G934=0,"",Planilha1!G934))</f>
        <v/>
      </c>
      <c r="N937" s="5">
        <f t="shared" si="119"/>
        <v>1</v>
      </c>
      <c r="O937" s="5">
        <f t="shared" si="120"/>
        <v>0</v>
      </c>
      <c r="P937" s="5">
        <f t="shared" si="113"/>
        <v>0</v>
      </c>
      <c r="Q937" s="5">
        <f t="shared" si="114"/>
        <v>2</v>
      </c>
      <c r="R937" s="7">
        <f t="shared" si="115"/>
        <v>0</v>
      </c>
      <c r="S937" s="7">
        <f t="shared" si="116"/>
        <v>0</v>
      </c>
      <c r="T937" s="3" t="str">
        <f t="shared" si="117"/>
        <v/>
      </c>
      <c r="V937" s="1" t="e">
        <f t="shared" si="118"/>
        <v>#DIV/0!</v>
      </c>
    </row>
    <row r="938" spans="8:22" x14ac:dyDescent="0.3">
      <c r="H938" s="10" t="str">
        <f>IF(Planilha1!B935="","",Planilha1!B935)</f>
        <v>7:30p</v>
      </c>
      <c r="I938" s="10" t="str">
        <f>IF(Planilha1!C935="","",Planilha1!C935)</f>
        <v>Miami Heat</v>
      </c>
      <c r="J938" s="10">
        <f>IF(Planilha1!D935="","",Planilha1!D935)</f>
        <v>0</v>
      </c>
      <c r="K938" s="10" t="str">
        <f>IF(Planilha1!E935="","",IF(Planilha1!E935=0,"",Planilha1!E935))</f>
        <v>Dallas Mavericks</v>
      </c>
      <c r="L938" s="10">
        <f>IF(Planilha1!F935="","",Planilha1!F935)</f>
        <v>0</v>
      </c>
      <c r="M938" s="10" t="str">
        <f>IF(Planilha1!G935="","",IF(Planilha1!G935=0,"",Planilha1!G935))</f>
        <v/>
      </c>
      <c r="N938" s="5">
        <f t="shared" si="119"/>
        <v>1</v>
      </c>
      <c r="O938" s="5">
        <f t="shared" si="120"/>
        <v>0</v>
      </c>
      <c r="P938" s="5">
        <f t="shared" si="113"/>
        <v>0</v>
      </c>
      <c r="Q938" s="5">
        <f t="shared" si="114"/>
        <v>2</v>
      </c>
      <c r="R938" s="7">
        <f t="shared" si="115"/>
        <v>0</v>
      </c>
      <c r="S938" s="7">
        <f t="shared" si="116"/>
        <v>0</v>
      </c>
      <c r="T938" s="3" t="str">
        <f t="shared" si="117"/>
        <v/>
      </c>
      <c r="V938" s="1" t="e">
        <f t="shared" si="118"/>
        <v>#DIV/0!</v>
      </c>
    </row>
    <row r="939" spans="8:22" x14ac:dyDescent="0.3">
      <c r="H939" s="10" t="str">
        <f>IF(Planilha1!B936="","",Planilha1!B936)</f>
        <v>9:00p</v>
      </c>
      <c r="I939" s="10" t="str">
        <f>IF(Planilha1!C936="","",Planilha1!C936)</f>
        <v>Toronto Raptors</v>
      </c>
      <c r="J939" s="10">
        <f>IF(Planilha1!D936="","",Planilha1!D936)</f>
        <v>0</v>
      </c>
      <c r="K939" s="10" t="str">
        <f>IF(Planilha1!E936="","",IF(Planilha1!E936=0,"",Planilha1!E936))</f>
        <v>Phoenix Suns</v>
      </c>
      <c r="L939" s="10">
        <f>IF(Planilha1!F936="","",Planilha1!F936)</f>
        <v>0</v>
      </c>
      <c r="M939" s="10" t="str">
        <f>IF(Planilha1!G936="","",IF(Planilha1!G936=0,"",Planilha1!G936))</f>
        <v/>
      </c>
      <c r="N939" s="5">
        <f t="shared" si="119"/>
        <v>1</v>
      </c>
      <c r="O939" s="5">
        <f t="shared" si="120"/>
        <v>0</v>
      </c>
      <c r="P939" s="5">
        <f t="shared" si="113"/>
        <v>0</v>
      </c>
      <c r="Q939" s="5">
        <f t="shared" si="114"/>
        <v>2</v>
      </c>
      <c r="R939" s="7">
        <f t="shared" si="115"/>
        <v>0</v>
      </c>
      <c r="S939" s="7">
        <f t="shared" si="116"/>
        <v>0</v>
      </c>
      <c r="T939" s="3" t="str">
        <f t="shared" si="117"/>
        <v/>
      </c>
      <c r="V939" s="1" t="e">
        <f t="shared" si="118"/>
        <v>#DIV/0!</v>
      </c>
    </row>
    <row r="940" spans="8:22" x14ac:dyDescent="0.3">
      <c r="H940" s="10" t="str">
        <f>IF(Planilha1!B937="","",Planilha1!B937)</f>
        <v>10:00p</v>
      </c>
      <c r="I940" s="10" t="str">
        <f>IF(Planilha1!C937="","",Planilha1!C937)</f>
        <v>Boston Celtics</v>
      </c>
      <c r="J940" s="10">
        <f>IF(Planilha1!D937="","",Planilha1!D937)</f>
        <v>0</v>
      </c>
      <c r="K940" s="10" t="str">
        <f>IF(Planilha1!E937="","",IF(Planilha1!E937=0,"",Planilha1!E937))</f>
        <v>Denver Nuggets</v>
      </c>
      <c r="L940" s="10">
        <f>IF(Planilha1!F937="","",Planilha1!F937)</f>
        <v>0</v>
      </c>
      <c r="M940" s="10" t="str">
        <f>IF(Planilha1!G937="","",IF(Planilha1!G937=0,"",Planilha1!G937))</f>
        <v/>
      </c>
      <c r="N940" s="5">
        <f t="shared" si="119"/>
        <v>1</v>
      </c>
      <c r="O940" s="5">
        <f t="shared" si="120"/>
        <v>0</v>
      </c>
      <c r="P940" s="5">
        <f t="shared" si="113"/>
        <v>0</v>
      </c>
      <c r="Q940" s="5">
        <f t="shared" si="114"/>
        <v>2</v>
      </c>
      <c r="R940" s="7">
        <f t="shared" si="115"/>
        <v>0</v>
      </c>
      <c r="S940" s="7">
        <f t="shared" si="116"/>
        <v>0</v>
      </c>
      <c r="T940" s="3" t="str">
        <f t="shared" si="117"/>
        <v/>
      </c>
      <c r="V940" s="1" t="e">
        <f t="shared" si="118"/>
        <v>#DIV/0!</v>
      </c>
    </row>
    <row r="941" spans="8:22" x14ac:dyDescent="0.3">
      <c r="H941" s="10" t="str">
        <f>IF(Planilha1!B938="","",Planilha1!B938)</f>
        <v>10:00p</v>
      </c>
      <c r="I941" s="10" t="str">
        <f>IF(Planilha1!C938="","",Planilha1!C938)</f>
        <v>Chicago Bulls</v>
      </c>
      <c r="J941" s="10">
        <f>IF(Planilha1!D938="","",Planilha1!D938)</f>
        <v>0</v>
      </c>
      <c r="K941" s="10" t="str">
        <f>IF(Planilha1!E938="","",IF(Planilha1!E938=0,"",Planilha1!E938))</f>
        <v>Golden State Warriors</v>
      </c>
      <c r="L941" s="10">
        <f>IF(Planilha1!F938="","",Planilha1!F938)</f>
        <v>0</v>
      </c>
      <c r="M941" s="10" t="str">
        <f>IF(Planilha1!G938="","",IF(Planilha1!G938=0,"",Planilha1!G938))</f>
        <v/>
      </c>
      <c r="N941" s="5">
        <f t="shared" si="119"/>
        <v>1</v>
      </c>
      <c r="O941" s="5">
        <f t="shared" si="120"/>
        <v>0</v>
      </c>
      <c r="P941" s="5">
        <f t="shared" si="113"/>
        <v>0</v>
      </c>
      <c r="Q941" s="5">
        <f t="shared" si="114"/>
        <v>2</v>
      </c>
      <c r="R941" s="7">
        <f t="shared" si="115"/>
        <v>0</v>
      </c>
      <c r="S941" s="7">
        <f t="shared" si="116"/>
        <v>0</v>
      </c>
      <c r="T941" s="3" t="str">
        <f t="shared" si="117"/>
        <v/>
      </c>
      <c r="V941" s="1" t="e">
        <f t="shared" si="118"/>
        <v>#DIV/0!</v>
      </c>
    </row>
    <row r="942" spans="8:22" x14ac:dyDescent="0.3">
      <c r="H942" s="10" t="str">
        <f>IF(Planilha1!B939="","",Planilha1!B939)</f>
        <v>10:00p</v>
      </c>
      <c r="I942" s="10" t="str">
        <f>IF(Planilha1!C939="","",Planilha1!C939)</f>
        <v>San Antonio Spurs</v>
      </c>
      <c r="J942" s="10">
        <f>IF(Planilha1!D939="","",Planilha1!D939)</f>
        <v>0</v>
      </c>
      <c r="K942" s="10" t="str">
        <f>IF(Planilha1!E939="","",IF(Planilha1!E939=0,"",Planilha1!E939))</f>
        <v>Sacramento Kings</v>
      </c>
      <c r="L942" s="10">
        <f>IF(Planilha1!F939="","",Planilha1!F939)</f>
        <v>0</v>
      </c>
      <c r="M942" s="10" t="str">
        <f>IF(Planilha1!G939="","",IF(Planilha1!G939=0,"",Planilha1!G939))</f>
        <v/>
      </c>
      <c r="N942" s="5">
        <f t="shared" si="119"/>
        <v>1</v>
      </c>
      <c r="O942" s="5">
        <f t="shared" si="120"/>
        <v>0</v>
      </c>
      <c r="P942" s="5">
        <f t="shared" si="113"/>
        <v>0</v>
      </c>
      <c r="Q942" s="5">
        <f t="shared" si="114"/>
        <v>2</v>
      </c>
      <c r="R942" s="7">
        <f t="shared" si="115"/>
        <v>0</v>
      </c>
      <c r="S942" s="7">
        <f t="shared" si="116"/>
        <v>0</v>
      </c>
      <c r="T942" s="3" t="str">
        <f t="shared" si="117"/>
        <v/>
      </c>
      <c r="V942" s="1" t="e">
        <f t="shared" si="118"/>
        <v>#DIV/0!</v>
      </c>
    </row>
    <row r="943" spans="8:22" x14ac:dyDescent="0.3">
      <c r="H943" s="10" t="str">
        <f>IF(Planilha1!B940="","",Planilha1!B940)</f>
        <v>7:00p</v>
      </c>
      <c r="I943" s="10" t="str">
        <f>IF(Planilha1!C940="","",Planilha1!C940)</f>
        <v>New Orleans Pelicans</v>
      </c>
      <c r="J943" s="10">
        <f>IF(Planilha1!D940="","",Planilha1!D940)</f>
        <v>0</v>
      </c>
      <c r="K943" s="10" t="str">
        <f>IF(Planilha1!E940="","",IF(Planilha1!E940=0,"",Planilha1!E940))</f>
        <v>Philadelphia 76ers</v>
      </c>
      <c r="L943" s="10">
        <f>IF(Planilha1!F940="","",Planilha1!F940)</f>
        <v>0</v>
      </c>
      <c r="M943" s="10" t="str">
        <f>IF(Planilha1!G940="","",IF(Planilha1!G940=0,"",Planilha1!G940))</f>
        <v/>
      </c>
      <c r="N943" s="5">
        <f t="shared" si="119"/>
        <v>1</v>
      </c>
      <c r="O943" s="5">
        <f t="shared" si="120"/>
        <v>0</v>
      </c>
      <c r="P943" s="5">
        <f t="shared" si="113"/>
        <v>0</v>
      </c>
      <c r="Q943" s="5">
        <f t="shared" si="114"/>
        <v>2</v>
      </c>
      <c r="R943" s="7">
        <f t="shared" si="115"/>
        <v>0</v>
      </c>
      <c r="S943" s="7">
        <f t="shared" si="116"/>
        <v>0</v>
      </c>
      <c r="T943" s="3" t="str">
        <f t="shared" si="117"/>
        <v/>
      </c>
      <c r="V943" s="1" t="e">
        <f t="shared" si="118"/>
        <v>#DIV/0!</v>
      </c>
    </row>
    <row r="944" spans="8:22" x14ac:dyDescent="0.3">
      <c r="H944" s="10" t="str">
        <f>IF(Planilha1!B941="","",Planilha1!B941)</f>
        <v>7:00p</v>
      </c>
      <c r="I944" s="10" t="str">
        <f>IF(Planilha1!C941="","",Planilha1!C941)</f>
        <v>Charlotte Hornets</v>
      </c>
      <c r="J944" s="10">
        <f>IF(Planilha1!D941="","",Planilha1!D941)</f>
        <v>0</v>
      </c>
      <c r="K944" s="10" t="str">
        <f>IF(Planilha1!E941="","",IF(Planilha1!E941=0,"",Planilha1!E941))</f>
        <v>Washington Wizards</v>
      </c>
      <c r="L944" s="10">
        <f>IF(Planilha1!F941="","",Planilha1!F941)</f>
        <v>0</v>
      </c>
      <c r="M944" s="10" t="str">
        <f>IF(Planilha1!G941="","",IF(Planilha1!G941=0,"",Planilha1!G941))</f>
        <v/>
      </c>
      <c r="N944" s="5">
        <f t="shared" si="119"/>
        <v>1</v>
      </c>
      <c r="O944" s="5">
        <f t="shared" si="120"/>
        <v>0</v>
      </c>
      <c r="P944" s="5">
        <f t="shared" si="113"/>
        <v>0</v>
      </c>
      <c r="Q944" s="5">
        <f t="shared" si="114"/>
        <v>2</v>
      </c>
      <c r="R944" s="7">
        <f t="shared" si="115"/>
        <v>0</v>
      </c>
      <c r="S944" s="7">
        <f t="shared" si="116"/>
        <v>0</v>
      </c>
      <c r="T944" s="3" t="str">
        <f t="shared" si="117"/>
        <v/>
      </c>
      <c r="V944" s="1" t="e">
        <f t="shared" si="118"/>
        <v>#DIV/0!</v>
      </c>
    </row>
    <row r="945" spans="8:22" x14ac:dyDescent="0.3">
      <c r="H945" s="10" t="str">
        <f>IF(Planilha1!B942="","",Planilha1!B942)</f>
        <v>7:30p</v>
      </c>
      <c r="I945" s="10" t="str">
        <f>IF(Planilha1!C942="","",Planilha1!C942)</f>
        <v>Minnesota Timberwolves</v>
      </c>
      <c r="J945" s="10">
        <f>IF(Planilha1!D942="","",Planilha1!D942)</f>
        <v>0</v>
      </c>
      <c r="K945" s="10" t="str">
        <f>IF(Planilha1!E942="","",IF(Planilha1!E942=0,"",Planilha1!E942))</f>
        <v>Cleveland Cavaliers</v>
      </c>
      <c r="L945" s="10">
        <f>IF(Planilha1!F942="","",Planilha1!F942)</f>
        <v>0</v>
      </c>
      <c r="M945" s="10" t="str">
        <f>IF(Planilha1!G942="","",IF(Planilha1!G942=0,"",Planilha1!G942))</f>
        <v/>
      </c>
      <c r="N945" s="5">
        <f t="shared" si="119"/>
        <v>1</v>
      </c>
      <c r="O945" s="5">
        <f t="shared" si="120"/>
        <v>0</v>
      </c>
      <c r="P945" s="5">
        <f t="shared" si="113"/>
        <v>0</v>
      </c>
      <c r="Q945" s="5">
        <f t="shared" si="114"/>
        <v>2</v>
      </c>
      <c r="R945" s="7">
        <f t="shared" si="115"/>
        <v>0</v>
      </c>
      <c r="S945" s="7">
        <f t="shared" si="116"/>
        <v>0</v>
      </c>
      <c r="T945" s="3" t="str">
        <f t="shared" si="117"/>
        <v/>
      </c>
      <c r="V945" s="1" t="e">
        <f t="shared" si="118"/>
        <v>#DIV/0!</v>
      </c>
    </row>
    <row r="946" spans="8:22" x14ac:dyDescent="0.3">
      <c r="H946" s="10" t="str">
        <f>IF(Planilha1!B943="","",Planilha1!B943)</f>
        <v>7:30p</v>
      </c>
      <c r="I946" s="10" t="str">
        <f>IF(Planilha1!C943="","",Planilha1!C943)</f>
        <v>Atlanta Hawks</v>
      </c>
      <c r="J946" s="10">
        <f>IF(Planilha1!D943="","",Planilha1!D943)</f>
        <v>0</v>
      </c>
      <c r="K946" s="10" t="str">
        <f>IF(Planilha1!E943="","",IF(Planilha1!E943=0,"",Planilha1!E943))</f>
        <v>Memphis Grizzlies</v>
      </c>
      <c r="L946" s="10">
        <f>IF(Planilha1!F943="","",Planilha1!F943)</f>
        <v>0</v>
      </c>
      <c r="M946" s="10" t="str">
        <f>IF(Planilha1!G943="","",IF(Planilha1!G943=0,"",Planilha1!G943))</f>
        <v/>
      </c>
      <c r="N946" s="5">
        <f t="shared" si="119"/>
        <v>1</v>
      </c>
      <c r="O946" s="5">
        <f t="shared" si="120"/>
        <v>0</v>
      </c>
      <c r="P946" s="5">
        <f t="shared" si="113"/>
        <v>0</v>
      </c>
      <c r="Q946" s="5">
        <f t="shared" si="114"/>
        <v>2</v>
      </c>
      <c r="R946" s="7">
        <f t="shared" si="115"/>
        <v>0</v>
      </c>
      <c r="S946" s="7">
        <f t="shared" si="116"/>
        <v>0</v>
      </c>
      <c r="T946" s="3" t="str">
        <f t="shared" si="117"/>
        <v/>
      </c>
      <c r="V946" s="1" t="e">
        <f t="shared" si="118"/>
        <v>#DIV/0!</v>
      </c>
    </row>
    <row r="947" spans="8:22" x14ac:dyDescent="0.3">
      <c r="H947" s="10" t="str">
        <f>IF(Planilha1!B944="","",Planilha1!B944)</f>
        <v>7:30p</v>
      </c>
      <c r="I947" s="10" t="str">
        <f>IF(Planilha1!C944="","",Planilha1!C944)</f>
        <v>Orlando Magic</v>
      </c>
      <c r="J947" s="10">
        <f>IF(Planilha1!D944="","",Planilha1!D944)</f>
        <v>0</v>
      </c>
      <c r="K947" s="10" t="str">
        <f>IF(Planilha1!E944="","",IF(Planilha1!E944=0,"",Planilha1!E944))</f>
        <v>New York Knicks</v>
      </c>
      <c r="L947" s="10">
        <f>IF(Planilha1!F944="","",Planilha1!F944)</f>
        <v>0</v>
      </c>
      <c r="M947" s="10" t="str">
        <f>IF(Planilha1!G944="","",IF(Planilha1!G944=0,"",Planilha1!G944))</f>
        <v/>
      </c>
      <c r="N947" s="5">
        <f t="shared" si="119"/>
        <v>1</v>
      </c>
      <c r="O947" s="5">
        <f t="shared" si="120"/>
        <v>0</v>
      </c>
      <c r="P947" s="5">
        <f t="shared" si="113"/>
        <v>0</v>
      </c>
      <c r="Q947" s="5">
        <f t="shared" si="114"/>
        <v>2</v>
      </c>
      <c r="R947" s="7">
        <f t="shared" si="115"/>
        <v>0</v>
      </c>
      <c r="S947" s="7">
        <f t="shared" si="116"/>
        <v>0</v>
      </c>
      <c r="T947" s="3" t="str">
        <f t="shared" si="117"/>
        <v/>
      </c>
      <c r="V947" s="1" t="e">
        <f t="shared" si="118"/>
        <v>#DIV/0!</v>
      </c>
    </row>
    <row r="948" spans="8:22" x14ac:dyDescent="0.3">
      <c r="H948" s="10" t="str">
        <f>IF(Planilha1!B945="","",Planilha1!B945)</f>
        <v>8:00p</v>
      </c>
      <c r="I948" s="10" t="str">
        <f>IF(Planilha1!C945="","",Planilha1!C945)</f>
        <v>Miami Heat</v>
      </c>
      <c r="J948" s="10">
        <f>IF(Planilha1!D945="","",Planilha1!D945)</f>
        <v>0</v>
      </c>
      <c r="K948" s="10" t="str">
        <f>IF(Planilha1!E945="","",IF(Planilha1!E945=0,"",Planilha1!E945))</f>
        <v>Oklahoma City Thunder</v>
      </c>
      <c r="L948" s="10">
        <f>IF(Planilha1!F945="","",Planilha1!F945)</f>
        <v>0</v>
      </c>
      <c r="M948" s="10" t="str">
        <f>IF(Planilha1!G945="","",IF(Planilha1!G945=0,"",Planilha1!G945))</f>
        <v/>
      </c>
      <c r="N948" s="5">
        <f t="shared" si="119"/>
        <v>1</v>
      </c>
      <c r="O948" s="5">
        <f t="shared" si="120"/>
        <v>0</v>
      </c>
      <c r="P948" s="5">
        <f t="shared" si="113"/>
        <v>0</v>
      </c>
      <c r="Q948" s="5">
        <f t="shared" si="114"/>
        <v>2</v>
      </c>
      <c r="R948" s="7">
        <f t="shared" si="115"/>
        <v>0</v>
      </c>
      <c r="S948" s="7">
        <f t="shared" si="116"/>
        <v>0</v>
      </c>
      <c r="T948" s="3" t="str">
        <f t="shared" si="117"/>
        <v/>
      </c>
      <c r="V948" s="1" t="e">
        <f t="shared" si="118"/>
        <v>#DIV/0!</v>
      </c>
    </row>
    <row r="949" spans="8:22" x14ac:dyDescent="0.3">
      <c r="H949" s="10" t="str">
        <f>IF(Planilha1!B946="","",Planilha1!B946)</f>
        <v>10:00p</v>
      </c>
      <c r="I949" s="10" t="str">
        <f>IF(Planilha1!C946="","",Planilha1!C946)</f>
        <v>Milwaukee Bucks</v>
      </c>
      <c r="J949" s="10">
        <f>IF(Planilha1!D946="","",Planilha1!D946)</f>
        <v>0</v>
      </c>
      <c r="K949" s="10" t="str">
        <f>IF(Planilha1!E946="","",IF(Planilha1!E946=0,"",Planilha1!E946))</f>
        <v>Los Angeles Lakers</v>
      </c>
      <c r="L949" s="10">
        <f>IF(Planilha1!F946="","",Planilha1!F946)</f>
        <v>0</v>
      </c>
      <c r="M949" s="10" t="str">
        <f>IF(Planilha1!G946="","",IF(Planilha1!G946=0,"",Planilha1!G946))</f>
        <v/>
      </c>
      <c r="N949" s="5">
        <f t="shared" si="119"/>
        <v>1</v>
      </c>
      <c r="O949" s="5">
        <f t="shared" si="120"/>
        <v>0</v>
      </c>
      <c r="P949" s="5">
        <f t="shared" si="113"/>
        <v>0</v>
      </c>
      <c r="Q949" s="5">
        <f t="shared" si="114"/>
        <v>2</v>
      </c>
      <c r="R949" s="7">
        <f t="shared" si="115"/>
        <v>0</v>
      </c>
      <c r="S949" s="7">
        <f t="shared" si="116"/>
        <v>0</v>
      </c>
      <c r="T949" s="3" t="str">
        <f t="shared" si="117"/>
        <v/>
      </c>
      <c r="V949" s="1" t="e">
        <f t="shared" si="118"/>
        <v>#DIV/0!</v>
      </c>
    </row>
    <row r="950" spans="8:22" x14ac:dyDescent="0.3">
      <c r="H950" s="10" t="str">
        <f>IF(Planilha1!B947="","",Planilha1!B947)</f>
        <v>10:00p</v>
      </c>
      <c r="I950" s="10" t="str">
        <f>IF(Planilha1!C947="","",Planilha1!C947)</f>
        <v>Houston Rockets</v>
      </c>
      <c r="J950" s="10">
        <f>IF(Planilha1!D947="","",Planilha1!D947)</f>
        <v>0</v>
      </c>
      <c r="K950" s="10" t="str">
        <f>IF(Planilha1!E947="","",IF(Planilha1!E947=0,"",Planilha1!E947))</f>
        <v>Portland Trail Blazers</v>
      </c>
      <c r="L950" s="10">
        <f>IF(Planilha1!F947="","",Planilha1!F947)</f>
        <v>0</v>
      </c>
      <c r="M950" s="10" t="str">
        <f>IF(Planilha1!G947="","",IF(Planilha1!G947=0,"",Planilha1!G947))</f>
        <v/>
      </c>
      <c r="N950" s="5">
        <f t="shared" si="119"/>
        <v>1</v>
      </c>
      <c r="O950" s="5">
        <f t="shared" si="120"/>
        <v>0</v>
      </c>
      <c r="P950" s="5">
        <f t="shared" si="113"/>
        <v>0</v>
      </c>
      <c r="Q950" s="5">
        <f t="shared" si="114"/>
        <v>2</v>
      </c>
      <c r="R950" s="7">
        <f t="shared" si="115"/>
        <v>0</v>
      </c>
      <c r="S950" s="7">
        <f t="shared" si="116"/>
        <v>0</v>
      </c>
      <c r="T950" s="3" t="str">
        <f t="shared" si="117"/>
        <v/>
      </c>
      <c r="V950" s="1" t="e">
        <f t="shared" si="118"/>
        <v>#DIV/0!</v>
      </c>
    </row>
    <row r="951" spans="8:22" x14ac:dyDescent="0.3">
      <c r="H951" s="10" t="str">
        <f>IF(Planilha1!B948="","",Planilha1!B948)</f>
        <v>4:00p</v>
      </c>
      <c r="I951" s="10" t="str">
        <f>IF(Planilha1!C948="","",Planilha1!C948)</f>
        <v>Chicago Bulls</v>
      </c>
      <c r="J951" s="10">
        <f>IF(Planilha1!D948="","",Planilha1!D948)</f>
        <v>0</v>
      </c>
      <c r="K951" s="10" t="str">
        <f>IF(Planilha1!E948="","",IF(Planilha1!E948=0,"",Planilha1!E948))</f>
        <v>Los Angeles Clippers</v>
      </c>
      <c r="L951" s="10">
        <f>IF(Planilha1!F948="","",Planilha1!F948)</f>
        <v>0</v>
      </c>
      <c r="M951" s="10" t="str">
        <f>IF(Planilha1!G948="","",IF(Planilha1!G948=0,"",Planilha1!G948))</f>
        <v/>
      </c>
      <c r="N951" s="5">
        <f t="shared" si="119"/>
        <v>1</v>
      </c>
      <c r="O951" s="5">
        <f t="shared" si="120"/>
        <v>0</v>
      </c>
      <c r="P951" s="5">
        <f t="shared" si="113"/>
        <v>0</v>
      </c>
      <c r="Q951" s="5">
        <f t="shared" si="114"/>
        <v>2</v>
      </c>
      <c r="R951" s="7">
        <f t="shared" si="115"/>
        <v>0</v>
      </c>
      <c r="S951" s="7">
        <f t="shared" si="116"/>
        <v>0</v>
      </c>
      <c r="T951" s="3" t="str">
        <f t="shared" si="117"/>
        <v/>
      </c>
      <c r="V951" s="1" t="e">
        <f t="shared" si="118"/>
        <v>#DIV/0!</v>
      </c>
    </row>
    <row r="952" spans="8:22" x14ac:dyDescent="0.3">
      <c r="H952" s="10" t="str">
        <f>IF(Planilha1!B949="","",Planilha1!B949)</f>
        <v>7:00p</v>
      </c>
      <c r="I952" s="10" t="str">
        <f>IF(Planilha1!C949="","",Planilha1!C949)</f>
        <v>Brooklyn Nets</v>
      </c>
      <c r="J952" s="10">
        <f>IF(Planilha1!D949="","",Planilha1!D949)</f>
        <v>0</v>
      </c>
      <c r="K952" s="10" t="str">
        <f>IF(Planilha1!E949="","",IF(Planilha1!E949=0,"",Planilha1!E949))</f>
        <v>Charlotte Hornets</v>
      </c>
      <c r="L952" s="10">
        <f>IF(Planilha1!F949="","",Planilha1!F949)</f>
        <v>0</v>
      </c>
      <c r="M952" s="10" t="str">
        <f>IF(Planilha1!G949="","",IF(Planilha1!G949=0,"",Planilha1!G949))</f>
        <v/>
      </c>
      <c r="N952" s="5">
        <f t="shared" si="119"/>
        <v>1</v>
      </c>
      <c r="O952" s="5">
        <f t="shared" si="120"/>
        <v>0</v>
      </c>
      <c r="P952" s="5">
        <f t="shared" si="113"/>
        <v>0</v>
      </c>
      <c r="Q952" s="5">
        <f t="shared" si="114"/>
        <v>2</v>
      </c>
      <c r="R952" s="7">
        <f t="shared" si="115"/>
        <v>0</v>
      </c>
      <c r="S952" s="7">
        <f t="shared" si="116"/>
        <v>0</v>
      </c>
      <c r="T952" s="3" t="str">
        <f t="shared" si="117"/>
        <v/>
      </c>
      <c r="V952" s="1" t="e">
        <f t="shared" si="118"/>
        <v>#DIV/0!</v>
      </c>
    </row>
    <row r="953" spans="8:22" x14ac:dyDescent="0.3">
      <c r="H953" s="10" t="str">
        <f>IF(Planilha1!B950="","",Planilha1!B950)</f>
        <v>7:00p</v>
      </c>
      <c r="I953" s="10" t="str">
        <f>IF(Planilha1!C950="","",Planilha1!C950)</f>
        <v>Dallas Mavericks</v>
      </c>
      <c r="J953" s="10">
        <f>IF(Planilha1!D950="","",Planilha1!D950)</f>
        <v>0</v>
      </c>
      <c r="K953" s="10" t="str">
        <f>IF(Planilha1!E950="","",IF(Planilha1!E950=0,"",Planilha1!E950))</f>
        <v>Detroit Pistons</v>
      </c>
      <c r="L953" s="10">
        <f>IF(Planilha1!F950="","",Planilha1!F950)</f>
        <v>0</v>
      </c>
      <c r="M953" s="10" t="str">
        <f>IF(Planilha1!G950="","",IF(Planilha1!G950=0,"",Planilha1!G950))</f>
        <v/>
      </c>
      <c r="N953" s="5">
        <f t="shared" si="119"/>
        <v>1</v>
      </c>
      <c r="O953" s="5">
        <f t="shared" si="120"/>
        <v>0</v>
      </c>
      <c r="P953" s="5">
        <f t="shared" si="113"/>
        <v>0</v>
      </c>
      <c r="Q953" s="5">
        <f t="shared" si="114"/>
        <v>2</v>
      </c>
      <c r="R953" s="7">
        <f t="shared" si="115"/>
        <v>0</v>
      </c>
      <c r="S953" s="7">
        <f t="shared" si="116"/>
        <v>0</v>
      </c>
      <c r="T953" s="3" t="str">
        <f t="shared" si="117"/>
        <v/>
      </c>
      <c r="V953" s="1" t="e">
        <f t="shared" si="118"/>
        <v>#DIV/0!</v>
      </c>
    </row>
    <row r="954" spans="8:22" x14ac:dyDescent="0.3">
      <c r="H954" s="10" t="str">
        <f>IF(Planilha1!B951="","",Planilha1!B951)</f>
        <v>8:30p</v>
      </c>
      <c r="I954" s="10" t="str">
        <f>IF(Planilha1!C951="","",Planilha1!C951)</f>
        <v>San Antonio Spurs</v>
      </c>
      <c r="J954" s="10">
        <f>IF(Planilha1!D951="","",Planilha1!D951)</f>
        <v>0</v>
      </c>
      <c r="K954" s="10" t="str">
        <f>IF(Planilha1!E951="","",IF(Planilha1!E951=0,"",Planilha1!E951))</f>
        <v>Golden State Warriors</v>
      </c>
      <c r="L954" s="10">
        <f>IF(Planilha1!F951="","",Planilha1!F951)</f>
        <v>0</v>
      </c>
      <c r="M954" s="10" t="str">
        <f>IF(Planilha1!G951="","",IF(Planilha1!G951=0,"",Planilha1!G951))</f>
        <v/>
      </c>
      <c r="N954" s="5">
        <f t="shared" si="119"/>
        <v>1</v>
      </c>
      <c r="O954" s="5">
        <f t="shared" si="120"/>
        <v>0</v>
      </c>
      <c r="P954" s="5">
        <f t="shared" si="113"/>
        <v>0</v>
      </c>
      <c r="Q954" s="5">
        <f t="shared" si="114"/>
        <v>2</v>
      </c>
      <c r="R954" s="7">
        <f t="shared" si="115"/>
        <v>0</v>
      </c>
      <c r="S954" s="7">
        <f t="shared" si="116"/>
        <v>0</v>
      </c>
      <c r="T954" s="3" t="str">
        <f t="shared" si="117"/>
        <v/>
      </c>
      <c r="V954" s="1" t="e">
        <f t="shared" si="118"/>
        <v>#DIV/0!</v>
      </c>
    </row>
    <row r="955" spans="8:22" x14ac:dyDescent="0.3">
      <c r="H955" s="10" t="str">
        <f>IF(Planilha1!B952="","",Planilha1!B952)</f>
        <v>8:30p</v>
      </c>
      <c r="I955" s="10" t="str">
        <f>IF(Planilha1!C952="","",Planilha1!C952)</f>
        <v>Boston Celtics</v>
      </c>
      <c r="J955" s="10">
        <f>IF(Planilha1!D952="","",Planilha1!D952)</f>
        <v>0</v>
      </c>
      <c r="K955" s="10" t="str">
        <f>IF(Planilha1!E952="","",IF(Planilha1!E952=0,"",Planilha1!E952))</f>
        <v>Phoenix Suns</v>
      </c>
      <c r="L955" s="10">
        <f>IF(Planilha1!F952="","",Planilha1!F952)</f>
        <v>0</v>
      </c>
      <c r="M955" s="10" t="str">
        <f>IF(Planilha1!G952="","",IF(Planilha1!G952=0,"",Planilha1!G952))</f>
        <v/>
      </c>
      <c r="N955" s="5">
        <f t="shared" si="119"/>
        <v>1</v>
      </c>
      <c r="O955" s="5">
        <f t="shared" si="120"/>
        <v>0</v>
      </c>
      <c r="P955" s="5">
        <f t="shared" si="113"/>
        <v>0</v>
      </c>
      <c r="Q955" s="5">
        <f t="shared" si="114"/>
        <v>2</v>
      </c>
      <c r="R955" s="7">
        <f t="shared" si="115"/>
        <v>0</v>
      </c>
      <c r="S955" s="7">
        <f t="shared" si="116"/>
        <v>0</v>
      </c>
      <c r="T955" s="3" t="str">
        <f t="shared" si="117"/>
        <v/>
      </c>
      <c r="V955" s="1" t="e">
        <f t="shared" si="118"/>
        <v>#DIV/0!</v>
      </c>
    </row>
    <row r="956" spans="8:22" x14ac:dyDescent="0.3">
      <c r="H956" s="10" t="str">
        <f>IF(Planilha1!B953="","",Planilha1!B953)</f>
        <v>10:00p</v>
      </c>
      <c r="I956" s="10" t="str">
        <f>IF(Planilha1!C953="","",Planilha1!C953)</f>
        <v>Utah Jazz</v>
      </c>
      <c r="J956" s="10">
        <f>IF(Planilha1!D953="","",Planilha1!D953)</f>
        <v>0</v>
      </c>
      <c r="K956" s="10" t="str">
        <f>IF(Planilha1!E953="","",IF(Planilha1!E953=0,"",Planilha1!E953))</f>
        <v>Denver Nuggets</v>
      </c>
      <c r="L956" s="10">
        <f>IF(Planilha1!F953="","",Planilha1!F953)</f>
        <v>0</v>
      </c>
      <c r="M956" s="10" t="str">
        <f>IF(Planilha1!G953="","",IF(Planilha1!G953=0,"",Planilha1!G953))</f>
        <v/>
      </c>
      <c r="N956" s="5">
        <f t="shared" si="119"/>
        <v>1</v>
      </c>
      <c r="O956" s="5">
        <f t="shared" si="120"/>
        <v>0</v>
      </c>
      <c r="P956" s="5">
        <f t="shared" si="113"/>
        <v>0</v>
      </c>
      <c r="Q956" s="5">
        <f t="shared" si="114"/>
        <v>2</v>
      </c>
      <c r="R956" s="7">
        <f t="shared" si="115"/>
        <v>0</v>
      </c>
      <c r="S956" s="7">
        <f t="shared" si="116"/>
        <v>0</v>
      </c>
      <c r="T956" s="3" t="str">
        <f t="shared" si="117"/>
        <v/>
      </c>
      <c r="V956" s="1" t="e">
        <f t="shared" si="118"/>
        <v>#DIV/0!</v>
      </c>
    </row>
    <row r="957" spans="8:22" x14ac:dyDescent="0.3">
      <c r="H957" s="10" t="str">
        <f>IF(Planilha1!B954="","",Planilha1!B954)</f>
        <v>10:00p</v>
      </c>
      <c r="I957" s="10" t="str">
        <f>IF(Planilha1!C954="","",Planilha1!C954)</f>
        <v>Toronto Raptors</v>
      </c>
      <c r="J957" s="10">
        <f>IF(Planilha1!D954="","",Planilha1!D954)</f>
        <v>0</v>
      </c>
      <c r="K957" s="10" t="str">
        <f>IF(Planilha1!E954="","",IF(Planilha1!E954=0,"",Planilha1!E954))</f>
        <v>Portland Trail Blazers</v>
      </c>
      <c r="L957" s="10">
        <f>IF(Planilha1!F954="","",Planilha1!F954)</f>
        <v>0</v>
      </c>
      <c r="M957" s="10" t="str">
        <f>IF(Planilha1!G954="","",IF(Planilha1!G954=0,"",Planilha1!G954))</f>
        <v/>
      </c>
      <c r="N957" s="5">
        <f t="shared" si="119"/>
        <v>1</v>
      </c>
      <c r="O957" s="5">
        <f t="shared" si="120"/>
        <v>0</v>
      </c>
      <c r="P957" s="5">
        <f t="shared" si="113"/>
        <v>0</v>
      </c>
      <c r="Q957" s="5">
        <f t="shared" si="114"/>
        <v>2</v>
      </c>
      <c r="R957" s="7">
        <f t="shared" si="115"/>
        <v>0</v>
      </c>
      <c r="S957" s="7">
        <f t="shared" si="116"/>
        <v>0</v>
      </c>
      <c r="T957" s="3" t="str">
        <f t="shared" si="117"/>
        <v/>
      </c>
      <c r="V957" s="1" t="e">
        <f t="shared" si="118"/>
        <v>#DIV/0!</v>
      </c>
    </row>
    <row r="958" spans="8:22" x14ac:dyDescent="0.3">
      <c r="H958" s="10" t="str">
        <f>IF(Planilha1!B955="","",Planilha1!B955)</f>
        <v>3:00p</v>
      </c>
      <c r="I958" s="10" t="str">
        <f>IF(Planilha1!C955="","",Planilha1!C955)</f>
        <v>Milwaukee Bucks</v>
      </c>
      <c r="J958" s="10">
        <f>IF(Planilha1!D955="","",Planilha1!D955)</f>
        <v>0</v>
      </c>
      <c r="K958" s="10" t="str">
        <f>IF(Planilha1!E955="","",IF(Planilha1!E955=0,"",Planilha1!E955))</f>
        <v>Los Angeles Clippers</v>
      </c>
      <c r="L958" s="10">
        <f>IF(Planilha1!F955="","",Planilha1!F955)</f>
        <v>0</v>
      </c>
      <c r="M958" s="10" t="str">
        <f>IF(Planilha1!G955="","",IF(Planilha1!G955=0,"",Planilha1!G955))</f>
        <v/>
      </c>
      <c r="N958" s="5">
        <f t="shared" si="119"/>
        <v>1</v>
      </c>
      <c r="O958" s="5">
        <f t="shared" si="120"/>
        <v>0</v>
      </c>
      <c r="P958" s="5">
        <f t="shared" si="113"/>
        <v>0</v>
      </c>
      <c r="Q958" s="5">
        <f t="shared" si="114"/>
        <v>2</v>
      </c>
      <c r="R958" s="7">
        <f t="shared" si="115"/>
        <v>0</v>
      </c>
      <c r="S958" s="7">
        <f t="shared" si="116"/>
        <v>0</v>
      </c>
      <c r="T958" s="3" t="str">
        <f t="shared" si="117"/>
        <v/>
      </c>
      <c r="V958" s="1" t="e">
        <f t="shared" si="118"/>
        <v>#DIV/0!</v>
      </c>
    </row>
    <row r="959" spans="8:22" x14ac:dyDescent="0.3">
      <c r="H959" s="10" t="str">
        <f>IF(Planilha1!B956="","",Planilha1!B956)</f>
        <v>6:00p</v>
      </c>
      <c r="I959" s="10" t="str">
        <f>IF(Planilha1!C956="","",Planilha1!C956)</f>
        <v>New Orleans Pelicans</v>
      </c>
      <c r="J959" s="10">
        <f>IF(Planilha1!D956="","",Planilha1!D956)</f>
        <v>0</v>
      </c>
      <c r="K959" s="10" t="str">
        <f>IF(Planilha1!E956="","",IF(Planilha1!E956=0,"",Planilha1!E956))</f>
        <v>Atlanta Hawks</v>
      </c>
      <c r="L959" s="10">
        <f>IF(Planilha1!F956="","",Planilha1!F956)</f>
        <v>0</v>
      </c>
      <c r="M959" s="10" t="str">
        <f>IF(Planilha1!G956="","",IF(Planilha1!G956=0,"",Planilha1!G956))</f>
        <v/>
      </c>
      <c r="N959" s="5">
        <f t="shared" si="119"/>
        <v>1</v>
      </c>
      <c r="O959" s="5">
        <f t="shared" si="120"/>
        <v>0</v>
      </c>
      <c r="P959" s="5">
        <f t="shared" si="113"/>
        <v>0</v>
      </c>
      <c r="Q959" s="5">
        <f t="shared" si="114"/>
        <v>2</v>
      </c>
      <c r="R959" s="7">
        <f t="shared" si="115"/>
        <v>0</v>
      </c>
      <c r="S959" s="7">
        <f t="shared" si="116"/>
        <v>0</v>
      </c>
      <c r="T959" s="3" t="str">
        <f t="shared" si="117"/>
        <v/>
      </c>
      <c r="V959" s="1" t="e">
        <f t="shared" si="118"/>
        <v>#DIV/0!</v>
      </c>
    </row>
    <row r="960" spans="8:22" x14ac:dyDescent="0.3">
      <c r="H960" s="10" t="str">
        <f>IF(Planilha1!B957="","",Planilha1!B957)</f>
        <v>6:00p</v>
      </c>
      <c r="I960" s="10" t="str">
        <f>IF(Planilha1!C957="","",Planilha1!C957)</f>
        <v>Washington Wizards</v>
      </c>
      <c r="J960" s="10">
        <f>IF(Planilha1!D957="","",Planilha1!D957)</f>
        <v>0</v>
      </c>
      <c r="K960" s="10" t="str">
        <f>IF(Planilha1!E957="","",IF(Planilha1!E957=0,"",Planilha1!E957))</f>
        <v>Miami Heat</v>
      </c>
      <c r="L960" s="10">
        <f>IF(Planilha1!F957="","",Planilha1!F957)</f>
        <v>0</v>
      </c>
      <c r="M960" s="10" t="str">
        <f>IF(Planilha1!G957="","",IF(Planilha1!G957=0,"",Planilha1!G957))</f>
        <v/>
      </c>
      <c r="N960" s="5">
        <f t="shared" si="119"/>
        <v>1</v>
      </c>
      <c r="O960" s="5">
        <f t="shared" si="120"/>
        <v>0</v>
      </c>
      <c r="P960" s="5">
        <f t="shared" si="113"/>
        <v>0</v>
      </c>
      <c r="Q960" s="5">
        <f t="shared" si="114"/>
        <v>2</v>
      </c>
      <c r="R960" s="7">
        <f t="shared" si="115"/>
        <v>0</v>
      </c>
      <c r="S960" s="7">
        <f t="shared" si="116"/>
        <v>0</v>
      </c>
      <c r="T960" s="3" t="str">
        <f t="shared" si="117"/>
        <v/>
      </c>
      <c r="V960" s="1" t="e">
        <f t="shared" si="118"/>
        <v>#DIV/0!</v>
      </c>
    </row>
    <row r="961" spans="8:22" x14ac:dyDescent="0.3">
      <c r="H961" s="10" t="str">
        <f>IF(Planilha1!B958="","",Planilha1!B958)</f>
        <v>6:00p</v>
      </c>
      <c r="I961" s="10" t="str">
        <f>IF(Planilha1!C958="","",Planilha1!C958)</f>
        <v>Philadelphia 76ers</v>
      </c>
      <c r="J961" s="10">
        <f>IF(Planilha1!D958="","",Planilha1!D958)</f>
        <v>0</v>
      </c>
      <c r="K961" s="10" t="str">
        <f>IF(Planilha1!E958="","",IF(Planilha1!E958=0,"",Planilha1!E958))</f>
        <v>New York Knicks</v>
      </c>
      <c r="L961" s="10">
        <f>IF(Planilha1!F958="","",Planilha1!F958)</f>
        <v>0</v>
      </c>
      <c r="M961" s="10" t="str">
        <f>IF(Planilha1!G958="","",IF(Planilha1!G958=0,"",Planilha1!G958))</f>
        <v/>
      </c>
      <c r="N961" s="5">
        <f t="shared" si="119"/>
        <v>1</v>
      </c>
      <c r="O961" s="5">
        <f t="shared" si="120"/>
        <v>0</v>
      </c>
      <c r="P961" s="5">
        <f t="shared" si="113"/>
        <v>0</v>
      </c>
      <c r="Q961" s="5">
        <f t="shared" si="114"/>
        <v>2</v>
      </c>
      <c r="R961" s="7">
        <f t="shared" si="115"/>
        <v>0</v>
      </c>
      <c r="S961" s="7">
        <f t="shared" si="116"/>
        <v>0</v>
      </c>
      <c r="T961" s="3" t="str">
        <f t="shared" si="117"/>
        <v/>
      </c>
      <c r="V961" s="1" t="e">
        <f t="shared" si="118"/>
        <v>#DIV/0!</v>
      </c>
    </row>
    <row r="962" spans="8:22" x14ac:dyDescent="0.3">
      <c r="H962" s="10" t="str">
        <f>IF(Planilha1!B959="","",Planilha1!B959)</f>
        <v>6:00p</v>
      </c>
      <c r="I962" s="10" t="str">
        <f>IF(Planilha1!C959="","",Planilha1!C959)</f>
        <v>Indiana Pacers</v>
      </c>
      <c r="J962" s="10">
        <f>IF(Planilha1!D959="","",Planilha1!D959)</f>
        <v>0</v>
      </c>
      <c r="K962" s="10" t="str">
        <f>IF(Planilha1!E959="","",IF(Planilha1!E959=0,"",Planilha1!E959))</f>
        <v>Orlando Magic</v>
      </c>
      <c r="L962" s="10">
        <f>IF(Planilha1!F959="","",Planilha1!F959)</f>
        <v>0</v>
      </c>
      <c r="M962" s="10" t="str">
        <f>IF(Planilha1!G959="","",IF(Planilha1!G959=0,"",Planilha1!G959))</f>
        <v/>
      </c>
      <c r="N962" s="5">
        <f t="shared" si="119"/>
        <v>1</v>
      </c>
      <c r="O962" s="5">
        <f t="shared" si="120"/>
        <v>0</v>
      </c>
      <c r="P962" s="5">
        <f t="shared" si="113"/>
        <v>0</v>
      </c>
      <c r="Q962" s="5">
        <f t="shared" si="114"/>
        <v>2</v>
      </c>
      <c r="R962" s="7">
        <f t="shared" si="115"/>
        <v>0</v>
      </c>
      <c r="S962" s="7">
        <f t="shared" si="116"/>
        <v>0</v>
      </c>
      <c r="T962" s="3" t="str">
        <f t="shared" si="117"/>
        <v/>
      </c>
      <c r="V962" s="1" t="e">
        <f t="shared" si="118"/>
        <v>#DIV/0!</v>
      </c>
    </row>
    <row r="963" spans="8:22" x14ac:dyDescent="0.3">
      <c r="H963" s="10" t="str">
        <f>IF(Planilha1!B960="","",Planilha1!B960)</f>
        <v>6:00p</v>
      </c>
      <c r="I963" s="10" t="str">
        <f>IF(Planilha1!C960="","",Planilha1!C960)</f>
        <v>Houston Rockets</v>
      </c>
      <c r="J963" s="10">
        <f>IF(Planilha1!D960="","",Planilha1!D960)</f>
        <v>0</v>
      </c>
      <c r="K963" s="10" t="str">
        <f>IF(Planilha1!E960="","",IF(Planilha1!E960=0,"",Planilha1!E960))</f>
        <v>Sacramento Kings</v>
      </c>
      <c r="L963" s="10">
        <f>IF(Planilha1!F960="","",Planilha1!F960)</f>
        <v>0</v>
      </c>
      <c r="M963" s="10" t="str">
        <f>IF(Planilha1!G960="","",IF(Planilha1!G960=0,"",Planilha1!G960))</f>
        <v/>
      </c>
      <c r="N963" s="5">
        <f t="shared" si="119"/>
        <v>1</v>
      </c>
      <c r="O963" s="5">
        <f t="shared" si="120"/>
        <v>0</v>
      </c>
      <c r="P963" s="5">
        <f t="shared" si="113"/>
        <v>0</v>
      </c>
      <c r="Q963" s="5">
        <f t="shared" si="114"/>
        <v>2</v>
      </c>
      <c r="R963" s="7">
        <f t="shared" si="115"/>
        <v>0</v>
      </c>
      <c r="S963" s="7">
        <f t="shared" si="116"/>
        <v>0</v>
      </c>
      <c r="T963" s="3" t="str">
        <f t="shared" si="117"/>
        <v/>
      </c>
      <c r="V963" s="1" t="e">
        <f t="shared" si="118"/>
        <v>#DIV/0!</v>
      </c>
    </row>
    <row r="964" spans="8:22" x14ac:dyDescent="0.3">
      <c r="H964" s="10" t="str">
        <f>IF(Planilha1!B961="","",Planilha1!B961)</f>
        <v>7:00p</v>
      </c>
      <c r="I964" s="10" t="str">
        <f>IF(Planilha1!C961="","",Planilha1!C961)</f>
        <v>Brooklyn Nets</v>
      </c>
      <c r="J964" s="10">
        <f>IF(Planilha1!D961="","",Planilha1!D961)</f>
        <v>0</v>
      </c>
      <c r="K964" s="10" t="str">
        <f>IF(Planilha1!E961="","",IF(Planilha1!E961=0,"",Planilha1!E961))</f>
        <v>Cleveland Cavaliers</v>
      </c>
      <c r="L964" s="10">
        <f>IF(Planilha1!F961="","",Planilha1!F961)</f>
        <v>0</v>
      </c>
      <c r="M964" s="10" t="str">
        <f>IF(Planilha1!G961="","",IF(Planilha1!G961=0,"",Planilha1!G961))</f>
        <v/>
      </c>
      <c r="N964" s="5">
        <f t="shared" si="119"/>
        <v>1</v>
      </c>
      <c r="O964" s="5">
        <f t="shared" si="120"/>
        <v>0</v>
      </c>
      <c r="P964" s="5">
        <f t="shared" si="113"/>
        <v>0</v>
      </c>
      <c r="Q964" s="5">
        <f t="shared" si="114"/>
        <v>2</v>
      </c>
      <c r="R964" s="7">
        <f t="shared" si="115"/>
        <v>0</v>
      </c>
      <c r="S964" s="7">
        <f t="shared" si="116"/>
        <v>0</v>
      </c>
      <c r="T964" s="3" t="str">
        <f t="shared" si="117"/>
        <v/>
      </c>
      <c r="V964" s="1" t="e">
        <f t="shared" si="118"/>
        <v>#DIV/0!</v>
      </c>
    </row>
    <row r="965" spans="8:22" x14ac:dyDescent="0.3">
      <c r="H965" s="10" t="str">
        <f>IF(Planilha1!B962="","",Planilha1!B962)</f>
        <v>7:00p</v>
      </c>
      <c r="I965" s="10" t="str">
        <f>IF(Planilha1!C962="","",Planilha1!C962)</f>
        <v>Memphis Grizzlies</v>
      </c>
      <c r="J965" s="10">
        <f>IF(Planilha1!D962="","",Planilha1!D962)</f>
        <v>0</v>
      </c>
      <c r="K965" s="10" t="str">
        <f>IF(Planilha1!E962="","",IF(Planilha1!E962=0,"",Planilha1!E962))</f>
        <v>Oklahoma City Thunder</v>
      </c>
      <c r="L965" s="10">
        <f>IF(Planilha1!F962="","",Planilha1!F962)</f>
        <v>0</v>
      </c>
      <c r="M965" s="10" t="str">
        <f>IF(Planilha1!G962="","",IF(Planilha1!G962=0,"",Planilha1!G962))</f>
        <v/>
      </c>
      <c r="N965" s="5">
        <f t="shared" si="119"/>
        <v>1</v>
      </c>
      <c r="O965" s="5">
        <f t="shared" si="120"/>
        <v>0</v>
      </c>
      <c r="P965" s="5">
        <f t="shared" ref="P965:P1028" si="121">IF(M965="",IF(R965&gt;S965,2,0),IF(K965&lt;M965,2,0))</f>
        <v>0</v>
      </c>
      <c r="Q965" s="5">
        <f t="shared" ref="Q965:Q1028" si="122">IF(M965="",IF(R965&gt;S965,0,2),IF(K965&gt;M965,2,0))</f>
        <v>2</v>
      </c>
      <c r="R965" s="7">
        <f t="shared" ref="R965:R1028" si="123">SUMIF($B:$B,J965,$C:$C)+(SUMIF($B:$B,L965,$F:$F))</f>
        <v>0</v>
      </c>
      <c r="S965" s="7">
        <f t="shared" ref="S965:S1028" si="124">SUMIF($B:$B,L965,$E:$E)+(SUMIF($B:$B,J965,$D:$D))</f>
        <v>0</v>
      </c>
      <c r="T965" s="3" t="str">
        <f t="shared" ref="T965:T1028" si="125">IF(M965="","",(N965-S965)^2+(O965-R965)^2)</f>
        <v/>
      </c>
      <c r="V965" s="1" t="e">
        <f t="shared" ref="V965:V1028" si="126">IF(O965="","",1/((O965-N965)/(R965-S965)))</f>
        <v>#DIV/0!</v>
      </c>
    </row>
    <row r="966" spans="8:22" x14ac:dyDescent="0.3">
      <c r="H966" s="10" t="str">
        <f>IF(Planilha1!B963="","",Planilha1!B963)</f>
        <v>9:30p</v>
      </c>
      <c r="I966" s="10" t="str">
        <f>IF(Planilha1!C963="","",Planilha1!C963)</f>
        <v>Minnesota Timberwolves</v>
      </c>
      <c r="J966" s="10">
        <f>IF(Planilha1!D963="","",Planilha1!D963)</f>
        <v>0</v>
      </c>
      <c r="K966" s="10" t="str">
        <f>IF(Planilha1!E963="","",IF(Planilha1!E963=0,"",Planilha1!E963))</f>
        <v>Los Angeles Lakers</v>
      </c>
      <c r="L966" s="10">
        <f>IF(Planilha1!F963="","",Planilha1!F963)</f>
        <v>0</v>
      </c>
      <c r="M966" s="10" t="str">
        <f>IF(Planilha1!G963="","",IF(Planilha1!G963=0,"",Planilha1!G963))</f>
        <v/>
      </c>
      <c r="N966" s="5">
        <f t="shared" ref="N966:N1029" si="127">IF(K966="","",IF(K966&gt;M966,100%,0%))</f>
        <v>1</v>
      </c>
      <c r="O966" s="5">
        <f t="shared" ref="O966:O1029" si="128">IF(K966="","",IF(K966&lt;M966,100%,0%))</f>
        <v>0</v>
      </c>
      <c r="P966" s="5">
        <f t="shared" si="121"/>
        <v>0</v>
      </c>
      <c r="Q966" s="5">
        <f t="shared" si="122"/>
        <v>2</v>
      </c>
      <c r="R966" s="7">
        <f t="shared" si="123"/>
        <v>0</v>
      </c>
      <c r="S966" s="7">
        <f t="shared" si="124"/>
        <v>0</v>
      </c>
      <c r="T966" s="3" t="str">
        <f t="shared" si="125"/>
        <v/>
      </c>
      <c r="V966" s="1" t="e">
        <f t="shared" si="126"/>
        <v>#DIV/0!</v>
      </c>
    </row>
    <row r="967" spans="8:22" x14ac:dyDescent="0.3">
      <c r="H967" s="10" t="str">
        <f>IF(Planilha1!B964="","",Planilha1!B964)</f>
        <v>7:00p</v>
      </c>
      <c r="I967" s="10" t="str">
        <f>IF(Planilha1!C964="","",Planilha1!C964)</f>
        <v>Charlotte Hornets</v>
      </c>
      <c r="J967" s="10">
        <f>IF(Planilha1!D964="","",Planilha1!D964)</f>
        <v>0</v>
      </c>
      <c r="K967" s="10" t="str">
        <f>IF(Planilha1!E964="","",IF(Planilha1!E964=0,"",Planilha1!E964))</f>
        <v>Detroit Pistons</v>
      </c>
      <c r="L967" s="10">
        <f>IF(Planilha1!F964="","",Planilha1!F964)</f>
        <v>0</v>
      </c>
      <c r="M967" s="10" t="str">
        <f>IF(Planilha1!G964="","",IF(Planilha1!G964=0,"",Planilha1!G964))</f>
        <v/>
      </c>
      <c r="N967" s="5">
        <f t="shared" si="127"/>
        <v>1</v>
      </c>
      <c r="O967" s="5">
        <f t="shared" si="128"/>
        <v>0</v>
      </c>
      <c r="P967" s="5">
        <f t="shared" si="121"/>
        <v>0</v>
      </c>
      <c r="Q967" s="5">
        <f t="shared" si="122"/>
        <v>2</v>
      </c>
      <c r="R967" s="7">
        <f t="shared" si="123"/>
        <v>0</v>
      </c>
      <c r="S967" s="7">
        <f t="shared" si="124"/>
        <v>0</v>
      </c>
      <c r="T967" s="3" t="str">
        <f t="shared" si="125"/>
        <v/>
      </c>
      <c r="V967" s="1" t="e">
        <f t="shared" si="126"/>
        <v>#DIV/0!</v>
      </c>
    </row>
    <row r="968" spans="8:22" x14ac:dyDescent="0.3">
      <c r="H968" s="10" t="str">
        <f>IF(Planilha1!B965="","",Planilha1!B965)</f>
        <v>7:30p</v>
      </c>
      <c r="I968" s="10" t="str">
        <f>IF(Planilha1!C965="","",Planilha1!C965)</f>
        <v>Phoenix Suns</v>
      </c>
      <c r="J968" s="10">
        <f>IF(Planilha1!D965="","",Planilha1!D965)</f>
        <v>0</v>
      </c>
      <c r="K968" s="10" t="str">
        <f>IF(Planilha1!E965="","",IF(Planilha1!E965=0,"",Planilha1!E965))</f>
        <v>Cleveland Cavaliers</v>
      </c>
      <c r="L968" s="10">
        <f>IF(Planilha1!F965="","",Planilha1!F965)</f>
        <v>0</v>
      </c>
      <c r="M968" s="10" t="str">
        <f>IF(Planilha1!G965="","",IF(Planilha1!G965=0,"",Planilha1!G965))</f>
        <v/>
      </c>
      <c r="N968" s="5">
        <f t="shared" si="127"/>
        <v>1</v>
      </c>
      <c r="O968" s="5">
        <f t="shared" si="128"/>
        <v>0</v>
      </c>
      <c r="P968" s="5">
        <f t="shared" si="121"/>
        <v>0</v>
      </c>
      <c r="Q968" s="5">
        <f t="shared" si="122"/>
        <v>2</v>
      </c>
      <c r="R968" s="7">
        <f t="shared" si="123"/>
        <v>0</v>
      </c>
      <c r="S968" s="7">
        <f t="shared" si="124"/>
        <v>0</v>
      </c>
      <c r="T968" s="3" t="str">
        <f t="shared" si="125"/>
        <v/>
      </c>
      <c r="V968" s="1" t="e">
        <f t="shared" si="126"/>
        <v>#DIV/0!</v>
      </c>
    </row>
    <row r="969" spans="8:22" x14ac:dyDescent="0.3">
      <c r="H969" s="10" t="str">
        <f>IF(Planilha1!B966="","",Planilha1!B966)</f>
        <v>8:00p</v>
      </c>
      <c r="I969" s="10" t="str">
        <f>IF(Planilha1!C966="","",Planilha1!C966)</f>
        <v>Dallas Mavericks</v>
      </c>
      <c r="J969" s="10">
        <f>IF(Planilha1!D966="","",Planilha1!D966)</f>
        <v>0</v>
      </c>
      <c r="K969" s="10" t="str">
        <f>IF(Planilha1!E966="","",IF(Planilha1!E966=0,"",Planilha1!E966))</f>
        <v>Chicago Bulls</v>
      </c>
      <c r="L969" s="10">
        <f>IF(Planilha1!F966="","",Planilha1!F966)</f>
        <v>0</v>
      </c>
      <c r="M969" s="10" t="str">
        <f>IF(Planilha1!G966="","",IF(Planilha1!G966=0,"",Planilha1!G966))</f>
        <v/>
      </c>
      <c r="N969" s="5">
        <f t="shared" si="127"/>
        <v>1</v>
      </c>
      <c r="O969" s="5">
        <f t="shared" si="128"/>
        <v>0</v>
      </c>
      <c r="P969" s="5">
        <f t="shared" si="121"/>
        <v>0</v>
      </c>
      <c r="Q969" s="5">
        <f t="shared" si="122"/>
        <v>2</v>
      </c>
      <c r="R969" s="7">
        <f t="shared" si="123"/>
        <v>0</v>
      </c>
      <c r="S969" s="7">
        <f t="shared" si="124"/>
        <v>0</v>
      </c>
      <c r="T969" s="3" t="str">
        <f t="shared" si="125"/>
        <v/>
      </c>
      <c r="V969" s="1" t="e">
        <f t="shared" si="126"/>
        <v>#DIV/0!</v>
      </c>
    </row>
    <row r="970" spans="8:22" x14ac:dyDescent="0.3">
      <c r="H970" s="10" t="str">
        <f>IF(Planilha1!B967="","",Planilha1!B967)</f>
        <v>8:00p</v>
      </c>
      <c r="I970" s="10" t="str">
        <f>IF(Planilha1!C967="","",Planilha1!C967)</f>
        <v>Golden State Warriors</v>
      </c>
      <c r="J970" s="10">
        <f>IF(Planilha1!D967="","",Planilha1!D967)</f>
        <v>0</v>
      </c>
      <c r="K970" s="10" t="str">
        <f>IF(Planilha1!E967="","",IF(Planilha1!E967=0,"",Planilha1!E967))</f>
        <v>San Antonio Spurs</v>
      </c>
      <c r="L970" s="10">
        <f>IF(Planilha1!F967="","",Planilha1!F967)</f>
        <v>0</v>
      </c>
      <c r="M970" s="10" t="str">
        <f>IF(Planilha1!G967="","",IF(Planilha1!G967=0,"",Planilha1!G967))</f>
        <v/>
      </c>
      <c r="N970" s="5">
        <f t="shared" si="127"/>
        <v>1</v>
      </c>
      <c r="O970" s="5">
        <f t="shared" si="128"/>
        <v>0</v>
      </c>
      <c r="P970" s="5">
        <f t="shared" si="121"/>
        <v>0</v>
      </c>
      <c r="Q970" s="5">
        <f t="shared" si="122"/>
        <v>2</v>
      </c>
      <c r="R970" s="7">
        <f t="shared" si="123"/>
        <v>0</v>
      </c>
      <c r="S970" s="7">
        <f t="shared" si="124"/>
        <v>0</v>
      </c>
      <c r="T970" s="3" t="str">
        <f t="shared" si="125"/>
        <v/>
      </c>
      <c r="V970" s="1" t="e">
        <f t="shared" si="126"/>
        <v>#DIV/0!</v>
      </c>
    </row>
    <row r="971" spans="8:22" x14ac:dyDescent="0.3">
      <c r="H971" s="10" t="str">
        <f>IF(Planilha1!B968="","",Planilha1!B968)</f>
        <v>9:00p</v>
      </c>
      <c r="I971" s="10" t="str">
        <f>IF(Planilha1!C968="","",Planilha1!C968)</f>
        <v>Toronto Raptors</v>
      </c>
      <c r="J971" s="10">
        <f>IF(Planilha1!D968="","",Planilha1!D968)</f>
        <v>0</v>
      </c>
      <c r="K971" s="10" t="str">
        <f>IF(Planilha1!E968="","",IF(Planilha1!E968=0,"",Planilha1!E968))</f>
        <v>Denver Nuggets</v>
      </c>
      <c r="L971" s="10">
        <f>IF(Planilha1!F968="","",Planilha1!F968)</f>
        <v>0</v>
      </c>
      <c r="M971" s="10" t="str">
        <f>IF(Planilha1!G968="","",IF(Planilha1!G968=0,"",Planilha1!G968))</f>
        <v/>
      </c>
      <c r="N971" s="5">
        <f t="shared" si="127"/>
        <v>1</v>
      </c>
      <c r="O971" s="5">
        <f t="shared" si="128"/>
        <v>0</v>
      </c>
      <c r="P971" s="5">
        <f t="shared" si="121"/>
        <v>0</v>
      </c>
      <c r="Q971" s="5">
        <f t="shared" si="122"/>
        <v>2</v>
      </c>
      <c r="R971" s="7">
        <f t="shared" si="123"/>
        <v>0</v>
      </c>
      <c r="S971" s="7">
        <f t="shared" si="124"/>
        <v>0</v>
      </c>
      <c r="T971" s="3" t="str">
        <f t="shared" si="125"/>
        <v/>
      </c>
      <c r="V971" s="1" t="e">
        <f t="shared" si="126"/>
        <v>#DIV/0!</v>
      </c>
    </row>
    <row r="972" spans="8:22" x14ac:dyDescent="0.3">
      <c r="H972" s="10" t="str">
        <f>IF(Planilha1!B969="","",Planilha1!B969)</f>
        <v>10:30p</v>
      </c>
      <c r="I972" s="10" t="str">
        <f>IF(Planilha1!C969="","",Planilha1!C969)</f>
        <v>Boston Celtics</v>
      </c>
      <c r="J972" s="10">
        <f>IF(Planilha1!D969="","",Planilha1!D969)</f>
        <v>0</v>
      </c>
      <c r="K972" s="10" t="str">
        <f>IF(Planilha1!E969="","",IF(Planilha1!E969=0,"",Planilha1!E969))</f>
        <v>Portland Trail Blazers</v>
      </c>
      <c r="L972" s="10">
        <f>IF(Planilha1!F969="","",Planilha1!F969)</f>
        <v>0</v>
      </c>
      <c r="M972" s="10" t="str">
        <f>IF(Planilha1!G969="","",IF(Planilha1!G969=0,"",Planilha1!G969))</f>
        <v/>
      </c>
      <c r="N972" s="5">
        <f t="shared" si="127"/>
        <v>1</v>
      </c>
      <c r="O972" s="5">
        <f t="shared" si="128"/>
        <v>0</v>
      </c>
      <c r="P972" s="5">
        <f t="shared" si="121"/>
        <v>0</v>
      </c>
      <c r="Q972" s="5">
        <f t="shared" si="122"/>
        <v>2</v>
      </c>
      <c r="R972" s="7">
        <f t="shared" si="123"/>
        <v>0</v>
      </c>
      <c r="S972" s="7">
        <f t="shared" si="124"/>
        <v>0</v>
      </c>
      <c r="T972" s="3" t="str">
        <f t="shared" si="125"/>
        <v/>
      </c>
      <c r="V972" s="1" t="e">
        <f t="shared" si="126"/>
        <v>#DIV/0!</v>
      </c>
    </row>
    <row r="973" spans="8:22" x14ac:dyDescent="0.3">
      <c r="H973" s="10" t="str">
        <f>IF(Planilha1!B970="","",Planilha1!B970)</f>
        <v>7:30p</v>
      </c>
      <c r="I973" s="10" t="str">
        <f>IF(Planilha1!C970="","",Planilha1!C970)</f>
        <v>Philadelphia 76ers</v>
      </c>
      <c r="J973" s="10">
        <f>IF(Planilha1!D970="","",Planilha1!D970)</f>
        <v>0</v>
      </c>
      <c r="K973" s="10" t="str">
        <f>IF(Planilha1!E970="","",IF(Planilha1!E970=0,"",Planilha1!E970))</f>
        <v>New York Knicks</v>
      </c>
      <c r="L973" s="10">
        <f>IF(Planilha1!F970="","",Planilha1!F970)</f>
        <v>0</v>
      </c>
      <c r="M973" s="10" t="str">
        <f>IF(Planilha1!G970="","",IF(Planilha1!G970=0,"",Planilha1!G970))</f>
        <v/>
      </c>
      <c r="N973" s="5">
        <f t="shared" si="127"/>
        <v>1</v>
      </c>
      <c r="O973" s="5">
        <f t="shared" si="128"/>
        <v>0</v>
      </c>
      <c r="P973" s="5">
        <f t="shared" si="121"/>
        <v>0</v>
      </c>
      <c r="Q973" s="5">
        <f t="shared" si="122"/>
        <v>2</v>
      </c>
      <c r="R973" s="7">
        <f t="shared" si="123"/>
        <v>0</v>
      </c>
      <c r="S973" s="7">
        <f t="shared" si="124"/>
        <v>0</v>
      </c>
      <c r="T973" s="3" t="str">
        <f t="shared" si="125"/>
        <v/>
      </c>
      <c r="V973" s="1" t="e">
        <f t="shared" si="126"/>
        <v>#DIV/0!</v>
      </c>
    </row>
    <row r="974" spans="8:22" x14ac:dyDescent="0.3">
      <c r="H974" s="10" t="str">
        <f>IF(Planilha1!B971="","",Planilha1!B971)</f>
        <v>8:00p</v>
      </c>
      <c r="I974" s="10" t="str">
        <f>IF(Planilha1!C971="","",Planilha1!C971)</f>
        <v>Washington Wizards</v>
      </c>
      <c r="J974" s="10">
        <f>IF(Planilha1!D971="","",Planilha1!D971)</f>
        <v>0</v>
      </c>
      <c r="K974" s="10" t="str">
        <f>IF(Planilha1!E971="","",IF(Planilha1!E971=0,"",Planilha1!E971))</f>
        <v>Memphis Grizzlies</v>
      </c>
      <c r="L974" s="10">
        <f>IF(Planilha1!F971="","",Planilha1!F971)</f>
        <v>0</v>
      </c>
      <c r="M974" s="10" t="str">
        <f>IF(Planilha1!G971="","",IF(Planilha1!G971=0,"",Planilha1!G971))</f>
        <v/>
      </c>
      <c r="N974" s="5">
        <f t="shared" si="127"/>
        <v>1</v>
      </c>
      <c r="O974" s="5">
        <f t="shared" si="128"/>
        <v>0</v>
      </c>
      <c r="P974" s="5">
        <f t="shared" si="121"/>
        <v>0</v>
      </c>
      <c r="Q974" s="5">
        <f t="shared" si="122"/>
        <v>2</v>
      </c>
      <c r="R974" s="7">
        <f t="shared" si="123"/>
        <v>0</v>
      </c>
      <c r="S974" s="7">
        <f t="shared" si="124"/>
        <v>0</v>
      </c>
      <c r="T974" s="3" t="str">
        <f t="shared" si="125"/>
        <v/>
      </c>
      <c r="V974" s="1" t="e">
        <f t="shared" si="126"/>
        <v>#DIV/0!</v>
      </c>
    </row>
    <row r="975" spans="8:22" x14ac:dyDescent="0.3">
      <c r="H975" s="10" t="str">
        <f>IF(Planilha1!B972="","",Planilha1!B972)</f>
        <v>8:00p</v>
      </c>
      <c r="I975" s="10" t="str">
        <f>IF(Planilha1!C972="","",Planilha1!C972)</f>
        <v>Indiana Pacers</v>
      </c>
      <c r="J975" s="10">
        <f>IF(Planilha1!D972="","",Planilha1!D972)</f>
        <v>0</v>
      </c>
      <c r="K975" s="10" t="str">
        <f>IF(Planilha1!E972="","",IF(Planilha1!E972=0,"",Planilha1!E972))</f>
        <v>Oklahoma City Thunder</v>
      </c>
      <c r="L975" s="10">
        <f>IF(Planilha1!F972="","",Planilha1!F972)</f>
        <v>0</v>
      </c>
      <c r="M975" s="10" t="str">
        <f>IF(Planilha1!G972="","",IF(Planilha1!G972=0,"",Planilha1!G972))</f>
        <v/>
      </c>
      <c r="N975" s="5">
        <f t="shared" si="127"/>
        <v>1</v>
      </c>
      <c r="O975" s="5">
        <f t="shared" si="128"/>
        <v>0</v>
      </c>
      <c r="P975" s="5">
        <f t="shared" si="121"/>
        <v>0</v>
      </c>
      <c r="Q975" s="5">
        <f t="shared" si="122"/>
        <v>2</v>
      </c>
      <c r="R975" s="7">
        <f t="shared" si="123"/>
        <v>0</v>
      </c>
      <c r="S975" s="7">
        <f t="shared" si="124"/>
        <v>0</v>
      </c>
      <c r="T975" s="3" t="str">
        <f t="shared" si="125"/>
        <v/>
      </c>
      <c r="V975" s="1" t="e">
        <f t="shared" si="126"/>
        <v>#DIV/0!</v>
      </c>
    </row>
    <row r="976" spans="8:22" x14ac:dyDescent="0.3">
      <c r="H976" s="10" t="str">
        <f>IF(Planilha1!B973="","",Planilha1!B973)</f>
        <v>8:30p</v>
      </c>
      <c r="I976" s="10" t="str">
        <f>IF(Planilha1!C973="","",Planilha1!C973)</f>
        <v>Houston Rockets</v>
      </c>
      <c r="J976" s="10">
        <f>IF(Planilha1!D973="","",Planilha1!D973)</f>
        <v>0</v>
      </c>
      <c r="K976" s="10" t="str">
        <f>IF(Planilha1!E973="","",IF(Planilha1!E973=0,"",Planilha1!E973))</f>
        <v>San Antonio Spurs</v>
      </c>
      <c r="L976" s="10">
        <f>IF(Planilha1!F973="","",Planilha1!F973)</f>
        <v>0</v>
      </c>
      <c r="M976" s="10" t="str">
        <f>IF(Planilha1!G973="","",IF(Planilha1!G973=0,"",Planilha1!G973))</f>
        <v/>
      </c>
      <c r="N976" s="5">
        <f t="shared" si="127"/>
        <v>1</v>
      </c>
      <c r="O976" s="5">
        <f t="shared" si="128"/>
        <v>0</v>
      </c>
      <c r="P976" s="5">
        <f t="shared" si="121"/>
        <v>0</v>
      </c>
      <c r="Q976" s="5">
        <f t="shared" si="122"/>
        <v>2</v>
      </c>
      <c r="R976" s="7">
        <f t="shared" si="123"/>
        <v>0</v>
      </c>
      <c r="S976" s="7">
        <f t="shared" si="124"/>
        <v>0</v>
      </c>
      <c r="T976" s="3" t="str">
        <f t="shared" si="125"/>
        <v/>
      </c>
      <c r="V976" s="1" t="e">
        <f t="shared" si="126"/>
        <v>#DIV/0!</v>
      </c>
    </row>
    <row r="977" spans="8:22" x14ac:dyDescent="0.3">
      <c r="H977" s="10" t="str">
        <f>IF(Planilha1!B974="","",Planilha1!B974)</f>
        <v>9:00p</v>
      </c>
      <c r="I977" s="10" t="str">
        <f>IF(Planilha1!C974="","",Planilha1!C974)</f>
        <v>Boston Celtics</v>
      </c>
      <c r="J977" s="10">
        <f>IF(Planilha1!D974="","",Planilha1!D974)</f>
        <v>0</v>
      </c>
      <c r="K977" s="10" t="str">
        <f>IF(Planilha1!E974="","",IF(Planilha1!E974=0,"",Planilha1!E974))</f>
        <v>Utah Jazz</v>
      </c>
      <c r="L977" s="10">
        <f>IF(Planilha1!F974="","",Planilha1!F974)</f>
        <v>0</v>
      </c>
      <c r="M977" s="10" t="str">
        <f>IF(Planilha1!G974="","",IF(Planilha1!G974=0,"",Planilha1!G974))</f>
        <v/>
      </c>
      <c r="N977" s="5">
        <f t="shared" si="127"/>
        <v>1</v>
      </c>
      <c r="O977" s="5">
        <f t="shared" si="128"/>
        <v>0</v>
      </c>
      <c r="P977" s="5">
        <f t="shared" si="121"/>
        <v>0</v>
      </c>
      <c r="Q977" s="5">
        <f t="shared" si="122"/>
        <v>2</v>
      </c>
      <c r="R977" s="7">
        <f t="shared" si="123"/>
        <v>0</v>
      </c>
      <c r="S977" s="7">
        <f t="shared" si="124"/>
        <v>0</v>
      </c>
      <c r="T977" s="3" t="str">
        <f t="shared" si="125"/>
        <v/>
      </c>
      <c r="V977" s="1" t="e">
        <f t="shared" si="126"/>
        <v>#DIV/0!</v>
      </c>
    </row>
    <row r="978" spans="8:22" x14ac:dyDescent="0.3">
      <c r="H978" s="10" t="str">
        <f>IF(Planilha1!B975="","",Planilha1!B975)</f>
        <v>10:00p</v>
      </c>
      <c r="I978" s="10" t="str">
        <f>IF(Planilha1!C975="","",Planilha1!C975)</f>
        <v>Minnesota Timberwolves</v>
      </c>
      <c r="J978" s="10">
        <f>IF(Planilha1!D975="","",Planilha1!D975)</f>
        <v>0</v>
      </c>
      <c r="K978" s="10" t="str">
        <f>IF(Planilha1!E975="","",IF(Planilha1!E975=0,"",Planilha1!E975))</f>
        <v>Los Angeles Clippers</v>
      </c>
      <c r="L978" s="10">
        <f>IF(Planilha1!F975="","",Planilha1!F975)</f>
        <v>0</v>
      </c>
      <c r="M978" s="10" t="str">
        <f>IF(Planilha1!G975="","",IF(Planilha1!G975=0,"",Planilha1!G975))</f>
        <v/>
      </c>
      <c r="N978" s="5">
        <f t="shared" si="127"/>
        <v>1</v>
      </c>
      <c r="O978" s="5">
        <f t="shared" si="128"/>
        <v>0</v>
      </c>
      <c r="P978" s="5">
        <f t="shared" si="121"/>
        <v>0</v>
      </c>
      <c r="Q978" s="5">
        <f t="shared" si="122"/>
        <v>2</v>
      </c>
      <c r="R978" s="7">
        <f t="shared" si="123"/>
        <v>0</v>
      </c>
      <c r="S978" s="7">
        <f t="shared" si="124"/>
        <v>0</v>
      </c>
      <c r="T978" s="3" t="str">
        <f t="shared" si="125"/>
        <v/>
      </c>
      <c r="V978" s="1" t="e">
        <f t="shared" si="126"/>
        <v>#DIV/0!</v>
      </c>
    </row>
    <row r="979" spans="8:22" x14ac:dyDescent="0.3">
      <c r="H979" s="10" t="str">
        <f>IF(Planilha1!B976="","",Planilha1!B976)</f>
        <v>10:00p</v>
      </c>
      <c r="I979" s="10" t="str">
        <f>IF(Planilha1!C976="","",Planilha1!C976)</f>
        <v>Milwaukee Bucks</v>
      </c>
      <c r="J979" s="10">
        <f>IF(Planilha1!D976="","",Planilha1!D976)</f>
        <v>0</v>
      </c>
      <c r="K979" s="10" t="str">
        <f>IF(Planilha1!E976="","",IF(Planilha1!E976=0,"",Planilha1!E976))</f>
        <v>Sacramento Kings</v>
      </c>
      <c r="L979" s="10">
        <f>IF(Planilha1!F976="","",Planilha1!F976)</f>
        <v>0</v>
      </c>
      <c r="M979" s="10" t="str">
        <f>IF(Planilha1!G976="","",IF(Planilha1!G976=0,"",Planilha1!G976))</f>
        <v/>
      </c>
      <c r="N979" s="5">
        <f t="shared" si="127"/>
        <v>1</v>
      </c>
      <c r="O979" s="5">
        <f t="shared" si="128"/>
        <v>0</v>
      </c>
      <c r="P979" s="5">
        <f t="shared" si="121"/>
        <v>0</v>
      </c>
      <c r="Q979" s="5">
        <f t="shared" si="122"/>
        <v>2</v>
      </c>
      <c r="R979" s="7">
        <f t="shared" si="123"/>
        <v>0</v>
      </c>
      <c r="S979" s="7">
        <f t="shared" si="124"/>
        <v>0</v>
      </c>
      <c r="T979" s="3" t="str">
        <f t="shared" si="125"/>
        <v/>
      </c>
      <c r="V979" s="1" t="e">
        <f t="shared" si="126"/>
        <v>#DIV/0!</v>
      </c>
    </row>
    <row r="980" spans="8:22" x14ac:dyDescent="0.3">
      <c r="H980" s="10" t="str">
        <f>IF(Planilha1!B977="","",Planilha1!B977)</f>
        <v>7:00p</v>
      </c>
      <c r="I980" s="10" t="str">
        <f>IF(Planilha1!C977="","",Planilha1!C977)</f>
        <v>Toronto Raptors</v>
      </c>
      <c r="J980" s="10">
        <f>IF(Planilha1!D977="","",Planilha1!D977)</f>
        <v>0</v>
      </c>
      <c r="K980" s="10" t="str">
        <f>IF(Planilha1!E977="","",IF(Planilha1!E977=0,"",Planilha1!E977))</f>
        <v>Detroit Pistons</v>
      </c>
      <c r="L980" s="10">
        <f>IF(Planilha1!F977="","",Planilha1!F977)</f>
        <v>0</v>
      </c>
      <c r="M980" s="10" t="str">
        <f>IF(Planilha1!G977="","",IF(Planilha1!G977=0,"",Planilha1!G977))</f>
        <v/>
      </c>
      <c r="N980" s="5">
        <f t="shared" si="127"/>
        <v>1</v>
      </c>
      <c r="O980" s="5">
        <f t="shared" si="128"/>
        <v>0</v>
      </c>
      <c r="P980" s="5">
        <f t="shared" si="121"/>
        <v>0</v>
      </c>
      <c r="Q980" s="5">
        <f t="shared" si="122"/>
        <v>2</v>
      </c>
      <c r="R980" s="7">
        <f t="shared" si="123"/>
        <v>0</v>
      </c>
      <c r="S980" s="7">
        <f t="shared" si="124"/>
        <v>0</v>
      </c>
      <c r="T980" s="3" t="str">
        <f t="shared" si="125"/>
        <v/>
      </c>
      <c r="V980" s="1" t="e">
        <f t="shared" si="126"/>
        <v>#DIV/0!</v>
      </c>
    </row>
    <row r="981" spans="8:22" x14ac:dyDescent="0.3">
      <c r="H981" s="10" t="str">
        <f>IF(Planilha1!B978="","",Planilha1!B978)</f>
        <v>7:00p</v>
      </c>
      <c r="I981" s="10" t="str">
        <f>IF(Planilha1!C978="","",Planilha1!C978)</f>
        <v>Brooklyn Nets</v>
      </c>
      <c r="J981" s="10">
        <f>IF(Planilha1!D978="","",Planilha1!D978)</f>
        <v>0</v>
      </c>
      <c r="K981" s="10" t="str">
        <f>IF(Planilha1!E978="","",IF(Planilha1!E978=0,"",Planilha1!E978))</f>
        <v>Orlando Magic</v>
      </c>
      <c r="L981" s="10">
        <f>IF(Planilha1!F978="","",Planilha1!F978)</f>
        <v>0</v>
      </c>
      <c r="M981" s="10" t="str">
        <f>IF(Planilha1!G978="","",IF(Planilha1!G978=0,"",Planilha1!G978))</f>
        <v/>
      </c>
      <c r="N981" s="5">
        <f t="shared" si="127"/>
        <v>1</v>
      </c>
      <c r="O981" s="5">
        <f t="shared" si="128"/>
        <v>0</v>
      </c>
      <c r="P981" s="5">
        <f t="shared" si="121"/>
        <v>0</v>
      </c>
      <c r="Q981" s="5">
        <f t="shared" si="122"/>
        <v>2</v>
      </c>
      <c r="R981" s="7">
        <f t="shared" si="123"/>
        <v>0</v>
      </c>
      <c r="S981" s="7">
        <f t="shared" si="124"/>
        <v>0</v>
      </c>
      <c r="T981" s="3" t="str">
        <f t="shared" si="125"/>
        <v/>
      </c>
      <c r="V981" s="1" t="e">
        <f t="shared" si="126"/>
        <v>#DIV/0!</v>
      </c>
    </row>
    <row r="982" spans="8:22" x14ac:dyDescent="0.3">
      <c r="H982" s="10" t="str">
        <f>IF(Planilha1!B979="","",Planilha1!B979)</f>
        <v>7:30p</v>
      </c>
      <c r="I982" s="10" t="str">
        <f>IF(Planilha1!C979="","",Planilha1!C979)</f>
        <v>Chicago Bulls</v>
      </c>
      <c r="J982" s="10">
        <f>IF(Planilha1!D979="","",Planilha1!D979)</f>
        <v>0</v>
      </c>
      <c r="K982" s="10" t="str">
        <f>IF(Planilha1!E979="","",IF(Planilha1!E979=0,"",Planilha1!E979))</f>
        <v>Indiana Pacers</v>
      </c>
      <c r="L982" s="10">
        <f>IF(Planilha1!F979="","",Planilha1!F979)</f>
        <v>0</v>
      </c>
      <c r="M982" s="10" t="str">
        <f>IF(Planilha1!G979="","",IF(Planilha1!G979=0,"",Planilha1!G979))</f>
        <v/>
      </c>
      <c r="N982" s="5">
        <f t="shared" si="127"/>
        <v>1</v>
      </c>
      <c r="O982" s="5">
        <f t="shared" si="128"/>
        <v>0</v>
      </c>
      <c r="P982" s="5">
        <f t="shared" si="121"/>
        <v>0</v>
      </c>
      <c r="Q982" s="5">
        <f t="shared" si="122"/>
        <v>2</v>
      </c>
      <c r="R982" s="7">
        <f t="shared" si="123"/>
        <v>0</v>
      </c>
      <c r="S982" s="7">
        <f t="shared" si="124"/>
        <v>0</v>
      </c>
      <c r="T982" s="3" t="str">
        <f t="shared" si="125"/>
        <v/>
      </c>
      <c r="V982" s="1" t="e">
        <f t="shared" si="126"/>
        <v>#DIV/0!</v>
      </c>
    </row>
    <row r="983" spans="8:22" x14ac:dyDescent="0.3">
      <c r="H983" s="10" t="str">
        <f>IF(Planilha1!B980="","",Planilha1!B980)</f>
        <v>7:30p</v>
      </c>
      <c r="I983" s="10" t="str">
        <f>IF(Planilha1!C980="","",Planilha1!C980)</f>
        <v>Denver Nuggets</v>
      </c>
      <c r="J983" s="10">
        <f>IF(Planilha1!D980="","",Planilha1!D980)</f>
        <v>0</v>
      </c>
      <c r="K983" s="10" t="str">
        <f>IF(Planilha1!E980="","",IF(Planilha1!E980=0,"",Planilha1!E980))</f>
        <v>Miami Heat</v>
      </c>
      <c r="L983" s="10">
        <f>IF(Planilha1!F980="","",Planilha1!F980)</f>
        <v>0</v>
      </c>
      <c r="M983" s="10" t="str">
        <f>IF(Planilha1!G980="","",IF(Planilha1!G980=0,"",Planilha1!G980))</f>
        <v/>
      </c>
      <c r="N983" s="5">
        <f t="shared" si="127"/>
        <v>1</v>
      </c>
      <c r="O983" s="5">
        <f t="shared" si="128"/>
        <v>0</v>
      </c>
      <c r="P983" s="5">
        <f t="shared" si="121"/>
        <v>0</v>
      </c>
      <c r="Q983" s="5">
        <f t="shared" si="122"/>
        <v>2</v>
      </c>
      <c r="R983" s="7">
        <f t="shared" si="123"/>
        <v>0</v>
      </c>
      <c r="S983" s="7">
        <f t="shared" si="124"/>
        <v>0</v>
      </c>
      <c r="T983" s="3" t="str">
        <f t="shared" si="125"/>
        <v/>
      </c>
      <c r="V983" s="1" t="e">
        <f t="shared" si="126"/>
        <v>#DIV/0!</v>
      </c>
    </row>
    <row r="984" spans="8:22" x14ac:dyDescent="0.3">
      <c r="H984" s="10" t="str">
        <f>IF(Planilha1!B981="","",Planilha1!B981)</f>
        <v>8:00p</v>
      </c>
      <c r="I984" s="10" t="str">
        <f>IF(Planilha1!C981="","",Planilha1!C981)</f>
        <v>Charlotte Hornets</v>
      </c>
      <c r="J984" s="10">
        <f>IF(Planilha1!D981="","",Planilha1!D981)</f>
        <v>0</v>
      </c>
      <c r="K984" s="10" t="str">
        <f>IF(Planilha1!E981="","",IF(Planilha1!E981=0,"",Planilha1!E981))</f>
        <v>Memphis Grizzlies</v>
      </c>
      <c r="L984" s="10">
        <f>IF(Planilha1!F981="","",Planilha1!F981)</f>
        <v>0</v>
      </c>
      <c r="M984" s="10" t="str">
        <f>IF(Planilha1!G981="","",IF(Planilha1!G981=0,"",Planilha1!G981))</f>
        <v/>
      </c>
      <c r="N984" s="5">
        <f t="shared" si="127"/>
        <v>1</v>
      </c>
      <c r="O984" s="5">
        <f t="shared" si="128"/>
        <v>0</v>
      </c>
      <c r="P984" s="5">
        <f t="shared" si="121"/>
        <v>0</v>
      </c>
      <c r="Q984" s="5">
        <f t="shared" si="122"/>
        <v>2</v>
      </c>
      <c r="R984" s="7">
        <f t="shared" si="123"/>
        <v>0</v>
      </c>
      <c r="S984" s="7">
        <f t="shared" si="124"/>
        <v>0</v>
      </c>
      <c r="T984" s="3" t="str">
        <f t="shared" si="125"/>
        <v/>
      </c>
      <c r="V984" s="1" t="e">
        <f t="shared" si="126"/>
        <v>#DIV/0!</v>
      </c>
    </row>
    <row r="985" spans="8:22" x14ac:dyDescent="0.3">
      <c r="H985" s="10" t="str">
        <f>IF(Planilha1!B982="","",Planilha1!B982)</f>
        <v>8:00p</v>
      </c>
      <c r="I985" s="10" t="str">
        <f>IF(Planilha1!C982="","",Planilha1!C982)</f>
        <v>Cleveland Cavaliers</v>
      </c>
      <c r="J985" s="10">
        <f>IF(Planilha1!D982="","",Planilha1!D982)</f>
        <v>0</v>
      </c>
      <c r="K985" s="10" t="str">
        <f>IF(Planilha1!E982="","",IF(Planilha1!E982=0,"",Planilha1!E982))</f>
        <v>New Orleans Pelicans</v>
      </c>
      <c r="L985" s="10">
        <f>IF(Planilha1!F982="","",Planilha1!F982)</f>
        <v>0</v>
      </c>
      <c r="M985" s="10" t="str">
        <f>IF(Planilha1!G982="","",IF(Planilha1!G982=0,"",Planilha1!G982))</f>
        <v/>
      </c>
      <c r="N985" s="5">
        <f t="shared" si="127"/>
        <v>1</v>
      </c>
      <c r="O985" s="5">
        <f t="shared" si="128"/>
        <v>0</v>
      </c>
      <c r="P985" s="5">
        <f t="shared" si="121"/>
        <v>0</v>
      </c>
      <c r="Q985" s="5">
        <f t="shared" si="122"/>
        <v>2</v>
      </c>
      <c r="R985" s="7">
        <f t="shared" si="123"/>
        <v>0</v>
      </c>
      <c r="S985" s="7">
        <f t="shared" si="124"/>
        <v>0</v>
      </c>
      <c r="T985" s="3" t="str">
        <f t="shared" si="125"/>
        <v/>
      </c>
      <c r="V985" s="1" t="e">
        <f t="shared" si="126"/>
        <v>#DIV/0!</v>
      </c>
    </row>
    <row r="986" spans="8:22" x14ac:dyDescent="0.3">
      <c r="H986" s="10" t="str">
        <f>IF(Planilha1!B983="","",Planilha1!B983)</f>
        <v>8:30p</v>
      </c>
      <c r="I986" s="10" t="str">
        <f>IF(Planilha1!C983="","",Planilha1!C983)</f>
        <v>Golden State Warriors</v>
      </c>
      <c r="J986" s="10">
        <f>IF(Planilha1!D983="","",Planilha1!D983)</f>
        <v>0</v>
      </c>
      <c r="K986" s="10" t="str">
        <f>IF(Planilha1!E983="","",IF(Planilha1!E983=0,"",Planilha1!E983))</f>
        <v>Dallas Mavericks</v>
      </c>
      <c r="L986" s="10">
        <f>IF(Planilha1!F983="","",Planilha1!F983)</f>
        <v>0</v>
      </c>
      <c r="M986" s="10" t="str">
        <f>IF(Planilha1!G983="","",IF(Planilha1!G983=0,"",Planilha1!G983))</f>
        <v/>
      </c>
      <c r="N986" s="5">
        <f t="shared" si="127"/>
        <v>1</v>
      </c>
      <c r="O986" s="5">
        <f t="shared" si="128"/>
        <v>0</v>
      </c>
      <c r="P986" s="5">
        <f t="shared" si="121"/>
        <v>0</v>
      </c>
      <c r="Q986" s="5">
        <f t="shared" si="122"/>
        <v>2</v>
      </c>
      <c r="R986" s="7">
        <f t="shared" si="123"/>
        <v>0</v>
      </c>
      <c r="S986" s="7">
        <f t="shared" si="124"/>
        <v>0</v>
      </c>
      <c r="T986" s="3" t="str">
        <f t="shared" si="125"/>
        <v/>
      </c>
      <c r="V986" s="1" t="e">
        <f t="shared" si="126"/>
        <v>#DIV/0!</v>
      </c>
    </row>
    <row r="987" spans="8:22" x14ac:dyDescent="0.3">
      <c r="H987" s="10" t="str">
        <f>IF(Planilha1!B984="","",Planilha1!B984)</f>
        <v>10:00p</v>
      </c>
      <c r="I987" s="10" t="str">
        <f>IF(Planilha1!C984="","",Planilha1!C984)</f>
        <v>Atlanta Hawks</v>
      </c>
      <c r="J987" s="10">
        <f>IF(Planilha1!D984="","",Planilha1!D984)</f>
        <v>0</v>
      </c>
      <c r="K987" s="10" t="str">
        <f>IF(Planilha1!E984="","",IF(Planilha1!E984=0,"",Planilha1!E984))</f>
        <v>Portland Trail Blazers</v>
      </c>
      <c r="L987" s="10">
        <f>IF(Planilha1!F984="","",Planilha1!F984)</f>
        <v>0</v>
      </c>
      <c r="M987" s="10" t="str">
        <f>IF(Planilha1!G984="","",IF(Planilha1!G984=0,"",Planilha1!G984))</f>
        <v/>
      </c>
      <c r="N987" s="5">
        <f t="shared" si="127"/>
        <v>1</v>
      </c>
      <c r="O987" s="5">
        <f t="shared" si="128"/>
        <v>0</v>
      </c>
      <c r="P987" s="5">
        <f t="shared" si="121"/>
        <v>0</v>
      </c>
      <c r="Q987" s="5">
        <f t="shared" si="122"/>
        <v>2</v>
      </c>
      <c r="R987" s="7">
        <f t="shared" si="123"/>
        <v>0</v>
      </c>
      <c r="S987" s="7">
        <f t="shared" si="124"/>
        <v>0</v>
      </c>
      <c r="T987" s="3" t="str">
        <f t="shared" si="125"/>
        <v/>
      </c>
      <c r="V987" s="1" t="e">
        <f t="shared" si="126"/>
        <v>#DIV/0!</v>
      </c>
    </row>
    <row r="988" spans="8:22" x14ac:dyDescent="0.3">
      <c r="H988" s="10" t="str">
        <f>IF(Planilha1!B985="","",Planilha1!B985)</f>
        <v>10:00p</v>
      </c>
      <c r="I988" s="10" t="str">
        <f>IF(Planilha1!C985="","",Planilha1!C985)</f>
        <v>Los Angeles Lakers</v>
      </c>
      <c r="J988" s="10">
        <f>IF(Planilha1!D985="","",Planilha1!D985)</f>
        <v>0</v>
      </c>
      <c r="K988" s="10" t="str">
        <f>IF(Planilha1!E985="","",IF(Planilha1!E985=0,"",Planilha1!E985))</f>
        <v>Sacramento Kings</v>
      </c>
      <c r="L988" s="10">
        <f>IF(Planilha1!F985="","",Planilha1!F985)</f>
        <v>0</v>
      </c>
      <c r="M988" s="10" t="str">
        <f>IF(Planilha1!G985="","",IF(Planilha1!G985=0,"",Planilha1!G985))</f>
        <v/>
      </c>
      <c r="N988" s="5">
        <f t="shared" si="127"/>
        <v>1</v>
      </c>
      <c r="O988" s="5">
        <f t="shared" si="128"/>
        <v>0</v>
      </c>
      <c r="P988" s="5">
        <f t="shared" si="121"/>
        <v>0</v>
      </c>
      <c r="Q988" s="5">
        <f t="shared" si="122"/>
        <v>2</v>
      </c>
      <c r="R988" s="7">
        <f t="shared" si="123"/>
        <v>0</v>
      </c>
      <c r="S988" s="7">
        <f t="shared" si="124"/>
        <v>0</v>
      </c>
      <c r="T988" s="3" t="str">
        <f t="shared" si="125"/>
        <v/>
      </c>
      <c r="V988" s="1" t="e">
        <f t="shared" si="126"/>
        <v>#DIV/0!</v>
      </c>
    </row>
    <row r="989" spans="8:22" x14ac:dyDescent="0.3">
      <c r="H989" s="10" t="str">
        <f>IF(Planilha1!B986="","",Planilha1!B986)</f>
        <v>7:30p</v>
      </c>
      <c r="I989" s="10" t="str">
        <f>IF(Planilha1!C986="","",Planilha1!C986)</f>
        <v>Phoenix Suns</v>
      </c>
      <c r="J989" s="10">
        <f>IF(Planilha1!D986="","",Planilha1!D986)</f>
        <v>0</v>
      </c>
      <c r="K989" s="10" t="str">
        <f>IF(Planilha1!E986="","",IF(Planilha1!E986=0,"",Planilha1!E986))</f>
        <v>Boston Celtics</v>
      </c>
      <c r="L989" s="10">
        <f>IF(Planilha1!F986="","",Planilha1!F986)</f>
        <v>0</v>
      </c>
      <c r="M989" s="10" t="str">
        <f>IF(Planilha1!G986="","",IF(Planilha1!G986=0,"",Planilha1!G986))</f>
        <v/>
      </c>
      <c r="N989" s="5">
        <f t="shared" si="127"/>
        <v>1</v>
      </c>
      <c r="O989" s="5">
        <f t="shared" si="128"/>
        <v>0</v>
      </c>
      <c r="P989" s="5">
        <f t="shared" si="121"/>
        <v>0</v>
      </c>
      <c r="Q989" s="5">
        <f t="shared" si="122"/>
        <v>2</v>
      </c>
      <c r="R989" s="7">
        <f t="shared" si="123"/>
        <v>0</v>
      </c>
      <c r="S989" s="7">
        <f t="shared" si="124"/>
        <v>0</v>
      </c>
      <c r="T989" s="3" t="str">
        <f t="shared" si="125"/>
        <v/>
      </c>
      <c r="V989" s="1" t="e">
        <f t="shared" si="126"/>
        <v>#DIV/0!</v>
      </c>
    </row>
    <row r="990" spans="8:22" x14ac:dyDescent="0.3">
      <c r="H990" s="10" t="str">
        <f>IF(Planilha1!B987="","",Planilha1!B987)</f>
        <v>8:00p</v>
      </c>
      <c r="I990" s="10" t="str">
        <f>IF(Planilha1!C987="","",Planilha1!C987)</f>
        <v>Los Angeles Clippers</v>
      </c>
      <c r="J990" s="10">
        <f>IF(Planilha1!D987="","",Planilha1!D987)</f>
        <v>0</v>
      </c>
      <c r="K990" s="10" t="str">
        <f>IF(Planilha1!E987="","",IF(Planilha1!E987=0,"",Planilha1!E987))</f>
        <v>Chicago Bulls</v>
      </c>
      <c r="L990" s="10">
        <f>IF(Planilha1!F987="","",Planilha1!F987)</f>
        <v>0</v>
      </c>
      <c r="M990" s="10" t="str">
        <f>IF(Planilha1!G987="","",IF(Planilha1!G987=0,"",Planilha1!G987))</f>
        <v/>
      </c>
      <c r="N990" s="5">
        <f t="shared" si="127"/>
        <v>1</v>
      </c>
      <c r="O990" s="5">
        <f t="shared" si="128"/>
        <v>0</v>
      </c>
      <c r="P990" s="5">
        <f t="shared" si="121"/>
        <v>0</v>
      </c>
      <c r="Q990" s="5">
        <f t="shared" si="122"/>
        <v>2</v>
      </c>
      <c r="R990" s="7">
        <f t="shared" si="123"/>
        <v>0</v>
      </c>
      <c r="S990" s="7">
        <f t="shared" si="124"/>
        <v>0</v>
      </c>
      <c r="T990" s="3" t="str">
        <f t="shared" si="125"/>
        <v/>
      </c>
      <c r="V990" s="1" t="e">
        <f t="shared" si="126"/>
        <v>#DIV/0!</v>
      </c>
    </row>
    <row r="991" spans="8:22" x14ac:dyDescent="0.3">
      <c r="H991" s="10" t="str">
        <f>IF(Planilha1!B988="","",Planilha1!B988)</f>
        <v>8:00p</v>
      </c>
      <c r="I991" s="10" t="str">
        <f>IF(Planilha1!C988="","",Planilha1!C988)</f>
        <v>Washington Wizards</v>
      </c>
      <c r="J991" s="10">
        <f>IF(Planilha1!D988="","",Planilha1!D988)</f>
        <v>0</v>
      </c>
      <c r="K991" s="10" t="str">
        <f>IF(Planilha1!E988="","",IF(Planilha1!E988=0,"",Planilha1!E988))</f>
        <v>Houston Rockets</v>
      </c>
      <c r="L991" s="10">
        <f>IF(Planilha1!F988="","",Planilha1!F988)</f>
        <v>0</v>
      </c>
      <c r="M991" s="10" t="str">
        <f>IF(Planilha1!G988="","",IF(Planilha1!G988=0,"",Planilha1!G988))</f>
        <v/>
      </c>
      <c r="N991" s="5">
        <f t="shared" si="127"/>
        <v>1</v>
      </c>
      <c r="O991" s="5">
        <f t="shared" si="128"/>
        <v>0</v>
      </c>
      <c r="P991" s="5">
        <f t="shared" si="121"/>
        <v>0</v>
      </c>
      <c r="Q991" s="5">
        <f t="shared" si="122"/>
        <v>2</v>
      </c>
      <c r="R991" s="7">
        <f t="shared" si="123"/>
        <v>0</v>
      </c>
      <c r="S991" s="7">
        <f t="shared" si="124"/>
        <v>0</v>
      </c>
      <c r="T991" s="3" t="str">
        <f t="shared" si="125"/>
        <v/>
      </c>
      <c r="V991" s="1" t="e">
        <f t="shared" si="126"/>
        <v>#DIV/0!</v>
      </c>
    </row>
    <row r="992" spans="8:22" x14ac:dyDescent="0.3">
      <c r="H992" s="10" t="str">
        <f>IF(Planilha1!B989="","",Planilha1!B989)</f>
        <v>8:00p</v>
      </c>
      <c r="I992" s="10" t="str">
        <f>IF(Planilha1!C989="","",Planilha1!C989)</f>
        <v>Philadelphia 76ers</v>
      </c>
      <c r="J992" s="10">
        <f>IF(Planilha1!D989="","",Planilha1!D989)</f>
        <v>0</v>
      </c>
      <c r="K992" s="10" t="str">
        <f>IF(Planilha1!E989="","",IF(Planilha1!E989=0,"",Planilha1!E989))</f>
        <v>Milwaukee Bucks</v>
      </c>
      <c r="L992" s="10">
        <f>IF(Planilha1!F989="","",Planilha1!F989)</f>
        <v>0</v>
      </c>
      <c r="M992" s="10" t="str">
        <f>IF(Planilha1!G989="","",IF(Planilha1!G989=0,"",Planilha1!G989))</f>
        <v/>
      </c>
      <c r="N992" s="5">
        <f t="shared" si="127"/>
        <v>1</v>
      </c>
      <c r="O992" s="5">
        <f t="shared" si="128"/>
        <v>0</v>
      </c>
      <c r="P992" s="5">
        <f t="shared" si="121"/>
        <v>0</v>
      </c>
      <c r="Q992" s="5">
        <f t="shared" si="122"/>
        <v>2</v>
      </c>
      <c r="R992" s="7">
        <f t="shared" si="123"/>
        <v>0</v>
      </c>
      <c r="S992" s="7">
        <f t="shared" si="124"/>
        <v>0</v>
      </c>
      <c r="T992" s="3" t="str">
        <f t="shared" si="125"/>
        <v/>
      </c>
      <c r="V992" s="1" t="e">
        <f t="shared" si="126"/>
        <v>#DIV/0!</v>
      </c>
    </row>
    <row r="993" spans="8:22" x14ac:dyDescent="0.3">
      <c r="H993" s="10" t="str">
        <f>IF(Planilha1!B990="","",Planilha1!B990)</f>
        <v>10:00p</v>
      </c>
      <c r="I993" s="10" t="str">
        <f>IF(Planilha1!C990="","",Planilha1!C990)</f>
        <v>Dallas Mavericks</v>
      </c>
      <c r="J993" s="10">
        <f>IF(Planilha1!D990="","",Planilha1!D990)</f>
        <v>0</v>
      </c>
      <c r="K993" s="10" t="str">
        <f>IF(Planilha1!E990="","",IF(Planilha1!E990=0,"",Planilha1!E990))</f>
        <v>Oklahoma City Thunder</v>
      </c>
      <c r="L993" s="10">
        <f>IF(Planilha1!F990="","",Planilha1!F990)</f>
        <v>0</v>
      </c>
      <c r="M993" s="10" t="str">
        <f>IF(Planilha1!G990="","",IF(Planilha1!G990=0,"",Planilha1!G990))</f>
        <v/>
      </c>
      <c r="N993" s="5">
        <f t="shared" si="127"/>
        <v>1</v>
      </c>
      <c r="O993" s="5">
        <f t="shared" si="128"/>
        <v>0</v>
      </c>
      <c r="P993" s="5">
        <f t="shared" si="121"/>
        <v>0</v>
      </c>
      <c r="Q993" s="5">
        <f t="shared" si="122"/>
        <v>2</v>
      </c>
      <c r="R993" s="7">
        <f t="shared" si="123"/>
        <v>0</v>
      </c>
      <c r="S993" s="7">
        <f t="shared" si="124"/>
        <v>0</v>
      </c>
      <c r="T993" s="3" t="str">
        <f t="shared" si="125"/>
        <v/>
      </c>
      <c r="V993" s="1" t="e">
        <f t="shared" si="126"/>
        <v>#DIV/0!</v>
      </c>
    </row>
    <row r="994" spans="8:22" x14ac:dyDescent="0.3">
      <c r="H994" s="10" t="str">
        <f>IF(Planilha1!B991="","",Planilha1!B991)</f>
        <v>10:00p</v>
      </c>
      <c r="I994" s="10" t="str">
        <f>IF(Planilha1!C991="","",Planilha1!C991)</f>
        <v>New York Knicks</v>
      </c>
      <c r="J994" s="10">
        <f>IF(Planilha1!D991="","",Planilha1!D991)</f>
        <v>0</v>
      </c>
      <c r="K994" s="10" t="str">
        <f>IF(Planilha1!E991="","",IF(Planilha1!E991=0,"",Planilha1!E991))</f>
        <v>Portland Trail Blazers</v>
      </c>
      <c r="L994" s="10">
        <f>IF(Planilha1!F991="","",Planilha1!F991)</f>
        <v>0</v>
      </c>
      <c r="M994" s="10" t="str">
        <f>IF(Planilha1!G991="","",IF(Planilha1!G991=0,"",Planilha1!G991))</f>
        <v/>
      </c>
      <c r="N994" s="5">
        <f t="shared" si="127"/>
        <v>1</v>
      </c>
      <c r="O994" s="5">
        <f t="shared" si="128"/>
        <v>0</v>
      </c>
      <c r="P994" s="5">
        <f t="shared" si="121"/>
        <v>0</v>
      </c>
      <c r="Q994" s="5">
        <f t="shared" si="122"/>
        <v>2</v>
      </c>
      <c r="R994" s="7">
        <f t="shared" si="123"/>
        <v>0</v>
      </c>
      <c r="S994" s="7">
        <f t="shared" si="124"/>
        <v>0</v>
      </c>
      <c r="T994" s="3" t="str">
        <f t="shared" si="125"/>
        <v/>
      </c>
      <c r="V994" s="1" t="e">
        <f t="shared" si="126"/>
        <v>#DIV/0!</v>
      </c>
    </row>
    <row r="995" spans="8:22" x14ac:dyDescent="0.3">
      <c r="H995" s="10" t="str">
        <f>IF(Planilha1!B992="","",Planilha1!B992)</f>
        <v>7:00p</v>
      </c>
      <c r="I995" s="10" t="str">
        <f>IF(Planilha1!C992="","",Planilha1!C992)</f>
        <v>Phoenix Suns</v>
      </c>
      <c r="J995" s="10">
        <f>IF(Planilha1!D992="","",Planilha1!D992)</f>
        <v>0</v>
      </c>
      <c r="K995" s="10" t="str">
        <f>IF(Planilha1!E992="","",IF(Planilha1!E992=0,"",Planilha1!E992))</f>
        <v>Charlotte Hornets</v>
      </c>
      <c r="L995" s="10">
        <f>IF(Planilha1!F992="","",Planilha1!F992)</f>
        <v>0</v>
      </c>
      <c r="M995" s="10" t="str">
        <f>IF(Planilha1!G992="","",IF(Planilha1!G992=0,"",Planilha1!G992))</f>
        <v/>
      </c>
      <c r="N995" s="5">
        <f t="shared" si="127"/>
        <v>1</v>
      </c>
      <c r="O995" s="5">
        <f t="shared" si="128"/>
        <v>0</v>
      </c>
      <c r="P995" s="5">
        <f t="shared" si="121"/>
        <v>0</v>
      </c>
      <c r="Q995" s="5">
        <f t="shared" si="122"/>
        <v>2</v>
      </c>
      <c r="R995" s="7">
        <f t="shared" si="123"/>
        <v>0</v>
      </c>
      <c r="S995" s="7">
        <f t="shared" si="124"/>
        <v>0</v>
      </c>
      <c r="T995" s="3" t="str">
        <f t="shared" si="125"/>
        <v/>
      </c>
      <c r="V995" s="1" t="e">
        <f t="shared" si="126"/>
        <v>#DIV/0!</v>
      </c>
    </row>
    <row r="996" spans="8:22" x14ac:dyDescent="0.3">
      <c r="H996" s="10" t="str">
        <f>IF(Planilha1!B993="","",Planilha1!B993)</f>
        <v>7:00p</v>
      </c>
      <c r="I996" s="10" t="str">
        <f>IF(Planilha1!C993="","",Planilha1!C993)</f>
        <v>Miami Heat</v>
      </c>
      <c r="J996" s="10">
        <f>IF(Planilha1!D993="","",Planilha1!D993)</f>
        <v>0</v>
      </c>
      <c r="K996" s="10" t="str">
        <f>IF(Planilha1!E993="","",IF(Planilha1!E993=0,"",Planilha1!E993))</f>
        <v>Detroit Pistons</v>
      </c>
      <c r="L996" s="10">
        <f>IF(Planilha1!F993="","",Planilha1!F993)</f>
        <v>0</v>
      </c>
      <c r="M996" s="10" t="str">
        <f>IF(Planilha1!G993="","",IF(Planilha1!G993=0,"",Planilha1!G993))</f>
        <v/>
      </c>
      <c r="N996" s="5">
        <f t="shared" si="127"/>
        <v>1</v>
      </c>
      <c r="O996" s="5">
        <f t="shared" si="128"/>
        <v>0</v>
      </c>
      <c r="P996" s="5">
        <f t="shared" si="121"/>
        <v>0</v>
      </c>
      <c r="Q996" s="5">
        <f t="shared" si="122"/>
        <v>2</v>
      </c>
      <c r="R996" s="7">
        <f t="shared" si="123"/>
        <v>0</v>
      </c>
      <c r="S996" s="7">
        <f t="shared" si="124"/>
        <v>0</v>
      </c>
      <c r="T996" s="3" t="str">
        <f t="shared" si="125"/>
        <v/>
      </c>
      <c r="V996" s="1" t="e">
        <f t="shared" si="126"/>
        <v>#DIV/0!</v>
      </c>
    </row>
    <row r="997" spans="8:22" x14ac:dyDescent="0.3">
      <c r="H997" s="10" t="str">
        <f>IF(Planilha1!B994="","",Planilha1!B994)</f>
        <v>7:30p</v>
      </c>
      <c r="I997" s="10" t="str">
        <f>IF(Planilha1!C994="","",Planilha1!C994)</f>
        <v>Orlando Magic</v>
      </c>
      <c r="J997" s="10">
        <f>IF(Planilha1!D994="","",Planilha1!D994)</f>
        <v>0</v>
      </c>
      <c r="K997" s="10" t="str">
        <f>IF(Planilha1!E994="","",IF(Planilha1!E994=0,"",Planilha1!E994))</f>
        <v>Toronto Raptors</v>
      </c>
      <c r="L997" s="10">
        <f>IF(Planilha1!F994="","",Planilha1!F994)</f>
        <v>0</v>
      </c>
      <c r="M997" s="10" t="str">
        <f>IF(Planilha1!G994="","",IF(Planilha1!G994=0,"",Planilha1!G994))</f>
        <v/>
      </c>
      <c r="N997" s="5">
        <f t="shared" si="127"/>
        <v>1</v>
      </c>
      <c r="O997" s="5">
        <f t="shared" si="128"/>
        <v>0</v>
      </c>
      <c r="P997" s="5">
        <f t="shared" si="121"/>
        <v>0</v>
      </c>
      <c r="Q997" s="5">
        <f t="shared" si="122"/>
        <v>2</v>
      </c>
      <c r="R997" s="7">
        <f t="shared" si="123"/>
        <v>0</v>
      </c>
      <c r="S997" s="7">
        <f t="shared" si="124"/>
        <v>0</v>
      </c>
      <c r="T997" s="3" t="str">
        <f t="shared" si="125"/>
        <v/>
      </c>
      <c r="V997" s="1" t="e">
        <f t="shared" si="126"/>
        <v>#DIV/0!</v>
      </c>
    </row>
    <row r="998" spans="8:22" x14ac:dyDescent="0.3">
      <c r="H998" s="10" t="str">
        <f>IF(Planilha1!B995="","",Planilha1!B995)</f>
        <v>8:00p</v>
      </c>
      <c r="I998" s="10" t="str">
        <f>IF(Planilha1!C995="","",Planilha1!C995)</f>
        <v>Los Angeles Clippers</v>
      </c>
      <c r="J998" s="10">
        <f>IF(Planilha1!D995="","",Planilha1!D995)</f>
        <v>0</v>
      </c>
      <c r="K998" s="10" t="str">
        <f>IF(Planilha1!E995="","",IF(Planilha1!E995=0,"",Planilha1!E995))</f>
        <v>New Orleans Pelicans</v>
      </c>
      <c r="L998" s="10">
        <f>IF(Planilha1!F995="","",Planilha1!F995)</f>
        <v>0</v>
      </c>
      <c r="M998" s="10" t="str">
        <f>IF(Planilha1!G995="","",IF(Planilha1!G995=0,"",Planilha1!G995))</f>
        <v/>
      </c>
      <c r="N998" s="5">
        <f t="shared" si="127"/>
        <v>1</v>
      </c>
      <c r="O998" s="5">
        <f t="shared" si="128"/>
        <v>0</v>
      </c>
      <c r="P998" s="5">
        <f t="shared" si="121"/>
        <v>0</v>
      </c>
      <c r="Q998" s="5">
        <f t="shared" si="122"/>
        <v>2</v>
      </c>
      <c r="R998" s="7">
        <f t="shared" si="123"/>
        <v>0</v>
      </c>
      <c r="S998" s="7">
        <f t="shared" si="124"/>
        <v>0</v>
      </c>
      <c r="T998" s="3" t="str">
        <f t="shared" si="125"/>
        <v/>
      </c>
      <c r="V998" s="1" t="e">
        <f t="shared" si="126"/>
        <v>#DIV/0!</v>
      </c>
    </row>
    <row r="999" spans="8:22" x14ac:dyDescent="0.3">
      <c r="H999" s="10" t="str">
        <f>IF(Planilha1!B996="","",Planilha1!B996)</f>
        <v>8:30p</v>
      </c>
      <c r="I999" s="10" t="str">
        <f>IF(Planilha1!C996="","",Planilha1!C996)</f>
        <v>Denver Nuggets</v>
      </c>
      <c r="J999" s="10">
        <f>IF(Planilha1!D996="","",Planilha1!D996)</f>
        <v>0</v>
      </c>
      <c r="K999" s="10" t="str">
        <f>IF(Planilha1!E996="","",IF(Planilha1!E996=0,"",Planilha1!E996))</f>
        <v>San Antonio Spurs</v>
      </c>
      <c r="L999" s="10">
        <f>IF(Planilha1!F996="","",Planilha1!F996)</f>
        <v>0</v>
      </c>
      <c r="M999" s="10" t="str">
        <f>IF(Planilha1!G996="","",IF(Planilha1!G996=0,"",Planilha1!G996))</f>
        <v/>
      </c>
      <c r="N999" s="5">
        <f t="shared" si="127"/>
        <v>1</v>
      </c>
      <c r="O999" s="5">
        <f t="shared" si="128"/>
        <v>0</v>
      </c>
      <c r="P999" s="5">
        <f t="shared" si="121"/>
        <v>0</v>
      </c>
      <c r="Q999" s="5">
        <f t="shared" si="122"/>
        <v>2</v>
      </c>
      <c r="R999" s="7">
        <f t="shared" si="123"/>
        <v>0</v>
      </c>
      <c r="S999" s="7">
        <f t="shared" si="124"/>
        <v>0</v>
      </c>
      <c r="T999" s="3" t="str">
        <f t="shared" si="125"/>
        <v/>
      </c>
      <c r="V999" s="1" t="e">
        <f t="shared" si="126"/>
        <v>#DIV/0!</v>
      </c>
    </row>
    <row r="1000" spans="8:22" x14ac:dyDescent="0.3">
      <c r="H1000" s="10" t="str">
        <f>IF(Planilha1!B997="","",Planilha1!B997)</f>
        <v>9:30p</v>
      </c>
      <c r="I1000" s="10" t="str">
        <f>IF(Planilha1!C997="","",Planilha1!C997)</f>
        <v>Atlanta Hawks</v>
      </c>
      <c r="J1000" s="10">
        <f>IF(Planilha1!D997="","",Planilha1!D997)</f>
        <v>0</v>
      </c>
      <c r="K1000" s="10" t="str">
        <f>IF(Planilha1!E997="","",IF(Planilha1!E997=0,"",Planilha1!E997))</f>
        <v>Utah Jazz</v>
      </c>
      <c r="L1000" s="10">
        <f>IF(Planilha1!F997="","",Planilha1!F997)</f>
        <v>0</v>
      </c>
      <c r="M1000" s="10" t="str">
        <f>IF(Planilha1!G997="","",IF(Planilha1!G997=0,"",Planilha1!G997))</f>
        <v/>
      </c>
      <c r="N1000" s="5">
        <f t="shared" si="127"/>
        <v>1</v>
      </c>
      <c r="O1000" s="5">
        <f t="shared" si="128"/>
        <v>0</v>
      </c>
      <c r="P1000" s="5">
        <f t="shared" si="121"/>
        <v>0</v>
      </c>
      <c r="Q1000" s="5">
        <f t="shared" si="122"/>
        <v>2</v>
      </c>
      <c r="R1000" s="7">
        <f t="shared" si="123"/>
        <v>0</v>
      </c>
      <c r="S1000" s="7">
        <f t="shared" si="124"/>
        <v>0</v>
      </c>
      <c r="T1000" s="3" t="str">
        <f t="shared" si="125"/>
        <v/>
      </c>
      <c r="V1000" s="1" t="e">
        <f t="shared" si="126"/>
        <v>#DIV/0!</v>
      </c>
    </row>
    <row r="1001" spans="8:22" x14ac:dyDescent="0.3">
      <c r="H1001" s="10" t="str">
        <f>IF(Planilha1!B998="","",Planilha1!B998)</f>
        <v>5:00p</v>
      </c>
      <c r="I1001" s="10" t="str">
        <f>IF(Planilha1!C998="","",Planilha1!C998)</f>
        <v>Cleveland Cavaliers</v>
      </c>
      <c r="J1001" s="10">
        <f>IF(Planilha1!D998="","",Planilha1!D998)</f>
        <v>0</v>
      </c>
      <c r="K1001" s="10" t="str">
        <f>IF(Planilha1!E998="","",IF(Planilha1!E998=0,"",Planilha1!E998))</f>
        <v>Houston Rockets</v>
      </c>
      <c r="L1001" s="10">
        <f>IF(Planilha1!F998="","",Planilha1!F998)</f>
        <v>0</v>
      </c>
      <c r="M1001" s="10" t="str">
        <f>IF(Planilha1!G998="","",IF(Planilha1!G998=0,"",Planilha1!G998))</f>
        <v/>
      </c>
      <c r="N1001" s="5">
        <f t="shared" si="127"/>
        <v>1</v>
      </c>
      <c r="O1001" s="5">
        <f t="shared" si="128"/>
        <v>0</v>
      </c>
      <c r="P1001" s="5">
        <f t="shared" si="121"/>
        <v>0</v>
      </c>
      <c r="Q1001" s="5">
        <f t="shared" si="122"/>
        <v>2</v>
      </c>
      <c r="R1001" s="7">
        <f t="shared" si="123"/>
        <v>0</v>
      </c>
      <c r="S1001" s="7">
        <f t="shared" si="124"/>
        <v>0</v>
      </c>
      <c r="T1001" s="3" t="str">
        <f t="shared" si="125"/>
        <v/>
      </c>
      <c r="V1001" s="1" t="e">
        <f t="shared" si="126"/>
        <v>#DIV/0!</v>
      </c>
    </row>
    <row r="1002" spans="8:22" x14ac:dyDescent="0.3">
      <c r="H1002" s="10" t="str">
        <f>IF(Planilha1!B999="","",Planilha1!B999)</f>
        <v>7:00p</v>
      </c>
      <c r="I1002" s="10" t="str">
        <f>IF(Planilha1!C999="","",Planilha1!C999)</f>
        <v>Brooklyn Nets</v>
      </c>
      <c r="J1002" s="10">
        <f>IF(Planilha1!D999="","",Planilha1!D999)</f>
        <v>0</v>
      </c>
      <c r="K1002" s="10" t="str">
        <f>IF(Planilha1!E999="","",IF(Planilha1!E999=0,"",Planilha1!E999))</f>
        <v>Indiana Pacers</v>
      </c>
      <c r="L1002" s="10">
        <f>IF(Planilha1!F999="","",Planilha1!F999)</f>
        <v>0</v>
      </c>
      <c r="M1002" s="10" t="str">
        <f>IF(Planilha1!G999="","",IF(Planilha1!G999=0,"",Planilha1!G999))</f>
        <v/>
      </c>
      <c r="N1002" s="5">
        <f t="shared" si="127"/>
        <v>1</v>
      </c>
      <c r="O1002" s="5">
        <f t="shared" si="128"/>
        <v>0</v>
      </c>
      <c r="P1002" s="5">
        <f t="shared" si="121"/>
        <v>0</v>
      </c>
      <c r="Q1002" s="5">
        <f t="shared" si="122"/>
        <v>2</v>
      </c>
      <c r="R1002" s="7">
        <f t="shared" si="123"/>
        <v>0</v>
      </c>
      <c r="S1002" s="7">
        <f t="shared" si="124"/>
        <v>0</v>
      </c>
      <c r="T1002" s="3" t="str">
        <f t="shared" si="125"/>
        <v/>
      </c>
      <c r="V1002" s="1" t="e">
        <f t="shared" si="126"/>
        <v>#DIV/0!</v>
      </c>
    </row>
    <row r="1003" spans="8:22" x14ac:dyDescent="0.3">
      <c r="H1003" s="10" t="str">
        <f>IF(Planilha1!B1000="","",Planilha1!B1000)</f>
        <v>7:00p</v>
      </c>
      <c r="I1003" s="10" t="str">
        <f>IF(Planilha1!C1000="","",Planilha1!C1000)</f>
        <v>Portland Trail Blazers</v>
      </c>
      <c r="J1003" s="10">
        <f>IF(Planilha1!D1000="","",Planilha1!D1000)</f>
        <v>0</v>
      </c>
      <c r="K1003" s="10" t="str">
        <f>IF(Planilha1!E1000="","",IF(Planilha1!E1000=0,"",Planilha1!E1000))</f>
        <v>New Orleans Pelicans</v>
      </c>
      <c r="L1003" s="10">
        <f>IF(Planilha1!F1000="","",Planilha1!F1000)</f>
        <v>0</v>
      </c>
      <c r="M1003" s="10" t="str">
        <f>IF(Planilha1!G1000="","",IF(Planilha1!G1000=0,"",Planilha1!G1000))</f>
        <v/>
      </c>
      <c r="N1003" s="5">
        <f t="shared" si="127"/>
        <v>1</v>
      </c>
      <c r="O1003" s="5">
        <f t="shared" si="128"/>
        <v>0</v>
      </c>
      <c r="P1003" s="5">
        <f t="shared" si="121"/>
        <v>0</v>
      </c>
      <c r="Q1003" s="5">
        <f t="shared" si="122"/>
        <v>2</v>
      </c>
      <c r="R1003" s="7">
        <f t="shared" si="123"/>
        <v>0</v>
      </c>
      <c r="S1003" s="7">
        <f t="shared" si="124"/>
        <v>0</v>
      </c>
      <c r="T1003" s="3" t="str">
        <f t="shared" si="125"/>
        <v/>
      </c>
      <c r="V1003" s="1" t="e">
        <f t="shared" si="126"/>
        <v>#DIV/0!</v>
      </c>
    </row>
    <row r="1004" spans="8:22" x14ac:dyDescent="0.3">
      <c r="H1004" s="10" t="str">
        <f>IF(Planilha1!B1001="","",Planilha1!B1001)</f>
        <v>7:00p</v>
      </c>
      <c r="I1004" s="10" t="str">
        <f>IF(Planilha1!C1001="","",Planilha1!C1001)</f>
        <v>Charlotte Hornets</v>
      </c>
      <c r="J1004" s="10">
        <f>IF(Planilha1!D1001="","",Planilha1!D1001)</f>
        <v>0</v>
      </c>
      <c r="K1004" s="10" t="str">
        <f>IF(Planilha1!E1001="","",IF(Planilha1!E1001=0,"",Planilha1!E1001))</f>
        <v>Philadelphia 76ers</v>
      </c>
      <c r="L1004" s="10">
        <f>IF(Planilha1!F1001="","",Planilha1!F1001)</f>
        <v>0</v>
      </c>
      <c r="M1004" s="10" t="str">
        <f>IF(Planilha1!G1001="","",IF(Planilha1!G1001=0,"",Planilha1!G1001))</f>
        <v/>
      </c>
      <c r="N1004" s="5">
        <f t="shared" si="127"/>
        <v>1</v>
      </c>
      <c r="O1004" s="5">
        <f t="shared" si="128"/>
        <v>0</v>
      </c>
      <c r="P1004" s="5">
        <f t="shared" si="121"/>
        <v>0</v>
      </c>
      <c r="Q1004" s="5">
        <f t="shared" si="122"/>
        <v>2</v>
      </c>
      <c r="R1004" s="7">
        <f t="shared" si="123"/>
        <v>0</v>
      </c>
      <c r="S1004" s="7">
        <f t="shared" si="124"/>
        <v>0</v>
      </c>
      <c r="T1004" s="3" t="str">
        <f t="shared" si="125"/>
        <v/>
      </c>
      <c r="V1004" s="1" t="e">
        <f t="shared" si="126"/>
        <v>#DIV/0!</v>
      </c>
    </row>
    <row r="1005" spans="8:22" x14ac:dyDescent="0.3">
      <c r="H1005" s="10" t="str">
        <f>IF(Planilha1!B1002="","",Planilha1!B1002)</f>
        <v>8:00p</v>
      </c>
      <c r="I1005" s="10" t="str">
        <f>IF(Planilha1!C1002="","",Planilha1!C1002)</f>
        <v>Washington Wizards</v>
      </c>
      <c r="J1005" s="10">
        <f>IF(Planilha1!D1002="","",Planilha1!D1002)</f>
        <v>0</v>
      </c>
      <c r="K1005" s="10" t="str">
        <f>IF(Planilha1!E1002="","",IF(Planilha1!E1002=0,"",Planilha1!E1002))</f>
        <v>Chicago Bulls</v>
      </c>
      <c r="L1005" s="10">
        <f>IF(Planilha1!F1002="","",Planilha1!F1002)</f>
        <v>0</v>
      </c>
      <c r="M1005" s="10" t="str">
        <f>IF(Planilha1!G1002="","",IF(Planilha1!G1002=0,"",Planilha1!G1002))</f>
        <v/>
      </c>
      <c r="N1005" s="5">
        <f t="shared" si="127"/>
        <v>1</v>
      </c>
      <c r="O1005" s="5">
        <f t="shared" si="128"/>
        <v>0</v>
      </c>
      <c r="P1005" s="5">
        <f t="shared" si="121"/>
        <v>0</v>
      </c>
      <c r="Q1005" s="5">
        <f t="shared" si="122"/>
        <v>2</v>
      </c>
      <c r="R1005" s="7">
        <f t="shared" si="123"/>
        <v>0</v>
      </c>
      <c r="S1005" s="7">
        <f t="shared" si="124"/>
        <v>0</v>
      </c>
      <c r="T1005" s="3" t="str">
        <f t="shared" si="125"/>
        <v/>
      </c>
      <c r="V1005" s="1" t="e">
        <f t="shared" si="126"/>
        <v>#DIV/0!</v>
      </c>
    </row>
    <row r="1006" spans="8:22" x14ac:dyDescent="0.3">
      <c r="H1006" s="10" t="str">
        <f>IF(Planilha1!B1003="","",Planilha1!B1003)</f>
        <v>8:00p</v>
      </c>
      <c r="I1006" s="10" t="str">
        <f>IF(Planilha1!C1003="","",Planilha1!C1003)</f>
        <v>Oklahoma City Thunder</v>
      </c>
      <c r="J1006" s="10">
        <f>IF(Planilha1!D1003="","",Planilha1!D1003)</f>
        <v>0</v>
      </c>
      <c r="K1006" s="10" t="str">
        <f>IF(Planilha1!E1003="","",IF(Planilha1!E1003=0,"",Planilha1!E1003))</f>
        <v>Memphis Grizzlies</v>
      </c>
      <c r="L1006" s="10">
        <f>IF(Planilha1!F1003="","",Planilha1!F1003)</f>
        <v>0</v>
      </c>
      <c r="M1006" s="10" t="str">
        <f>IF(Planilha1!G1003="","",IF(Planilha1!G1003=0,"",Planilha1!G1003))</f>
        <v/>
      </c>
      <c r="N1006" s="5">
        <f t="shared" si="127"/>
        <v>1</v>
      </c>
      <c r="O1006" s="5">
        <f t="shared" si="128"/>
        <v>0</v>
      </c>
      <c r="P1006" s="5">
        <f t="shared" si="121"/>
        <v>0</v>
      </c>
      <c r="Q1006" s="5">
        <f t="shared" si="122"/>
        <v>2</v>
      </c>
      <c r="R1006" s="7">
        <f t="shared" si="123"/>
        <v>0</v>
      </c>
      <c r="S1006" s="7">
        <f t="shared" si="124"/>
        <v>0</v>
      </c>
      <c r="T1006" s="3" t="str">
        <f t="shared" si="125"/>
        <v/>
      </c>
      <c r="V1006" s="1" t="e">
        <f t="shared" si="126"/>
        <v>#DIV/0!</v>
      </c>
    </row>
    <row r="1007" spans="8:22" x14ac:dyDescent="0.3">
      <c r="H1007" s="10" t="str">
        <f>IF(Planilha1!B1004="","",Planilha1!B1004)</f>
        <v>8:30p</v>
      </c>
      <c r="I1007" s="10" t="str">
        <f>IF(Planilha1!C1004="","",Planilha1!C1004)</f>
        <v>Golden State Warriors</v>
      </c>
      <c r="J1007" s="10">
        <f>IF(Planilha1!D1004="","",Planilha1!D1004)</f>
        <v>0</v>
      </c>
      <c r="K1007" s="10" t="str">
        <f>IF(Planilha1!E1004="","",IF(Planilha1!E1004=0,"",Planilha1!E1004))</f>
        <v>Los Angeles Lakers</v>
      </c>
      <c r="L1007" s="10">
        <f>IF(Planilha1!F1004="","",Planilha1!F1004)</f>
        <v>0</v>
      </c>
      <c r="M1007" s="10" t="str">
        <f>IF(Planilha1!G1004="","",IF(Planilha1!G1004=0,"",Planilha1!G1004))</f>
        <v/>
      </c>
      <c r="N1007" s="5">
        <f t="shared" si="127"/>
        <v>1</v>
      </c>
      <c r="O1007" s="5">
        <f t="shared" si="128"/>
        <v>0</v>
      </c>
      <c r="P1007" s="5">
        <f t="shared" si="121"/>
        <v>0</v>
      </c>
      <c r="Q1007" s="5">
        <f t="shared" si="122"/>
        <v>2</v>
      </c>
      <c r="R1007" s="7">
        <f t="shared" si="123"/>
        <v>0</v>
      </c>
      <c r="S1007" s="7">
        <f t="shared" si="124"/>
        <v>0</v>
      </c>
      <c r="T1007" s="3" t="str">
        <f t="shared" si="125"/>
        <v/>
      </c>
      <c r="V1007" s="1" t="e">
        <f t="shared" si="126"/>
        <v>#DIV/0!</v>
      </c>
    </row>
    <row r="1008" spans="8:22" x14ac:dyDescent="0.3">
      <c r="H1008" s="10" t="str">
        <f>IF(Planilha1!B1005="","",Planilha1!B1005)</f>
        <v>9:30p</v>
      </c>
      <c r="I1008" s="10" t="str">
        <f>IF(Planilha1!C1005="","",Planilha1!C1005)</f>
        <v>Minnesota Timberwolves</v>
      </c>
      <c r="J1008" s="10">
        <f>IF(Planilha1!D1005="","",Planilha1!D1005)</f>
        <v>0</v>
      </c>
      <c r="K1008" s="10" t="str">
        <f>IF(Planilha1!E1005="","",IF(Planilha1!E1005=0,"",Planilha1!E1005))</f>
        <v>Utah Jazz</v>
      </c>
      <c r="L1008" s="10">
        <f>IF(Planilha1!F1005="","",Planilha1!F1005)</f>
        <v>0</v>
      </c>
      <c r="M1008" s="10" t="str">
        <f>IF(Planilha1!G1005="","",IF(Planilha1!G1005=0,"",Planilha1!G1005))</f>
        <v/>
      </c>
      <c r="N1008" s="5">
        <f t="shared" si="127"/>
        <v>1</v>
      </c>
      <c r="O1008" s="5">
        <f t="shared" si="128"/>
        <v>0</v>
      </c>
      <c r="P1008" s="5">
        <f t="shared" si="121"/>
        <v>0</v>
      </c>
      <c r="Q1008" s="5">
        <f t="shared" si="122"/>
        <v>2</v>
      </c>
      <c r="R1008" s="7">
        <f t="shared" si="123"/>
        <v>0</v>
      </c>
      <c r="S1008" s="7">
        <f t="shared" si="124"/>
        <v>0</v>
      </c>
      <c r="T1008" s="3" t="str">
        <f t="shared" si="125"/>
        <v/>
      </c>
      <c r="V1008" s="1" t="e">
        <f t="shared" si="126"/>
        <v>#DIV/0!</v>
      </c>
    </row>
    <row r="1009" spans="8:22" x14ac:dyDescent="0.3">
      <c r="H1009" s="10" t="str">
        <f>IF(Planilha1!B1006="","",Planilha1!B1006)</f>
        <v>10:00p</v>
      </c>
      <c r="I1009" s="10" t="str">
        <f>IF(Planilha1!C1006="","",Planilha1!C1006)</f>
        <v>New York Knicks</v>
      </c>
      <c r="J1009" s="10">
        <f>IF(Planilha1!D1006="","",Planilha1!D1006)</f>
        <v>0</v>
      </c>
      <c r="K1009" s="10" t="str">
        <f>IF(Planilha1!E1006="","",IF(Planilha1!E1006=0,"",Planilha1!E1006))</f>
        <v>Sacramento Kings</v>
      </c>
      <c r="L1009" s="10">
        <f>IF(Planilha1!F1006="","",Planilha1!F1006)</f>
        <v>0</v>
      </c>
      <c r="M1009" s="10" t="str">
        <f>IF(Planilha1!G1006="","",IF(Planilha1!G1006=0,"",Planilha1!G1006))</f>
        <v/>
      </c>
      <c r="N1009" s="5">
        <f t="shared" si="127"/>
        <v>1</v>
      </c>
      <c r="O1009" s="5">
        <f t="shared" si="128"/>
        <v>0</v>
      </c>
      <c r="P1009" s="5">
        <f t="shared" si="121"/>
        <v>0</v>
      </c>
      <c r="Q1009" s="5">
        <f t="shared" si="122"/>
        <v>2</v>
      </c>
      <c r="R1009" s="7">
        <f t="shared" si="123"/>
        <v>0</v>
      </c>
      <c r="S1009" s="7">
        <f t="shared" si="124"/>
        <v>0</v>
      </c>
      <c r="T1009" s="3" t="str">
        <f t="shared" si="125"/>
        <v/>
      </c>
      <c r="V1009" s="1" t="e">
        <f t="shared" si="126"/>
        <v>#DIV/0!</v>
      </c>
    </row>
    <row r="1010" spans="8:22" x14ac:dyDescent="0.3">
      <c r="H1010" s="10" t="str">
        <f>IF(Planilha1!B1007="","",Planilha1!B1007)</f>
        <v>1:00p</v>
      </c>
      <c r="I1010" s="10" t="str">
        <f>IF(Planilha1!C1007="","",Planilha1!C1007)</f>
        <v>Phoenix Suns</v>
      </c>
      <c r="J1010" s="10">
        <f>IF(Planilha1!D1007="","",Planilha1!D1007)</f>
        <v>0</v>
      </c>
      <c r="K1010" s="10" t="str">
        <f>IF(Planilha1!E1007="","",IF(Planilha1!E1007=0,"",Planilha1!E1007))</f>
        <v>Milwaukee Bucks</v>
      </c>
      <c r="L1010" s="10">
        <f>IF(Planilha1!F1007="","",Planilha1!F1007)</f>
        <v>0</v>
      </c>
      <c r="M1010" s="10" t="str">
        <f>IF(Planilha1!G1007="","",IF(Planilha1!G1007=0,"",Planilha1!G1007))</f>
        <v/>
      </c>
      <c r="N1010" s="5">
        <f t="shared" si="127"/>
        <v>1</v>
      </c>
      <c r="O1010" s="5">
        <f t="shared" si="128"/>
        <v>0</v>
      </c>
      <c r="P1010" s="5">
        <f t="shared" si="121"/>
        <v>0</v>
      </c>
      <c r="Q1010" s="5">
        <f t="shared" si="122"/>
        <v>2</v>
      </c>
      <c r="R1010" s="7">
        <f t="shared" si="123"/>
        <v>0</v>
      </c>
      <c r="S1010" s="7">
        <f t="shared" si="124"/>
        <v>0</v>
      </c>
      <c r="T1010" s="3" t="str">
        <f t="shared" si="125"/>
        <v/>
      </c>
      <c r="V1010" s="1" t="e">
        <f t="shared" si="126"/>
        <v>#DIV/0!</v>
      </c>
    </row>
    <row r="1011" spans="8:22" x14ac:dyDescent="0.3">
      <c r="H1011" s="10" t="str">
        <f>IF(Planilha1!B1008="","",Planilha1!B1008)</f>
        <v>3:00p</v>
      </c>
      <c r="I1011" s="10" t="str">
        <f>IF(Planilha1!C1008="","",Planilha1!C1008)</f>
        <v>Miami Heat</v>
      </c>
      <c r="J1011" s="10">
        <f>IF(Planilha1!D1008="","",Planilha1!D1008)</f>
        <v>0</v>
      </c>
      <c r="K1011" s="10" t="str">
        <f>IF(Planilha1!E1008="","",IF(Planilha1!E1008=0,"",Planilha1!E1008))</f>
        <v>Detroit Pistons</v>
      </c>
      <c r="L1011" s="10">
        <f>IF(Planilha1!F1008="","",Planilha1!F1008)</f>
        <v>0</v>
      </c>
      <c r="M1011" s="10" t="str">
        <f>IF(Planilha1!G1008="","",IF(Planilha1!G1008=0,"",Planilha1!G1008))</f>
        <v/>
      </c>
      <c r="N1011" s="5">
        <f t="shared" si="127"/>
        <v>1</v>
      </c>
      <c r="O1011" s="5">
        <f t="shared" si="128"/>
        <v>0</v>
      </c>
      <c r="P1011" s="5">
        <f t="shared" si="121"/>
        <v>0</v>
      </c>
      <c r="Q1011" s="5">
        <f t="shared" si="122"/>
        <v>2</v>
      </c>
      <c r="R1011" s="7">
        <f t="shared" si="123"/>
        <v>0</v>
      </c>
      <c r="S1011" s="7">
        <f t="shared" si="124"/>
        <v>0</v>
      </c>
      <c r="T1011" s="3" t="str">
        <f t="shared" si="125"/>
        <v/>
      </c>
      <c r="V1011" s="1" t="e">
        <f t="shared" si="126"/>
        <v>#DIV/0!</v>
      </c>
    </row>
    <row r="1012" spans="8:22" x14ac:dyDescent="0.3">
      <c r="H1012" s="10" t="str">
        <f>IF(Planilha1!B1009="","",Planilha1!B1009)</f>
        <v>3:30p</v>
      </c>
      <c r="I1012" s="10" t="str">
        <f>IF(Planilha1!C1009="","",Planilha1!C1009)</f>
        <v>Denver Nuggets</v>
      </c>
      <c r="J1012" s="10">
        <f>IF(Planilha1!D1009="","",Planilha1!D1009)</f>
        <v>0</v>
      </c>
      <c r="K1012" s="10" t="str">
        <f>IF(Planilha1!E1009="","",IF(Planilha1!E1009=0,"",Planilha1!E1009))</f>
        <v>Dallas Mavericks</v>
      </c>
      <c r="L1012" s="10">
        <f>IF(Planilha1!F1009="","",Planilha1!F1009)</f>
        <v>0</v>
      </c>
      <c r="M1012" s="10" t="str">
        <f>IF(Planilha1!G1009="","",IF(Planilha1!G1009=0,"",Planilha1!G1009))</f>
        <v/>
      </c>
      <c r="N1012" s="5">
        <f t="shared" si="127"/>
        <v>1</v>
      </c>
      <c r="O1012" s="5">
        <f t="shared" si="128"/>
        <v>0</v>
      </c>
      <c r="P1012" s="5">
        <f t="shared" si="121"/>
        <v>0</v>
      </c>
      <c r="Q1012" s="5">
        <f t="shared" si="122"/>
        <v>2</v>
      </c>
      <c r="R1012" s="7">
        <f t="shared" si="123"/>
        <v>0</v>
      </c>
      <c r="S1012" s="7">
        <f t="shared" si="124"/>
        <v>0</v>
      </c>
      <c r="T1012" s="3" t="str">
        <f t="shared" si="125"/>
        <v/>
      </c>
      <c r="V1012" s="1" t="e">
        <f t="shared" si="126"/>
        <v>#DIV/0!</v>
      </c>
    </row>
    <row r="1013" spans="8:22" x14ac:dyDescent="0.3">
      <c r="H1013" s="10" t="str">
        <f>IF(Planilha1!B1010="","",Planilha1!B1010)</f>
        <v>6:00p</v>
      </c>
      <c r="I1013" s="10" t="str">
        <f>IF(Planilha1!C1010="","",Planilha1!C1010)</f>
        <v>Toronto Raptors</v>
      </c>
      <c r="J1013" s="10">
        <f>IF(Planilha1!D1010="","",Planilha1!D1010)</f>
        <v>0</v>
      </c>
      <c r="K1013" s="10" t="str">
        <f>IF(Planilha1!E1010="","",IF(Planilha1!E1010=0,"",Planilha1!E1010))</f>
        <v>Orlando Magic</v>
      </c>
      <c r="L1013" s="10">
        <f>IF(Planilha1!F1010="","",Planilha1!F1010)</f>
        <v>0</v>
      </c>
      <c r="M1013" s="10" t="str">
        <f>IF(Planilha1!G1010="","",IF(Planilha1!G1010=0,"",Planilha1!G1010))</f>
        <v/>
      </c>
      <c r="N1013" s="5">
        <f t="shared" si="127"/>
        <v>1</v>
      </c>
      <c r="O1013" s="5">
        <f t="shared" si="128"/>
        <v>0</v>
      </c>
      <c r="P1013" s="5">
        <f t="shared" si="121"/>
        <v>0</v>
      </c>
      <c r="Q1013" s="5">
        <f t="shared" si="122"/>
        <v>2</v>
      </c>
      <c r="R1013" s="7">
        <f t="shared" si="123"/>
        <v>0</v>
      </c>
      <c r="S1013" s="7">
        <f t="shared" si="124"/>
        <v>0</v>
      </c>
      <c r="T1013" s="3" t="str">
        <f t="shared" si="125"/>
        <v/>
      </c>
      <c r="V1013" s="1" t="e">
        <f t="shared" si="126"/>
        <v>#DIV/0!</v>
      </c>
    </row>
    <row r="1014" spans="8:22" x14ac:dyDescent="0.3">
      <c r="H1014" s="10" t="str">
        <f>IF(Planilha1!B1011="","",Planilha1!B1011)</f>
        <v>6:00p</v>
      </c>
      <c r="I1014" s="10" t="str">
        <f>IF(Planilha1!C1011="","",Planilha1!C1011)</f>
        <v>Boston Celtics</v>
      </c>
      <c r="J1014" s="10">
        <f>IF(Planilha1!D1011="","",Planilha1!D1011)</f>
        <v>0</v>
      </c>
      <c r="K1014" s="10" t="str">
        <f>IF(Planilha1!E1011="","",IF(Planilha1!E1011=0,"",Planilha1!E1011))</f>
        <v>Washington Wizards</v>
      </c>
      <c r="L1014" s="10">
        <f>IF(Planilha1!F1011="","",Planilha1!F1011)</f>
        <v>0</v>
      </c>
      <c r="M1014" s="10" t="str">
        <f>IF(Planilha1!G1011="","",IF(Planilha1!G1011=0,"",Planilha1!G1011))</f>
        <v/>
      </c>
      <c r="N1014" s="5">
        <f t="shared" si="127"/>
        <v>1</v>
      </c>
      <c r="O1014" s="5">
        <f t="shared" si="128"/>
        <v>0</v>
      </c>
      <c r="P1014" s="5">
        <f t="shared" si="121"/>
        <v>0</v>
      </c>
      <c r="Q1014" s="5">
        <f t="shared" si="122"/>
        <v>2</v>
      </c>
      <c r="R1014" s="7">
        <f t="shared" si="123"/>
        <v>0</v>
      </c>
      <c r="S1014" s="7">
        <f t="shared" si="124"/>
        <v>0</v>
      </c>
      <c r="T1014" s="3" t="str">
        <f t="shared" si="125"/>
        <v/>
      </c>
      <c r="V1014" s="1" t="e">
        <f t="shared" si="126"/>
        <v>#DIV/0!</v>
      </c>
    </row>
    <row r="1015" spans="8:22" x14ac:dyDescent="0.3">
      <c r="H1015" s="10" t="str">
        <f>IF(Planilha1!B1012="","",Planilha1!B1012)</f>
        <v>7:00p</v>
      </c>
      <c r="I1015" s="10" t="str">
        <f>IF(Planilha1!C1012="","",Planilha1!C1012)</f>
        <v>Brooklyn Nets</v>
      </c>
      <c r="J1015" s="10">
        <f>IF(Planilha1!D1012="","",Planilha1!D1012)</f>
        <v>0</v>
      </c>
      <c r="K1015" s="10" t="str">
        <f>IF(Planilha1!E1012="","",IF(Planilha1!E1012=0,"",Planilha1!E1012))</f>
        <v>San Antonio Spurs</v>
      </c>
      <c r="L1015" s="10">
        <f>IF(Planilha1!F1012="","",Planilha1!F1012)</f>
        <v>0</v>
      </c>
      <c r="M1015" s="10" t="str">
        <f>IF(Planilha1!G1012="","",IF(Planilha1!G1012=0,"",Planilha1!G1012))</f>
        <v/>
      </c>
      <c r="N1015" s="5">
        <f t="shared" si="127"/>
        <v>1</v>
      </c>
      <c r="O1015" s="5">
        <f t="shared" si="128"/>
        <v>0</v>
      </c>
      <c r="P1015" s="5">
        <f t="shared" si="121"/>
        <v>0</v>
      </c>
      <c r="Q1015" s="5">
        <f t="shared" si="122"/>
        <v>2</v>
      </c>
      <c r="R1015" s="7">
        <f t="shared" si="123"/>
        <v>0</v>
      </c>
      <c r="S1015" s="7">
        <f t="shared" si="124"/>
        <v>0</v>
      </c>
      <c r="T1015" s="3" t="str">
        <f t="shared" si="125"/>
        <v/>
      </c>
      <c r="V1015" s="1" t="e">
        <f t="shared" si="126"/>
        <v>#DIV/0!</v>
      </c>
    </row>
    <row r="1016" spans="8:22" x14ac:dyDescent="0.3">
      <c r="H1016" s="10" t="str">
        <f>IF(Planilha1!B1013="","",Planilha1!B1013)</f>
        <v>9:30p</v>
      </c>
      <c r="I1016" s="10" t="str">
        <f>IF(Planilha1!C1013="","",Planilha1!C1013)</f>
        <v>Atlanta Hawks</v>
      </c>
      <c r="J1016" s="10">
        <f>IF(Planilha1!D1013="","",Planilha1!D1013)</f>
        <v>0</v>
      </c>
      <c r="K1016" s="10" t="str">
        <f>IF(Planilha1!E1013="","",IF(Planilha1!E1013=0,"",Planilha1!E1013))</f>
        <v>Los Angeles Clippers</v>
      </c>
      <c r="L1016" s="10">
        <f>IF(Planilha1!F1013="","",Planilha1!F1013)</f>
        <v>0</v>
      </c>
      <c r="M1016" s="10" t="str">
        <f>IF(Planilha1!G1013="","",IF(Planilha1!G1013=0,"",Planilha1!G1013))</f>
        <v/>
      </c>
      <c r="N1016" s="5">
        <f t="shared" si="127"/>
        <v>1</v>
      </c>
      <c r="O1016" s="5">
        <f t="shared" si="128"/>
        <v>0</v>
      </c>
      <c r="P1016" s="5">
        <f t="shared" si="121"/>
        <v>0</v>
      </c>
      <c r="Q1016" s="5">
        <f t="shared" si="122"/>
        <v>2</v>
      </c>
      <c r="R1016" s="7">
        <f t="shared" si="123"/>
        <v>0</v>
      </c>
      <c r="S1016" s="7">
        <f t="shared" si="124"/>
        <v>0</v>
      </c>
      <c r="T1016" s="3" t="str">
        <f t="shared" si="125"/>
        <v/>
      </c>
      <c r="V1016" s="1" t="e">
        <f t="shared" si="126"/>
        <v>#DIV/0!</v>
      </c>
    </row>
    <row r="1017" spans="8:22" x14ac:dyDescent="0.3">
      <c r="H1017" s="10" t="str">
        <f>IF(Planilha1!B1014="","",Planilha1!B1014)</f>
        <v>7:00p</v>
      </c>
      <c r="I1017" s="10" t="str">
        <f>IF(Planilha1!C1014="","",Planilha1!C1014)</f>
        <v>Cleveland Cavaliers</v>
      </c>
      <c r="J1017" s="10">
        <f>IF(Planilha1!D1014="","",Planilha1!D1014)</f>
        <v>0</v>
      </c>
      <c r="K1017" s="10" t="str">
        <f>IF(Planilha1!E1014="","",IF(Planilha1!E1014=0,"",Planilha1!E1014))</f>
        <v>Indiana Pacers</v>
      </c>
      <c r="L1017" s="10">
        <f>IF(Planilha1!F1014="","",Planilha1!F1014)</f>
        <v>0</v>
      </c>
      <c r="M1017" s="10" t="str">
        <f>IF(Planilha1!G1014="","",IF(Planilha1!G1014=0,"",Planilha1!G1014))</f>
        <v/>
      </c>
      <c r="N1017" s="5">
        <f t="shared" si="127"/>
        <v>1</v>
      </c>
      <c r="O1017" s="5">
        <f t="shared" si="128"/>
        <v>0</v>
      </c>
      <c r="P1017" s="5">
        <f t="shared" si="121"/>
        <v>0</v>
      </c>
      <c r="Q1017" s="5">
        <f t="shared" si="122"/>
        <v>2</v>
      </c>
      <c r="R1017" s="7">
        <f t="shared" si="123"/>
        <v>0</v>
      </c>
      <c r="S1017" s="7">
        <f t="shared" si="124"/>
        <v>0</v>
      </c>
      <c r="T1017" s="3" t="str">
        <f t="shared" si="125"/>
        <v/>
      </c>
      <c r="V1017" s="1" t="e">
        <f t="shared" si="126"/>
        <v>#DIV/0!</v>
      </c>
    </row>
    <row r="1018" spans="8:22" x14ac:dyDescent="0.3">
      <c r="H1018" s="10" t="str">
        <f>IF(Planilha1!B1015="","",Planilha1!B1015)</f>
        <v>7:30p</v>
      </c>
      <c r="I1018" s="10" t="str">
        <f>IF(Planilha1!C1015="","",Planilha1!C1015)</f>
        <v>Detroit Pistons</v>
      </c>
      <c r="J1018" s="10">
        <f>IF(Planilha1!D1015="","",Planilha1!D1015)</f>
        <v>0</v>
      </c>
      <c r="K1018" s="10" t="str">
        <f>IF(Planilha1!E1015="","",IF(Planilha1!E1015=0,"",Planilha1!E1015))</f>
        <v>Boston Celtics</v>
      </c>
      <c r="L1018" s="10">
        <f>IF(Planilha1!F1015="","",Planilha1!F1015)</f>
        <v>0</v>
      </c>
      <c r="M1018" s="10" t="str">
        <f>IF(Planilha1!G1015="","",IF(Planilha1!G1015=0,"",Planilha1!G1015))</f>
        <v/>
      </c>
      <c r="N1018" s="5">
        <f t="shared" si="127"/>
        <v>1</v>
      </c>
      <c r="O1018" s="5">
        <f t="shared" si="128"/>
        <v>0</v>
      </c>
      <c r="P1018" s="5">
        <f t="shared" si="121"/>
        <v>0</v>
      </c>
      <c r="Q1018" s="5">
        <f t="shared" si="122"/>
        <v>2</v>
      </c>
      <c r="R1018" s="7">
        <f t="shared" si="123"/>
        <v>0</v>
      </c>
      <c r="S1018" s="7">
        <f t="shared" si="124"/>
        <v>0</v>
      </c>
      <c r="T1018" s="3" t="str">
        <f t="shared" si="125"/>
        <v/>
      </c>
      <c r="V1018" s="1" t="e">
        <f t="shared" si="126"/>
        <v>#DIV/0!</v>
      </c>
    </row>
    <row r="1019" spans="8:22" x14ac:dyDescent="0.3">
      <c r="H1019" s="10" t="str">
        <f>IF(Planilha1!B1016="","",Planilha1!B1016)</f>
        <v>7:30p</v>
      </c>
      <c r="I1019" s="10" t="str">
        <f>IF(Planilha1!C1016="","",Planilha1!C1016)</f>
        <v>Miami Heat</v>
      </c>
      <c r="J1019" s="10">
        <f>IF(Planilha1!D1016="","",Planilha1!D1016)</f>
        <v>0</v>
      </c>
      <c r="K1019" s="10" t="str">
        <f>IF(Planilha1!E1016="","",IF(Planilha1!E1016=0,"",Planilha1!E1016))</f>
        <v>Philadelphia 76ers</v>
      </c>
      <c r="L1019" s="10">
        <f>IF(Planilha1!F1016="","",Planilha1!F1016)</f>
        <v>0</v>
      </c>
      <c r="M1019" s="10" t="str">
        <f>IF(Planilha1!G1016="","",IF(Planilha1!G1016=0,"",Planilha1!G1016))</f>
        <v/>
      </c>
      <c r="N1019" s="5">
        <f t="shared" si="127"/>
        <v>1</v>
      </c>
      <c r="O1019" s="5">
        <f t="shared" si="128"/>
        <v>0</v>
      </c>
      <c r="P1019" s="5">
        <f t="shared" si="121"/>
        <v>0</v>
      </c>
      <c r="Q1019" s="5">
        <f t="shared" si="122"/>
        <v>2</v>
      </c>
      <c r="R1019" s="7">
        <f t="shared" si="123"/>
        <v>0</v>
      </c>
      <c r="S1019" s="7">
        <f t="shared" si="124"/>
        <v>0</v>
      </c>
      <c r="T1019" s="3" t="str">
        <f t="shared" si="125"/>
        <v/>
      </c>
      <c r="V1019" s="1" t="e">
        <f t="shared" si="126"/>
        <v>#DIV/0!</v>
      </c>
    </row>
    <row r="1020" spans="8:22" x14ac:dyDescent="0.3">
      <c r="H1020" s="10" t="str">
        <f>IF(Planilha1!B1017="","",Planilha1!B1017)</f>
        <v>8:00p</v>
      </c>
      <c r="I1020" s="10" t="str">
        <f>IF(Planilha1!C1017="","",Planilha1!C1017)</f>
        <v>Portland Trail Blazers</v>
      </c>
      <c r="J1020" s="10">
        <f>IF(Planilha1!D1017="","",Planilha1!D1017)</f>
        <v>0</v>
      </c>
      <c r="K1020" s="10" t="str">
        <f>IF(Planilha1!E1017="","",IF(Planilha1!E1017=0,"",Planilha1!E1017))</f>
        <v>Chicago Bulls</v>
      </c>
      <c r="L1020" s="10">
        <f>IF(Planilha1!F1017="","",Planilha1!F1017)</f>
        <v>0</v>
      </c>
      <c r="M1020" s="10" t="str">
        <f>IF(Planilha1!G1017="","",IF(Planilha1!G1017=0,"",Planilha1!G1017))</f>
        <v/>
      </c>
      <c r="N1020" s="5">
        <f t="shared" si="127"/>
        <v>1</v>
      </c>
      <c r="O1020" s="5">
        <f t="shared" si="128"/>
        <v>0</v>
      </c>
      <c r="P1020" s="5">
        <f t="shared" si="121"/>
        <v>0</v>
      </c>
      <c r="Q1020" s="5">
        <f t="shared" si="122"/>
        <v>2</v>
      </c>
      <c r="R1020" s="7">
        <f t="shared" si="123"/>
        <v>0</v>
      </c>
      <c r="S1020" s="7">
        <f t="shared" si="124"/>
        <v>0</v>
      </c>
      <c r="T1020" s="3" t="str">
        <f t="shared" si="125"/>
        <v/>
      </c>
      <c r="V1020" s="1" t="e">
        <f t="shared" si="126"/>
        <v>#DIV/0!</v>
      </c>
    </row>
    <row r="1021" spans="8:22" x14ac:dyDescent="0.3">
      <c r="H1021" s="10" t="str">
        <f>IF(Planilha1!B1018="","",Planilha1!B1018)</f>
        <v>9:00p</v>
      </c>
      <c r="I1021" s="10" t="str">
        <f>IF(Planilha1!C1018="","",Planilha1!C1018)</f>
        <v>Minnesota Timberwolves</v>
      </c>
      <c r="J1021" s="10">
        <f>IF(Planilha1!D1018="","",Planilha1!D1018)</f>
        <v>0</v>
      </c>
      <c r="K1021" s="10" t="str">
        <f>IF(Planilha1!E1018="","",IF(Planilha1!E1018=0,"",Planilha1!E1018))</f>
        <v>Utah Jazz</v>
      </c>
      <c r="L1021" s="10">
        <f>IF(Planilha1!F1018="","",Planilha1!F1018)</f>
        <v>0</v>
      </c>
      <c r="M1021" s="10" t="str">
        <f>IF(Planilha1!G1018="","",IF(Planilha1!G1018=0,"",Planilha1!G1018))</f>
        <v/>
      </c>
      <c r="N1021" s="5">
        <f t="shared" si="127"/>
        <v>1</v>
      </c>
      <c r="O1021" s="5">
        <f t="shared" si="128"/>
        <v>0</v>
      </c>
      <c r="P1021" s="5">
        <f t="shared" si="121"/>
        <v>0</v>
      </c>
      <c r="Q1021" s="5">
        <f t="shared" si="122"/>
        <v>2</v>
      </c>
      <c r="R1021" s="7">
        <f t="shared" si="123"/>
        <v>0</v>
      </c>
      <c r="S1021" s="7">
        <f t="shared" si="124"/>
        <v>0</v>
      </c>
      <c r="T1021" s="3" t="str">
        <f t="shared" si="125"/>
        <v/>
      </c>
      <c r="V1021" s="1" t="e">
        <f t="shared" si="126"/>
        <v>#DIV/0!</v>
      </c>
    </row>
    <row r="1022" spans="8:22" x14ac:dyDescent="0.3">
      <c r="H1022" s="10" t="str">
        <f>IF(Planilha1!B1019="","",Planilha1!B1019)</f>
        <v>10:00p</v>
      </c>
      <c r="I1022" s="10" t="str">
        <f>IF(Planilha1!C1019="","",Planilha1!C1019)</f>
        <v>New York Knicks</v>
      </c>
      <c r="J1022" s="10">
        <f>IF(Planilha1!D1019="","",Planilha1!D1019)</f>
        <v>0</v>
      </c>
      <c r="K1022" s="10" t="str">
        <f>IF(Planilha1!E1019="","",IF(Planilha1!E1019=0,"",Planilha1!E1019))</f>
        <v>Golden State Warriors</v>
      </c>
      <c r="L1022" s="10">
        <f>IF(Planilha1!F1019="","",Planilha1!F1019)</f>
        <v>0</v>
      </c>
      <c r="M1022" s="10" t="str">
        <f>IF(Planilha1!G1019="","",IF(Planilha1!G1019=0,"",Planilha1!G1019))</f>
        <v/>
      </c>
      <c r="N1022" s="5">
        <f t="shared" si="127"/>
        <v>1</v>
      </c>
      <c r="O1022" s="5">
        <f t="shared" si="128"/>
        <v>0</v>
      </c>
      <c r="P1022" s="5">
        <f t="shared" si="121"/>
        <v>0</v>
      </c>
      <c r="Q1022" s="5">
        <f t="shared" si="122"/>
        <v>2</v>
      </c>
      <c r="R1022" s="7">
        <f t="shared" si="123"/>
        <v>0</v>
      </c>
      <c r="S1022" s="7">
        <f t="shared" si="124"/>
        <v>0</v>
      </c>
      <c r="T1022" s="3" t="str">
        <f t="shared" si="125"/>
        <v/>
      </c>
      <c r="V1022" s="1" t="e">
        <f t="shared" si="126"/>
        <v>#DIV/0!</v>
      </c>
    </row>
    <row r="1023" spans="8:22" x14ac:dyDescent="0.3">
      <c r="H1023" s="10" t="str">
        <f>IF(Planilha1!B1020="","",Planilha1!B1020)</f>
        <v>10:00p</v>
      </c>
      <c r="I1023" s="10" t="str">
        <f>IF(Planilha1!C1020="","",Planilha1!C1020)</f>
        <v>Memphis Grizzlies</v>
      </c>
      <c r="J1023" s="10">
        <f>IF(Planilha1!D1020="","",Planilha1!D1020)</f>
        <v>0</v>
      </c>
      <c r="K1023" s="10" t="str">
        <f>IF(Planilha1!E1020="","",IF(Planilha1!E1020=0,"",Planilha1!E1020))</f>
        <v>Sacramento Kings</v>
      </c>
      <c r="L1023" s="10">
        <f>IF(Planilha1!F1020="","",Planilha1!F1020)</f>
        <v>0</v>
      </c>
      <c r="M1023" s="10" t="str">
        <f>IF(Planilha1!G1020="","",IF(Planilha1!G1020=0,"",Planilha1!G1020))</f>
        <v/>
      </c>
      <c r="N1023" s="5">
        <f t="shared" si="127"/>
        <v>1</v>
      </c>
      <c r="O1023" s="5">
        <f t="shared" si="128"/>
        <v>0</v>
      </c>
      <c r="P1023" s="5">
        <f t="shared" si="121"/>
        <v>0</v>
      </c>
      <c r="Q1023" s="5">
        <f t="shared" si="122"/>
        <v>2</v>
      </c>
      <c r="R1023" s="7">
        <f t="shared" si="123"/>
        <v>0</v>
      </c>
      <c r="S1023" s="7">
        <f t="shared" si="124"/>
        <v>0</v>
      </c>
      <c r="T1023" s="3" t="str">
        <f t="shared" si="125"/>
        <v/>
      </c>
      <c r="V1023" s="1" t="e">
        <f t="shared" si="126"/>
        <v>#DIV/0!</v>
      </c>
    </row>
    <row r="1024" spans="8:22" x14ac:dyDescent="0.3">
      <c r="H1024" s="10" t="str">
        <f>IF(Planilha1!B1021="","",Planilha1!B1021)</f>
        <v>10:30p</v>
      </c>
      <c r="I1024" s="10" t="str">
        <f>IF(Planilha1!C1021="","",Planilha1!C1021)</f>
        <v>Atlanta Hawks</v>
      </c>
      <c r="J1024" s="10">
        <f>IF(Planilha1!D1021="","",Planilha1!D1021)</f>
        <v>0</v>
      </c>
      <c r="K1024" s="10" t="str">
        <f>IF(Planilha1!E1021="","",IF(Planilha1!E1021=0,"",Planilha1!E1021))</f>
        <v>Los Angeles Lakers</v>
      </c>
      <c r="L1024" s="10">
        <f>IF(Planilha1!F1021="","",Planilha1!F1021)</f>
        <v>0</v>
      </c>
      <c r="M1024" s="10" t="str">
        <f>IF(Planilha1!G1021="","",IF(Planilha1!G1021=0,"",Planilha1!G1021))</f>
        <v/>
      </c>
      <c r="N1024" s="5">
        <f t="shared" si="127"/>
        <v>1</v>
      </c>
      <c r="O1024" s="5">
        <f t="shared" si="128"/>
        <v>0</v>
      </c>
      <c r="P1024" s="5">
        <f t="shared" si="121"/>
        <v>0</v>
      </c>
      <c r="Q1024" s="5">
        <f t="shared" si="122"/>
        <v>2</v>
      </c>
      <c r="R1024" s="7">
        <f t="shared" si="123"/>
        <v>0</v>
      </c>
      <c r="S1024" s="7">
        <f t="shared" si="124"/>
        <v>0</v>
      </c>
      <c r="T1024" s="3" t="str">
        <f t="shared" si="125"/>
        <v/>
      </c>
      <c r="V1024" s="1" t="e">
        <f t="shared" si="126"/>
        <v>#DIV/0!</v>
      </c>
    </row>
    <row r="1025" spans="8:22" x14ac:dyDescent="0.3">
      <c r="H1025" s="10" t="str">
        <f>IF(Planilha1!B1022="","",Planilha1!B1022)</f>
        <v>7:00p</v>
      </c>
      <c r="I1025" s="10" t="str">
        <f>IF(Planilha1!C1022="","",Planilha1!C1022)</f>
        <v>Charlotte Hornets</v>
      </c>
      <c r="J1025" s="10">
        <f>IF(Planilha1!D1022="","",Planilha1!D1022)</f>
        <v>0</v>
      </c>
      <c r="K1025" s="10" t="str">
        <f>IF(Planilha1!E1022="","",IF(Planilha1!E1022=0,"",Planilha1!E1022))</f>
        <v>Orlando Magic</v>
      </c>
      <c r="L1025" s="10">
        <f>IF(Planilha1!F1022="","",Planilha1!F1022)</f>
        <v>0</v>
      </c>
      <c r="M1025" s="10" t="str">
        <f>IF(Planilha1!G1022="","",IF(Planilha1!G1022=0,"",Planilha1!G1022))</f>
        <v/>
      </c>
      <c r="N1025" s="5">
        <f t="shared" si="127"/>
        <v>1</v>
      </c>
      <c r="O1025" s="5">
        <f t="shared" si="128"/>
        <v>0</v>
      </c>
      <c r="P1025" s="5">
        <f t="shared" si="121"/>
        <v>0</v>
      </c>
      <c r="Q1025" s="5">
        <f t="shared" si="122"/>
        <v>2</v>
      </c>
      <c r="R1025" s="7">
        <f t="shared" si="123"/>
        <v>0</v>
      </c>
      <c r="S1025" s="7">
        <f t="shared" si="124"/>
        <v>0</v>
      </c>
      <c r="T1025" s="3" t="str">
        <f t="shared" si="125"/>
        <v/>
      </c>
      <c r="V1025" s="1" t="e">
        <f t="shared" si="126"/>
        <v>#DIV/0!</v>
      </c>
    </row>
    <row r="1026" spans="8:22" x14ac:dyDescent="0.3">
      <c r="H1026" s="10" t="str">
        <f>IF(Planilha1!B1023="","",Planilha1!B1023)</f>
        <v>7:00p</v>
      </c>
      <c r="I1026" s="10" t="str">
        <f>IF(Planilha1!C1023="","",Planilha1!C1023)</f>
        <v>Houston Rockets</v>
      </c>
      <c r="J1026" s="10">
        <f>IF(Planilha1!D1023="","",Planilha1!D1023)</f>
        <v>0</v>
      </c>
      <c r="K1026" s="10" t="str">
        <f>IF(Planilha1!E1023="","",IF(Planilha1!E1023=0,"",Planilha1!E1023))</f>
        <v>Washington Wizards</v>
      </c>
      <c r="L1026" s="10">
        <f>IF(Planilha1!F1023="","",Planilha1!F1023)</f>
        <v>0</v>
      </c>
      <c r="M1026" s="10" t="str">
        <f>IF(Planilha1!G1023="","",IF(Planilha1!G1023=0,"",Planilha1!G1023))</f>
        <v/>
      </c>
      <c r="N1026" s="5">
        <f t="shared" si="127"/>
        <v>1</v>
      </c>
      <c r="O1026" s="5">
        <f t="shared" si="128"/>
        <v>0</v>
      </c>
      <c r="P1026" s="5">
        <f t="shared" si="121"/>
        <v>0</v>
      </c>
      <c r="Q1026" s="5">
        <f t="shared" si="122"/>
        <v>2</v>
      </c>
      <c r="R1026" s="7">
        <f t="shared" si="123"/>
        <v>0</v>
      </c>
      <c r="S1026" s="7">
        <f t="shared" si="124"/>
        <v>0</v>
      </c>
      <c r="T1026" s="3" t="str">
        <f t="shared" si="125"/>
        <v/>
      </c>
      <c r="V1026" s="1" t="e">
        <f t="shared" si="126"/>
        <v>#DIV/0!</v>
      </c>
    </row>
    <row r="1027" spans="8:22" x14ac:dyDescent="0.3">
      <c r="H1027" s="10" t="str">
        <f>IF(Planilha1!B1024="","",Planilha1!B1024)</f>
        <v>7:30p</v>
      </c>
      <c r="I1027" s="10" t="str">
        <f>IF(Planilha1!C1024="","",Planilha1!C1024)</f>
        <v>New Orleans Pelicans</v>
      </c>
      <c r="J1027" s="10">
        <f>IF(Planilha1!D1024="","",Planilha1!D1024)</f>
        <v>0</v>
      </c>
      <c r="K1027" s="10" t="str">
        <f>IF(Planilha1!E1024="","",IF(Planilha1!E1024=0,"",Planilha1!E1024))</f>
        <v>Brooklyn Nets</v>
      </c>
      <c r="L1027" s="10">
        <f>IF(Planilha1!F1024="","",Planilha1!F1024)</f>
        <v>0</v>
      </c>
      <c r="M1027" s="10" t="str">
        <f>IF(Planilha1!G1024="","",IF(Planilha1!G1024=0,"",Planilha1!G1024))</f>
        <v/>
      </c>
      <c r="N1027" s="5">
        <f t="shared" si="127"/>
        <v>1</v>
      </c>
      <c r="O1027" s="5">
        <f t="shared" si="128"/>
        <v>0</v>
      </c>
      <c r="P1027" s="5">
        <f t="shared" si="121"/>
        <v>0</v>
      </c>
      <c r="Q1027" s="5">
        <f t="shared" si="122"/>
        <v>2</v>
      </c>
      <c r="R1027" s="7">
        <f t="shared" si="123"/>
        <v>0</v>
      </c>
      <c r="S1027" s="7">
        <f t="shared" si="124"/>
        <v>0</v>
      </c>
      <c r="T1027" s="3" t="str">
        <f t="shared" si="125"/>
        <v/>
      </c>
      <c r="V1027" s="1" t="e">
        <f t="shared" si="126"/>
        <v>#DIV/0!</v>
      </c>
    </row>
    <row r="1028" spans="8:22" x14ac:dyDescent="0.3">
      <c r="H1028" s="10" t="str">
        <f>IF(Planilha1!B1025="","",Planilha1!B1025)</f>
        <v>8:00p</v>
      </c>
      <c r="I1028" s="10" t="str">
        <f>IF(Planilha1!C1025="","",Planilha1!C1025)</f>
        <v>Dallas Mavericks</v>
      </c>
      <c r="J1028" s="10">
        <f>IF(Planilha1!D1025="","",Planilha1!D1025)</f>
        <v>0</v>
      </c>
      <c r="K1028" s="10" t="str">
        <f>IF(Planilha1!E1025="","",IF(Planilha1!E1025=0,"",Planilha1!E1025))</f>
        <v>San Antonio Spurs</v>
      </c>
      <c r="L1028" s="10">
        <f>IF(Planilha1!F1025="","",Planilha1!F1025)</f>
        <v>0</v>
      </c>
      <c r="M1028" s="10" t="str">
        <f>IF(Planilha1!G1025="","",IF(Planilha1!G1025=0,"",Planilha1!G1025))</f>
        <v/>
      </c>
      <c r="N1028" s="5">
        <f t="shared" si="127"/>
        <v>1</v>
      </c>
      <c r="O1028" s="5">
        <f t="shared" si="128"/>
        <v>0</v>
      </c>
      <c r="P1028" s="5">
        <f t="shared" si="121"/>
        <v>0</v>
      </c>
      <c r="Q1028" s="5">
        <f t="shared" si="122"/>
        <v>2</v>
      </c>
      <c r="R1028" s="7">
        <f t="shared" si="123"/>
        <v>0</v>
      </c>
      <c r="S1028" s="7">
        <f t="shared" si="124"/>
        <v>0</v>
      </c>
      <c r="T1028" s="3" t="str">
        <f t="shared" si="125"/>
        <v/>
      </c>
      <c r="V1028" s="1" t="e">
        <f t="shared" si="126"/>
        <v>#DIV/0!</v>
      </c>
    </row>
    <row r="1029" spans="8:22" x14ac:dyDescent="0.3">
      <c r="H1029" s="10" t="str">
        <f>IF(Planilha1!B1026="","",Planilha1!B1026)</f>
        <v>9:00p</v>
      </c>
      <c r="I1029" s="10" t="str">
        <f>IF(Planilha1!C1026="","",Planilha1!C1026)</f>
        <v>Denver Nuggets</v>
      </c>
      <c r="J1029" s="10">
        <f>IF(Planilha1!D1026="","",Planilha1!D1026)</f>
        <v>0</v>
      </c>
      <c r="K1029" s="10" t="str">
        <f>IF(Planilha1!E1026="","",IF(Planilha1!E1026=0,"",Planilha1!E1026))</f>
        <v>Minnesota Timberwolves</v>
      </c>
      <c r="L1029" s="10">
        <f>IF(Planilha1!F1026="","",Planilha1!F1026)</f>
        <v>0</v>
      </c>
      <c r="M1029" s="10" t="str">
        <f>IF(Planilha1!G1026="","",IF(Planilha1!G1026=0,"",Planilha1!G1026))</f>
        <v/>
      </c>
      <c r="N1029" s="5">
        <f t="shared" si="127"/>
        <v>1</v>
      </c>
      <c r="O1029" s="5">
        <f t="shared" si="128"/>
        <v>0</v>
      </c>
      <c r="P1029" s="5">
        <f t="shared" ref="P1029:P1092" si="129">IF(M1029="",IF(R1029&gt;S1029,2,0),IF(K1029&lt;M1029,2,0))</f>
        <v>0</v>
      </c>
      <c r="Q1029" s="5">
        <f t="shared" ref="Q1029:Q1092" si="130">IF(M1029="",IF(R1029&gt;S1029,0,2),IF(K1029&gt;M1029,2,0))</f>
        <v>2</v>
      </c>
      <c r="R1029" s="7">
        <f t="shared" ref="R1029:R1092" si="131">SUMIF($B:$B,J1029,$C:$C)+(SUMIF($B:$B,L1029,$F:$F))</f>
        <v>0</v>
      </c>
      <c r="S1029" s="7">
        <f t="shared" ref="S1029:S1092" si="132">SUMIF($B:$B,L1029,$E:$E)+(SUMIF($B:$B,J1029,$D:$D))</f>
        <v>0</v>
      </c>
      <c r="T1029" s="3" t="str">
        <f t="shared" ref="T1029:T1092" si="133">IF(M1029="","",(N1029-S1029)^2+(O1029-R1029)^2)</f>
        <v/>
      </c>
      <c r="V1029" s="1" t="e">
        <f t="shared" ref="V1029:V1092" si="134">IF(O1029="","",1/((O1029-N1029)/(R1029-S1029)))</f>
        <v>#DIV/0!</v>
      </c>
    </row>
    <row r="1030" spans="8:22" x14ac:dyDescent="0.3">
      <c r="H1030" s="10" t="str">
        <f>IF(Planilha1!B1027="","",Planilha1!B1027)</f>
        <v>7:00p</v>
      </c>
      <c r="I1030" s="10" t="str">
        <f>IF(Planilha1!C1027="","",Planilha1!C1027)</f>
        <v>Miami Heat</v>
      </c>
      <c r="J1030" s="10">
        <f>IF(Planilha1!D1027="","",Planilha1!D1027)</f>
        <v>0</v>
      </c>
      <c r="K1030" s="10" t="str">
        <f>IF(Planilha1!E1027="","",IF(Planilha1!E1027=0,"",Planilha1!E1027))</f>
        <v>Cleveland Cavaliers</v>
      </c>
      <c r="L1030" s="10">
        <f>IF(Planilha1!F1027="","",Planilha1!F1027)</f>
        <v>0</v>
      </c>
      <c r="M1030" s="10" t="str">
        <f>IF(Planilha1!G1027="","",IF(Planilha1!G1027=0,"",Planilha1!G1027))</f>
        <v/>
      </c>
      <c r="N1030" s="5">
        <f t="shared" ref="N1030:N1093" si="135">IF(K1030="","",IF(K1030&gt;M1030,100%,0%))</f>
        <v>1</v>
      </c>
      <c r="O1030" s="5">
        <f t="shared" ref="O1030:O1093" si="136">IF(K1030="","",IF(K1030&lt;M1030,100%,0%))</f>
        <v>0</v>
      </c>
      <c r="P1030" s="5">
        <f t="shared" si="129"/>
        <v>0</v>
      </c>
      <c r="Q1030" s="5">
        <f t="shared" si="130"/>
        <v>2</v>
      </c>
      <c r="R1030" s="7">
        <f t="shared" si="131"/>
        <v>0</v>
      </c>
      <c r="S1030" s="7">
        <f t="shared" si="132"/>
        <v>0</v>
      </c>
      <c r="T1030" s="3" t="str">
        <f t="shared" si="133"/>
        <v/>
      </c>
      <c r="V1030" s="1" t="e">
        <f t="shared" si="134"/>
        <v>#DIV/0!</v>
      </c>
    </row>
    <row r="1031" spans="8:22" x14ac:dyDescent="0.3">
      <c r="H1031" s="10" t="str">
        <f>IF(Planilha1!B1028="","",Planilha1!B1028)</f>
        <v>7:00p</v>
      </c>
      <c r="I1031" s="10" t="str">
        <f>IF(Planilha1!C1028="","",Planilha1!C1028)</f>
        <v>Indiana Pacers</v>
      </c>
      <c r="J1031" s="10">
        <f>IF(Planilha1!D1028="","",Planilha1!D1028)</f>
        <v>0</v>
      </c>
      <c r="K1031" s="10" t="str">
        <f>IF(Planilha1!E1028="","",IF(Planilha1!E1028=0,"",Planilha1!E1028))</f>
        <v>Detroit Pistons</v>
      </c>
      <c r="L1031" s="10">
        <f>IF(Planilha1!F1028="","",Planilha1!F1028)</f>
        <v>0</v>
      </c>
      <c r="M1031" s="10" t="str">
        <f>IF(Planilha1!G1028="","",IF(Planilha1!G1028=0,"",Planilha1!G1028))</f>
        <v/>
      </c>
      <c r="N1031" s="5">
        <f t="shared" si="135"/>
        <v>1</v>
      </c>
      <c r="O1031" s="5">
        <f t="shared" si="136"/>
        <v>0</v>
      </c>
      <c r="P1031" s="5">
        <f t="shared" si="129"/>
        <v>0</v>
      </c>
      <c r="Q1031" s="5">
        <f t="shared" si="130"/>
        <v>2</v>
      </c>
      <c r="R1031" s="7">
        <f t="shared" si="131"/>
        <v>0</v>
      </c>
      <c r="S1031" s="7">
        <f t="shared" si="132"/>
        <v>0</v>
      </c>
      <c r="T1031" s="3" t="str">
        <f t="shared" si="133"/>
        <v/>
      </c>
      <c r="V1031" s="1" t="e">
        <f t="shared" si="134"/>
        <v>#DIV/0!</v>
      </c>
    </row>
    <row r="1032" spans="8:22" x14ac:dyDescent="0.3">
      <c r="H1032" s="10" t="str">
        <f>IF(Planilha1!B1029="","",Planilha1!B1029)</f>
        <v>7:30p</v>
      </c>
      <c r="I1032" s="10" t="str">
        <f>IF(Planilha1!C1029="","",Planilha1!C1029)</f>
        <v>Milwaukee Bucks</v>
      </c>
      <c r="J1032" s="10">
        <f>IF(Planilha1!D1029="","",Planilha1!D1029)</f>
        <v>0</v>
      </c>
      <c r="K1032" s="10" t="str">
        <f>IF(Planilha1!E1029="","",IF(Planilha1!E1029=0,"",Planilha1!E1029))</f>
        <v>Boston Celtics</v>
      </c>
      <c r="L1032" s="10">
        <f>IF(Planilha1!F1029="","",Planilha1!F1029)</f>
        <v>0</v>
      </c>
      <c r="M1032" s="10" t="str">
        <f>IF(Planilha1!G1029="","",IF(Planilha1!G1029=0,"",Planilha1!G1029))</f>
        <v/>
      </c>
      <c r="N1032" s="5">
        <f t="shared" si="135"/>
        <v>1</v>
      </c>
      <c r="O1032" s="5">
        <f t="shared" si="136"/>
        <v>0</v>
      </c>
      <c r="P1032" s="5">
        <f t="shared" si="129"/>
        <v>0</v>
      </c>
      <c r="Q1032" s="5">
        <f t="shared" si="130"/>
        <v>2</v>
      </c>
      <c r="R1032" s="7">
        <f t="shared" si="131"/>
        <v>0</v>
      </c>
      <c r="S1032" s="7">
        <f t="shared" si="132"/>
        <v>0</v>
      </c>
      <c r="T1032" s="3" t="str">
        <f t="shared" si="133"/>
        <v/>
      </c>
      <c r="V1032" s="1" t="e">
        <f t="shared" si="134"/>
        <v>#DIV/0!</v>
      </c>
    </row>
    <row r="1033" spans="8:22" x14ac:dyDescent="0.3">
      <c r="H1033" s="10" t="str">
        <f>IF(Planilha1!B1030="","",Planilha1!B1030)</f>
        <v>7:30p</v>
      </c>
      <c r="I1033" s="10" t="str">
        <f>IF(Planilha1!C1030="","",Planilha1!C1030)</f>
        <v>Sacramento Kings</v>
      </c>
      <c r="J1033" s="10">
        <f>IF(Planilha1!D1030="","",Planilha1!D1030)</f>
        <v>0</v>
      </c>
      <c r="K1033" s="10" t="str">
        <f>IF(Planilha1!E1030="","",IF(Planilha1!E1030=0,"",Planilha1!E1030))</f>
        <v>Toronto Raptors</v>
      </c>
      <c r="L1033" s="10">
        <f>IF(Planilha1!F1030="","",Planilha1!F1030)</f>
        <v>0</v>
      </c>
      <c r="M1033" s="10" t="str">
        <f>IF(Planilha1!G1030="","",IF(Planilha1!G1030=0,"",Planilha1!G1030))</f>
        <v/>
      </c>
      <c r="N1033" s="5">
        <f t="shared" si="135"/>
        <v>1</v>
      </c>
      <c r="O1033" s="5">
        <f t="shared" si="136"/>
        <v>0</v>
      </c>
      <c r="P1033" s="5">
        <f t="shared" si="129"/>
        <v>0</v>
      </c>
      <c r="Q1033" s="5">
        <f t="shared" si="130"/>
        <v>2</v>
      </c>
      <c r="R1033" s="7">
        <f t="shared" si="131"/>
        <v>0</v>
      </c>
      <c r="S1033" s="7">
        <f t="shared" si="132"/>
        <v>0</v>
      </c>
      <c r="T1033" s="3" t="str">
        <f t="shared" si="133"/>
        <v/>
      </c>
      <c r="V1033" s="1" t="e">
        <f t="shared" si="134"/>
        <v>#DIV/0!</v>
      </c>
    </row>
    <row r="1034" spans="8:22" x14ac:dyDescent="0.3">
      <c r="H1034" s="10" t="str">
        <f>IF(Planilha1!B1031="","",Planilha1!B1031)</f>
        <v>8:00p</v>
      </c>
      <c r="I1034" s="10" t="str">
        <f>IF(Planilha1!C1031="","",Planilha1!C1031)</f>
        <v>Utah Jazz</v>
      </c>
      <c r="J1034" s="10">
        <f>IF(Planilha1!D1031="","",Planilha1!D1031)</f>
        <v>0</v>
      </c>
      <c r="K1034" s="10" t="str">
        <f>IF(Planilha1!E1031="","",IF(Planilha1!E1031=0,"",Planilha1!E1031))</f>
        <v>Oklahoma City Thunder</v>
      </c>
      <c r="L1034" s="10">
        <f>IF(Planilha1!F1031="","",Planilha1!F1031)</f>
        <v>0</v>
      </c>
      <c r="M1034" s="10" t="str">
        <f>IF(Planilha1!G1031="","",IF(Planilha1!G1031=0,"",Planilha1!G1031))</f>
        <v/>
      </c>
      <c r="N1034" s="5">
        <f t="shared" si="135"/>
        <v>1</v>
      </c>
      <c r="O1034" s="5">
        <f t="shared" si="136"/>
        <v>0</v>
      </c>
      <c r="P1034" s="5">
        <f t="shared" si="129"/>
        <v>0</v>
      </c>
      <c r="Q1034" s="5">
        <f t="shared" si="130"/>
        <v>2</v>
      </c>
      <c r="R1034" s="7">
        <f t="shared" si="131"/>
        <v>0</v>
      </c>
      <c r="S1034" s="7">
        <f t="shared" si="132"/>
        <v>0</v>
      </c>
      <c r="T1034" s="3" t="str">
        <f t="shared" si="133"/>
        <v/>
      </c>
      <c r="V1034" s="1" t="e">
        <f t="shared" si="134"/>
        <v>#DIV/0!</v>
      </c>
    </row>
    <row r="1035" spans="8:22" x14ac:dyDescent="0.3">
      <c r="H1035" s="10" t="str">
        <f>IF(Planilha1!B1032="","",Planilha1!B1032)</f>
        <v>10:00p</v>
      </c>
      <c r="I1035" s="10" t="str">
        <f>IF(Planilha1!C1032="","",Planilha1!C1032)</f>
        <v>Memphis Grizzlies</v>
      </c>
      <c r="J1035" s="10">
        <f>IF(Planilha1!D1032="","",Planilha1!D1032)</f>
        <v>0</v>
      </c>
      <c r="K1035" s="10" t="str">
        <f>IF(Planilha1!E1032="","",IF(Planilha1!E1032=0,"",Planilha1!E1032))</f>
        <v>Golden State Warriors</v>
      </c>
      <c r="L1035" s="10">
        <f>IF(Planilha1!F1032="","",Planilha1!F1032)</f>
        <v>0</v>
      </c>
      <c r="M1035" s="10" t="str">
        <f>IF(Planilha1!G1032="","",IF(Planilha1!G1032=0,"",Planilha1!G1032))</f>
        <v/>
      </c>
      <c r="N1035" s="5">
        <f t="shared" si="135"/>
        <v>1</v>
      </c>
      <c r="O1035" s="5">
        <f t="shared" si="136"/>
        <v>0</v>
      </c>
      <c r="P1035" s="5">
        <f t="shared" si="129"/>
        <v>0</v>
      </c>
      <c r="Q1035" s="5">
        <f t="shared" si="130"/>
        <v>2</v>
      </c>
      <c r="R1035" s="7">
        <f t="shared" si="131"/>
        <v>0</v>
      </c>
      <c r="S1035" s="7">
        <f t="shared" si="132"/>
        <v>0</v>
      </c>
      <c r="T1035" s="3" t="str">
        <f t="shared" si="133"/>
        <v/>
      </c>
      <c r="V1035" s="1" t="e">
        <f t="shared" si="134"/>
        <v>#DIV/0!</v>
      </c>
    </row>
    <row r="1036" spans="8:22" x14ac:dyDescent="0.3">
      <c r="H1036" s="10" t="str">
        <f>IF(Planilha1!B1033="","",Planilha1!B1033)</f>
        <v>10:00p</v>
      </c>
      <c r="I1036" s="10" t="str">
        <f>IF(Planilha1!C1033="","",Planilha1!C1033)</f>
        <v>Philadelphia 76ers</v>
      </c>
      <c r="J1036" s="10">
        <f>IF(Planilha1!D1033="","",Planilha1!D1033)</f>
        <v>0</v>
      </c>
      <c r="K1036" s="10" t="str">
        <f>IF(Planilha1!E1033="","",IF(Planilha1!E1033=0,"",Planilha1!E1033))</f>
        <v>Phoenix Suns</v>
      </c>
      <c r="L1036" s="10">
        <f>IF(Planilha1!F1033="","",Planilha1!F1033)</f>
        <v>0</v>
      </c>
      <c r="M1036" s="10" t="str">
        <f>IF(Planilha1!G1033="","",IF(Planilha1!G1033=0,"",Planilha1!G1033))</f>
        <v/>
      </c>
      <c r="N1036" s="5">
        <f t="shared" si="135"/>
        <v>1</v>
      </c>
      <c r="O1036" s="5">
        <f t="shared" si="136"/>
        <v>0</v>
      </c>
      <c r="P1036" s="5">
        <f t="shared" si="129"/>
        <v>0</v>
      </c>
      <c r="Q1036" s="5">
        <f t="shared" si="130"/>
        <v>2</v>
      </c>
      <c r="R1036" s="7">
        <f t="shared" si="131"/>
        <v>0</v>
      </c>
      <c r="S1036" s="7">
        <f t="shared" si="132"/>
        <v>0</v>
      </c>
      <c r="T1036" s="3" t="str">
        <f t="shared" si="133"/>
        <v/>
      </c>
      <c r="V1036" s="1" t="e">
        <f t="shared" si="134"/>
        <v>#DIV/0!</v>
      </c>
    </row>
    <row r="1037" spans="8:22" x14ac:dyDescent="0.3">
      <c r="H1037" s="10" t="str">
        <f>IF(Planilha1!B1034="","",Planilha1!B1034)</f>
        <v>10:00p</v>
      </c>
      <c r="I1037" s="10" t="str">
        <f>IF(Planilha1!C1034="","",Planilha1!C1034)</f>
        <v>Los Angeles Clippers</v>
      </c>
      <c r="J1037" s="10">
        <f>IF(Planilha1!D1034="","",Planilha1!D1034)</f>
        <v>0</v>
      </c>
      <c r="K1037" s="10" t="str">
        <f>IF(Planilha1!E1034="","",IF(Planilha1!E1034=0,"",Planilha1!E1034))</f>
        <v>Portland Trail Blazers</v>
      </c>
      <c r="L1037" s="10">
        <f>IF(Planilha1!F1034="","",Planilha1!F1034)</f>
        <v>0</v>
      </c>
      <c r="M1037" s="10" t="str">
        <f>IF(Planilha1!G1034="","",IF(Planilha1!G1034=0,"",Planilha1!G1034))</f>
        <v/>
      </c>
      <c r="N1037" s="5">
        <f t="shared" si="135"/>
        <v>1</v>
      </c>
      <c r="O1037" s="5">
        <f t="shared" si="136"/>
        <v>0</v>
      </c>
      <c r="P1037" s="5">
        <f t="shared" si="129"/>
        <v>0</v>
      </c>
      <c r="Q1037" s="5">
        <f t="shared" si="130"/>
        <v>2</v>
      </c>
      <c r="R1037" s="7">
        <f t="shared" si="131"/>
        <v>0</v>
      </c>
      <c r="S1037" s="7">
        <f t="shared" si="132"/>
        <v>0</v>
      </c>
      <c r="T1037" s="3" t="str">
        <f t="shared" si="133"/>
        <v/>
      </c>
      <c r="V1037" s="1" t="e">
        <f t="shared" si="134"/>
        <v>#DIV/0!</v>
      </c>
    </row>
    <row r="1038" spans="8:22" x14ac:dyDescent="0.3">
      <c r="H1038" s="10" t="str">
        <f>IF(Planilha1!B1035="","",Planilha1!B1035)</f>
        <v>7:00p</v>
      </c>
      <c r="I1038" s="10" t="str">
        <f>IF(Planilha1!C1035="","",Planilha1!C1035)</f>
        <v>New Orleans Pelicans</v>
      </c>
      <c r="J1038" s="10">
        <f>IF(Planilha1!D1035="","",Planilha1!D1035)</f>
        <v>0</v>
      </c>
      <c r="K1038" s="10" t="str">
        <f>IF(Planilha1!E1035="","",IF(Planilha1!E1035=0,"",Planilha1!E1035))</f>
        <v>Orlando Magic</v>
      </c>
      <c r="L1038" s="10">
        <f>IF(Planilha1!F1035="","",Planilha1!F1035)</f>
        <v>0</v>
      </c>
      <c r="M1038" s="10" t="str">
        <f>IF(Planilha1!G1035="","",IF(Planilha1!G1035=0,"",Planilha1!G1035))</f>
        <v/>
      </c>
      <c r="N1038" s="5">
        <f t="shared" si="135"/>
        <v>1</v>
      </c>
      <c r="O1038" s="5">
        <f t="shared" si="136"/>
        <v>0</v>
      </c>
      <c r="P1038" s="5">
        <f t="shared" si="129"/>
        <v>0</v>
      </c>
      <c r="Q1038" s="5">
        <f t="shared" si="130"/>
        <v>2</v>
      </c>
      <c r="R1038" s="7">
        <f t="shared" si="131"/>
        <v>0</v>
      </c>
      <c r="S1038" s="7">
        <f t="shared" si="132"/>
        <v>0</v>
      </c>
      <c r="T1038" s="3" t="str">
        <f t="shared" si="133"/>
        <v/>
      </c>
      <c r="V1038" s="1" t="e">
        <f t="shared" si="134"/>
        <v>#DIV/0!</v>
      </c>
    </row>
    <row r="1039" spans="8:22" x14ac:dyDescent="0.3">
      <c r="H1039" s="10" t="str">
        <f>IF(Planilha1!B1036="","",Planilha1!B1036)</f>
        <v>7:00p</v>
      </c>
      <c r="I1039" s="10" t="str">
        <f>IF(Planilha1!C1036="","",Planilha1!C1036)</f>
        <v>Sacramento Kings</v>
      </c>
      <c r="J1039" s="10">
        <f>IF(Planilha1!D1036="","",Planilha1!D1036)</f>
        <v>0</v>
      </c>
      <c r="K1039" s="10" t="str">
        <f>IF(Planilha1!E1036="","",IF(Planilha1!E1036=0,"",Planilha1!E1036))</f>
        <v>Washington Wizards</v>
      </c>
      <c r="L1039" s="10">
        <f>IF(Planilha1!F1036="","",Planilha1!F1036)</f>
        <v>0</v>
      </c>
      <c r="M1039" s="10" t="str">
        <f>IF(Planilha1!G1036="","",IF(Planilha1!G1036=0,"",Planilha1!G1036))</f>
        <v/>
      </c>
      <c r="N1039" s="5">
        <f t="shared" si="135"/>
        <v>1</v>
      </c>
      <c r="O1039" s="5">
        <f t="shared" si="136"/>
        <v>0</v>
      </c>
      <c r="P1039" s="5">
        <f t="shared" si="129"/>
        <v>0</v>
      </c>
      <c r="Q1039" s="5">
        <f t="shared" si="130"/>
        <v>2</v>
      </c>
      <c r="R1039" s="7">
        <f t="shared" si="131"/>
        <v>0</v>
      </c>
      <c r="S1039" s="7">
        <f t="shared" si="132"/>
        <v>0</v>
      </c>
      <c r="T1039" s="3" t="str">
        <f t="shared" si="133"/>
        <v/>
      </c>
      <c r="V1039" s="1" t="e">
        <f t="shared" si="134"/>
        <v>#DIV/0!</v>
      </c>
    </row>
    <row r="1040" spans="8:22" x14ac:dyDescent="0.3">
      <c r="H1040" s="10" t="str">
        <f>IF(Planilha1!B1037="","",Planilha1!B1037)</f>
        <v>8:00p</v>
      </c>
      <c r="I1040" s="10" t="str">
        <f>IF(Planilha1!C1037="","",Planilha1!C1037)</f>
        <v>Chicago Bulls</v>
      </c>
      <c r="J1040" s="10">
        <f>IF(Planilha1!D1037="","",Planilha1!D1037)</f>
        <v>0</v>
      </c>
      <c r="K1040" s="10" t="str">
        <f>IF(Planilha1!E1037="","",IF(Planilha1!E1037=0,"",Planilha1!E1037))</f>
        <v>Houston Rockets</v>
      </c>
      <c r="L1040" s="10">
        <f>IF(Planilha1!F1037="","",Planilha1!F1037)</f>
        <v>0</v>
      </c>
      <c r="M1040" s="10" t="str">
        <f>IF(Planilha1!G1037="","",IF(Planilha1!G1037=0,"",Planilha1!G1037))</f>
        <v/>
      </c>
      <c r="N1040" s="5">
        <f t="shared" si="135"/>
        <v>1</v>
      </c>
      <c r="O1040" s="5">
        <f t="shared" si="136"/>
        <v>0</v>
      </c>
      <c r="P1040" s="5">
        <f t="shared" si="129"/>
        <v>0</v>
      </c>
      <c r="Q1040" s="5">
        <f t="shared" si="130"/>
        <v>2</v>
      </c>
      <c r="R1040" s="7">
        <f t="shared" si="131"/>
        <v>0</v>
      </c>
      <c r="S1040" s="7">
        <f t="shared" si="132"/>
        <v>0</v>
      </c>
      <c r="T1040" s="3" t="str">
        <f t="shared" si="133"/>
        <v/>
      </c>
      <c r="V1040" s="1" t="e">
        <f t="shared" si="134"/>
        <v>#DIV/0!</v>
      </c>
    </row>
    <row r="1041" spans="8:22" x14ac:dyDescent="0.3">
      <c r="H1041" s="10" t="str">
        <f>IF(Planilha1!B1038="","",Planilha1!B1038)</f>
        <v>8:00p</v>
      </c>
      <c r="I1041" s="10" t="str">
        <f>IF(Planilha1!C1038="","",Planilha1!C1038)</f>
        <v>Brooklyn Nets</v>
      </c>
      <c r="J1041" s="10">
        <f>IF(Planilha1!D1038="","",Planilha1!D1038)</f>
        <v>0</v>
      </c>
      <c r="K1041" s="10" t="str">
        <f>IF(Planilha1!E1038="","",IF(Planilha1!E1038=0,"",Planilha1!E1038))</f>
        <v>Milwaukee Bucks</v>
      </c>
      <c r="L1041" s="10">
        <f>IF(Planilha1!F1038="","",Planilha1!F1038)</f>
        <v>0</v>
      </c>
      <c r="M1041" s="10" t="str">
        <f>IF(Planilha1!G1038="","",IF(Planilha1!G1038=0,"",Planilha1!G1038))</f>
        <v/>
      </c>
      <c r="N1041" s="5">
        <f t="shared" si="135"/>
        <v>1</v>
      </c>
      <c r="O1041" s="5">
        <f t="shared" si="136"/>
        <v>0</v>
      </c>
      <c r="P1041" s="5">
        <f t="shared" si="129"/>
        <v>0</v>
      </c>
      <c r="Q1041" s="5">
        <f t="shared" si="130"/>
        <v>2</v>
      </c>
      <c r="R1041" s="7">
        <f t="shared" si="131"/>
        <v>0</v>
      </c>
      <c r="S1041" s="7">
        <f t="shared" si="132"/>
        <v>0</v>
      </c>
      <c r="T1041" s="3" t="str">
        <f t="shared" si="133"/>
        <v/>
      </c>
      <c r="V1041" s="1" t="e">
        <f t="shared" si="134"/>
        <v>#DIV/0!</v>
      </c>
    </row>
    <row r="1042" spans="8:22" x14ac:dyDescent="0.3">
      <c r="H1042" s="10" t="str">
        <f>IF(Planilha1!B1039="","",Planilha1!B1039)</f>
        <v>8:30p</v>
      </c>
      <c r="I1042" s="10" t="str">
        <f>IF(Planilha1!C1039="","",Planilha1!C1039)</f>
        <v>Utah Jazz</v>
      </c>
      <c r="J1042" s="10">
        <f>IF(Planilha1!D1039="","",Planilha1!D1039)</f>
        <v>0</v>
      </c>
      <c r="K1042" s="10" t="str">
        <f>IF(Planilha1!E1039="","",IF(Planilha1!E1039=0,"",Planilha1!E1039))</f>
        <v>Dallas Mavericks</v>
      </c>
      <c r="L1042" s="10">
        <f>IF(Planilha1!F1039="","",Planilha1!F1039)</f>
        <v>0</v>
      </c>
      <c r="M1042" s="10" t="str">
        <f>IF(Planilha1!G1039="","",IF(Planilha1!G1039=0,"",Planilha1!G1039))</f>
        <v/>
      </c>
      <c r="N1042" s="5">
        <f t="shared" si="135"/>
        <v>1</v>
      </c>
      <c r="O1042" s="5">
        <f t="shared" si="136"/>
        <v>0</v>
      </c>
      <c r="P1042" s="5">
        <f t="shared" si="129"/>
        <v>0</v>
      </c>
      <c r="Q1042" s="5">
        <f t="shared" si="130"/>
        <v>2</v>
      </c>
      <c r="R1042" s="7">
        <f t="shared" si="131"/>
        <v>0</v>
      </c>
      <c r="S1042" s="7">
        <f t="shared" si="132"/>
        <v>0</v>
      </c>
      <c r="T1042" s="3" t="str">
        <f t="shared" si="133"/>
        <v/>
      </c>
      <c r="V1042" s="1" t="e">
        <f t="shared" si="134"/>
        <v>#DIV/0!</v>
      </c>
    </row>
    <row r="1043" spans="8:22" x14ac:dyDescent="0.3">
      <c r="H1043" s="10" t="str">
        <f>IF(Planilha1!B1040="","",Planilha1!B1040)</f>
        <v>9:00p</v>
      </c>
      <c r="I1043" s="10" t="str">
        <f>IF(Planilha1!C1040="","",Planilha1!C1040)</f>
        <v>New York Knicks</v>
      </c>
      <c r="J1043" s="10">
        <f>IF(Planilha1!D1040="","",Planilha1!D1040)</f>
        <v>0</v>
      </c>
      <c r="K1043" s="10" t="str">
        <f>IF(Planilha1!E1040="","",IF(Planilha1!E1040=0,"",Planilha1!E1040))</f>
        <v>Denver Nuggets</v>
      </c>
      <c r="L1043" s="10">
        <f>IF(Planilha1!F1040="","",Planilha1!F1040)</f>
        <v>0</v>
      </c>
      <c r="M1043" s="10" t="str">
        <f>IF(Planilha1!G1040="","",IF(Planilha1!G1040=0,"",Planilha1!G1040))</f>
        <v/>
      </c>
      <c r="N1043" s="5">
        <f t="shared" si="135"/>
        <v>1</v>
      </c>
      <c r="O1043" s="5">
        <f t="shared" si="136"/>
        <v>0</v>
      </c>
      <c r="P1043" s="5">
        <f t="shared" si="129"/>
        <v>0</v>
      </c>
      <c r="Q1043" s="5">
        <f t="shared" si="130"/>
        <v>2</v>
      </c>
      <c r="R1043" s="7">
        <f t="shared" si="131"/>
        <v>0</v>
      </c>
      <c r="S1043" s="7">
        <f t="shared" si="132"/>
        <v>0</v>
      </c>
      <c r="T1043" s="3" t="str">
        <f t="shared" si="133"/>
        <v/>
      </c>
      <c r="V1043" s="1" t="e">
        <f t="shared" si="134"/>
        <v>#DIV/0!</v>
      </c>
    </row>
    <row r="1044" spans="8:22" x14ac:dyDescent="0.3">
      <c r="H1044" s="10" t="str">
        <f>IF(Planilha1!B1041="","",Planilha1!B1041)</f>
        <v>10:30p</v>
      </c>
      <c r="I1044" s="10" t="str">
        <f>IF(Planilha1!C1041="","",Planilha1!C1041)</f>
        <v>Atlanta Hawks</v>
      </c>
      <c r="J1044" s="10">
        <f>IF(Planilha1!D1041="","",Planilha1!D1041)</f>
        <v>0</v>
      </c>
      <c r="K1044" s="10" t="str">
        <f>IF(Planilha1!E1041="","",IF(Planilha1!E1041=0,"",Planilha1!E1041))</f>
        <v>Phoenix Suns</v>
      </c>
      <c r="L1044" s="10">
        <f>IF(Planilha1!F1041="","",Planilha1!F1041)</f>
        <v>0</v>
      </c>
      <c r="M1044" s="10" t="str">
        <f>IF(Planilha1!G1041="","",IF(Planilha1!G1041=0,"",Planilha1!G1041))</f>
        <v/>
      </c>
      <c r="N1044" s="5">
        <f t="shared" si="135"/>
        <v>1</v>
      </c>
      <c r="O1044" s="5">
        <f t="shared" si="136"/>
        <v>0</v>
      </c>
      <c r="P1044" s="5">
        <f t="shared" si="129"/>
        <v>0</v>
      </c>
      <c r="Q1044" s="5">
        <f t="shared" si="130"/>
        <v>2</v>
      </c>
      <c r="R1044" s="7">
        <f t="shared" si="131"/>
        <v>0</v>
      </c>
      <c r="S1044" s="7">
        <f t="shared" si="132"/>
        <v>0</v>
      </c>
      <c r="T1044" s="3" t="str">
        <f t="shared" si="133"/>
        <v/>
      </c>
      <c r="V1044" s="1" t="e">
        <f t="shared" si="134"/>
        <v>#DIV/0!</v>
      </c>
    </row>
    <row r="1045" spans="8:22" x14ac:dyDescent="0.3">
      <c r="H1045" s="10" t="str">
        <f>IF(Planilha1!B1042="","",Planilha1!B1042)</f>
        <v>7:00p</v>
      </c>
      <c r="I1045" s="10" t="str">
        <f>IF(Planilha1!C1042="","",Planilha1!C1042)</f>
        <v>Boston Celtics</v>
      </c>
      <c r="J1045" s="10">
        <f>IF(Planilha1!D1042="","",Planilha1!D1042)</f>
        <v>0</v>
      </c>
      <c r="K1045" s="10" t="str">
        <f>IF(Planilha1!E1042="","",IF(Planilha1!E1042=0,"",Planilha1!E1042))</f>
        <v>Detroit Pistons</v>
      </c>
      <c r="L1045" s="10">
        <f>IF(Planilha1!F1042="","",Planilha1!F1042)</f>
        <v>0</v>
      </c>
      <c r="M1045" s="10" t="str">
        <f>IF(Planilha1!G1042="","",IF(Planilha1!G1042=0,"",Planilha1!G1042))</f>
        <v/>
      </c>
      <c r="N1045" s="5">
        <f t="shared" si="135"/>
        <v>1</v>
      </c>
      <c r="O1045" s="5">
        <f t="shared" si="136"/>
        <v>0</v>
      </c>
      <c r="P1045" s="5">
        <f t="shared" si="129"/>
        <v>0</v>
      </c>
      <c r="Q1045" s="5">
        <f t="shared" si="130"/>
        <v>2</v>
      </c>
      <c r="R1045" s="7">
        <f t="shared" si="131"/>
        <v>0</v>
      </c>
      <c r="S1045" s="7">
        <f t="shared" si="132"/>
        <v>0</v>
      </c>
      <c r="T1045" s="3" t="str">
        <f t="shared" si="133"/>
        <v/>
      </c>
      <c r="V1045" s="1" t="e">
        <f t="shared" si="134"/>
        <v>#DIV/0!</v>
      </c>
    </row>
    <row r="1046" spans="8:22" x14ac:dyDescent="0.3">
      <c r="H1046" s="10" t="str">
        <f>IF(Planilha1!B1043="","",Planilha1!B1043)</f>
        <v>7:00p</v>
      </c>
      <c r="I1046" s="10" t="str">
        <f>IF(Planilha1!C1043="","",Planilha1!C1043)</f>
        <v>Oklahoma City Thunder</v>
      </c>
      <c r="J1046" s="10">
        <f>IF(Planilha1!D1043="","",Planilha1!D1043)</f>
        <v>0</v>
      </c>
      <c r="K1046" s="10" t="str">
        <f>IF(Planilha1!E1043="","",IF(Planilha1!E1043=0,"",Planilha1!E1043))</f>
        <v>Toronto Raptors</v>
      </c>
      <c r="L1046" s="10">
        <f>IF(Planilha1!F1043="","",Planilha1!F1043)</f>
        <v>0</v>
      </c>
      <c r="M1046" s="10" t="str">
        <f>IF(Planilha1!G1043="","",IF(Planilha1!G1043=0,"",Planilha1!G1043))</f>
        <v/>
      </c>
      <c r="N1046" s="5">
        <f t="shared" si="135"/>
        <v>1</v>
      </c>
      <c r="O1046" s="5">
        <f t="shared" si="136"/>
        <v>0</v>
      </c>
      <c r="P1046" s="5">
        <f t="shared" si="129"/>
        <v>0</v>
      </c>
      <c r="Q1046" s="5">
        <f t="shared" si="130"/>
        <v>2</v>
      </c>
      <c r="R1046" s="7">
        <f t="shared" si="131"/>
        <v>0</v>
      </c>
      <c r="S1046" s="7">
        <f t="shared" si="132"/>
        <v>0</v>
      </c>
      <c r="T1046" s="3" t="str">
        <f t="shared" si="133"/>
        <v/>
      </c>
      <c r="V1046" s="1" t="e">
        <f t="shared" si="134"/>
        <v>#DIV/0!</v>
      </c>
    </row>
    <row r="1047" spans="8:22" x14ac:dyDescent="0.3">
      <c r="H1047" s="10" t="str">
        <f>IF(Planilha1!B1044="","",Planilha1!B1044)</f>
        <v>8:00p</v>
      </c>
      <c r="I1047" s="10" t="str">
        <f>IF(Planilha1!C1044="","",Planilha1!C1044)</f>
        <v>New Orleans Pelicans</v>
      </c>
      <c r="J1047" s="10">
        <f>IF(Planilha1!D1044="","",Planilha1!D1044)</f>
        <v>0</v>
      </c>
      <c r="K1047" s="10" t="str">
        <f>IF(Planilha1!E1044="","",IF(Planilha1!E1044=0,"",Planilha1!E1044))</f>
        <v>Miami Heat</v>
      </c>
      <c r="L1047" s="10">
        <f>IF(Planilha1!F1044="","",Planilha1!F1044)</f>
        <v>0</v>
      </c>
      <c r="M1047" s="10" t="str">
        <f>IF(Planilha1!G1044="","",IF(Planilha1!G1044=0,"",Planilha1!G1044))</f>
        <v/>
      </c>
      <c r="N1047" s="5">
        <f t="shared" si="135"/>
        <v>1</v>
      </c>
      <c r="O1047" s="5">
        <f t="shared" si="136"/>
        <v>0</v>
      </c>
      <c r="P1047" s="5">
        <f t="shared" si="129"/>
        <v>0</v>
      </c>
      <c r="Q1047" s="5">
        <f t="shared" si="130"/>
        <v>2</v>
      </c>
      <c r="R1047" s="7">
        <f t="shared" si="131"/>
        <v>0</v>
      </c>
      <c r="S1047" s="7">
        <f t="shared" si="132"/>
        <v>0</v>
      </c>
      <c r="T1047" s="3" t="str">
        <f t="shared" si="133"/>
        <v/>
      </c>
      <c r="V1047" s="1" t="e">
        <f t="shared" si="134"/>
        <v>#DIV/0!</v>
      </c>
    </row>
    <row r="1048" spans="8:22" x14ac:dyDescent="0.3">
      <c r="H1048" s="10" t="str">
        <f>IF(Planilha1!B1045="","",Planilha1!B1045)</f>
        <v>8:00p</v>
      </c>
      <c r="I1048" s="10" t="str">
        <f>IF(Planilha1!C1045="","",Planilha1!C1045)</f>
        <v>Cleveland Cavaliers</v>
      </c>
      <c r="J1048" s="10">
        <f>IF(Planilha1!D1045="","",Planilha1!D1045)</f>
        <v>0</v>
      </c>
      <c r="K1048" s="10" t="str">
        <f>IF(Planilha1!E1045="","",IF(Planilha1!E1045=0,"",Planilha1!E1045))</f>
        <v>Minnesota Timberwolves</v>
      </c>
      <c r="L1048" s="10">
        <f>IF(Planilha1!F1045="","",Planilha1!F1045)</f>
        <v>0</v>
      </c>
      <c r="M1048" s="10" t="str">
        <f>IF(Planilha1!G1045="","",IF(Planilha1!G1045=0,"",Planilha1!G1045))</f>
        <v/>
      </c>
      <c r="N1048" s="5">
        <f t="shared" si="135"/>
        <v>1</v>
      </c>
      <c r="O1048" s="5">
        <f t="shared" si="136"/>
        <v>0</v>
      </c>
      <c r="P1048" s="5">
        <f t="shared" si="129"/>
        <v>0</v>
      </c>
      <c r="Q1048" s="5">
        <f t="shared" si="130"/>
        <v>2</v>
      </c>
      <c r="R1048" s="7">
        <f t="shared" si="131"/>
        <v>0</v>
      </c>
      <c r="S1048" s="7">
        <f t="shared" si="132"/>
        <v>0</v>
      </c>
      <c r="T1048" s="3" t="str">
        <f t="shared" si="133"/>
        <v/>
      </c>
      <c r="V1048" s="1" t="e">
        <f t="shared" si="134"/>
        <v>#DIV/0!</v>
      </c>
    </row>
    <row r="1049" spans="8:22" x14ac:dyDescent="0.3">
      <c r="H1049" s="10" t="str">
        <f>IF(Planilha1!B1046="","",Planilha1!B1046)</f>
        <v>8:00p</v>
      </c>
      <c r="I1049" s="10" t="str">
        <f>IF(Planilha1!C1046="","",Planilha1!C1046)</f>
        <v>Memphis Grizzlies</v>
      </c>
      <c r="J1049" s="10">
        <f>IF(Planilha1!D1046="","",Planilha1!D1046)</f>
        <v>0</v>
      </c>
      <c r="K1049" s="10" t="str">
        <f>IF(Planilha1!E1046="","",IF(Planilha1!E1046=0,"",Planilha1!E1046))</f>
        <v>San Antonio Spurs</v>
      </c>
      <c r="L1049" s="10">
        <f>IF(Planilha1!F1046="","",Planilha1!F1046)</f>
        <v>0</v>
      </c>
      <c r="M1049" s="10" t="str">
        <f>IF(Planilha1!G1046="","",IF(Planilha1!G1046=0,"",Planilha1!G1046))</f>
        <v/>
      </c>
      <c r="N1049" s="5">
        <f t="shared" si="135"/>
        <v>1</v>
      </c>
      <c r="O1049" s="5">
        <f t="shared" si="136"/>
        <v>0</v>
      </c>
      <c r="P1049" s="5">
        <f t="shared" si="129"/>
        <v>0</v>
      </c>
      <c r="Q1049" s="5">
        <f t="shared" si="130"/>
        <v>2</v>
      </c>
      <c r="R1049" s="7">
        <f t="shared" si="131"/>
        <v>0</v>
      </c>
      <c r="S1049" s="7">
        <f t="shared" si="132"/>
        <v>0</v>
      </c>
      <c r="T1049" s="3" t="str">
        <f t="shared" si="133"/>
        <v/>
      </c>
      <c r="V1049" s="1" t="e">
        <f t="shared" si="134"/>
        <v>#DIV/0!</v>
      </c>
    </row>
    <row r="1050" spans="8:22" x14ac:dyDescent="0.3">
      <c r="H1050" s="10" t="str">
        <f>IF(Planilha1!B1047="","",Planilha1!B1047)</f>
        <v>10:00p</v>
      </c>
      <c r="I1050" s="10" t="str">
        <f>IF(Planilha1!C1047="","",Planilha1!C1047)</f>
        <v>Indiana Pacers</v>
      </c>
      <c r="J1050" s="10">
        <f>IF(Planilha1!D1047="","",Planilha1!D1047)</f>
        <v>0</v>
      </c>
      <c r="K1050" s="10" t="str">
        <f>IF(Planilha1!E1047="","",IF(Planilha1!E1047=0,"",Planilha1!E1047))</f>
        <v>Golden State Warriors</v>
      </c>
      <c r="L1050" s="10">
        <f>IF(Planilha1!F1047="","",Planilha1!F1047)</f>
        <v>0</v>
      </c>
      <c r="M1050" s="10" t="str">
        <f>IF(Planilha1!G1047="","",IF(Planilha1!G1047=0,"",Planilha1!G1047))</f>
        <v/>
      </c>
      <c r="N1050" s="5">
        <f t="shared" si="135"/>
        <v>1</v>
      </c>
      <c r="O1050" s="5">
        <f t="shared" si="136"/>
        <v>0</v>
      </c>
      <c r="P1050" s="5">
        <f t="shared" si="129"/>
        <v>0</v>
      </c>
      <c r="Q1050" s="5">
        <f t="shared" si="130"/>
        <v>2</v>
      </c>
      <c r="R1050" s="7">
        <f t="shared" si="131"/>
        <v>0</v>
      </c>
      <c r="S1050" s="7">
        <f t="shared" si="132"/>
        <v>0</v>
      </c>
      <c r="T1050" s="3" t="str">
        <f t="shared" si="133"/>
        <v/>
      </c>
      <c r="V1050" s="1" t="e">
        <f t="shared" si="134"/>
        <v>#DIV/0!</v>
      </c>
    </row>
    <row r="1051" spans="8:22" x14ac:dyDescent="0.3">
      <c r="H1051" s="10" t="str">
        <f>IF(Planilha1!B1048="","",Planilha1!B1048)</f>
        <v>10:00p</v>
      </c>
      <c r="I1051" s="10" t="str">
        <f>IF(Planilha1!C1048="","",Planilha1!C1048)</f>
        <v>Los Angeles Clippers</v>
      </c>
      <c r="J1051" s="10">
        <f>IF(Planilha1!D1048="","",Planilha1!D1048)</f>
        <v>0</v>
      </c>
      <c r="K1051" s="10" t="str">
        <f>IF(Planilha1!E1048="","",IF(Planilha1!E1048=0,"",Planilha1!E1048))</f>
        <v>Portland Trail Blazers</v>
      </c>
      <c r="L1051" s="10">
        <f>IF(Planilha1!F1048="","",Planilha1!F1048)</f>
        <v>0</v>
      </c>
      <c r="M1051" s="10" t="str">
        <f>IF(Planilha1!G1048="","",IF(Planilha1!G1048=0,"",Planilha1!G1048))</f>
        <v/>
      </c>
      <c r="N1051" s="5">
        <f t="shared" si="135"/>
        <v>1</v>
      </c>
      <c r="O1051" s="5">
        <f t="shared" si="136"/>
        <v>0</v>
      </c>
      <c r="P1051" s="5">
        <f t="shared" si="129"/>
        <v>0</v>
      </c>
      <c r="Q1051" s="5">
        <f t="shared" si="130"/>
        <v>2</v>
      </c>
      <c r="R1051" s="7">
        <f t="shared" si="131"/>
        <v>0</v>
      </c>
      <c r="S1051" s="7">
        <f t="shared" si="132"/>
        <v>0</v>
      </c>
      <c r="T1051" s="3" t="str">
        <f t="shared" si="133"/>
        <v/>
      </c>
      <c r="V1051" s="1" t="e">
        <f t="shared" si="134"/>
        <v>#DIV/0!</v>
      </c>
    </row>
    <row r="1052" spans="8:22" x14ac:dyDescent="0.3">
      <c r="H1052" s="10" t="str">
        <f>IF(Planilha1!B1049="","",Planilha1!B1049)</f>
        <v>10:30p</v>
      </c>
      <c r="I1052" s="10" t="str">
        <f>IF(Planilha1!C1049="","",Planilha1!C1049)</f>
        <v>Philadelphia 76ers</v>
      </c>
      <c r="J1052" s="10">
        <f>IF(Planilha1!D1049="","",Planilha1!D1049)</f>
        <v>0</v>
      </c>
      <c r="K1052" s="10" t="str">
        <f>IF(Planilha1!E1049="","",IF(Planilha1!E1049=0,"",Planilha1!E1049))</f>
        <v>Los Angeles Lakers</v>
      </c>
      <c r="L1052" s="10">
        <f>IF(Planilha1!F1049="","",Planilha1!F1049)</f>
        <v>0</v>
      </c>
      <c r="M1052" s="10" t="str">
        <f>IF(Planilha1!G1049="","",IF(Planilha1!G1049=0,"",Planilha1!G1049))</f>
        <v/>
      </c>
      <c r="N1052" s="5">
        <f t="shared" si="135"/>
        <v>1</v>
      </c>
      <c r="O1052" s="5">
        <f t="shared" si="136"/>
        <v>0</v>
      </c>
      <c r="P1052" s="5">
        <f t="shared" si="129"/>
        <v>0</v>
      </c>
      <c r="Q1052" s="5">
        <f t="shared" si="130"/>
        <v>2</v>
      </c>
      <c r="R1052" s="7">
        <f t="shared" si="131"/>
        <v>0</v>
      </c>
      <c r="S1052" s="7">
        <f t="shared" si="132"/>
        <v>0</v>
      </c>
      <c r="T1052" s="3" t="str">
        <f t="shared" si="133"/>
        <v/>
      </c>
      <c r="V1052" s="1" t="e">
        <f t="shared" si="134"/>
        <v>#DIV/0!</v>
      </c>
    </row>
    <row r="1053" spans="8:22" x14ac:dyDescent="0.3">
      <c r="H1053" s="10" t="str">
        <f>IF(Planilha1!B1050="","",Planilha1!B1050)</f>
        <v>1:00p</v>
      </c>
      <c r="I1053" s="10" t="str">
        <f>IF(Planilha1!C1050="","",Planilha1!C1050)</f>
        <v>Brooklyn Nets</v>
      </c>
      <c r="J1053" s="10">
        <f>IF(Planilha1!D1050="","",Planilha1!D1050)</f>
        <v>0</v>
      </c>
      <c r="K1053" s="10" t="str">
        <f>IF(Planilha1!E1050="","",IF(Planilha1!E1050=0,"",Planilha1!E1050))</f>
        <v>New York Knicks</v>
      </c>
      <c r="L1053" s="10">
        <f>IF(Planilha1!F1050="","",Planilha1!F1050)</f>
        <v>0</v>
      </c>
      <c r="M1053" s="10" t="str">
        <f>IF(Planilha1!G1050="","",IF(Planilha1!G1050=0,"",Planilha1!G1050))</f>
        <v/>
      </c>
      <c r="N1053" s="5">
        <f t="shared" si="135"/>
        <v>1</v>
      </c>
      <c r="O1053" s="5">
        <f t="shared" si="136"/>
        <v>0</v>
      </c>
      <c r="P1053" s="5">
        <f t="shared" si="129"/>
        <v>0</v>
      </c>
      <c r="Q1053" s="5">
        <f t="shared" si="130"/>
        <v>2</v>
      </c>
      <c r="R1053" s="7">
        <f t="shared" si="131"/>
        <v>0</v>
      </c>
      <c r="S1053" s="7">
        <f t="shared" si="132"/>
        <v>0</v>
      </c>
      <c r="T1053" s="3" t="str">
        <f t="shared" si="133"/>
        <v/>
      </c>
      <c r="V1053" s="1" t="e">
        <f t="shared" si="134"/>
        <v>#DIV/0!</v>
      </c>
    </row>
    <row r="1054" spans="8:22" x14ac:dyDescent="0.3">
      <c r="H1054" s="10" t="str">
        <f>IF(Planilha1!B1051="","",Planilha1!B1051)</f>
        <v>7:00p</v>
      </c>
      <c r="I1054" s="10" t="str">
        <f>IF(Planilha1!C1051="","",Planilha1!C1051)</f>
        <v>Sacramento Kings</v>
      </c>
      <c r="J1054" s="10">
        <f>IF(Planilha1!D1051="","",Planilha1!D1051)</f>
        <v>0</v>
      </c>
      <c r="K1054" s="10" t="str">
        <f>IF(Planilha1!E1051="","",IF(Planilha1!E1051=0,"",Planilha1!E1051))</f>
        <v>Orlando Magic</v>
      </c>
      <c r="L1054" s="10">
        <f>IF(Planilha1!F1051="","",Planilha1!F1051)</f>
        <v>0</v>
      </c>
      <c r="M1054" s="10" t="str">
        <f>IF(Planilha1!G1051="","",IF(Planilha1!G1051=0,"",Planilha1!G1051))</f>
        <v/>
      </c>
      <c r="N1054" s="5">
        <f t="shared" si="135"/>
        <v>1</v>
      </c>
      <c r="O1054" s="5">
        <f t="shared" si="136"/>
        <v>0</v>
      </c>
      <c r="P1054" s="5">
        <f t="shared" si="129"/>
        <v>0</v>
      </c>
      <c r="Q1054" s="5">
        <f t="shared" si="130"/>
        <v>2</v>
      </c>
      <c r="R1054" s="7">
        <f t="shared" si="131"/>
        <v>0</v>
      </c>
      <c r="S1054" s="7">
        <f t="shared" si="132"/>
        <v>0</v>
      </c>
      <c r="T1054" s="3" t="str">
        <f t="shared" si="133"/>
        <v/>
      </c>
      <c r="V1054" s="1" t="e">
        <f t="shared" si="134"/>
        <v>#DIV/0!</v>
      </c>
    </row>
    <row r="1055" spans="8:22" x14ac:dyDescent="0.3">
      <c r="H1055" s="10" t="str">
        <f>IF(Planilha1!B1052="","",Planilha1!B1052)</f>
        <v>7:30p</v>
      </c>
      <c r="I1055" s="10" t="str">
        <f>IF(Planilha1!C1052="","",Planilha1!C1052)</f>
        <v>Charlotte Hornets</v>
      </c>
      <c r="J1055" s="10">
        <f>IF(Planilha1!D1052="","",Planilha1!D1052)</f>
        <v>0</v>
      </c>
      <c r="K1055" s="10" t="str">
        <f>IF(Planilha1!E1052="","",IF(Planilha1!E1052=0,"",Planilha1!E1052))</f>
        <v>Atlanta Hawks</v>
      </c>
      <c r="L1055" s="10">
        <f>IF(Planilha1!F1052="","",Planilha1!F1052)</f>
        <v>0</v>
      </c>
      <c r="M1055" s="10" t="str">
        <f>IF(Planilha1!G1052="","",IF(Planilha1!G1052=0,"",Planilha1!G1052))</f>
        <v/>
      </c>
      <c r="N1055" s="5">
        <f t="shared" si="135"/>
        <v>1</v>
      </c>
      <c r="O1055" s="5">
        <f t="shared" si="136"/>
        <v>0</v>
      </c>
      <c r="P1055" s="5">
        <f t="shared" si="129"/>
        <v>0</v>
      </c>
      <c r="Q1055" s="5">
        <f t="shared" si="130"/>
        <v>2</v>
      </c>
      <c r="R1055" s="7">
        <f t="shared" si="131"/>
        <v>0</v>
      </c>
      <c r="S1055" s="7">
        <f t="shared" si="132"/>
        <v>0</v>
      </c>
      <c r="T1055" s="3" t="str">
        <f t="shared" si="133"/>
        <v/>
      </c>
      <c r="V1055" s="1" t="e">
        <f t="shared" si="134"/>
        <v>#DIV/0!</v>
      </c>
    </row>
    <row r="1056" spans="8:22" x14ac:dyDescent="0.3">
      <c r="H1056" s="10" t="str">
        <f>IF(Planilha1!B1053="","",Planilha1!B1053)</f>
        <v>8:00p</v>
      </c>
      <c r="I1056" s="10" t="str">
        <f>IF(Planilha1!C1053="","",Planilha1!C1053)</f>
        <v>Boston Celtics</v>
      </c>
      <c r="J1056" s="10">
        <f>IF(Planilha1!D1053="","",Planilha1!D1053)</f>
        <v>0</v>
      </c>
      <c r="K1056" s="10" t="str">
        <f>IF(Planilha1!E1053="","",IF(Planilha1!E1053=0,"",Planilha1!E1053))</f>
        <v>Chicago Bulls</v>
      </c>
      <c r="L1056" s="10">
        <f>IF(Planilha1!F1053="","",Planilha1!F1053)</f>
        <v>0</v>
      </c>
      <c r="M1056" s="10" t="str">
        <f>IF(Planilha1!G1053="","",IF(Planilha1!G1053=0,"",Planilha1!G1053))</f>
        <v/>
      </c>
      <c r="N1056" s="5">
        <f t="shared" si="135"/>
        <v>1</v>
      </c>
      <c r="O1056" s="5">
        <f t="shared" si="136"/>
        <v>0</v>
      </c>
      <c r="P1056" s="5">
        <f t="shared" si="129"/>
        <v>0</v>
      </c>
      <c r="Q1056" s="5">
        <f t="shared" si="130"/>
        <v>2</v>
      </c>
      <c r="R1056" s="7">
        <f t="shared" si="131"/>
        <v>0</v>
      </c>
      <c r="S1056" s="7">
        <f t="shared" si="132"/>
        <v>0</v>
      </c>
      <c r="T1056" s="3" t="str">
        <f t="shared" si="133"/>
        <v/>
      </c>
      <c r="V1056" s="1" t="e">
        <f t="shared" si="134"/>
        <v>#DIV/0!</v>
      </c>
    </row>
    <row r="1057" spans="8:22" x14ac:dyDescent="0.3">
      <c r="H1057" s="10" t="str">
        <f>IF(Planilha1!B1054="","",Planilha1!B1054)</f>
        <v>8:00p</v>
      </c>
      <c r="I1057" s="10" t="str">
        <f>IF(Planilha1!C1054="","",Planilha1!C1054)</f>
        <v>Utah Jazz</v>
      </c>
      <c r="J1057" s="10">
        <f>IF(Planilha1!D1054="","",Planilha1!D1054)</f>
        <v>0</v>
      </c>
      <c r="K1057" s="10" t="str">
        <f>IF(Planilha1!E1054="","",IF(Planilha1!E1054=0,"",Planilha1!E1054))</f>
        <v>Houston Rockets</v>
      </c>
      <c r="L1057" s="10">
        <f>IF(Planilha1!F1054="","",Planilha1!F1054)</f>
        <v>0</v>
      </c>
      <c r="M1057" s="10" t="str">
        <f>IF(Planilha1!G1054="","",IF(Planilha1!G1054=0,"",Planilha1!G1054))</f>
        <v/>
      </c>
      <c r="N1057" s="5">
        <f t="shared" si="135"/>
        <v>1</v>
      </c>
      <c r="O1057" s="5">
        <f t="shared" si="136"/>
        <v>0</v>
      </c>
      <c r="P1057" s="5">
        <f t="shared" si="129"/>
        <v>0</v>
      </c>
      <c r="Q1057" s="5">
        <f t="shared" si="130"/>
        <v>2</v>
      </c>
      <c r="R1057" s="7">
        <f t="shared" si="131"/>
        <v>0</v>
      </c>
      <c r="S1057" s="7">
        <f t="shared" si="132"/>
        <v>0</v>
      </c>
      <c r="T1057" s="3" t="str">
        <f t="shared" si="133"/>
        <v/>
      </c>
      <c r="V1057" s="1" t="e">
        <f t="shared" si="134"/>
        <v>#DIV/0!</v>
      </c>
    </row>
    <row r="1058" spans="8:22" x14ac:dyDescent="0.3">
      <c r="H1058" s="10" t="str">
        <f>IF(Planilha1!B1055="","",Planilha1!B1055)</f>
        <v>8:00p</v>
      </c>
      <c r="I1058" s="10" t="str">
        <f>IF(Planilha1!C1055="","",Planilha1!C1055)</f>
        <v>Phoenix Suns</v>
      </c>
      <c r="J1058" s="10">
        <f>IF(Planilha1!D1055="","",Planilha1!D1055)</f>
        <v>0</v>
      </c>
      <c r="K1058" s="10" t="str">
        <f>IF(Planilha1!E1055="","",IF(Planilha1!E1055=0,"",Planilha1!E1055))</f>
        <v>San Antonio Spurs</v>
      </c>
      <c r="L1058" s="10">
        <f>IF(Planilha1!F1055="","",Planilha1!F1055)</f>
        <v>0</v>
      </c>
      <c r="M1058" s="10" t="str">
        <f>IF(Planilha1!G1055="","",IF(Planilha1!G1055=0,"",Planilha1!G1055))</f>
        <v/>
      </c>
      <c r="N1058" s="5">
        <f t="shared" si="135"/>
        <v>1</v>
      </c>
      <c r="O1058" s="5">
        <f t="shared" si="136"/>
        <v>0</v>
      </c>
      <c r="P1058" s="5">
        <f t="shared" si="129"/>
        <v>0</v>
      </c>
      <c r="Q1058" s="5">
        <f t="shared" si="130"/>
        <v>2</v>
      </c>
      <c r="R1058" s="7">
        <f t="shared" si="131"/>
        <v>0</v>
      </c>
      <c r="S1058" s="7">
        <f t="shared" si="132"/>
        <v>0</v>
      </c>
      <c r="T1058" s="3" t="str">
        <f t="shared" si="133"/>
        <v/>
      </c>
      <c r="V1058" s="1" t="e">
        <f t="shared" si="134"/>
        <v>#DIV/0!</v>
      </c>
    </row>
    <row r="1059" spans="8:22" x14ac:dyDescent="0.3">
      <c r="H1059" s="10" t="str">
        <f>IF(Planilha1!B1056="","",Planilha1!B1056)</f>
        <v>8:00p</v>
      </c>
      <c r="I1059" s="10" t="str">
        <f>IF(Planilha1!C1056="","",Planilha1!C1056)</f>
        <v>Toronto Raptors</v>
      </c>
      <c r="J1059" s="10">
        <f>IF(Planilha1!D1056="","",Planilha1!D1056)</f>
        <v>0</v>
      </c>
      <c r="K1059" s="10" t="str">
        <f>IF(Planilha1!E1056="","",IF(Planilha1!E1056=0,"",Planilha1!E1056))</f>
        <v>Washington Wizards</v>
      </c>
      <c r="L1059" s="10">
        <f>IF(Planilha1!F1056="","",Planilha1!F1056)</f>
        <v>0</v>
      </c>
      <c r="M1059" s="10" t="str">
        <f>IF(Planilha1!G1056="","",IF(Planilha1!G1056=0,"",Planilha1!G1056))</f>
        <v/>
      </c>
      <c r="N1059" s="5">
        <f t="shared" si="135"/>
        <v>1</v>
      </c>
      <c r="O1059" s="5">
        <f t="shared" si="136"/>
        <v>0</v>
      </c>
      <c r="P1059" s="5">
        <f t="shared" si="129"/>
        <v>0</v>
      </c>
      <c r="Q1059" s="5">
        <f t="shared" si="130"/>
        <v>2</v>
      </c>
      <c r="R1059" s="7">
        <f t="shared" si="131"/>
        <v>0</v>
      </c>
      <c r="S1059" s="7">
        <f t="shared" si="132"/>
        <v>0</v>
      </c>
      <c r="T1059" s="3" t="str">
        <f t="shared" si="133"/>
        <v/>
      </c>
      <c r="V1059" s="1" t="e">
        <f t="shared" si="134"/>
        <v>#DIV/0!</v>
      </c>
    </row>
    <row r="1060" spans="8:22" x14ac:dyDescent="0.3">
      <c r="H1060" s="10" t="str">
        <f>IF(Planilha1!B1057="","",Planilha1!B1057)</f>
        <v>10:00p</v>
      </c>
      <c r="I1060" s="10" t="str">
        <f>IF(Planilha1!C1057="","",Planilha1!C1057)</f>
        <v>Denver Nuggets</v>
      </c>
      <c r="J1060" s="10">
        <f>IF(Planilha1!D1057="","",Planilha1!D1057)</f>
        <v>0</v>
      </c>
      <c r="K1060" s="10" t="str">
        <f>IF(Planilha1!E1057="","",IF(Planilha1!E1057=0,"",Planilha1!E1057))</f>
        <v>Portland Trail Blazers</v>
      </c>
      <c r="L1060" s="10">
        <f>IF(Planilha1!F1057="","",Planilha1!F1057)</f>
        <v>0</v>
      </c>
      <c r="M1060" s="10" t="str">
        <f>IF(Planilha1!G1057="","",IF(Planilha1!G1057=0,"",Planilha1!G1057))</f>
        <v/>
      </c>
      <c r="N1060" s="5">
        <f t="shared" si="135"/>
        <v>1</v>
      </c>
      <c r="O1060" s="5">
        <f t="shared" si="136"/>
        <v>0</v>
      </c>
      <c r="P1060" s="5">
        <f t="shared" si="129"/>
        <v>0</v>
      </c>
      <c r="Q1060" s="5">
        <f t="shared" si="130"/>
        <v>2</v>
      </c>
      <c r="R1060" s="7">
        <f t="shared" si="131"/>
        <v>0</v>
      </c>
      <c r="S1060" s="7">
        <f t="shared" si="132"/>
        <v>0</v>
      </c>
      <c r="T1060" s="3" t="str">
        <f t="shared" si="133"/>
        <v/>
      </c>
      <c r="V1060" s="1" t="e">
        <f t="shared" si="134"/>
        <v>#DIV/0!</v>
      </c>
    </row>
    <row r="1061" spans="8:22" x14ac:dyDescent="0.3">
      <c r="H1061" s="10" t="str">
        <f>IF(Planilha1!B1058="","",Planilha1!B1058)</f>
        <v>3:00p</v>
      </c>
      <c r="I1061" s="10" t="str">
        <f>IF(Planilha1!C1058="","",Planilha1!C1058)</f>
        <v>New Orleans Pelicans</v>
      </c>
      <c r="J1061" s="10">
        <f>IF(Planilha1!D1058="","",Planilha1!D1058)</f>
        <v>0</v>
      </c>
      <c r="K1061" s="10" t="str">
        <f>IF(Planilha1!E1058="","",IF(Planilha1!E1058=0,"",Planilha1!E1058))</f>
        <v>Detroit Pistons</v>
      </c>
      <c r="L1061" s="10">
        <f>IF(Planilha1!F1058="","",Planilha1!F1058)</f>
        <v>0</v>
      </c>
      <c r="M1061" s="10" t="str">
        <f>IF(Planilha1!G1058="","",IF(Planilha1!G1058=0,"",Planilha1!G1058))</f>
        <v/>
      </c>
      <c r="N1061" s="5">
        <f t="shared" si="135"/>
        <v>1</v>
      </c>
      <c r="O1061" s="5">
        <f t="shared" si="136"/>
        <v>0</v>
      </c>
      <c r="P1061" s="5">
        <f t="shared" si="129"/>
        <v>0</v>
      </c>
      <c r="Q1061" s="5">
        <f t="shared" si="130"/>
        <v>2</v>
      </c>
      <c r="R1061" s="7">
        <f t="shared" si="131"/>
        <v>0</v>
      </c>
      <c r="S1061" s="7">
        <f t="shared" si="132"/>
        <v>0</v>
      </c>
      <c r="T1061" s="3" t="str">
        <f t="shared" si="133"/>
        <v/>
      </c>
      <c r="V1061" s="1" t="e">
        <f t="shared" si="134"/>
        <v>#DIV/0!</v>
      </c>
    </row>
    <row r="1062" spans="8:22" x14ac:dyDescent="0.3">
      <c r="H1062" s="10" t="str">
        <f>IF(Planilha1!B1059="","",Planilha1!B1059)</f>
        <v>3:30p</v>
      </c>
      <c r="I1062" s="10" t="str">
        <f>IF(Planilha1!C1059="","",Planilha1!C1059)</f>
        <v>Philadelphia 76ers</v>
      </c>
      <c r="J1062" s="10">
        <f>IF(Planilha1!D1059="","",Planilha1!D1059)</f>
        <v>0</v>
      </c>
      <c r="K1062" s="10" t="str">
        <f>IF(Planilha1!E1059="","",IF(Planilha1!E1059=0,"",Planilha1!E1059))</f>
        <v>Los Angeles Clippers</v>
      </c>
      <c r="L1062" s="10">
        <f>IF(Planilha1!F1059="","",Planilha1!F1059)</f>
        <v>0</v>
      </c>
      <c r="M1062" s="10" t="str">
        <f>IF(Planilha1!G1059="","",IF(Planilha1!G1059=0,"",Planilha1!G1059))</f>
        <v/>
      </c>
      <c r="N1062" s="5">
        <f t="shared" si="135"/>
        <v>1</v>
      </c>
      <c r="O1062" s="5">
        <f t="shared" si="136"/>
        <v>0</v>
      </c>
      <c r="P1062" s="5">
        <f t="shared" si="129"/>
        <v>0</v>
      </c>
      <c r="Q1062" s="5">
        <f t="shared" si="130"/>
        <v>2</v>
      </c>
      <c r="R1062" s="7">
        <f t="shared" si="131"/>
        <v>0</v>
      </c>
      <c r="S1062" s="7">
        <f t="shared" si="132"/>
        <v>0</v>
      </c>
      <c r="T1062" s="3" t="str">
        <f t="shared" si="133"/>
        <v/>
      </c>
      <c r="V1062" s="1" t="e">
        <f t="shared" si="134"/>
        <v>#DIV/0!</v>
      </c>
    </row>
    <row r="1063" spans="8:22" x14ac:dyDescent="0.3">
      <c r="H1063" s="10" t="str">
        <f>IF(Planilha1!B1060="","",Planilha1!B1060)</f>
        <v>6:00p</v>
      </c>
      <c r="I1063" s="10" t="str">
        <f>IF(Planilha1!C1060="","",Planilha1!C1060)</f>
        <v>Cleveland Cavaliers</v>
      </c>
      <c r="J1063" s="10">
        <f>IF(Planilha1!D1060="","",Planilha1!D1060)</f>
        <v>0</v>
      </c>
      <c r="K1063" s="10" t="str">
        <f>IF(Planilha1!E1060="","",IF(Planilha1!E1060=0,"",Planilha1!E1060))</f>
        <v>Miami Heat</v>
      </c>
      <c r="L1063" s="10">
        <f>IF(Planilha1!F1060="","",Planilha1!F1060)</f>
        <v>0</v>
      </c>
      <c r="M1063" s="10" t="str">
        <f>IF(Planilha1!G1060="","",IF(Planilha1!G1060=0,"",Planilha1!G1060))</f>
        <v/>
      </c>
      <c r="N1063" s="5">
        <f t="shared" si="135"/>
        <v>1</v>
      </c>
      <c r="O1063" s="5">
        <f t="shared" si="136"/>
        <v>0</v>
      </c>
      <c r="P1063" s="5">
        <f t="shared" si="129"/>
        <v>0</v>
      </c>
      <c r="Q1063" s="5">
        <f t="shared" si="130"/>
        <v>2</v>
      </c>
      <c r="R1063" s="7">
        <f t="shared" si="131"/>
        <v>0</v>
      </c>
      <c r="S1063" s="7">
        <f t="shared" si="132"/>
        <v>0</v>
      </c>
      <c r="T1063" s="3" t="str">
        <f t="shared" si="133"/>
        <v/>
      </c>
      <c r="V1063" s="1" t="e">
        <f t="shared" si="134"/>
        <v>#DIV/0!</v>
      </c>
    </row>
    <row r="1064" spans="8:22" x14ac:dyDescent="0.3">
      <c r="H1064" s="10" t="str">
        <f>IF(Planilha1!B1061="","",Planilha1!B1061)</f>
        <v>7:00p</v>
      </c>
      <c r="I1064" s="10" t="str">
        <f>IF(Planilha1!C1061="","",Planilha1!C1061)</f>
        <v>Oklahoma City Thunder</v>
      </c>
      <c r="J1064" s="10">
        <f>IF(Planilha1!D1061="","",Planilha1!D1061)</f>
        <v>0</v>
      </c>
      <c r="K1064" s="10" t="str">
        <f>IF(Planilha1!E1061="","",IF(Planilha1!E1061=0,"",Planilha1!E1061))</f>
        <v>Milwaukee Bucks</v>
      </c>
      <c r="L1064" s="10">
        <f>IF(Planilha1!F1061="","",Planilha1!F1061)</f>
        <v>0</v>
      </c>
      <c r="M1064" s="10" t="str">
        <f>IF(Planilha1!G1061="","",IF(Planilha1!G1061=0,"",Planilha1!G1061))</f>
        <v/>
      </c>
      <c r="N1064" s="5">
        <f t="shared" si="135"/>
        <v>1</v>
      </c>
      <c r="O1064" s="5">
        <f t="shared" si="136"/>
        <v>0</v>
      </c>
      <c r="P1064" s="5">
        <f t="shared" si="129"/>
        <v>0</v>
      </c>
      <c r="Q1064" s="5">
        <f t="shared" si="130"/>
        <v>2</v>
      </c>
      <c r="R1064" s="7">
        <f t="shared" si="131"/>
        <v>0</v>
      </c>
      <c r="S1064" s="7">
        <f t="shared" si="132"/>
        <v>0</v>
      </c>
      <c r="T1064" s="3" t="str">
        <f t="shared" si="133"/>
        <v/>
      </c>
      <c r="V1064" s="1" t="e">
        <f t="shared" si="134"/>
        <v>#DIV/0!</v>
      </c>
    </row>
    <row r="1065" spans="8:22" x14ac:dyDescent="0.3">
      <c r="H1065" s="10" t="str">
        <f>IF(Planilha1!B1062="","",Planilha1!B1062)</f>
        <v>7:00p</v>
      </c>
      <c r="I1065" s="10" t="str">
        <f>IF(Planilha1!C1062="","",Planilha1!C1062)</f>
        <v>Golden State Warriors</v>
      </c>
      <c r="J1065" s="10">
        <f>IF(Planilha1!D1062="","",Planilha1!D1062)</f>
        <v>0</v>
      </c>
      <c r="K1065" s="10" t="str">
        <f>IF(Planilha1!E1062="","",IF(Planilha1!E1062=0,"",Planilha1!E1062))</f>
        <v>Minnesota Timberwolves</v>
      </c>
      <c r="L1065" s="10">
        <f>IF(Planilha1!F1062="","",Planilha1!F1062)</f>
        <v>0</v>
      </c>
      <c r="M1065" s="10" t="str">
        <f>IF(Planilha1!G1062="","",IF(Planilha1!G1062=0,"",Planilha1!G1062))</f>
        <v/>
      </c>
      <c r="N1065" s="5">
        <f t="shared" si="135"/>
        <v>1</v>
      </c>
      <c r="O1065" s="5">
        <f t="shared" si="136"/>
        <v>0</v>
      </c>
      <c r="P1065" s="5">
        <f t="shared" si="129"/>
        <v>0</v>
      </c>
      <c r="Q1065" s="5">
        <f t="shared" si="130"/>
        <v>2</v>
      </c>
      <c r="R1065" s="7">
        <f t="shared" si="131"/>
        <v>0</v>
      </c>
      <c r="S1065" s="7">
        <f t="shared" si="132"/>
        <v>0</v>
      </c>
      <c r="T1065" s="3" t="str">
        <f t="shared" si="133"/>
        <v/>
      </c>
      <c r="V1065" s="1" t="e">
        <f t="shared" si="134"/>
        <v>#DIV/0!</v>
      </c>
    </row>
    <row r="1066" spans="8:22" x14ac:dyDescent="0.3">
      <c r="H1066" s="10" t="str">
        <f>IF(Planilha1!B1063="","",Planilha1!B1063)</f>
        <v>10:00p</v>
      </c>
      <c r="I1066" s="10" t="str">
        <f>IF(Planilha1!C1063="","",Planilha1!C1063)</f>
        <v>Indiana Pacers</v>
      </c>
      <c r="J1066" s="10">
        <f>IF(Planilha1!D1063="","",Planilha1!D1063)</f>
        <v>0</v>
      </c>
      <c r="K1066" s="10" t="str">
        <f>IF(Planilha1!E1063="","",IF(Planilha1!E1063=0,"",Planilha1!E1063))</f>
        <v>Los Angeles Lakers</v>
      </c>
      <c r="L1066" s="10">
        <f>IF(Planilha1!F1063="","",Planilha1!F1063)</f>
        <v>0</v>
      </c>
      <c r="M1066" s="10" t="str">
        <f>IF(Planilha1!G1063="","",IF(Planilha1!G1063=0,"",Planilha1!G1063))</f>
        <v/>
      </c>
      <c r="N1066" s="5">
        <f t="shared" si="135"/>
        <v>1</v>
      </c>
      <c r="O1066" s="5">
        <f t="shared" si="136"/>
        <v>0</v>
      </c>
      <c r="P1066" s="5">
        <f t="shared" si="129"/>
        <v>0</v>
      </c>
      <c r="Q1066" s="5">
        <f t="shared" si="130"/>
        <v>2</v>
      </c>
      <c r="R1066" s="7">
        <f t="shared" si="131"/>
        <v>0</v>
      </c>
      <c r="S1066" s="7">
        <f t="shared" si="132"/>
        <v>0</v>
      </c>
      <c r="T1066" s="3" t="str">
        <f t="shared" si="133"/>
        <v/>
      </c>
      <c r="V1066" s="1" t="e">
        <f t="shared" si="134"/>
        <v>#DIV/0!</v>
      </c>
    </row>
    <row r="1067" spans="8:22" x14ac:dyDescent="0.3">
      <c r="H1067" s="10" t="str">
        <f>IF(Planilha1!B1064="","",Planilha1!B1064)</f>
        <v>7:00p</v>
      </c>
      <c r="I1067" s="10" t="str">
        <f>IF(Planilha1!C1064="","",Planilha1!C1064)</f>
        <v>Charlotte Hornets</v>
      </c>
      <c r="J1067" s="10">
        <f>IF(Planilha1!D1064="","",Planilha1!D1064)</f>
        <v>0</v>
      </c>
      <c r="K1067" s="10" t="str">
        <f>IF(Planilha1!E1064="","",IF(Planilha1!E1064=0,"",Planilha1!E1064))</f>
        <v>Cleveland Cavaliers</v>
      </c>
      <c r="L1067" s="10">
        <f>IF(Planilha1!F1064="","",Planilha1!F1064)</f>
        <v>0</v>
      </c>
      <c r="M1067" s="10" t="str">
        <f>IF(Planilha1!G1064="","",IF(Planilha1!G1064=0,"",Planilha1!G1064))</f>
        <v/>
      </c>
      <c r="N1067" s="5">
        <f t="shared" si="135"/>
        <v>1</v>
      </c>
      <c r="O1067" s="5">
        <f t="shared" si="136"/>
        <v>0</v>
      </c>
      <c r="P1067" s="5">
        <f t="shared" si="129"/>
        <v>0</v>
      </c>
      <c r="Q1067" s="5">
        <f t="shared" si="130"/>
        <v>2</v>
      </c>
      <c r="R1067" s="7">
        <f t="shared" si="131"/>
        <v>0</v>
      </c>
      <c r="S1067" s="7">
        <f t="shared" si="132"/>
        <v>0</v>
      </c>
      <c r="T1067" s="3" t="str">
        <f t="shared" si="133"/>
        <v/>
      </c>
      <c r="V1067" s="1" t="e">
        <f t="shared" si="134"/>
        <v>#DIV/0!</v>
      </c>
    </row>
    <row r="1068" spans="8:22" x14ac:dyDescent="0.3">
      <c r="H1068" s="10" t="str">
        <f>IF(Planilha1!B1065="","",Planilha1!B1065)</f>
        <v>7:30p</v>
      </c>
      <c r="I1068" s="10" t="str">
        <f>IF(Planilha1!C1065="","",Planilha1!C1065)</f>
        <v>Boston Celtics</v>
      </c>
      <c r="J1068" s="10">
        <f>IF(Planilha1!D1065="","",Planilha1!D1065)</f>
        <v>0</v>
      </c>
      <c r="K1068" s="10" t="str">
        <f>IF(Planilha1!E1065="","",IF(Planilha1!E1065=0,"",Planilha1!E1065))</f>
        <v>Atlanta Hawks</v>
      </c>
      <c r="L1068" s="10">
        <f>IF(Planilha1!F1065="","",Planilha1!F1065)</f>
        <v>0</v>
      </c>
      <c r="M1068" s="10" t="str">
        <f>IF(Planilha1!G1065="","",IF(Planilha1!G1065=0,"",Planilha1!G1065))</f>
        <v/>
      </c>
      <c r="N1068" s="5">
        <f t="shared" si="135"/>
        <v>1</v>
      </c>
      <c r="O1068" s="5">
        <f t="shared" si="136"/>
        <v>0</v>
      </c>
      <c r="P1068" s="5">
        <f t="shared" si="129"/>
        <v>0</v>
      </c>
      <c r="Q1068" s="5">
        <f t="shared" si="130"/>
        <v>2</v>
      </c>
      <c r="R1068" s="7">
        <f t="shared" si="131"/>
        <v>0</v>
      </c>
      <c r="S1068" s="7">
        <f t="shared" si="132"/>
        <v>0</v>
      </c>
      <c r="T1068" s="3" t="str">
        <f t="shared" si="133"/>
        <v/>
      </c>
      <c r="V1068" s="1" t="e">
        <f t="shared" si="134"/>
        <v>#DIV/0!</v>
      </c>
    </row>
    <row r="1069" spans="8:22" x14ac:dyDescent="0.3">
      <c r="H1069" s="10" t="str">
        <f>IF(Planilha1!B1066="","",Planilha1!B1066)</f>
        <v>7:30p</v>
      </c>
      <c r="I1069" s="10" t="str">
        <f>IF(Planilha1!C1066="","",Planilha1!C1066)</f>
        <v>Detroit Pistons</v>
      </c>
      <c r="J1069" s="10">
        <f>IF(Planilha1!D1066="","",Planilha1!D1066)</f>
        <v>0</v>
      </c>
      <c r="K1069" s="10" t="str">
        <f>IF(Planilha1!E1066="","",IF(Planilha1!E1066=0,"",Planilha1!E1066))</f>
        <v>New York Knicks</v>
      </c>
      <c r="L1069" s="10">
        <f>IF(Planilha1!F1066="","",Planilha1!F1066)</f>
        <v>0</v>
      </c>
      <c r="M1069" s="10" t="str">
        <f>IF(Planilha1!G1066="","",IF(Planilha1!G1066=0,"",Planilha1!G1066))</f>
        <v/>
      </c>
      <c r="N1069" s="5">
        <f t="shared" si="135"/>
        <v>1</v>
      </c>
      <c r="O1069" s="5">
        <f t="shared" si="136"/>
        <v>0</v>
      </c>
      <c r="P1069" s="5">
        <f t="shared" si="129"/>
        <v>0</v>
      </c>
      <c r="Q1069" s="5">
        <f t="shared" si="130"/>
        <v>2</v>
      </c>
      <c r="R1069" s="7">
        <f t="shared" si="131"/>
        <v>0</v>
      </c>
      <c r="S1069" s="7">
        <f t="shared" si="132"/>
        <v>0</v>
      </c>
      <c r="T1069" s="3" t="str">
        <f t="shared" si="133"/>
        <v/>
      </c>
      <c r="V1069" s="1" t="e">
        <f t="shared" si="134"/>
        <v>#DIV/0!</v>
      </c>
    </row>
    <row r="1070" spans="8:22" x14ac:dyDescent="0.3">
      <c r="H1070" s="10" t="str">
        <f>IF(Planilha1!B1067="","",Planilha1!B1067)</f>
        <v>7:30p</v>
      </c>
      <c r="I1070" s="10" t="str">
        <f>IF(Planilha1!C1067="","",Planilha1!C1067)</f>
        <v>Brooklyn Nets</v>
      </c>
      <c r="J1070" s="10">
        <f>IF(Planilha1!D1067="","",Planilha1!D1067)</f>
        <v>0</v>
      </c>
      <c r="K1070" s="10" t="str">
        <f>IF(Planilha1!E1067="","",IF(Planilha1!E1067=0,"",Planilha1!E1067))</f>
        <v>Toronto Raptors</v>
      </c>
      <c r="L1070" s="10">
        <f>IF(Planilha1!F1067="","",Planilha1!F1067)</f>
        <v>0</v>
      </c>
      <c r="M1070" s="10" t="str">
        <f>IF(Planilha1!G1067="","",IF(Planilha1!G1067=0,"",Planilha1!G1067))</f>
        <v/>
      </c>
      <c r="N1070" s="5">
        <f t="shared" si="135"/>
        <v>1</v>
      </c>
      <c r="O1070" s="5">
        <f t="shared" si="136"/>
        <v>0</v>
      </c>
      <c r="P1070" s="5">
        <f t="shared" si="129"/>
        <v>0</v>
      </c>
      <c r="Q1070" s="5">
        <f t="shared" si="130"/>
        <v>2</v>
      </c>
      <c r="R1070" s="7">
        <f t="shared" si="131"/>
        <v>0</v>
      </c>
      <c r="S1070" s="7">
        <f t="shared" si="132"/>
        <v>0</v>
      </c>
      <c r="T1070" s="3" t="str">
        <f t="shared" si="133"/>
        <v/>
      </c>
      <c r="V1070" s="1" t="e">
        <f t="shared" si="134"/>
        <v>#DIV/0!</v>
      </c>
    </row>
    <row r="1071" spans="8:22" x14ac:dyDescent="0.3">
      <c r="H1071" s="10" t="str">
        <f>IF(Planilha1!B1068="","",Planilha1!B1068)</f>
        <v>8:00p</v>
      </c>
      <c r="I1071" s="10" t="str">
        <f>IF(Planilha1!C1068="","",Planilha1!C1068)</f>
        <v>Washington Wizards</v>
      </c>
      <c r="J1071" s="10">
        <f>IF(Planilha1!D1068="","",Planilha1!D1068)</f>
        <v>0</v>
      </c>
      <c r="K1071" s="10" t="str">
        <f>IF(Planilha1!E1068="","",IF(Planilha1!E1068=0,"",Planilha1!E1068))</f>
        <v>Chicago Bulls</v>
      </c>
      <c r="L1071" s="10">
        <f>IF(Planilha1!F1068="","",Planilha1!F1068)</f>
        <v>0</v>
      </c>
      <c r="M1071" s="10" t="str">
        <f>IF(Planilha1!G1068="","",IF(Planilha1!G1068=0,"",Planilha1!G1068))</f>
        <v/>
      </c>
      <c r="N1071" s="5">
        <f t="shared" si="135"/>
        <v>1</v>
      </c>
      <c r="O1071" s="5">
        <f t="shared" si="136"/>
        <v>0</v>
      </c>
      <c r="P1071" s="5">
        <f t="shared" si="129"/>
        <v>0</v>
      </c>
      <c r="Q1071" s="5">
        <f t="shared" si="130"/>
        <v>2</v>
      </c>
      <c r="R1071" s="7">
        <f t="shared" si="131"/>
        <v>0</v>
      </c>
      <c r="S1071" s="7">
        <f t="shared" si="132"/>
        <v>0</v>
      </c>
      <c r="T1071" s="3" t="str">
        <f t="shared" si="133"/>
        <v/>
      </c>
      <c r="V1071" s="1" t="e">
        <f t="shared" si="134"/>
        <v>#DIV/0!</v>
      </c>
    </row>
    <row r="1072" spans="8:22" x14ac:dyDescent="0.3">
      <c r="H1072" s="10" t="str">
        <f>IF(Planilha1!B1069="","",Planilha1!B1069)</f>
        <v>8:00p</v>
      </c>
      <c r="I1072" s="10" t="str">
        <f>IF(Planilha1!C1069="","",Planilha1!C1069)</f>
        <v>Portland Trail Blazers</v>
      </c>
      <c r="J1072" s="10">
        <f>IF(Planilha1!D1069="","",Planilha1!D1069)</f>
        <v>0</v>
      </c>
      <c r="K1072" s="10" t="str">
        <f>IF(Planilha1!E1069="","",IF(Planilha1!E1069=0,"",Planilha1!E1069))</f>
        <v>Houston Rockets</v>
      </c>
      <c r="L1072" s="10">
        <f>IF(Planilha1!F1069="","",Planilha1!F1069)</f>
        <v>0</v>
      </c>
      <c r="M1072" s="10" t="str">
        <f>IF(Planilha1!G1069="","",IF(Planilha1!G1069=0,"",Planilha1!G1069))</f>
        <v/>
      </c>
      <c r="N1072" s="5">
        <f t="shared" si="135"/>
        <v>1</v>
      </c>
      <c r="O1072" s="5">
        <f t="shared" si="136"/>
        <v>0</v>
      </c>
      <c r="P1072" s="5">
        <f t="shared" si="129"/>
        <v>0</v>
      </c>
      <c r="Q1072" s="5">
        <f t="shared" si="130"/>
        <v>2</v>
      </c>
      <c r="R1072" s="7">
        <f t="shared" si="131"/>
        <v>0</v>
      </c>
      <c r="S1072" s="7">
        <f t="shared" si="132"/>
        <v>0</v>
      </c>
      <c r="T1072" s="3" t="str">
        <f t="shared" si="133"/>
        <v/>
      </c>
      <c r="V1072" s="1" t="e">
        <f t="shared" si="134"/>
        <v>#DIV/0!</v>
      </c>
    </row>
    <row r="1073" spans="8:22" x14ac:dyDescent="0.3">
      <c r="H1073" s="10" t="str">
        <f>IF(Planilha1!B1070="","",Planilha1!B1070)</f>
        <v>8:00p</v>
      </c>
      <c r="I1073" s="10" t="str">
        <f>IF(Planilha1!C1070="","",Planilha1!C1070)</f>
        <v>Phoenix Suns</v>
      </c>
      <c r="J1073" s="10">
        <f>IF(Planilha1!D1070="","",Planilha1!D1070)</f>
        <v>0</v>
      </c>
      <c r="K1073" s="10" t="str">
        <f>IF(Planilha1!E1070="","",IF(Planilha1!E1070=0,"",Planilha1!E1070))</f>
        <v>San Antonio Spurs</v>
      </c>
      <c r="L1073" s="10">
        <f>IF(Planilha1!F1070="","",Planilha1!F1070)</f>
        <v>0</v>
      </c>
      <c r="M1073" s="10" t="str">
        <f>IF(Planilha1!G1070="","",IF(Planilha1!G1070=0,"",Planilha1!G1070))</f>
        <v/>
      </c>
      <c r="N1073" s="5">
        <f t="shared" si="135"/>
        <v>1</v>
      </c>
      <c r="O1073" s="5">
        <f t="shared" si="136"/>
        <v>0</v>
      </c>
      <c r="P1073" s="5">
        <f t="shared" si="129"/>
        <v>0</v>
      </c>
      <c r="Q1073" s="5">
        <f t="shared" si="130"/>
        <v>2</v>
      </c>
      <c r="R1073" s="7">
        <f t="shared" si="131"/>
        <v>0</v>
      </c>
      <c r="S1073" s="7">
        <f t="shared" si="132"/>
        <v>0</v>
      </c>
      <c r="T1073" s="3" t="str">
        <f t="shared" si="133"/>
        <v/>
      </c>
      <c r="V1073" s="1" t="e">
        <f t="shared" si="134"/>
        <v>#DIV/0!</v>
      </c>
    </row>
    <row r="1074" spans="8:22" x14ac:dyDescent="0.3">
      <c r="H1074" s="10" t="str">
        <f>IF(Planilha1!B1071="","",Planilha1!B1071)</f>
        <v>9:00p</v>
      </c>
      <c r="I1074" s="10" t="str">
        <f>IF(Planilha1!C1071="","",Planilha1!C1071)</f>
        <v>Memphis Grizzlies</v>
      </c>
      <c r="J1074" s="10">
        <f>IF(Planilha1!D1071="","",Planilha1!D1071)</f>
        <v>0</v>
      </c>
      <c r="K1074" s="10" t="str">
        <f>IF(Planilha1!E1071="","",IF(Planilha1!E1071=0,"",Planilha1!E1071))</f>
        <v>Denver Nuggets</v>
      </c>
      <c r="L1074" s="10">
        <f>IF(Planilha1!F1071="","",Planilha1!F1071)</f>
        <v>0</v>
      </c>
      <c r="M1074" s="10" t="str">
        <f>IF(Planilha1!G1071="","",IF(Planilha1!G1071=0,"",Planilha1!G1071))</f>
        <v/>
      </c>
      <c r="N1074" s="5">
        <f t="shared" si="135"/>
        <v>1</v>
      </c>
      <c r="O1074" s="5">
        <f t="shared" si="136"/>
        <v>0</v>
      </c>
      <c r="P1074" s="5">
        <f t="shared" si="129"/>
        <v>0</v>
      </c>
      <c r="Q1074" s="5">
        <f t="shared" si="130"/>
        <v>2</v>
      </c>
      <c r="R1074" s="7">
        <f t="shared" si="131"/>
        <v>0</v>
      </c>
      <c r="S1074" s="7">
        <f t="shared" si="132"/>
        <v>0</v>
      </c>
      <c r="T1074" s="3" t="str">
        <f t="shared" si="133"/>
        <v/>
      </c>
      <c r="V1074" s="1" t="e">
        <f t="shared" si="134"/>
        <v>#DIV/0!</v>
      </c>
    </row>
    <row r="1075" spans="8:22" x14ac:dyDescent="0.3">
      <c r="H1075" s="10" t="str">
        <f>IF(Planilha1!B1072="","",Planilha1!B1072)</f>
        <v>9:00p</v>
      </c>
      <c r="I1075" s="10" t="str">
        <f>IF(Planilha1!C1072="","",Planilha1!C1072)</f>
        <v>Dallas Mavericks</v>
      </c>
      <c r="J1075" s="10">
        <f>IF(Planilha1!D1072="","",Planilha1!D1072)</f>
        <v>0</v>
      </c>
      <c r="K1075" s="10" t="str">
        <f>IF(Planilha1!E1072="","",IF(Planilha1!E1072=0,"",Planilha1!E1072))</f>
        <v>Utah Jazz</v>
      </c>
      <c r="L1075" s="10">
        <f>IF(Planilha1!F1072="","",Planilha1!F1072)</f>
        <v>0</v>
      </c>
      <c r="M1075" s="10" t="str">
        <f>IF(Planilha1!G1072="","",IF(Planilha1!G1072=0,"",Planilha1!G1072))</f>
        <v/>
      </c>
      <c r="N1075" s="5">
        <f t="shared" si="135"/>
        <v>1</v>
      </c>
      <c r="O1075" s="5">
        <f t="shared" si="136"/>
        <v>0</v>
      </c>
      <c r="P1075" s="5">
        <f t="shared" si="129"/>
        <v>0</v>
      </c>
      <c r="Q1075" s="5">
        <f t="shared" si="130"/>
        <v>2</v>
      </c>
      <c r="R1075" s="7">
        <f t="shared" si="131"/>
        <v>0</v>
      </c>
      <c r="S1075" s="7">
        <f t="shared" si="132"/>
        <v>0</v>
      </c>
      <c r="T1075" s="3" t="str">
        <f t="shared" si="133"/>
        <v/>
      </c>
      <c r="V1075" s="1" t="e">
        <f t="shared" si="134"/>
        <v>#DIV/0!</v>
      </c>
    </row>
    <row r="1076" spans="8:22" x14ac:dyDescent="0.3">
      <c r="H1076" s="10" t="str">
        <f>IF(Planilha1!B1073="","",Planilha1!B1073)</f>
        <v>10:00p</v>
      </c>
      <c r="I1076" s="10" t="str">
        <f>IF(Planilha1!C1073="","",Planilha1!C1073)</f>
        <v>Philadelphia 76ers</v>
      </c>
      <c r="J1076" s="10">
        <f>IF(Planilha1!D1073="","",Planilha1!D1073)</f>
        <v>0</v>
      </c>
      <c r="K1076" s="10" t="str">
        <f>IF(Planilha1!E1073="","",IF(Planilha1!E1073=0,"",Planilha1!E1073))</f>
        <v>Sacramento Kings</v>
      </c>
      <c r="L1076" s="10">
        <f>IF(Planilha1!F1073="","",Planilha1!F1073)</f>
        <v>0</v>
      </c>
      <c r="M1076" s="10" t="str">
        <f>IF(Planilha1!G1073="","",IF(Planilha1!G1073=0,"",Planilha1!G1073))</f>
        <v/>
      </c>
      <c r="N1076" s="5">
        <f t="shared" si="135"/>
        <v>1</v>
      </c>
      <c r="O1076" s="5">
        <f t="shared" si="136"/>
        <v>0</v>
      </c>
      <c r="P1076" s="5">
        <f t="shared" si="129"/>
        <v>0</v>
      </c>
      <c r="Q1076" s="5">
        <f t="shared" si="130"/>
        <v>2</v>
      </c>
      <c r="R1076" s="7">
        <f t="shared" si="131"/>
        <v>0</v>
      </c>
      <c r="S1076" s="7">
        <f t="shared" si="132"/>
        <v>0</v>
      </c>
      <c r="T1076" s="3" t="str">
        <f t="shared" si="133"/>
        <v/>
      </c>
      <c r="V1076" s="1" t="e">
        <f t="shared" si="134"/>
        <v>#DIV/0!</v>
      </c>
    </row>
    <row r="1077" spans="8:22" x14ac:dyDescent="0.3">
      <c r="H1077" s="10" t="str">
        <f>IF(Planilha1!B1074="","",Planilha1!B1074)</f>
        <v>10:30p</v>
      </c>
      <c r="I1077" s="10" t="str">
        <f>IF(Planilha1!C1074="","",Planilha1!C1074)</f>
        <v>Indiana Pacers</v>
      </c>
      <c r="J1077" s="10">
        <f>IF(Planilha1!D1074="","",Planilha1!D1074)</f>
        <v>0</v>
      </c>
      <c r="K1077" s="10" t="str">
        <f>IF(Planilha1!E1074="","",IF(Planilha1!E1074=0,"",Planilha1!E1074))</f>
        <v>Los Angeles Clippers</v>
      </c>
      <c r="L1077" s="10">
        <f>IF(Planilha1!F1074="","",Planilha1!F1074)</f>
        <v>0</v>
      </c>
      <c r="M1077" s="10" t="str">
        <f>IF(Planilha1!G1074="","",IF(Planilha1!G1074=0,"",Planilha1!G1074))</f>
        <v/>
      </c>
      <c r="N1077" s="5">
        <f t="shared" si="135"/>
        <v>1</v>
      </c>
      <c r="O1077" s="5">
        <f t="shared" si="136"/>
        <v>0</v>
      </c>
      <c r="P1077" s="5">
        <f t="shared" si="129"/>
        <v>0</v>
      </c>
      <c r="Q1077" s="5">
        <f t="shared" si="130"/>
        <v>2</v>
      </c>
      <c r="R1077" s="7">
        <f t="shared" si="131"/>
        <v>0</v>
      </c>
      <c r="S1077" s="7">
        <f t="shared" si="132"/>
        <v>0</v>
      </c>
      <c r="T1077" s="3" t="str">
        <f t="shared" si="133"/>
        <v/>
      </c>
      <c r="V1077" s="1" t="e">
        <f t="shared" si="134"/>
        <v>#DIV/0!</v>
      </c>
    </row>
    <row r="1078" spans="8:22" x14ac:dyDescent="0.3">
      <c r="H1078" s="10" t="str">
        <f>IF(Planilha1!B1075="","",Planilha1!B1075)</f>
        <v>7:30p</v>
      </c>
      <c r="I1078" s="10" t="str">
        <f>IF(Planilha1!C1075="","",Planilha1!C1075)</f>
        <v>Golden State Warriors</v>
      </c>
      <c r="J1078" s="10">
        <f>IF(Planilha1!D1075="","",Planilha1!D1075)</f>
        <v>0</v>
      </c>
      <c r="K1078" s="10" t="str">
        <f>IF(Planilha1!E1075="","",IF(Planilha1!E1075=0,"",Planilha1!E1075))</f>
        <v>Miami Heat</v>
      </c>
      <c r="L1078" s="10">
        <f>IF(Planilha1!F1075="","",Planilha1!F1075)</f>
        <v>0</v>
      </c>
      <c r="M1078" s="10" t="str">
        <f>IF(Planilha1!G1075="","",IF(Planilha1!G1075=0,"",Planilha1!G1075))</f>
        <v/>
      </c>
      <c r="N1078" s="5">
        <f t="shared" si="135"/>
        <v>1</v>
      </c>
      <c r="O1078" s="5">
        <f t="shared" si="136"/>
        <v>0</v>
      </c>
      <c r="P1078" s="5">
        <f t="shared" si="129"/>
        <v>0</v>
      </c>
      <c r="Q1078" s="5">
        <f t="shared" si="130"/>
        <v>2</v>
      </c>
      <c r="R1078" s="7">
        <f t="shared" si="131"/>
        <v>0</v>
      </c>
      <c r="S1078" s="7">
        <f t="shared" si="132"/>
        <v>0</v>
      </c>
      <c r="T1078" s="3" t="str">
        <f t="shared" si="133"/>
        <v/>
      </c>
      <c r="V1078" s="1" t="e">
        <f t="shared" si="134"/>
        <v>#DIV/0!</v>
      </c>
    </row>
    <row r="1079" spans="8:22" x14ac:dyDescent="0.3">
      <c r="H1079" s="10" t="str">
        <f>IF(Planilha1!B1076="","",Planilha1!B1076)</f>
        <v>7:30p</v>
      </c>
      <c r="I1079" s="10" t="str">
        <f>IF(Planilha1!C1076="","",Planilha1!C1076)</f>
        <v>Los Angeles Lakers</v>
      </c>
      <c r="J1079" s="10">
        <f>IF(Planilha1!D1076="","",Planilha1!D1076)</f>
        <v>0</v>
      </c>
      <c r="K1079" s="10" t="str">
        <f>IF(Planilha1!E1076="","",IF(Planilha1!E1076=0,"",Planilha1!E1076))</f>
        <v>Milwaukee Bucks</v>
      </c>
      <c r="L1079" s="10">
        <f>IF(Planilha1!F1076="","",Planilha1!F1076)</f>
        <v>0</v>
      </c>
      <c r="M1079" s="10" t="str">
        <f>IF(Planilha1!G1076="","",IF(Planilha1!G1076=0,"",Planilha1!G1076))</f>
        <v/>
      </c>
      <c r="N1079" s="5">
        <f t="shared" si="135"/>
        <v>1</v>
      </c>
      <c r="O1079" s="5">
        <f t="shared" si="136"/>
        <v>0</v>
      </c>
      <c r="P1079" s="5">
        <f t="shared" si="129"/>
        <v>0</v>
      </c>
      <c r="Q1079" s="5">
        <f t="shared" si="130"/>
        <v>2</v>
      </c>
      <c r="R1079" s="7">
        <f t="shared" si="131"/>
        <v>0</v>
      </c>
      <c r="S1079" s="7">
        <f t="shared" si="132"/>
        <v>0</v>
      </c>
      <c r="T1079" s="3" t="str">
        <f t="shared" si="133"/>
        <v/>
      </c>
      <c r="V1079" s="1" t="e">
        <f t="shared" si="134"/>
        <v>#DIV/0!</v>
      </c>
    </row>
    <row r="1080" spans="8:22" x14ac:dyDescent="0.3">
      <c r="H1080" s="10" t="str">
        <f>IF(Planilha1!B1077="","",Planilha1!B1077)</f>
        <v>8:00p</v>
      </c>
      <c r="I1080" s="10" t="str">
        <f>IF(Planilha1!C1077="","",Planilha1!C1077)</f>
        <v>Oklahoma City Thunder</v>
      </c>
      <c r="J1080" s="10">
        <f>IF(Planilha1!D1077="","",Planilha1!D1077)</f>
        <v>0</v>
      </c>
      <c r="K1080" s="10" t="str">
        <f>IF(Planilha1!E1077="","",IF(Planilha1!E1077=0,"",Planilha1!E1077))</f>
        <v>New Orleans Pelicans</v>
      </c>
      <c r="L1080" s="10">
        <f>IF(Planilha1!F1077="","",Planilha1!F1077)</f>
        <v>0</v>
      </c>
      <c r="M1080" s="10" t="str">
        <f>IF(Planilha1!G1077="","",IF(Planilha1!G1077=0,"",Planilha1!G1077))</f>
        <v/>
      </c>
      <c r="N1080" s="5">
        <f t="shared" si="135"/>
        <v>1</v>
      </c>
      <c r="O1080" s="5">
        <f t="shared" si="136"/>
        <v>0</v>
      </c>
      <c r="P1080" s="5">
        <f t="shared" si="129"/>
        <v>0</v>
      </c>
      <c r="Q1080" s="5">
        <f t="shared" si="130"/>
        <v>2</v>
      </c>
      <c r="R1080" s="7">
        <f t="shared" si="131"/>
        <v>0</v>
      </c>
      <c r="S1080" s="7">
        <f t="shared" si="132"/>
        <v>0</v>
      </c>
      <c r="T1080" s="3" t="str">
        <f t="shared" si="133"/>
        <v/>
      </c>
      <c r="V1080" s="1" t="e">
        <f t="shared" si="134"/>
        <v>#DIV/0!</v>
      </c>
    </row>
    <row r="1081" spans="8:22" x14ac:dyDescent="0.3">
      <c r="H1081" s="10" t="str">
        <f>IF(Planilha1!B1078="","",Planilha1!B1078)</f>
        <v>10:00p</v>
      </c>
      <c r="I1081" s="10" t="str">
        <f>IF(Planilha1!C1078="","",Planilha1!C1078)</f>
        <v>Dallas Mavericks</v>
      </c>
      <c r="J1081" s="10">
        <f>IF(Planilha1!D1078="","",Planilha1!D1078)</f>
        <v>0</v>
      </c>
      <c r="K1081" s="10" t="str">
        <f>IF(Planilha1!E1078="","",IF(Planilha1!E1078=0,"",Planilha1!E1078))</f>
        <v>Sacramento Kings</v>
      </c>
      <c r="L1081" s="10">
        <f>IF(Planilha1!F1078="","",Planilha1!F1078)</f>
        <v>0</v>
      </c>
      <c r="M1081" s="10" t="str">
        <f>IF(Planilha1!G1078="","",IF(Planilha1!G1078=0,"",Planilha1!G1078))</f>
        <v/>
      </c>
      <c r="N1081" s="5">
        <f t="shared" si="135"/>
        <v>1</v>
      </c>
      <c r="O1081" s="5">
        <f t="shared" si="136"/>
        <v>0</v>
      </c>
      <c r="P1081" s="5">
        <f t="shared" si="129"/>
        <v>0</v>
      </c>
      <c r="Q1081" s="5">
        <f t="shared" si="130"/>
        <v>2</v>
      </c>
      <c r="R1081" s="7">
        <f t="shared" si="131"/>
        <v>0</v>
      </c>
      <c r="S1081" s="7">
        <f t="shared" si="132"/>
        <v>0</v>
      </c>
      <c r="T1081" s="3" t="str">
        <f t="shared" si="133"/>
        <v/>
      </c>
      <c r="V1081" s="1" t="e">
        <f t="shared" si="134"/>
        <v>#DIV/0!</v>
      </c>
    </row>
    <row r="1082" spans="8:22" x14ac:dyDescent="0.3">
      <c r="H1082" s="10" t="str">
        <f>IF(Planilha1!B1079="","",Planilha1!B1079)</f>
        <v>7:00p</v>
      </c>
      <c r="I1082" s="10" t="str">
        <f>IF(Planilha1!C1079="","",Planilha1!C1079)</f>
        <v>Cleveland Cavaliers</v>
      </c>
      <c r="J1082" s="10">
        <f>IF(Planilha1!D1079="","",Planilha1!D1079)</f>
        <v>0</v>
      </c>
      <c r="K1082" s="10" t="str">
        <f>IF(Planilha1!E1079="","",IF(Planilha1!E1079=0,"",Planilha1!E1079))</f>
        <v>Charlotte Hornets</v>
      </c>
      <c r="L1082" s="10">
        <f>IF(Planilha1!F1079="","",Planilha1!F1079)</f>
        <v>0</v>
      </c>
      <c r="M1082" s="10" t="str">
        <f>IF(Planilha1!G1079="","",IF(Planilha1!G1079=0,"",Planilha1!G1079))</f>
        <v/>
      </c>
      <c r="N1082" s="5">
        <f t="shared" si="135"/>
        <v>1</v>
      </c>
      <c r="O1082" s="5">
        <f t="shared" si="136"/>
        <v>0</v>
      </c>
      <c r="P1082" s="5">
        <f t="shared" si="129"/>
        <v>0</v>
      </c>
      <c r="Q1082" s="5">
        <f t="shared" si="130"/>
        <v>2</v>
      </c>
      <c r="R1082" s="7">
        <f t="shared" si="131"/>
        <v>0</v>
      </c>
      <c r="S1082" s="7">
        <f t="shared" si="132"/>
        <v>0</v>
      </c>
      <c r="T1082" s="3" t="str">
        <f t="shared" si="133"/>
        <v/>
      </c>
      <c r="V1082" s="1" t="e">
        <f t="shared" si="134"/>
        <v>#DIV/0!</v>
      </c>
    </row>
    <row r="1083" spans="8:22" x14ac:dyDescent="0.3">
      <c r="H1083" s="10" t="str">
        <f>IF(Planilha1!B1080="","",Planilha1!B1080)</f>
        <v>7:00p</v>
      </c>
      <c r="I1083" s="10" t="str">
        <f>IF(Planilha1!C1080="","",Planilha1!C1080)</f>
        <v>Golden State Warriors</v>
      </c>
      <c r="J1083" s="10">
        <f>IF(Planilha1!D1080="","",Planilha1!D1080)</f>
        <v>0</v>
      </c>
      <c r="K1083" s="10" t="str">
        <f>IF(Planilha1!E1080="","",IF(Planilha1!E1080=0,"",Planilha1!E1080))</f>
        <v>Orlando Magic</v>
      </c>
      <c r="L1083" s="10">
        <f>IF(Planilha1!F1080="","",Planilha1!F1080)</f>
        <v>0</v>
      </c>
      <c r="M1083" s="10" t="str">
        <f>IF(Planilha1!G1080="","",IF(Planilha1!G1080=0,"",Planilha1!G1080))</f>
        <v/>
      </c>
      <c r="N1083" s="5">
        <f t="shared" si="135"/>
        <v>1</v>
      </c>
      <c r="O1083" s="5">
        <f t="shared" si="136"/>
        <v>0</v>
      </c>
      <c r="P1083" s="5">
        <f t="shared" si="129"/>
        <v>0</v>
      </c>
      <c r="Q1083" s="5">
        <f t="shared" si="130"/>
        <v>2</v>
      </c>
      <c r="R1083" s="7">
        <f t="shared" si="131"/>
        <v>0</v>
      </c>
      <c r="S1083" s="7">
        <f t="shared" si="132"/>
        <v>0</v>
      </c>
      <c r="T1083" s="3" t="str">
        <f t="shared" si="133"/>
        <v/>
      </c>
      <c r="V1083" s="1" t="e">
        <f t="shared" si="134"/>
        <v>#DIV/0!</v>
      </c>
    </row>
    <row r="1084" spans="8:22" x14ac:dyDescent="0.3">
      <c r="H1084" s="10" t="str">
        <f>IF(Planilha1!B1081="","",Planilha1!B1081)</f>
        <v>7:00p</v>
      </c>
      <c r="I1084" s="10" t="str">
        <f>IF(Planilha1!C1081="","",Planilha1!C1081)</f>
        <v>Brooklyn Nets</v>
      </c>
      <c r="J1084" s="10">
        <f>IF(Planilha1!D1081="","",Planilha1!D1081)</f>
        <v>0</v>
      </c>
      <c r="K1084" s="10" t="str">
        <f>IF(Planilha1!E1081="","",IF(Planilha1!E1081=0,"",Planilha1!E1081))</f>
        <v>Washington Wizards</v>
      </c>
      <c r="L1084" s="10">
        <f>IF(Planilha1!F1081="","",Planilha1!F1081)</f>
        <v>0</v>
      </c>
      <c r="M1084" s="10" t="str">
        <f>IF(Planilha1!G1081="","",IF(Planilha1!G1081=0,"",Planilha1!G1081))</f>
        <v/>
      </c>
      <c r="N1084" s="5">
        <f t="shared" si="135"/>
        <v>1</v>
      </c>
      <c r="O1084" s="5">
        <f t="shared" si="136"/>
        <v>0</v>
      </c>
      <c r="P1084" s="5">
        <f t="shared" si="129"/>
        <v>0</v>
      </c>
      <c r="Q1084" s="5">
        <f t="shared" si="130"/>
        <v>2</v>
      </c>
      <c r="R1084" s="7">
        <f t="shared" si="131"/>
        <v>0</v>
      </c>
      <c r="S1084" s="7">
        <f t="shared" si="132"/>
        <v>0</v>
      </c>
      <c r="T1084" s="3" t="str">
        <f t="shared" si="133"/>
        <v/>
      </c>
      <c r="V1084" s="1" t="e">
        <f t="shared" si="134"/>
        <v>#DIV/0!</v>
      </c>
    </row>
    <row r="1085" spans="8:22" x14ac:dyDescent="0.3">
      <c r="H1085" s="10" t="str">
        <f>IF(Planilha1!B1082="","",Planilha1!B1082)</f>
        <v>7:30p</v>
      </c>
      <c r="I1085" s="10" t="str">
        <f>IF(Planilha1!C1082="","",Planilha1!C1082)</f>
        <v>Portland Trail Blazers</v>
      </c>
      <c r="J1085" s="10">
        <f>IF(Planilha1!D1082="","",Planilha1!D1082)</f>
        <v>0</v>
      </c>
      <c r="K1085" s="10" t="str">
        <f>IF(Planilha1!E1082="","",IF(Planilha1!E1082=0,"",Planilha1!E1082))</f>
        <v>Atlanta Hawks</v>
      </c>
      <c r="L1085" s="10">
        <f>IF(Planilha1!F1082="","",Planilha1!F1082)</f>
        <v>0</v>
      </c>
      <c r="M1085" s="10" t="str">
        <f>IF(Planilha1!G1082="","",IF(Planilha1!G1082=0,"",Planilha1!G1082))</f>
        <v/>
      </c>
      <c r="N1085" s="5">
        <f t="shared" si="135"/>
        <v>1</v>
      </c>
      <c r="O1085" s="5">
        <f t="shared" si="136"/>
        <v>0</v>
      </c>
      <c r="P1085" s="5">
        <f t="shared" si="129"/>
        <v>0</v>
      </c>
      <c r="Q1085" s="5">
        <f t="shared" si="130"/>
        <v>2</v>
      </c>
      <c r="R1085" s="7">
        <f t="shared" si="131"/>
        <v>0</v>
      </c>
      <c r="S1085" s="7">
        <f t="shared" si="132"/>
        <v>0</v>
      </c>
      <c r="T1085" s="3" t="str">
        <f t="shared" si="133"/>
        <v/>
      </c>
      <c r="V1085" s="1" t="e">
        <f t="shared" si="134"/>
        <v>#DIV/0!</v>
      </c>
    </row>
    <row r="1086" spans="8:22" x14ac:dyDescent="0.3">
      <c r="H1086" s="10" t="str">
        <f>IF(Planilha1!B1083="","",Planilha1!B1083)</f>
        <v>7:30p</v>
      </c>
      <c r="I1086" s="10" t="str">
        <f>IF(Planilha1!C1083="","",Planilha1!C1083)</f>
        <v>Los Angeles Clippers</v>
      </c>
      <c r="J1086" s="10">
        <f>IF(Planilha1!D1083="","",Planilha1!D1083)</f>
        <v>0</v>
      </c>
      <c r="K1086" s="10" t="str">
        <f>IF(Planilha1!E1083="","",IF(Planilha1!E1083=0,"",Planilha1!E1083))</f>
        <v>Philadelphia 76ers</v>
      </c>
      <c r="L1086" s="10">
        <f>IF(Planilha1!F1083="","",Planilha1!F1083)</f>
        <v>0</v>
      </c>
      <c r="M1086" s="10" t="str">
        <f>IF(Planilha1!G1083="","",IF(Planilha1!G1083=0,"",Planilha1!G1083))</f>
        <v/>
      </c>
      <c r="N1086" s="5">
        <f t="shared" si="135"/>
        <v>1</v>
      </c>
      <c r="O1086" s="5">
        <f t="shared" si="136"/>
        <v>0</v>
      </c>
      <c r="P1086" s="5">
        <f t="shared" si="129"/>
        <v>0</v>
      </c>
      <c r="Q1086" s="5">
        <f t="shared" si="130"/>
        <v>2</v>
      </c>
      <c r="R1086" s="7">
        <f t="shared" si="131"/>
        <v>0</v>
      </c>
      <c r="S1086" s="7">
        <f t="shared" si="132"/>
        <v>0</v>
      </c>
      <c r="T1086" s="3" t="str">
        <f t="shared" si="133"/>
        <v/>
      </c>
      <c r="V1086" s="1" t="e">
        <f t="shared" si="134"/>
        <v>#DIV/0!</v>
      </c>
    </row>
    <row r="1087" spans="8:22" x14ac:dyDescent="0.3">
      <c r="H1087" s="10" t="str">
        <f>IF(Planilha1!B1084="","",Planilha1!B1084)</f>
        <v>7:30p</v>
      </c>
      <c r="I1087" s="10" t="str">
        <f>IF(Planilha1!C1084="","",Planilha1!C1084)</f>
        <v>New York Knicks</v>
      </c>
      <c r="J1087" s="10">
        <f>IF(Planilha1!D1084="","",Planilha1!D1084)</f>
        <v>0</v>
      </c>
      <c r="K1087" s="10" t="str">
        <f>IF(Planilha1!E1084="","",IF(Planilha1!E1084=0,"",Planilha1!E1084))</f>
        <v>Toronto Raptors</v>
      </c>
      <c r="L1087" s="10">
        <f>IF(Planilha1!F1084="","",Planilha1!F1084)</f>
        <v>0</v>
      </c>
      <c r="M1087" s="10" t="str">
        <f>IF(Planilha1!G1084="","",IF(Planilha1!G1084=0,"",Planilha1!G1084))</f>
        <v/>
      </c>
      <c r="N1087" s="5">
        <f t="shared" si="135"/>
        <v>1</v>
      </c>
      <c r="O1087" s="5">
        <f t="shared" si="136"/>
        <v>0</v>
      </c>
      <c r="P1087" s="5">
        <f t="shared" si="129"/>
        <v>0</v>
      </c>
      <c r="Q1087" s="5">
        <f t="shared" si="130"/>
        <v>2</v>
      </c>
      <c r="R1087" s="7">
        <f t="shared" si="131"/>
        <v>0</v>
      </c>
      <c r="S1087" s="7">
        <f t="shared" si="132"/>
        <v>0</v>
      </c>
      <c r="T1087" s="3" t="str">
        <f t="shared" si="133"/>
        <v/>
      </c>
      <c r="V1087" s="1" t="e">
        <f t="shared" si="134"/>
        <v>#DIV/0!</v>
      </c>
    </row>
    <row r="1088" spans="8:22" x14ac:dyDescent="0.3">
      <c r="H1088" s="10" t="str">
        <f>IF(Planilha1!B1085="","",Planilha1!B1085)</f>
        <v>8:00p</v>
      </c>
      <c r="I1088" s="10" t="str">
        <f>IF(Planilha1!C1085="","",Planilha1!C1085)</f>
        <v>Indiana Pacers</v>
      </c>
      <c r="J1088" s="10">
        <f>IF(Planilha1!D1085="","",Planilha1!D1085)</f>
        <v>0</v>
      </c>
      <c r="K1088" s="10" t="str">
        <f>IF(Planilha1!E1085="","",IF(Planilha1!E1085=0,"",Planilha1!E1085))</f>
        <v>Chicago Bulls</v>
      </c>
      <c r="L1088" s="10">
        <f>IF(Planilha1!F1085="","",Planilha1!F1085)</f>
        <v>0</v>
      </c>
      <c r="M1088" s="10" t="str">
        <f>IF(Planilha1!G1085="","",IF(Planilha1!G1085=0,"",Planilha1!G1085))</f>
        <v/>
      </c>
      <c r="N1088" s="5">
        <f t="shared" si="135"/>
        <v>1</v>
      </c>
      <c r="O1088" s="5">
        <f t="shared" si="136"/>
        <v>0</v>
      </c>
      <c r="P1088" s="5">
        <f t="shared" si="129"/>
        <v>0</v>
      </c>
      <c r="Q1088" s="5">
        <f t="shared" si="130"/>
        <v>2</v>
      </c>
      <c r="R1088" s="7">
        <f t="shared" si="131"/>
        <v>0</v>
      </c>
      <c r="S1088" s="7">
        <f t="shared" si="132"/>
        <v>0</v>
      </c>
      <c r="T1088" s="3" t="str">
        <f t="shared" si="133"/>
        <v/>
      </c>
      <c r="V1088" s="1" t="e">
        <f t="shared" si="134"/>
        <v>#DIV/0!</v>
      </c>
    </row>
    <row r="1089" spans="8:22" x14ac:dyDescent="0.3">
      <c r="H1089" s="10" t="str">
        <f>IF(Planilha1!B1086="","",Planilha1!B1086)</f>
        <v>8:00p</v>
      </c>
      <c r="I1089" s="10" t="str">
        <f>IF(Planilha1!C1086="","",Planilha1!C1086)</f>
        <v>Los Angeles Lakers</v>
      </c>
      <c r="J1089" s="10">
        <f>IF(Planilha1!D1086="","",Planilha1!D1086)</f>
        <v>0</v>
      </c>
      <c r="K1089" s="10" t="str">
        <f>IF(Planilha1!E1086="","",IF(Planilha1!E1086=0,"",Planilha1!E1086))</f>
        <v>Memphis Grizzlies</v>
      </c>
      <c r="L1089" s="10">
        <f>IF(Planilha1!F1086="","",Planilha1!F1086)</f>
        <v>0</v>
      </c>
      <c r="M1089" s="10" t="str">
        <f>IF(Planilha1!G1086="","",IF(Planilha1!G1086=0,"",Planilha1!G1086))</f>
        <v/>
      </c>
      <c r="N1089" s="5">
        <f t="shared" si="135"/>
        <v>1</v>
      </c>
      <c r="O1089" s="5">
        <f t="shared" si="136"/>
        <v>0</v>
      </c>
      <c r="P1089" s="5">
        <f t="shared" si="129"/>
        <v>0</v>
      </c>
      <c r="Q1089" s="5">
        <f t="shared" si="130"/>
        <v>2</v>
      </c>
      <c r="R1089" s="7">
        <f t="shared" si="131"/>
        <v>0</v>
      </c>
      <c r="S1089" s="7">
        <f t="shared" si="132"/>
        <v>0</v>
      </c>
      <c r="T1089" s="3" t="str">
        <f t="shared" si="133"/>
        <v/>
      </c>
      <c r="V1089" s="1" t="e">
        <f t="shared" si="134"/>
        <v>#DIV/0!</v>
      </c>
    </row>
    <row r="1090" spans="8:22" x14ac:dyDescent="0.3">
      <c r="H1090" s="10" t="str">
        <f>IF(Planilha1!B1087="","",Planilha1!B1087)</f>
        <v>8:00p</v>
      </c>
      <c r="I1090" s="10" t="str">
        <f>IF(Planilha1!C1087="","",Planilha1!C1087)</f>
        <v>Detroit Pistons</v>
      </c>
      <c r="J1090" s="10">
        <f>IF(Planilha1!D1087="","",Planilha1!D1087)</f>
        <v>0</v>
      </c>
      <c r="K1090" s="10" t="str">
        <f>IF(Planilha1!E1087="","",IF(Planilha1!E1087=0,"",Planilha1!E1087))</f>
        <v>Minnesota Timberwolves</v>
      </c>
      <c r="L1090" s="10">
        <f>IF(Planilha1!F1087="","",Planilha1!F1087)</f>
        <v>0</v>
      </c>
      <c r="M1090" s="10" t="str">
        <f>IF(Planilha1!G1087="","",IF(Planilha1!G1087=0,"",Planilha1!G1087))</f>
        <v/>
      </c>
      <c r="N1090" s="5">
        <f t="shared" si="135"/>
        <v>1</v>
      </c>
      <c r="O1090" s="5">
        <f t="shared" si="136"/>
        <v>0</v>
      </c>
      <c r="P1090" s="5">
        <f t="shared" si="129"/>
        <v>0</v>
      </c>
      <c r="Q1090" s="5">
        <f t="shared" si="130"/>
        <v>2</v>
      </c>
      <c r="R1090" s="7">
        <f t="shared" si="131"/>
        <v>0</v>
      </c>
      <c r="S1090" s="7">
        <f t="shared" si="132"/>
        <v>0</v>
      </c>
      <c r="T1090" s="3" t="str">
        <f t="shared" si="133"/>
        <v/>
      </c>
      <c r="V1090" s="1" t="e">
        <f t="shared" si="134"/>
        <v>#DIV/0!</v>
      </c>
    </row>
    <row r="1091" spans="8:22" x14ac:dyDescent="0.3">
      <c r="H1091" s="10" t="str">
        <f>IF(Planilha1!B1088="","",Planilha1!B1088)</f>
        <v>8:00p</v>
      </c>
      <c r="I1091" s="10" t="str">
        <f>IF(Planilha1!C1088="","",Planilha1!C1088)</f>
        <v>Houston Rockets</v>
      </c>
      <c r="J1091" s="10">
        <f>IF(Planilha1!D1088="","",Planilha1!D1088)</f>
        <v>0</v>
      </c>
      <c r="K1091" s="10" t="str">
        <f>IF(Planilha1!E1088="","",IF(Planilha1!E1088=0,"",Planilha1!E1088))</f>
        <v>Oklahoma City Thunder</v>
      </c>
      <c r="L1091" s="10">
        <f>IF(Planilha1!F1088="","",Planilha1!F1088)</f>
        <v>0</v>
      </c>
      <c r="M1091" s="10" t="str">
        <f>IF(Planilha1!G1088="","",IF(Planilha1!G1088=0,"",Planilha1!G1088))</f>
        <v/>
      </c>
      <c r="N1091" s="5">
        <f t="shared" si="135"/>
        <v>1</v>
      </c>
      <c r="O1091" s="5">
        <f t="shared" si="136"/>
        <v>0</v>
      </c>
      <c r="P1091" s="5">
        <f t="shared" si="129"/>
        <v>0</v>
      </c>
      <c r="Q1091" s="5">
        <f t="shared" si="130"/>
        <v>2</v>
      </c>
      <c r="R1091" s="7">
        <f t="shared" si="131"/>
        <v>0</v>
      </c>
      <c r="S1091" s="7">
        <f t="shared" si="132"/>
        <v>0</v>
      </c>
      <c r="T1091" s="3" t="str">
        <f t="shared" si="133"/>
        <v/>
      </c>
      <c r="V1091" s="1" t="e">
        <f t="shared" si="134"/>
        <v>#DIV/0!</v>
      </c>
    </row>
    <row r="1092" spans="8:22" x14ac:dyDescent="0.3">
      <c r="H1092" s="10" t="str">
        <f>IF(Planilha1!B1089="","",Planilha1!B1089)</f>
        <v>9:00p</v>
      </c>
      <c r="I1092" s="10" t="str">
        <f>IF(Planilha1!C1089="","",Planilha1!C1089)</f>
        <v>San Antonio Spurs</v>
      </c>
      <c r="J1092" s="10">
        <f>IF(Planilha1!D1089="","",Planilha1!D1089)</f>
        <v>0</v>
      </c>
      <c r="K1092" s="10" t="str">
        <f>IF(Planilha1!E1089="","",IF(Planilha1!E1089=0,"",Planilha1!E1089))</f>
        <v>Utah Jazz</v>
      </c>
      <c r="L1092" s="10">
        <f>IF(Planilha1!F1089="","",Planilha1!F1089)</f>
        <v>0</v>
      </c>
      <c r="M1092" s="10" t="str">
        <f>IF(Planilha1!G1089="","",IF(Planilha1!G1089=0,"",Planilha1!G1089))</f>
        <v/>
      </c>
      <c r="N1092" s="5">
        <f t="shared" si="135"/>
        <v>1</v>
      </c>
      <c r="O1092" s="5">
        <f t="shared" si="136"/>
        <v>0</v>
      </c>
      <c r="P1092" s="5">
        <f t="shared" si="129"/>
        <v>0</v>
      </c>
      <c r="Q1092" s="5">
        <f t="shared" si="130"/>
        <v>2</v>
      </c>
      <c r="R1092" s="7">
        <f t="shared" si="131"/>
        <v>0</v>
      </c>
      <c r="S1092" s="7">
        <f t="shared" si="132"/>
        <v>0</v>
      </c>
      <c r="T1092" s="3" t="str">
        <f t="shared" si="133"/>
        <v/>
      </c>
      <c r="V1092" s="1" t="e">
        <f t="shared" si="134"/>
        <v>#DIV/0!</v>
      </c>
    </row>
    <row r="1093" spans="8:22" x14ac:dyDescent="0.3">
      <c r="H1093" s="10" t="str">
        <f>IF(Planilha1!B1090="","",Planilha1!B1090)</f>
        <v>10:00p</v>
      </c>
      <c r="I1093" s="10" t="str">
        <f>IF(Planilha1!C1090="","",Planilha1!C1090)</f>
        <v>Phoenix Suns</v>
      </c>
      <c r="J1093" s="10">
        <f>IF(Planilha1!D1090="","",Planilha1!D1090)</f>
        <v>0</v>
      </c>
      <c r="K1093" s="10" t="str">
        <f>IF(Planilha1!E1090="","",IF(Planilha1!E1090=0,"",Planilha1!E1090))</f>
        <v>Denver Nuggets</v>
      </c>
      <c r="L1093" s="10">
        <f>IF(Planilha1!F1090="","",Planilha1!F1090)</f>
        <v>0</v>
      </c>
      <c r="M1093" s="10" t="str">
        <f>IF(Planilha1!G1090="","",IF(Planilha1!G1090=0,"",Planilha1!G1090))</f>
        <v/>
      </c>
      <c r="N1093" s="5">
        <f t="shared" si="135"/>
        <v>1</v>
      </c>
      <c r="O1093" s="5">
        <f t="shared" si="136"/>
        <v>0</v>
      </c>
      <c r="P1093" s="5">
        <f t="shared" ref="P1093:P1156" si="137">IF(M1093="",IF(R1093&gt;S1093,2,0),IF(K1093&lt;M1093,2,0))</f>
        <v>0</v>
      </c>
      <c r="Q1093" s="5">
        <f t="shared" ref="Q1093:Q1156" si="138">IF(M1093="",IF(R1093&gt;S1093,0,2),IF(K1093&gt;M1093,2,0))</f>
        <v>2</v>
      </c>
      <c r="R1093" s="7">
        <f t="shared" ref="R1093:R1156" si="139">SUMIF($B:$B,J1093,$C:$C)+(SUMIF($B:$B,L1093,$F:$F))</f>
        <v>0</v>
      </c>
      <c r="S1093" s="7">
        <f t="shared" ref="S1093:S1156" si="140">SUMIF($B:$B,L1093,$E:$E)+(SUMIF($B:$B,J1093,$D:$D))</f>
        <v>0</v>
      </c>
      <c r="T1093" s="3" t="str">
        <f t="shared" ref="T1093:T1156" si="141">IF(M1093="","",(N1093-S1093)^2+(O1093-R1093)^2)</f>
        <v/>
      </c>
      <c r="V1093" s="1" t="e">
        <f t="shared" ref="V1093:V1156" si="142">IF(O1093="","",1/((O1093-N1093)/(R1093-S1093)))</f>
        <v>#DIV/0!</v>
      </c>
    </row>
    <row r="1094" spans="8:22" x14ac:dyDescent="0.3">
      <c r="H1094" s="10" t="str">
        <f>IF(Planilha1!B1091="","",Planilha1!B1091)</f>
        <v>7:30p</v>
      </c>
      <c r="I1094" s="10" t="str">
        <f>IF(Planilha1!C1091="","",Planilha1!C1091)</f>
        <v>Boston Celtics</v>
      </c>
      <c r="J1094" s="10">
        <f>IF(Planilha1!D1091="","",Planilha1!D1091)</f>
        <v>0</v>
      </c>
      <c r="K1094" s="10" t="str">
        <f>IF(Planilha1!E1091="","",IF(Planilha1!E1091=0,"",Planilha1!E1091))</f>
        <v>Atlanta Hawks</v>
      </c>
      <c r="L1094" s="10">
        <f>IF(Planilha1!F1091="","",Planilha1!F1091)</f>
        <v>0</v>
      </c>
      <c r="M1094" s="10" t="str">
        <f>IF(Planilha1!G1091="","",IF(Planilha1!G1091=0,"",Planilha1!G1091))</f>
        <v/>
      </c>
      <c r="N1094" s="5">
        <f t="shared" ref="N1094:N1157" si="143">IF(K1094="","",IF(K1094&gt;M1094,100%,0%))</f>
        <v>1</v>
      </c>
      <c r="O1094" s="5">
        <f t="shared" ref="O1094:O1157" si="144">IF(K1094="","",IF(K1094&lt;M1094,100%,0%))</f>
        <v>0</v>
      </c>
      <c r="P1094" s="5">
        <f t="shared" si="137"/>
        <v>0</v>
      </c>
      <c r="Q1094" s="5">
        <f t="shared" si="138"/>
        <v>2</v>
      </c>
      <c r="R1094" s="7">
        <f t="shared" si="139"/>
        <v>0</v>
      </c>
      <c r="S1094" s="7">
        <f t="shared" si="140"/>
        <v>0</v>
      </c>
      <c r="T1094" s="3" t="str">
        <f t="shared" si="141"/>
        <v/>
      </c>
      <c r="V1094" s="1" t="e">
        <f t="shared" si="142"/>
        <v>#DIV/0!</v>
      </c>
    </row>
    <row r="1095" spans="8:22" x14ac:dyDescent="0.3">
      <c r="H1095" s="10" t="str">
        <f>IF(Planilha1!B1092="","",Planilha1!B1092)</f>
        <v>8:00p</v>
      </c>
      <c r="I1095" s="10" t="str">
        <f>IF(Planilha1!C1092="","",Planilha1!C1092)</f>
        <v>Milwaukee Bucks</v>
      </c>
      <c r="J1095" s="10">
        <f>IF(Planilha1!D1092="","",Planilha1!D1092)</f>
        <v>0</v>
      </c>
      <c r="K1095" s="10" t="str">
        <f>IF(Planilha1!E1092="","",IF(Planilha1!E1092=0,"",Planilha1!E1092))</f>
        <v>New Orleans Pelicans</v>
      </c>
      <c r="L1095" s="10">
        <f>IF(Planilha1!F1092="","",Planilha1!F1092)</f>
        <v>0</v>
      </c>
      <c r="M1095" s="10" t="str">
        <f>IF(Planilha1!G1092="","",IF(Planilha1!G1092=0,"",Planilha1!G1092))</f>
        <v/>
      </c>
      <c r="N1095" s="5">
        <f t="shared" si="143"/>
        <v>1</v>
      </c>
      <c r="O1095" s="5">
        <f t="shared" si="144"/>
        <v>0</v>
      </c>
      <c r="P1095" s="5">
        <f t="shared" si="137"/>
        <v>0</v>
      </c>
      <c r="Q1095" s="5">
        <f t="shared" si="138"/>
        <v>2</v>
      </c>
      <c r="R1095" s="7">
        <f t="shared" si="139"/>
        <v>0</v>
      </c>
      <c r="S1095" s="7">
        <f t="shared" si="140"/>
        <v>0</v>
      </c>
      <c r="T1095" s="3" t="str">
        <f t="shared" si="141"/>
        <v/>
      </c>
      <c r="V1095" s="1" t="e">
        <f t="shared" si="142"/>
        <v>#DIV/0!</v>
      </c>
    </row>
    <row r="1096" spans="8:22" x14ac:dyDescent="0.3">
      <c r="H1096" s="10" t="str">
        <f>IF(Planilha1!B1093="","",Planilha1!B1093)</f>
        <v>7:00p</v>
      </c>
      <c r="I1096" s="10" t="str">
        <f>IF(Planilha1!C1093="","",Planilha1!C1093)</f>
        <v>Golden State Warriors</v>
      </c>
      <c r="J1096" s="10">
        <f>IF(Planilha1!D1093="","",Planilha1!D1093)</f>
        <v>0</v>
      </c>
      <c r="K1096" s="10" t="str">
        <f>IF(Planilha1!E1093="","",IF(Planilha1!E1093=0,"",Planilha1!E1093))</f>
        <v>Charlotte Hornets</v>
      </c>
      <c r="L1096" s="10">
        <f>IF(Planilha1!F1093="","",Planilha1!F1093)</f>
        <v>0</v>
      </c>
      <c r="M1096" s="10" t="str">
        <f>IF(Planilha1!G1093="","",IF(Planilha1!G1093=0,"",Planilha1!G1093))</f>
        <v/>
      </c>
      <c r="N1096" s="5">
        <f t="shared" si="143"/>
        <v>1</v>
      </c>
      <c r="O1096" s="5">
        <f t="shared" si="144"/>
        <v>0</v>
      </c>
      <c r="P1096" s="5">
        <f t="shared" si="137"/>
        <v>0</v>
      </c>
      <c r="Q1096" s="5">
        <f t="shared" si="138"/>
        <v>2</v>
      </c>
      <c r="R1096" s="7">
        <f t="shared" si="139"/>
        <v>0</v>
      </c>
      <c r="S1096" s="7">
        <f t="shared" si="140"/>
        <v>0</v>
      </c>
      <c r="T1096" s="3" t="str">
        <f t="shared" si="141"/>
        <v/>
      </c>
      <c r="V1096" s="1" t="e">
        <f t="shared" si="142"/>
        <v>#DIV/0!</v>
      </c>
    </row>
    <row r="1097" spans="8:22" x14ac:dyDescent="0.3">
      <c r="H1097" s="10" t="str">
        <f>IF(Planilha1!B1094="","",Planilha1!B1094)</f>
        <v>7:00p</v>
      </c>
      <c r="I1097" s="10" t="str">
        <f>IF(Planilha1!C1094="","",Planilha1!C1094)</f>
        <v>Los Angeles Lakers</v>
      </c>
      <c r="J1097" s="10">
        <f>IF(Planilha1!D1094="","",Planilha1!D1094)</f>
        <v>0</v>
      </c>
      <c r="K1097" s="10" t="str">
        <f>IF(Planilha1!E1094="","",IF(Planilha1!E1094=0,"",Planilha1!E1094))</f>
        <v>Indiana Pacers</v>
      </c>
      <c r="L1097" s="10">
        <f>IF(Planilha1!F1094="","",Planilha1!F1094)</f>
        <v>0</v>
      </c>
      <c r="M1097" s="10" t="str">
        <f>IF(Planilha1!G1094="","",IF(Planilha1!G1094=0,"",Planilha1!G1094))</f>
        <v/>
      </c>
      <c r="N1097" s="5">
        <f t="shared" si="143"/>
        <v>1</v>
      </c>
      <c r="O1097" s="5">
        <f t="shared" si="144"/>
        <v>0</v>
      </c>
      <c r="P1097" s="5">
        <f t="shared" si="137"/>
        <v>0</v>
      </c>
      <c r="Q1097" s="5">
        <f t="shared" si="138"/>
        <v>2</v>
      </c>
      <c r="R1097" s="7">
        <f t="shared" si="139"/>
        <v>0</v>
      </c>
      <c r="S1097" s="7">
        <f t="shared" si="140"/>
        <v>0</v>
      </c>
      <c r="T1097" s="3" t="str">
        <f t="shared" si="141"/>
        <v/>
      </c>
      <c r="V1097" s="1" t="e">
        <f t="shared" si="142"/>
        <v>#DIV/0!</v>
      </c>
    </row>
    <row r="1098" spans="8:22" x14ac:dyDescent="0.3">
      <c r="H1098" s="10" t="str">
        <f>IF(Planilha1!B1095="","",Planilha1!B1095)</f>
        <v>7:00p</v>
      </c>
      <c r="I1098" s="10" t="str">
        <f>IF(Planilha1!C1095="","",Planilha1!C1095)</f>
        <v>Los Angeles Clippers</v>
      </c>
      <c r="J1098" s="10">
        <f>IF(Planilha1!D1095="","",Planilha1!D1095)</f>
        <v>0</v>
      </c>
      <c r="K1098" s="10" t="str">
        <f>IF(Planilha1!E1095="","",IF(Planilha1!E1095=0,"",Planilha1!E1095))</f>
        <v>Orlando Magic</v>
      </c>
      <c r="L1098" s="10">
        <f>IF(Planilha1!F1095="","",Planilha1!F1095)</f>
        <v>0</v>
      </c>
      <c r="M1098" s="10" t="str">
        <f>IF(Planilha1!G1095="","",IF(Planilha1!G1095=0,"",Planilha1!G1095))</f>
        <v/>
      </c>
      <c r="N1098" s="5">
        <f t="shared" si="143"/>
        <v>1</v>
      </c>
      <c r="O1098" s="5">
        <f t="shared" si="144"/>
        <v>0</v>
      </c>
      <c r="P1098" s="5">
        <f t="shared" si="137"/>
        <v>0</v>
      </c>
      <c r="Q1098" s="5">
        <f t="shared" si="138"/>
        <v>2</v>
      </c>
      <c r="R1098" s="7">
        <f t="shared" si="139"/>
        <v>0</v>
      </c>
      <c r="S1098" s="7">
        <f t="shared" si="140"/>
        <v>0</v>
      </c>
      <c r="T1098" s="3" t="str">
        <f t="shared" si="141"/>
        <v/>
      </c>
      <c r="V1098" s="1" t="e">
        <f t="shared" si="142"/>
        <v>#DIV/0!</v>
      </c>
    </row>
    <row r="1099" spans="8:22" x14ac:dyDescent="0.3">
      <c r="H1099" s="10" t="str">
        <f>IF(Planilha1!B1096="","",Planilha1!B1096)</f>
        <v>7:00p</v>
      </c>
      <c r="I1099" s="10" t="str">
        <f>IF(Planilha1!C1096="","",Planilha1!C1096)</f>
        <v>Detroit Pistons</v>
      </c>
      <c r="J1099" s="10">
        <f>IF(Planilha1!D1096="","",Planilha1!D1096)</f>
        <v>0</v>
      </c>
      <c r="K1099" s="10" t="str">
        <f>IF(Planilha1!E1096="","",IF(Planilha1!E1096=0,"",Planilha1!E1096))</f>
        <v>Washington Wizards</v>
      </c>
      <c r="L1099" s="10">
        <f>IF(Planilha1!F1096="","",Planilha1!F1096)</f>
        <v>0</v>
      </c>
      <c r="M1099" s="10" t="str">
        <f>IF(Planilha1!G1096="","",IF(Planilha1!G1096=0,"",Planilha1!G1096))</f>
        <v/>
      </c>
      <c r="N1099" s="5">
        <f t="shared" si="143"/>
        <v>1</v>
      </c>
      <c r="O1099" s="5">
        <f t="shared" si="144"/>
        <v>0</v>
      </c>
      <c r="P1099" s="5">
        <f t="shared" si="137"/>
        <v>0</v>
      </c>
      <c r="Q1099" s="5">
        <f t="shared" si="138"/>
        <v>2</v>
      </c>
      <c r="R1099" s="7">
        <f t="shared" si="139"/>
        <v>0</v>
      </c>
      <c r="S1099" s="7">
        <f t="shared" si="140"/>
        <v>0</v>
      </c>
      <c r="T1099" s="3" t="str">
        <f t="shared" si="141"/>
        <v/>
      </c>
      <c r="V1099" s="1" t="e">
        <f t="shared" si="142"/>
        <v>#DIV/0!</v>
      </c>
    </row>
    <row r="1100" spans="8:22" x14ac:dyDescent="0.3">
      <c r="H1100" s="10" t="str">
        <f>IF(Planilha1!B1097="","",Planilha1!B1097)</f>
        <v>7:30p</v>
      </c>
      <c r="I1100" s="10" t="str">
        <f>IF(Planilha1!C1097="","",Planilha1!C1097)</f>
        <v>Chicago Bulls</v>
      </c>
      <c r="J1100" s="10">
        <f>IF(Planilha1!D1097="","",Planilha1!D1097)</f>
        <v>0</v>
      </c>
      <c r="K1100" s="10" t="str">
        <f>IF(Planilha1!E1097="","",IF(Planilha1!E1097=0,"",Planilha1!E1097))</f>
        <v>Brooklyn Nets</v>
      </c>
      <c r="L1100" s="10">
        <f>IF(Planilha1!F1097="","",Planilha1!F1097)</f>
        <v>0</v>
      </c>
      <c r="M1100" s="10" t="str">
        <f>IF(Planilha1!G1097="","",IF(Planilha1!G1097=0,"",Planilha1!G1097))</f>
        <v/>
      </c>
      <c r="N1100" s="5">
        <f t="shared" si="143"/>
        <v>1</v>
      </c>
      <c r="O1100" s="5">
        <f t="shared" si="144"/>
        <v>0</v>
      </c>
      <c r="P1100" s="5">
        <f t="shared" si="137"/>
        <v>0</v>
      </c>
      <c r="Q1100" s="5">
        <f t="shared" si="138"/>
        <v>2</v>
      </c>
      <c r="R1100" s="7">
        <f t="shared" si="139"/>
        <v>0</v>
      </c>
      <c r="S1100" s="7">
        <f t="shared" si="140"/>
        <v>0</v>
      </c>
      <c r="T1100" s="3" t="str">
        <f t="shared" si="141"/>
        <v/>
      </c>
      <c r="V1100" s="1" t="e">
        <f t="shared" si="142"/>
        <v>#DIV/0!</v>
      </c>
    </row>
    <row r="1101" spans="8:22" x14ac:dyDescent="0.3">
      <c r="H1101" s="10" t="str">
        <f>IF(Planilha1!B1098="","",Planilha1!B1098)</f>
        <v>7:30p</v>
      </c>
      <c r="I1101" s="10" t="str">
        <f>IF(Planilha1!C1098="","",Planilha1!C1098)</f>
        <v>Philadelphia 76ers</v>
      </c>
      <c r="J1101" s="10">
        <f>IF(Planilha1!D1098="","",Planilha1!D1098)</f>
        <v>0</v>
      </c>
      <c r="K1101" s="10" t="str">
        <f>IF(Planilha1!E1098="","",IF(Planilha1!E1098=0,"",Planilha1!E1098))</f>
        <v>Cleveland Cavaliers</v>
      </c>
      <c r="L1101" s="10">
        <f>IF(Planilha1!F1098="","",Planilha1!F1098)</f>
        <v>0</v>
      </c>
      <c r="M1101" s="10" t="str">
        <f>IF(Planilha1!G1098="","",IF(Planilha1!G1098=0,"",Planilha1!G1098))</f>
        <v/>
      </c>
      <c r="N1101" s="5">
        <f t="shared" si="143"/>
        <v>1</v>
      </c>
      <c r="O1101" s="5">
        <f t="shared" si="144"/>
        <v>0</v>
      </c>
      <c r="P1101" s="5">
        <f t="shared" si="137"/>
        <v>0</v>
      </c>
      <c r="Q1101" s="5">
        <f t="shared" si="138"/>
        <v>2</v>
      </c>
      <c r="R1101" s="7">
        <f t="shared" si="139"/>
        <v>0</v>
      </c>
      <c r="S1101" s="7">
        <f t="shared" si="140"/>
        <v>0</v>
      </c>
      <c r="T1101" s="3" t="str">
        <f t="shared" si="141"/>
        <v/>
      </c>
      <c r="V1101" s="1" t="e">
        <f t="shared" si="142"/>
        <v>#DIV/0!</v>
      </c>
    </row>
    <row r="1102" spans="8:22" x14ac:dyDescent="0.3">
      <c r="H1102" s="10" t="str">
        <f>IF(Planilha1!B1099="","",Planilha1!B1099)</f>
        <v>8:00p</v>
      </c>
      <c r="I1102" s="10" t="str">
        <f>IF(Planilha1!C1099="","",Planilha1!C1099)</f>
        <v>Portland Trail Blazers</v>
      </c>
      <c r="J1102" s="10">
        <f>IF(Planilha1!D1099="","",Planilha1!D1099)</f>
        <v>0</v>
      </c>
      <c r="K1102" s="10" t="str">
        <f>IF(Planilha1!E1099="","",IF(Planilha1!E1099=0,"",Planilha1!E1099))</f>
        <v>Miami Heat</v>
      </c>
      <c r="L1102" s="10">
        <f>IF(Planilha1!F1099="","",Planilha1!F1099)</f>
        <v>0</v>
      </c>
      <c r="M1102" s="10" t="str">
        <f>IF(Planilha1!G1099="","",IF(Planilha1!G1099=0,"",Planilha1!G1099))</f>
        <v/>
      </c>
      <c r="N1102" s="5">
        <f t="shared" si="143"/>
        <v>1</v>
      </c>
      <c r="O1102" s="5">
        <f t="shared" si="144"/>
        <v>0</v>
      </c>
      <c r="P1102" s="5">
        <f t="shared" si="137"/>
        <v>0</v>
      </c>
      <c r="Q1102" s="5">
        <f t="shared" si="138"/>
        <v>2</v>
      </c>
      <c r="R1102" s="7">
        <f t="shared" si="139"/>
        <v>0</v>
      </c>
      <c r="S1102" s="7">
        <f t="shared" si="140"/>
        <v>0</v>
      </c>
      <c r="T1102" s="3" t="str">
        <f t="shared" si="141"/>
        <v/>
      </c>
      <c r="V1102" s="1" t="e">
        <f t="shared" si="142"/>
        <v>#DIV/0!</v>
      </c>
    </row>
    <row r="1103" spans="8:22" x14ac:dyDescent="0.3">
      <c r="H1103" s="10" t="str">
        <f>IF(Planilha1!B1100="","",Planilha1!B1100)</f>
        <v>8:00p</v>
      </c>
      <c r="I1103" s="10" t="str">
        <f>IF(Planilha1!C1100="","",Planilha1!C1100)</f>
        <v>Phoenix Suns</v>
      </c>
      <c r="J1103" s="10">
        <f>IF(Planilha1!D1100="","",Planilha1!D1100)</f>
        <v>0</v>
      </c>
      <c r="K1103" s="10" t="str">
        <f>IF(Planilha1!E1100="","",IF(Planilha1!E1100=0,"",Planilha1!E1100))</f>
        <v>Oklahoma City Thunder</v>
      </c>
      <c r="L1103" s="10">
        <f>IF(Planilha1!F1100="","",Planilha1!F1100)</f>
        <v>0</v>
      </c>
      <c r="M1103" s="10" t="str">
        <f>IF(Planilha1!G1100="","",IF(Planilha1!G1100=0,"",Planilha1!G1100))</f>
        <v/>
      </c>
      <c r="N1103" s="5">
        <f t="shared" si="143"/>
        <v>1</v>
      </c>
      <c r="O1103" s="5">
        <f t="shared" si="144"/>
        <v>0</v>
      </c>
      <c r="P1103" s="5">
        <f t="shared" si="137"/>
        <v>0</v>
      </c>
      <c r="Q1103" s="5">
        <f t="shared" si="138"/>
        <v>2</v>
      </c>
      <c r="R1103" s="7">
        <f t="shared" si="139"/>
        <v>0</v>
      </c>
      <c r="S1103" s="7">
        <f t="shared" si="140"/>
        <v>0</v>
      </c>
      <c r="T1103" s="3" t="str">
        <f t="shared" si="141"/>
        <v/>
      </c>
      <c r="V1103" s="1" t="e">
        <f t="shared" si="142"/>
        <v>#DIV/0!</v>
      </c>
    </row>
    <row r="1104" spans="8:22" x14ac:dyDescent="0.3">
      <c r="H1104" s="10" t="str">
        <f>IF(Planilha1!B1101="","",Planilha1!B1101)</f>
        <v>8:00p</v>
      </c>
      <c r="I1104" s="10" t="str">
        <f>IF(Planilha1!C1101="","",Planilha1!C1101)</f>
        <v>New York Knicks</v>
      </c>
      <c r="J1104" s="10">
        <f>IF(Planilha1!D1101="","",Planilha1!D1101)</f>
        <v>0</v>
      </c>
      <c r="K1104" s="10" t="str">
        <f>IF(Planilha1!E1101="","",IF(Planilha1!E1101=0,"",Planilha1!E1101))</f>
        <v>San Antonio Spurs</v>
      </c>
      <c r="L1104" s="10">
        <f>IF(Planilha1!F1101="","",Planilha1!F1101)</f>
        <v>0</v>
      </c>
      <c r="M1104" s="10" t="str">
        <f>IF(Planilha1!G1101="","",IF(Planilha1!G1101=0,"",Planilha1!G1101))</f>
        <v/>
      </c>
      <c r="N1104" s="5">
        <f t="shared" si="143"/>
        <v>1</v>
      </c>
      <c r="O1104" s="5">
        <f t="shared" si="144"/>
        <v>0</v>
      </c>
      <c r="P1104" s="5">
        <f t="shared" si="137"/>
        <v>0</v>
      </c>
      <c r="Q1104" s="5">
        <f t="shared" si="138"/>
        <v>2</v>
      </c>
      <c r="R1104" s="7">
        <f t="shared" si="139"/>
        <v>0</v>
      </c>
      <c r="S1104" s="7">
        <f t="shared" si="140"/>
        <v>0</v>
      </c>
      <c r="T1104" s="3" t="str">
        <f t="shared" si="141"/>
        <v/>
      </c>
      <c r="V1104" s="1" t="e">
        <f t="shared" si="142"/>
        <v>#DIV/0!</v>
      </c>
    </row>
    <row r="1105" spans="8:22" x14ac:dyDescent="0.3">
      <c r="H1105" s="10" t="str">
        <f>IF(Planilha1!B1102="","",Planilha1!B1102)</f>
        <v>9:00p</v>
      </c>
      <c r="I1105" s="10" t="str">
        <f>IF(Planilha1!C1102="","",Planilha1!C1102)</f>
        <v>Minnesota Timberwolves</v>
      </c>
      <c r="J1105" s="10">
        <f>IF(Planilha1!D1102="","",Planilha1!D1102)</f>
        <v>0</v>
      </c>
      <c r="K1105" s="10" t="str">
        <f>IF(Planilha1!E1102="","",IF(Planilha1!E1102=0,"",Planilha1!E1102))</f>
        <v>Denver Nuggets</v>
      </c>
      <c r="L1105" s="10">
        <f>IF(Planilha1!F1102="","",Planilha1!F1102)</f>
        <v>0</v>
      </c>
      <c r="M1105" s="10" t="str">
        <f>IF(Planilha1!G1102="","",IF(Planilha1!G1102=0,"",Planilha1!G1102))</f>
        <v/>
      </c>
      <c r="N1105" s="5">
        <f t="shared" si="143"/>
        <v>1</v>
      </c>
      <c r="O1105" s="5">
        <f t="shared" si="144"/>
        <v>0</v>
      </c>
      <c r="P1105" s="5">
        <f t="shared" si="137"/>
        <v>0</v>
      </c>
      <c r="Q1105" s="5">
        <f t="shared" si="138"/>
        <v>2</v>
      </c>
      <c r="R1105" s="7">
        <f t="shared" si="139"/>
        <v>0</v>
      </c>
      <c r="S1105" s="7">
        <f t="shared" si="140"/>
        <v>0</v>
      </c>
      <c r="T1105" s="3" t="str">
        <f t="shared" si="141"/>
        <v/>
      </c>
      <c r="V1105" s="1" t="e">
        <f t="shared" si="142"/>
        <v>#DIV/0!</v>
      </c>
    </row>
    <row r="1106" spans="8:22" x14ac:dyDescent="0.3">
      <c r="H1106" s="10" t="str">
        <f>IF(Planilha1!B1103="","",Planilha1!B1103)</f>
        <v>9:30p</v>
      </c>
      <c r="I1106" s="10" t="str">
        <f>IF(Planilha1!C1103="","",Planilha1!C1103)</f>
        <v>Houston Rockets</v>
      </c>
      <c r="J1106" s="10">
        <f>IF(Planilha1!D1103="","",Planilha1!D1103)</f>
        <v>0</v>
      </c>
      <c r="K1106" s="10" t="str">
        <f>IF(Planilha1!E1103="","",IF(Planilha1!E1103=0,"",Planilha1!E1103))</f>
        <v>Utah Jazz</v>
      </c>
      <c r="L1106" s="10">
        <f>IF(Planilha1!F1103="","",Planilha1!F1103)</f>
        <v>0</v>
      </c>
      <c r="M1106" s="10" t="str">
        <f>IF(Planilha1!G1103="","",IF(Planilha1!G1103=0,"",Planilha1!G1103))</f>
        <v/>
      </c>
      <c r="N1106" s="5">
        <f t="shared" si="143"/>
        <v>1</v>
      </c>
      <c r="O1106" s="5">
        <f t="shared" si="144"/>
        <v>0</v>
      </c>
      <c r="P1106" s="5">
        <f t="shared" si="137"/>
        <v>0</v>
      </c>
      <c r="Q1106" s="5">
        <f t="shared" si="138"/>
        <v>2</v>
      </c>
      <c r="R1106" s="7">
        <f t="shared" si="139"/>
        <v>0</v>
      </c>
      <c r="S1106" s="7">
        <f t="shared" si="140"/>
        <v>0</v>
      </c>
      <c r="T1106" s="3" t="str">
        <f t="shared" si="141"/>
        <v/>
      </c>
      <c r="V1106" s="1" t="e">
        <f t="shared" si="142"/>
        <v>#DIV/0!</v>
      </c>
    </row>
    <row r="1107" spans="8:22" x14ac:dyDescent="0.3">
      <c r="H1107" s="10" t="str">
        <f>IF(Planilha1!B1104="","",Planilha1!B1104)</f>
        <v>10:00p</v>
      </c>
      <c r="I1107" s="10" t="str">
        <f>IF(Planilha1!C1104="","",Planilha1!C1104)</f>
        <v>Dallas Mavericks</v>
      </c>
      <c r="J1107" s="10">
        <f>IF(Planilha1!D1104="","",Planilha1!D1104)</f>
        <v>0</v>
      </c>
      <c r="K1107" s="10" t="str">
        <f>IF(Planilha1!E1104="","",IF(Planilha1!E1104=0,"",Planilha1!E1104))</f>
        <v>Sacramento Kings</v>
      </c>
      <c r="L1107" s="10">
        <f>IF(Planilha1!F1104="","",Planilha1!F1104)</f>
        <v>0</v>
      </c>
      <c r="M1107" s="10" t="str">
        <f>IF(Planilha1!G1104="","",IF(Planilha1!G1104=0,"",Planilha1!G1104))</f>
        <v/>
      </c>
      <c r="N1107" s="5">
        <f t="shared" si="143"/>
        <v>1</v>
      </c>
      <c r="O1107" s="5">
        <f t="shared" si="144"/>
        <v>0</v>
      </c>
      <c r="P1107" s="5">
        <f t="shared" si="137"/>
        <v>0</v>
      </c>
      <c r="Q1107" s="5">
        <f t="shared" si="138"/>
        <v>2</v>
      </c>
      <c r="R1107" s="7">
        <f t="shared" si="139"/>
        <v>0</v>
      </c>
      <c r="S1107" s="7">
        <f t="shared" si="140"/>
        <v>0</v>
      </c>
      <c r="T1107" s="3" t="str">
        <f t="shared" si="141"/>
        <v/>
      </c>
      <c r="V1107" s="1" t="e">
        <f t="shared" si="142"/>
        <v>#DIV/0!</v>
      </c>
    </row>
    <row r="1108" spans="8:22" x14ac:dyDescent="0.3">
      <c r="H1108" s="10" t="str">
        <f>IF(Planilha1!B1105="","",Planilha1!B1105)</f>
        <v>5:00p</v>
      </c>
      <c r="I1108" s="10" t="str">
        <f>IF(Planilha1!C1105="","",Planilha1!C1105)</f>
        <v>Boston Celtics</v>
      </c>
      <c r="J1108" s="10">
        <f>IF(Planilha1!D1105="","",Planilha1!D1105)</f>
        <v>0</v>
      </c>
      <c r="K1108" s="10" t="str">
        <f>IF(Planilha1!E1105="","",IF(Planilha1!E1105=0,"",Planilha1!E1105))</f>
        <v>New Orleans Pelicans</v>
      </c>
      <c r="L1108" s="10">
        <f>IF(Planilha1!F1105="","",Planilha1!F1105)</f>
        <v>0</v>
      </c>
      <c r="M1108" s="10" t="str">
        <f>IF(Planilha1!G1105="","",IF(Planilha1!G1105=0,"",Planilha1!G1105))</f>
        <v/>
      </c>
      <c r="N1108" s="5">
        <f t="shared" si="143"/>
        <v>1</v>
      </c>
      <c r="O1108" s="5">
        <f t="shared" si="144"/>
        <v>0</v>
      </c>
      <c r="P1108" s="5">
        <f t="shared" si="137"/>
        <v>0</v>
      </c>
      <c r="Q1108" s="5">
        <f t="shared" si="138"/>
        <v>2</v>
      </c>
      <c r="R1108" s="7">
        <f t="shared" si="139"/>
        <v>0</v>
      </c>
      <c r="S1108" s="7">
        <f t="shared" si="140"/>
        <v>0</v>
      </c>
      <c r="T1108" s="3" t="str">
        <f t="shared" si="141"/>
        <v/>
      </c>
      <c r="V1108" s="1" t="e">
        <f t="shared" si="142"/>
        <v>#DIV/0!</v>
      </c>
    </row>
    <row r="1109" spans="8:22" x14ac:dyDescent="0.3">
      <c r="H1109" s="10" t="str">
        <f>IF(Planilha1!B1106="","",Planilha1!B1106)</f>
        <v>7:00p</v>
      </c>
      <c r="I1109" s="10" t="str">
        <f>IF(Planilha1!C1106="","",Planilha1!C1106)</f>
        <v>Memphis Grizzlies</v>
      </c>
      <c r="J1109" s="10">
        <f>IF(Planilha1!D1106="","",Planilha1!D1106)</f>
        <v>0</v>
      </c>
      <c r="K1109" s="10" t="str">
        <f>IF(Planilha1!E1106="","",IF(Planilha1!E1106=0,"",Planilha1!E1106))</f>
        <v>Orlando Magic</v>
      </c>
      <c r="L1109" s="10">
        <f>IF(Planilha1!F1106="","",Planilha1!F1106)</f>
        <v>0</v>
      </c>
      <c r="M1109" s="10" t="str">
        <f>IF(Planilha1!G1106="","",IF(Planilha1!G1106=0,"",Planilha1!G1106))</f>
        <v/>
      </c>
      <c r="N1109" s="5">
        <f t="shared" si="143"/>
        <v>1</v>
      </c>
      <c r="O1109" s="5">
        <f t="shared" si="144"/>
        <v>0</v>
      </c>
      <c r="P1109" s="5">
        <f t="shared" si="137"/>
        <v>0</v>
      </c>
      <c r="Q1109" s="5">
        <f t="shared" si="138"/>
        <v>2</v>
      </c>
      <c r="R1109" s="7">
        <f t="shared" si="139"/>
        <v>0</v>
      </c>
      <c r="S1109" s="7">
        <f t="shared" si="140"/>
        <v>0</v>
      </c>
      <c r="T1109" s="3" t="str">
        <f t="shared" si="141"/>
        <v/>
      </c>
      <c r="V1109" s="1" t="e">
        <f t="shared" si="142"/>
        <v>#DIV/0!</v>
      </c>
    </row>
    <row r="1110" spans="8:22" x14ac:dyDescent="0.3">
      <c r="H1110" s="10" t="str">
        <f>IF(Planilha1!B1107="","",Planilha1!B1107)</f>
        <v>7:30p</v>
      </c>
      <c r="I1110" s="10" t="str">
        <f>IF(Planilha1!C1107="","",Planilha1!C1107)</f>
        <v>Milwaukee Bucks</v>
      </c>
      <c r="J1110" s="10">
        <f>IF(Planilha1!D1107="","",Planilha1!D1107)</f>
        <v>0</v>
      </c>
      <c r="K1110" s="10" t="str">
        <f>IF(Planilha1!E1107="","",IF(Planilha1!E1107=0,"",Planilha1!E1107))</f>
        <v>Atlanta Hawks</v>
      </c>
      <c r="L1110" s="10">
        <f>IF(Planilha1!F1107="","",Planilha1!F1107)</f>
        <v>0</v>
      </c>
      <c r="M1110" s="10" t="str">
        <f>IF(Planilha1!G1107="","",IF(Planilha1!G1107=0,"",Planilha1!G1107))</f>
        <v/>
      </c>
      <c r="N1110" s="5">
        <f t="shared" si="143"/>
        <v>1</v>
      </c>
      <c r="O1110" s="5">
        <f t="shared" si="144"/>
        <v>0</v>
      </c>
      <c r="P1110" s="5">
        <f t="shared" si="137"/>
        <v>0</v>
      </c>
      <c r="Q1110" s="5">
        <f t="shared" si="138"/>
        <v>2</v>
      </c>
      <c r="R1110" s="7">
        <f t="shared" si="139"/>
        <v>0</v>
      </c>
      <c r="S1110" s="7">
        <f t="shared" si="140"/>
        <v>0</v>
      </c>
      <c r="T1110" s="3" t="str">
        <f t="shared" si="141"/>
        <v/>
      </c>
      <c r="V1110" s="1" t="e">
        <f t="shared" si="142"/>
        <v>#DIV/0!</v>
      </c>
    </row>
    <row r="1111" spans="8:22" x14ac:dyDescent="0.3">
      <c r="H1111" s="10" t="str">
        <f>IF(Planilha1!B1108="","",Planilha1!B1108)</f>
        <v>3:30p</v>
      </c>
      <c r="I1111" s="10" t="str">
        <f>IF(Planilha1!C1108="","",Planilha1!C1108)</f>
        <v>Cleveland Cavaliers</v>
      </c>
      <c r="J1111" s="10">
        <f>IF(Planilha1!D1108="","",Planilha1!D1108)</f>
        <v>0</v>
      </c>
      <c r="K1111" s="10" t="str">
        <f>IF(Planilha1!E1108="","",IF(Planilha1!E1108=0,"",Planilha1!E1108))</f>
        <v>Denver Nuggets</v>
      </c>
      <c r="L1111" s="10">
        <f>IF(Planilha1!F1108="","",Planilha1!F1108)</f>
        <v>0</v>
      </c>
      <c r="M1111" s="10" t="str">
        <f>IF(Planilha1!G1108="","",IF(Planilha1!G1108=0,"",Planilha1!G1108))</f>
        <v/>
      </c>
      <c r="N1111" s="5">
        <f t="shared" si="143"/>
        <v>1</v>
      </c>
      <c r="O1111" s="5">
        <f t="shared" si="144"/>
        <v>0</v>
      </c>
      <c r="P1111" s="5">
        <f t="shared" si="137"/>
        <v>0</v>
      </c>
      <c r="Q1111" s="5">
        <f t="shared" si="138"/>
        <v>2</v>
      </c>
      <c r="R1111" s="7">
        <f t="shared" si="139"/>
        <v>0</v>
      </c>
      <c r="S1111" s="7">
        <f t="shared" si="140"/>
        <v>0</v>
      </c>
      <c r="T1111" s="3" t="str">
        <f t="shared" si="141"/>
        <v/>
      </c>
      <c r="V1111" s="1" t="e">
        <f t="shared" si="142"/>
        <v>#DIV/0!</v>
      </c>
    </row>
    <row r="1112" spans="8:22" x14ac:dyDescent="0.3">
      <c r="H1112" s="10" t="str">
        <f>IF(Planilha1!B1109="","",Planilha1!B1109)</f>
        <v>6:00p</v>
      </c>
      <c r="I1112" s="10" t="str">
        <f>IF(Planilha1!C1109="","",Planilha1!C1109)</f>
        <v>Los Angeles Lakers</v>
      </c>
      <c r="J1112" s="10">
        <f>IF(Planilha1!D1109="","",Planilha1!D1109)</f>
        <v>0</v>
      </c>
      <c r="K1112" s="10" t="str">
        <f>IF(Planilha1!E1109="","",IF(Planilha1!E1109=0,"",Planilha1!E1109))</f>
        <v>Brooklyn Nets</v>
      </c>
      <c r="L1112" s="10">
        <f>IF(Planilha1!F1109="","",Planilha1!F1109)</f>
        <v>0</v>
      </c>
      <c r="M1112" s="10" t="str">
        <f>IF(Planilha1!G1109="","",IF(Planilha1!G1109=0,"",Planilha1!G1109))</f>
        <v/>
      </c>
      <c r="N1112" s="5">
        <f t="shared" si="143"/>
        <v>1</v>
      </c>
      <c r="O1112" s="5">
        <f t="shared" si="144"/>
        <v>0</v>
      </c>
      <c r="P1112" s="5">
        <f t="shared" si="137"/>
        <v>0</v>
      </c>
      <c r="Q1112" s="5">
        <f t="shared" si="138"/>
        <v>2</v>
      </c>
      <c r="R1112" s="7">
        <f t="shared" si="139"/>
        <v>0</v>
      </c>
      <c r="S1112" s="7">
        <f t="shared" si="140"/>
        <v>0</v>
      </c>
      <c r="T1112" s="3" t="str">
        <f t="shared" si="141"/>
        <v/>
      </c>
      <c r="V1112" s="1" t="e">
        <f t="shared" si="142"/>
        <v>#DIV/0!</v>
      </c>
    </row>
    <row r="1113" spans="8:22" x14ac:dyDescent="0.3">
      <c r="H1113" s="10" t="str">
        <f>IF(Planilha1!B1110="","",Planilha1!B1110)</f>
        <v>6:00p</v>
      </c>
      <c r="I1113" s="10" t="str">
        <f>IF(Planilha1!C1110="","",Planilha1!C1110)</f>
        <v>Los Angeles Clippers</v>
      </c>
      <c r="J1113" s="10">
        <f>IF(Planilha1!D1110="","",Planilha1!D1110)</f>
        <v>0</v>
      </c>
      <c r="K1113" s="10" t="str">
        <f>IF(Planilha1!E1110="","",IF(Planilha1!E1110=0,"",Planilha1!E1110))</f>
        <v>Charlotte Hornets</v>
      </c>
      <c r="L1113" s="10">
        <f>IF(Planilha1!F1110="","",Planilha1!F1110)</f>
        <v>0</v>
      </c>
      <c r="M1113" s="10" t="str">
        <f>IF(Planilha1!G1110="","",IF(Planilha1!G1110=0,"",Planilha1!G1110))</f>
        <v/>
      </c>
      <c r="N1113" s="5">
        <f t="shared" si="143"/>
        <v>1</v>
      </c>
      <c r="O1113" s="5">
        <f t="shared" si="144"/>
        <v>0</v>
      </c>
      <c r="P1113" s="5">
        <f t="shared" si="137"/>
        <v>0</v>
      </c>
      <c r="Q1113" s="5">
        <f t="shared" si="138"/>
        <v>2</v>
      </c>
      <c r="R1113" s="7">
        <f t="shared" si="139"/>
        <v>0</v>
      </c>
      <c r="S1113" s="7">
        <f t="shared" si="140"/>
        <v>0</v>
      </c>
      <c r="T1113" s="3" t="str">
        <f t="shared" si="141"/>
        <v/>
      </c>
      <c r="V1113" s="1" t="e">
        <f t="shared" si="142"/>
        <v>#DIV/0!</v>
      </c>
    </row>
    <row r="1114" spans="8:22" x14ac:dyDescent="0.3">
      <c r="H1114" s="10" t="str">
        <f>IF(Planilha1!B1111="","",Planilha1!B1111)</f>
        <v>6:00p</v>
      </c>
      <c r="I1114" s="10" t="str">
        <f>IF(Planilha1!C1111="","",Planilha1!C1111)</f>
        <v>Philadelphia 76ers</v>
      </c>
      <c r="J1114" s="10">
        <f>IF(Planilha1!D1111="","",Planilha1!D1111)</f>
        <v>0</v>
      </c>
      <c r="K1114" s="10" t="str">
        <f>IF(Planilha1!E1111="","",IF(Planilha1!E1111=0,"",Planilha1!E1111))</f>
        <v>Toronto Raptors</v>
      </c>
      <c r="L1114" s="10">
        <f>IF(Planilha1!F1111="","",Planilha1!F1111)</f>
        <v>0</v>
      </c>
      <c r="M1114" s="10" t="str">
        <f>IF(Planilha1!G1111="","",IF(Planilha1!G1111=0,"",Planilha1!G1111))</f>
        <v/>
      </c>
      <c r="N1114" s="5">
        <f t="shared" si="143"/>
        <v>1</v>
      </c>
      <c r="O1114" s="5">
        <f t="shared" si="144"/>
        <v>0</v>
      </c>
      <c r="P1114" s="5">
        <f t="shared" si="137"/>
        <v>0</v>
      </c>
      <c r="Q1114" s="5">
        <f t="shared" si="138"/>
        <v>2</v>
      </c>
      <c r="R1114" s="7">
        <f t="shared" si="139"/>
        <v>0</v>
      </c>
      <c r="S1114" s="7">
        <f t="shared" si="140"/>
        <v>0</v>
      </c>
      <c r="T1114" s="3" t="str">
        <f t="shared" si="141"/>
        <v/>
      </c>
      <c r="V1114" s="1" t="e">
        <f t="shared" si="142"/>
        <v>#DIV/0!</v>
      </c>
    </row>
    <row r="1115" spans="8:22" x14ac:dyDescent="0.3">
      <c r="H1115" s="10" t="str">
        <f>IF(Planilha1!B1112="","",Planilha1!B1112)</f>
        <v>6:00p</v>
      </c>
      <c r="I1115" s="10" t="str">
        <f>IF(Planilha1!C1112="","",Planilha1!C1112)</f>
        <v>Miami Heat</v>
      </c>
      <c r="J1115" s="10">
        <f>IF(Planilha1!D1112="","",Planilha1!D1112)</f>
        <v>0</v>
      </c>
      <c r="K1115" s="10" t="str">
        <f>IF(Planilha1!E1112="","",IF(Planilha1!E1112=0,"",Planilha1!E1112))</f>
        <v>Washington Wizards</v>
      </c>
      <c r="L1115" s="10">
        <f>IF(Planilha1!F1112="","",Planilha1!F1112)</f>
        <v>0</v>
      </c>
      <c r="M1115" s="10" t="str">
        <f>IF(Planilha1!G1112="","",IF(Planilha1!G1112=0,"",Planilha1!G1112))</f>
        <v/>
      </c>
      <c r="N1115" s="5">
        <f t="shared" si="143"/>
        <v>1</v>
      </c>
      <c r="O1115" s="5">
        <f t="shared" si="144"/>
        <v>0</v>
      </c>
      <c r="P1115" s="5">
        <f t="shared" si="137"/>
        <v>0</v>
      </c>
      <c r="Q1115" s="5">
        <f t="shared" si="138"/>
        <v>2</v>
      </c>
      <c r="R1115" s="7">
        <f t="shared" si="139"/>
        <v>0</v>
      </c>
      <c r="S1115" s="7">
        <f t="shared" si="140"/>
        <v>0</v>
      </c>
      <c r="T1115" s="3" t="str">
        <f t="shared" si="141"/>
        <v/>
      </c>
      <c r="V1115" s="1" t="e">
        <f t="shared" si="142"/>
        <v>#DIV/0!</v>
      </c>
    </row>
    <row r="1116" spans="8:22" x14ac:dyDescent="0.3">
      <c r="H1116" s="10" t="str">
        <f>IF(Planilha1!B1113="","",Planilha1!B1113)</f>
        <v>7:00p</v>
      </c>
      <c r="I1116" s="10" t="str">
        <f>IF(Planilha1!C1113="","",Planilha1!C1113)</f>
        <v>Dallas Mavericks</v>
      </c>
      <c r="J1116" s="10">
        <f>IF(Planilha1!D1113="","",Planilha1!D1113)</f>
        <v>0</v>
      </c>
      <c r="K1116" s="10" t="str">
        <f>IF(Planilha1!E1113="","",IF(Planilha1!E1113=0,"",Planilha1!E1113))</f>
        <v>Houston Rockets</v>
      </c>
      <c r="L1116" s="10">
        <f>IF(Planilha1!F1113="","",Planilha1!F1113)</f>
        <v>0</v>
      </c>
      <c r="M1116" s="10" t="str">
        <f>IF(Planilha1!G1113="","",IF(Planilha1!G1113=0,"",Planilha1!G1113))</f>
        <v/>
      </c>
      <c r="N1116" s="5">
        <f t="shared" si="143"/>
        <v>1</v>
      </c>
      <c r="O1116" s="5">
        <f t="shared" si="144"/>
        <v>0</v>
      </c>
      <c r="P1116" s="5">
        <f t="shared" si="137"/>
        <v>0</v>
      </c>
      <c r="Q1116" s="5">
        <f t="shared" si="138"/>
        <v>2</v>
      </c>
      <c r="R1116" s="7">
        <f t="shared" si="139"/>
        <v>0</v>
      </c>
      <c r="S1116" s="7">
        <f t="shared" si="140"/>
        <v>0</v>
      </c>
      <c r="T1116" s="3" t="str">
        <f t="shared" si="141"/>
        <v/>
      </c>
      <c r="V1116" s="1" t="e">
        <f t="shared" si="142"/>
        <v>#DIV/0!</v>
      </c>
    </row>
    <row r="1117" spans="8:22" x14ac:dyDescent="0.3">
      <c r="H1117" s="10" t="str">
        <f>IF(Planilha1!B1114="","",Planilha1!B1114)</f>
        <v>7:00p</v>
      </c>
      <c r="I1117" s="10" t="str">
        <f>IF(Planilha1!C1114="","",Planilha1!C1114)</f>
        <v>Chicago Bulls</v>
      </c>
      <c r="J1117" s="10">
        <f>IF(Planilha1!D1114="","",Planilha1!D1114)</f>
        <v>0</v>
      </c>
      <c r="K1117" s="10" t="str">
        <f>IF(Planilha1!E1114="","",IF(Planilha1!E1114=0,"",Planilha1!E1114))</f>
        <v>Minnesota Timberwolves</v>
      </c>
      <c r="L1117" s="10">
        <f>IF(Planilha1!F1114="","",Planilha1!F1114)</f>
        <v>0</v>
      </c>
      <c r="M1117" s="10" t="str">
        <f>IF(Planilha1!G1114="","",IF(Planilha1!G1114=0,"",Planilha1!G1114))</f>
        <v/>
      </c>
      <c r="N1117" s="5">
        <f t="shared" si="143"/>
        <v>1</v>
      </c>
      <c r="O1117" s="5">
        <f t="shared" si="144"/>
        <v>0</v>
      </c>
      <c r="P1117" s="5">
        <f t="shared" si="137"/>
        <v>0</v>
      </c>
      <c r="Q1117" s="5">
        <f t="shared" si="138"/>
        <v>2</v>
      </c>
      <c r="R1117" s="7">
        <f t="shared" si="139"/>
        <v>0</v>
      </c>
      <c r="S1117" s="7">
        <f t="shared" si="140"/>
        <v>0</v>
      </c>
      <c r="T1117" s="3" t="str">
        <f t="shared" si="141"/>
        <v/>
      </c>
      <c r="V1117" s="1" t="e">
        <f t="shared" si="142"/>
        <v>#DIV/0!</v>
      </c>
    </row>
    <row r="1118" spans="8:22" x14ac:dyDescent="0.3">
      <c r="H1118" s="10" t="str">
        <f>IF(Planilha1!B1115="","",Planilha1!B1115)</f>
        <v>7:00p</v>
      </c>
      <c r="I1118" s="10" t="str">
        <f>IF(Planilha1!C1115="","",Planilha1!C1115)</f>
        <v>Oklahoma City Thunder</v>
      </c>
      <c r="J1118" s="10">
        <f>IF(Planilha1!D1115="","",Planilha1!D1115)</f>
        <v>0</v>
      </c>
      <c r="K1118" s="10" t="str">
        <f>IF(Planilha1!E1115="","",IF(Planilha1!E1115=0,"",Planilha1!E1115))</f>
        <v>New York Knicks</v>
      </c>
      <c r="L1118" s="10">
        <f>IF(Planilha1!F1115="","",Planilha1!F1115)</f>
        <v>0</v>
      </c>
      <c r="M1118" s="10" t="str">
        <f>IF(Planilha1!G1115="","",IF(Planilha1!G1115=0,"",Planilha1!G1115))</f>
        <v/>
      </c>
      <c r="N1118" s="5">
        <f t="shared" si="143"/>
        <v>1</v>
      </c>
      <c r="O1118" s="5">
        <f t="shared" si="144"/>
        <v>0</v>
      </c>
      <c r="P1118" s="5">
        <f t="shared" si="137"/>
        <v>0</v>
      </c>
      <c r="Q1118" s="5">
        <f t="shared" si="138"/>
        <v>2</v>
      </c>
      <c r="R1118" s="7">
        <f t="shared" si="139"/>
        <v>0</v>
      </c>
      <c r="S1118" s="7">
        <f t="shared" si="140"/>
        <v>0</v>
      </c>
      <c r="T1118" s="3" t="str">
        <f t="shared" si="141"/>
        <v/>
      </c>
      <c r="V1118" s="1" t="e">
        <f t="shared" si="142"/>
        <v>#DIV/0!</v>
      </c>
    </row>
    <row r="1119" spans="8:22" x14ac:dyDescent="0.3">
      <c r="H1119" s="10" t="str">
        <f>IF(Planilha1!B1116="","",Planilha1!B1116)</f>
        <v>7:00p</v>
      </c>
      <c r="I1119" s="10" t="str">
        <f>IF(Planilha1!C1116="","",Planilha1!C1116)</f>
        <v>Golden State Warriors</v>
      </c>
      <c r="J1119" s="10">
        <f>IF(Planilha1!D1116="","",Planilha1!D1116)</f>
        <v>0</v>
      </c>
      <c r="K1119" s="10" t="str">
        <f>IF(Planilha1!E1116="","",IF(Planilha1!E1116=0,"",Planilha1!E1116))</f>
        <v>San Antonio Spurs</v>
      </c>
      <c r="L1119" s="10">
        <f>IF(Planilha1!F1116="","",Planilha1!F1116)</f>
        <v>0</v>
      </c>
      <c r="M1119" s="10" t="str">
        <f>IF(Planilha1!G1116="","",IF(Planilha1!G1116=0,"",Planilha1!G1116))</f>
        <v/>
      </c>
      <c r="N1119" s="5">
        <f t="shared" si="143"/>
        <v>1</v>
      </c>
      <c r="O1119" s="5">
        <f t="shared" si="144"/>
        <v>0</v>
      </c>
      <c r="P1119" s="5">
        <f t="shared" si="137"/>
        <v>0</v>
      </c>
      <c r="Q1119" s="5">
        <f t="shared" si="138"/>
        <v>2</v>
      </c>
      <c r="R1119" s="7">
        <f t="shared" si="139"/>
        <v>0</v>
      </c>
      <c r="S1119" s="7">
        <f t="shared" si="140"/>
        <v>0</v>
      </c>
      <c r="T1119" s="3" t="str">
        <f t="shared" si="141"/>
        <v/>
      </c>
      <c r="V1119" s="1" t="e">
        <f t="shared" si="142"/>
        <v>#DIV/0!</v>
      </c>
    </row>
    <row r="1120" spans="8:22" x14ac:dyDescent="0.3">
      <c r="H1120" s="10" t="str">
        <f>IF(Planilha1!B1117="","",Planilha1!B1117)</f>
        <v>9:00p</v>
      </c>
      <c r="I1120" s="10" t="str">
        <f>IF(Planilha1!C1117="","",Planilha1!C1117)</f>
        <v>Utah Jazz</v>
      </c>
      <c r="J1120" s="10">
        <f>IF(Planilha1!D1117="","",Planilha1!D1117)</f>
        <v>0</v>
      </c>
      <c r="K1120" s="10" t="str">
        <f>IF(Planilha1!E1117="","",IF(Planilha1!E1117=0,"",Planilha1!E1117))</f>
        <v>Sacramento Kings</v>
      </c>
      <c r="L1120" s="10">
        <f>IF(Planilha1!F1117="","",Planilha1!F1117)</f>
        <v>0</v>
      </c>
      <c r="M1120" s="10" t="str">
        <f>IF(Planilha1!G1117="","",IF(Planilha1!G1117=0,"",Planilha1!G1117))</f>
        <v/>
      </c>
      <c r="N1120" s="5">
        <f t="shared" si="143"/>
        <v>1</v>
      </c>
      <c r="O1120" s="5">
        <f t="shared" si="144"/>
        <v>0</v>
      </c>
      <c r="P1120" s="5">
        <f t="shared" si="137"/>
        <v>0</v>
      </c>
      <c r="Q1120" s="5">
        <f t="shared" si="138"/>
        <v>2</v>
      </c>
      <c r="R1120" s="7">
        <f t="shared" si="139"/>
        <v>0</v>
      </c>
      <c r="S1120" s="7">
        <f t="shared" si="140"/>
        <v>0</v>
      </c>
      <c r="T1120" s="3" t="str">
        <f t="shared" si="141"/>
        <v/>
      </c>
      <c r="V1120" s="1" t="e">
        <f t="shared" si="142"/>
        <v>#DIV/0!</v>
      </c>
    </row>
    <row r="1121" spans="8:22" x14ac:dyDescent="0.3">
      <c r="H1121" s="10" t="str">
        <f>IF(Planilha1!B1118="","",Planilha1!B1118)</f>
        <v>7:00p</v>
      </c>
      <c r="I1121" s="10" t="str">
        <f>IF(Planilha1!C1118="","",Planilha1!C1118)</f>
        <v>Boston Celtics</v>
      </c>
      <c r="J1121" s="10">
        <f>IF(Planilha1!D1118="","",Planilha1!D1118)</f>
        <v>0</v>
      </c>
      <c r="K1121" s="10" t="str">
        <f>IF(Planilha1!E1118="","",IF(Planilha1!E1118=0,"",Planilha1!E1118))</f>
        <v>Charlotte Hornets</v>
      </c>
      <c r="L1121" s="10">
        <f>IF(Planilha1!F1118="","",Planilha1!F1118)</f>
        <v>0</v>
      </c>
      <c r="M1121" s="10" t="str">
        <f>IF(Planilha1!G1118="","",IF(Planilha1!G1118=0,"",Planilha1!G1118))</f>
        <v/>
      </c>
      <c r="N1121" s="5">
        <f t="shared" si="143"/>
        <v>1</v>
      </c>
      <c r="O1121" s="5">
        <f t="shared" si="144"/>
        <v>0</v>
      </c>
      <c r="P1121" s="5">
        <f t="shared" si="137"/>
        <v>0</v>
      </c>
      <c r="Q1121" s="5">
        <f t="shared" si="138"/>
        <v>2</v>
      </c>
      <c r="R1121" s="7">
        <f t="shared" si="139"/>
        <v>0</v>
      </c>
      <c r="S1121" s="7">
        <f t="shared" si="140"/>
        <v>0</v>
      </c>
      <c r="T1121" s="3" t="str">
        <f t="shared" si="141"/>
        <v/>
      </c>
      <c r="V1121" s="1" t="e">
        <f t="shared" si="142"/>
        <v>#DIV/0!</v>
      </c>
    </row>
    <row r="1122" spans="8:22" x14ac:dyDescent="0.3">
      <c r="H1122" s="10" t="str">
        <f>IF(Planilha1!B1119="","",Planilha1!B1119)</f>
        <v>7:00p</v>
      </c>
      <c r="I1122" s="10" t="str">
        <f>IF(Planilha1!C1119="","",Planilha1!C1119)</f>
        <v>Memphis Grizzlies</v>
      </c>
      <c r="J1122" s="10">
        <f>IF(Planilha1!D1119="","",Planilha1!D1119)</f>
        <v>0</v>
      </c>
      <c r="K1122" s="10" t="str">
        <f>IF(Planilha1!E1119="","",IF(Planilha1!E1119=0,"",Planilha1!E1119))</f>
        <v>Detroit Pistons</v>
      </c>
      <c r="L1122" s="10">
        <f>IF(Planilha1!F1119="","",Planilha1!F1119)</f>
        <v>0</v>
      </c>
      <c r="M1122" s="10" t="str">
        <f>IF(Planilha1!G1119="","",IF(Planilha1!G1119=0,"",Planilha1!G1119))</f>
        <v/>
      </c>
      <c r="N1122" s="5">
        <f t="shared" si="143"/>
        <v>1</v>
      </c>
      <c r="O1122" s="5">
        <f t="shared" si="144"/>
        <v>0</v>
      </c>
      <c r="P1122" s="5">
        <f t="shared" si="137"/>
        <v>0</v>
      </c>
      <c r="Q1122" s="5">
        <f t="shared" si="138"/>
        <v>2</v>
      </c>
      <c r="R1122" s="7">
        <f t="shared" si="139"/>
        <v>0</v>
      </c>
      <c r="S1122" s="7">
        <f t="shared" si="140"/>
        <v>0</v>
      </c>
      <c r="T1122" s="3" t="str">
        <f t="shared" si="141"/>
        <v/>
      </c>
      <c r="V1122" s="1" t="e">
        <f t="shared" si="142"/>
        <v>#DIV/0!</v>
      </c>
    </row>
    <row r="1123" spans="8:22" x14ac:dyDescent="0.3">
      <c r="H1123" s="10" t="str">
        <f>IF(Planilha1!B1120="","",Planilha1!B1120)</f>
        <v>7:00p</v>
      </c>
      <c r="I1123" s="10" t="str">
        <f>IF(Planilha1!C1120="","",Planilha1!C1120)</f>
        <v>Brooklyn Nets</v>
      </c>
      <c r="J1123" s="10">
        <f>IF(Planilha1!D1120="","",Planilha1!D1120)</f>
        <v>0</v>
      </c>
      <c r="K1123" s="10" t="str">
        <f>IF(Planilha1!E1120="","",IF(Planilha1!E1120=0,"",Planilha1!E1120))</f>
        <v>Indiana Pacers</v>
      </c>
      <c r="L1123" s="10">
        <f>IF(Planilha1!F1120="","",Planilha1!F1120)</f>
        <v>0</v>
      </c>
      <c r="M1123" s="10" t="str">
        <f>IF(Planilha1!G1120="","",IF(Planilha1!G1120=0,"",Planilha1!G1120))</f>
        <v/>
      </c>
      <c r="N1123" s="5">
        <f t="shared" si="143"/>
        <v>1</v>
      </c>
      <c r="O1123" s="5">
        <f t="shared" si="144"/>
        <v>0</v>
      </c>
      <c r="P1123" s="5">
        <f t="shared" si="137"/>
        <v>0</v>
      </c>
      <c r="Q1123" s="5">
        <f t="shared" si="138"/>
        <v>2</v>
      </c>
      <c r="R1123" s="7">
        <f t="shared" si="139"/>
        <v>0</v>
      </c>
      <c r="S1123" s="7">
        <f t="shared" si="140"/>
        <v>0</v>
      </c>
      <c r="T1123" s="3" t="str">
        <f t="shared" si="141"/>
        <v/>
      </c>
      <c r="V1123" s="1" t="e">
        <f t="shared" si="142"/>
        <v>#DIV/0!</v>
      </c>
    </row>
    <row r="1124" spans="8:22" x14ac:dyDescent="0.3">
      <c r="H1124" s="10" t="str">
        <f>IF(Planilha1!B1121="","",Planilha1!B1121)</f>
        <v>7:00p</v>
      </c>
      <c r="I1124" s="10" t="str">
        <f>IF(Planilha1!C1121="","",Planilha1!C1121)</f>
        <v>Portland Trail Blazers</v>
      </c>
      <c r="J1124" s="10">
        <f>IF(Planilha1!D1121="","",Planilha1!D1121)</f>
        <v>0</v>
      </c>
      <c r="K1124" s="10" t="str">
        <f>IF(Planilha1!E1121="","",IF(Planilha1!E1121=0,"",Planilha1!E1121))</f>
        <v>Orlando Magic</v>
      </c>
      <c r="L1124" s="10">
        <f>IF(Planilha1!F1121="","",Planilha1!F1121)</f>
        <v>0</v>
      </c>
      <c r="M1124" s="10" t="str">
        <f>IF(Planilha1!G1121="","",IF(Planilha1!G1121=0,"",Planilha1!G1121))</f>
        <v/>
      </c>
      <c r="N1124" s="5">
        <f t="shared" si="143"/>
        <v>1</v>
      </c>
      <c r="O1124" s="5">
        <f t="shared" si="144"/>
        <v>0</v>
      </c>
      <c r="P1124" s="5">
        <f t="shared" si="137"/>
        <v>0</v>
      </c>
      <c r="Q1124" s="5">
        <f t="shared" si="138"/>
        <v>2</v>
      </c>
      <c r="R1124" s="7">
        <f t="shared" si="139"/>
        <v>0</v>
      </c>
      <c r="S1124" s="7">
        <f t="shared" si="140"/>
        <v>0</v>
      </c>
      <c r="T1124" s="3" t="str">
        <f t="shared" si="141"/>
        <v/>
      </c>
      <c r="V1124" s="1" t="e">
        <f t="shared" si="142"/>
        <v>#DIV/0!</v>
      </c>
    </row>
    <row r="1125" spans="8:22" x14ac:dyDescent="0.3">
      <c r="H1125" s="10" t="str">
        <f>IF(Planilha1!B1122="","",Planilha1!B1122)</f>
        <v>8:00p</v>
      </c>
      <c r="I1125" s="10" t="str">
        <f>IF(Planilha1!C1122="","",Planilha1!C1122)</f>
        <v>Atlanta Hawks</v>
      </c>
      <c r="J1125" s="10">
        <f>IF(Planilha1!D1122="","",Planilha1!D1122)</f>
        <v>0</v>
      </c>
      <c r="K1125" s="10" t="str">
        <f>IF(Planilha1!E1122="","",IF(Planilha1!E1122=0,"",Planilha1!E1122))</f>
        <v>Chicago Bulls</v>
      </c>
      <c r="L1125" s="10">
        <f>IF(Planilha1!F1122="","",Planilha1!F1122)</f>
        <v>0</v>
      </c>
      <c r="M1125" s="10" t="str">
        <f>IF(Planilha1!G1122="","",IF(Planilha1!G1122=0,"",Planilha1!G1122))</f>
        <v/>
      </c>
      <c r="N1125" s="5">
        <f t="shared" si="143"/>
        <v>1</v>
      </c>
      <c r="O1125" s="5">
        <f t="shared" si="144"/>
        <v>0</v>
      </c>
      <c r="P1125" s="5">
        <f t="shared" si="137"/>
        <v>0</v>
      </c>
      <c r="Q1125" s="5">
        <f t="shared" si="138"/>
        <v>2</v>
      </c>
      <c r="R1125" s="7">
        <f t="shared" si="139"/>
        <v>0</v>
      </c>
      <c r="S1125" s="7">
        <f t="shared" si="140"/>
        <v>0</v>
      </c>
      <c r="T1125" s="3" t="str">
        <f t="shared" si="141"/>
        <v/>
      </c>
      <c r="V1125" s="1" t="e">
        <f t="shared" si="142"/>
        <v>#DIV/0!</v>
      </c>
    </row>
    <row r="1126" spans="8:22" x14ac:dyDescent="0.3">
      <c r="H1126" s="10" t="str">
        <f>IF(Planilha1!B1123="","",Planilha1!B1123)</f>
        <v>8:00p</v>
      </c>
      <c r="I1126" s="10" t="str">
        <f>IF(Planilha1!C1123="","",Planilha1!C1123)</f>
        <v>Phoenix Suns</v>
      </c>
      <c r="J1126" s="10">
        <f>IF(Planilha1!D1123="","",Planilha1!D1123)</f>
        <v>0</v>
      </c>
      <c r="K1126" s="10" t="str">
        <f>IF(Planilha1!E1123="","",IF(Planilha1!E1123=0,"",Planilha1!E1123))</f>
        <v>New Orleans Pelicans</v>
      </c>
      <c r="L1126" s="10">
        <f>IF(Planilha1!F1123="","",Planilha1!F1123)</f>
        <v>0</v>
      </c>
      <c r="M1126" s="10" t="str">
        <f>IF(Planilha1!G1123="","",IF(Planilha1!G1123=0,"",Planilha1!G1123))</f>
        <v/>
      </c>
      <c r="N1126" s="5">
        <f t="shared" si="143"/>
        <v>1</v>
      </c>
      <c r="O1126" s="5">
        <f t="shared" si="144"/>
        <v>0</v>
      </c>
      <c r="P1126" s="5">
        <f t="shared" si="137"/>
        <v>0</v>
      </c>
      <c r="Q1126" s="5">
        <f t="shared" si="138"/>
        <v>2</v>
      </c>
      <c r="R1126" s="7">
        <f t="shared" si="139"/>
        <v>0</v>
      </c>
      <c r="S1126" s="7">
        <f t="shared" si="140"/>
        <v>0</v>
      </c>
      <c r="T1126" s="3" t="str">
        <f t="shared" si="141"/>
        <v/>
      </c>
      <c r="V1126" s="1" t="e">
        <f t="shared" si="142"/>
        <v>#DIV/0!</v>
      </c>
    </row>
    <row r="1127" spans="8:22" x14ac:dyDescent="0.3">
      <c r="H1127" s="10" t="str">
        <f>IF(Planilha1!B1124="","",Planilha1!B1124)</f>
        <v>7:00p</v>
      </c>
      <c r="I1127" s="10" t="str">
        <f>IF(Planilha1!C1124="","",Planilha1!C1124)</f>
        <v>Los Angeles Lakers</v>
      </c>
      <c r="J1127" s="10">
        <f>IF(Planilha1!D1124="","",Planilha1!D1124)</f>
        <v>0</v>
      </c>
      <c r="K1127" s="10" t="str">
        <f>IF(Planilha1!E1124="","",IF(Planilha1!E1124=0,"",Planilha1!E1124))</f>
        <v>Toronto Raptors</v>
      </c>
      <c r="L1127" s="10">
        <f>IF(Planilha1!F1124="","",Planilha1!F1124)</f>
        <v>0</v>
      </c>
      <c r="M1127" s="10" t="str">
        <f>IF(Planilha1!G1124="","",IF(Planilha1!G1124=0,"",Planilha1!G1124))</f>
        <v/>
      </c>
      <c r="N1127" s="5">
        <f t="shared" si="143"/>
        <v>1</v>
      </c>
      <c r="O1127" s="5">
        <f t="shared" si="144"/>
        <v>0</v>
      </c>
      <c r="P1127" s="5">
        <f t="shared" si="137"/>
        <v>0</v>
      </c>
      <c r="Q1127" s="5">
        <f t="shared" si="138"/>
        <v>2</v>
      </c>
      <c r="R1127" s="7">
        <f t="shared" si="139"/>
        <v>0</v>
      </c>
      <c r="S1127" s="7">
        <f t="shared" si="140"/>
        <v>0</v>
      </c>
      <c r="T1127" s="3" t="str">
        <f t="shared" si="141"/>
        <v/>
      </c>
      <c r="V1127" s="1" t="e">
        <f t="shared" si="142"/>
        <v>#DIV/0!</v>
      </c>
    </row>
    <row r="1128" spans="8:22" x14ac:dyDescent="0.3">
      <c r="H1128" s="10" t="str">
        <f>IF(Planilha1!B1125="","",Planilha1!B1125)</f>
        <v>7:00p</v>
      </c>
      <c r="I1128" s="10" t="str">
        <f>IF(Planilha1!C1125="","",Planilha1!C1125)</f>
        <v>Milwaukee Bucks</v>
      </c>
      <c r="J1128" s="10">
        <f>IF(Planilha1!D1125="","",Planilha1!D1125)</f>
        <v>0</v>
      </c>
      <c r="K1128" s="10" t="str">
        <f>IF(Planilha1!E1125="","",IF(Planilha1!E1125=0,"",Planilha1!E1125))</f>
        <v>Washington Wizards</v>
      </c>
      <c r="L1128" s="10">
        <f>IF(Planilha1!F1125="","",Planilha1!F1125)</f>
        <v>0</v>
      </c>
      <c r="M1128" s="10" t="str">
        <f>IF(Planilha1!G1125="","",IF(Planilha1!G1125=0,"",Planilha1!G1125))</f>
        <v/>
      </c>
      <c r="N1128" s="5">
        <f t="shared" si="143"/>
        <v>1</v>
      </c>
      <c r="O1128" s="5">
        <f t="shared" si="144"/>
        <v>0</v>
      </c>
      <c r="P1128" s="5">
        <f t="shared" si="137"/>
        <v>0</v>
      </c>
      <c r="Q1128" s="5">
        <f t="shared" si="138"/>
        <v>2</v>
      </c>
      <c r="R1128" s="7">
        <f t="shared" si="139"/>
        <v>0</v>
      </c>
      <c r="S1128" s="7">
        <f t="shared" si="140"/>
        <v>0</v>
      </c>
      <c r="T1128" s="3" t="str">
        <f t="shared" si="141"/>
        <v/>
      </c>
      <c r="V1128" s="1" t="e">
        <f t="shared" si="142"/>
        <v>#DIV/0!</v>
      </c>
    </row>
    <row r="1129" spans="8:22" x14ac:dyDescent="0.3">
      <c r="H1129" s="10" t="str">
        <f>IF(Planilha1!B1126="","",Planilha1!B1126)</f>
        <v>7:30p</v>
      </c>
      <c r="I1129" s="10" t="str">
        <f>IF(Planilha1!C1126="","",Planilha1!C1126)</f>
        <v>New York Knicks</v>
      </c>
      <c r="J1129" s="10">
        <f>IF(Planilha1!D1126="","",Planilha1!D1126)</f>
        <v>0</v>
      </c>
      <c r="K1129" s="10" t="str">
        <f>IF(Planilha1!E1126="","",IF(Planilha1!E1126=0,"",Planilha1!E1126))</f>
        <v>Miami Heat</v>
      </c>
      <c r="L1129" s="10">
        <f>IF(Planilha1!F1126="","",Planilha1!F1126)</f>
        <v>0</v>
      </c>
      <c r="M1129" s="10" t="str">
        <f>IF(Planilha1!G1126="","",IF(Planilha1!G1126=0,"",Planilha1!G1126))</f>
        <v/>
      </c>
      <c r="N1129" s="5">
        <f t="shared" si="143"/>
        <v>1</v>
      </c>
      <c r="O1129" s="5">
        <f t="shared" si="144"/>
        <v>0</v>
      </c>
      <c r="P1129" s="5">
        <f t="shared" si="137"/>
        <v>0</v>
      </c>
      <c r="Q1129" s="5">
        <f t="shared" si="138"/>
        <v>2</v>
      </c>
      <c r="R1129" s="7">
        <f t="shared" si="139"/>
        <v>0</v>
      </c>
      <c r="S1129" s="7">
        <f t="shared" si="140"/>
        <v>0</v>
      </c>
      <c r="T1129" s="3" t="str">
        <f t="shared" si="141"/>
        <v/>
      </c>
      <c r="V1129" s="1" t="e">
        <f t="shared" si="142"/>
        <v>#DIV/0!</v>
      </c>
    </row>
    <row r="1130" spans="8:22" x14ac:dyDescent="0.3">
      <c r="H1130" s="10" t="str">
        <f>IF(Planilha1!B1127="","",Planilha1!B1127)</f>
        <v>7:30p</v>
      </c>
      <c r="I1130" s="10" t="str">
        <f>IF(Planilha1!C1127="","",Planilha1!C1127)</f>
        <v>Oklahoma City Thunder</v>
      </c>
      <c r="J1130" s="10">
        <f>IF(Planilha1!D1127="","",Planilha1!D1127)</f>
        <v>0</v>
      </c>
      <c r="K1130" s="10" t="str">
        <f>IF(Planilha1!E1127="","",IF(Planilha1!E1127=0,"",Planilha1!E1127))</f>
        <v>Philadelphia 76ers</v>
      </c>
      <c r="L1130" s="10">
        <f>IF(Planilha1!F1127="","",Planilha1!F1127)</f>
        <v>0</v>
      </c>
      <c r="M1130" s="10" t="str">
        <f>IF(Planilha1!G1127="","",IF(Planilha1!G1127=0,"",Planilha1!G1127))</f>
        <v/>
      </c>
      <c r="N1130" s="5">
        <f t="shared" si="143"/>
        <v>1</v>
      </c>
      <c r="O1130" s="5">
        <f t="shared" si="144"/>
        <v>0</v>
      </c>
      <c r="P1130" s="5">
        <f t="shared" si="137"/>
        <v>0</v>
      </c>
      <c r="Q1130" s="5">
        <f t="shared" si="138"/>
        <v>2</v>
      </c>
      <c r="R1130" s="7">
        <f t="shared" si="139"/>
        <v>0</v>
      </c>
      <c r="S1130" s="7">
        <f t="shared" si="140"/>
        <v>0</v>
      </c>
      <c r="T1130" s="3" t="str">
        <f t="shared" si="141"/>
        <v/>
      </c>
      <c r="V1130" s="1" t="e">
        <f t="shared" si="142"/>
        <v>#DIV/0!</v>
      </c>
    </row>
    <row r="1131" spans="8:22" x14ac:dyDescent="0.3">
      <c r="H1131" s="10" t="str">
        <f>IF(Planilha1!B1128="","",Planilha1!B1128)</f>
        <v>8:00p</v>
      </c>
      <c r="I1131" s="10" t="str">
        <f>IF(Planilha1!C1128="","",Planilha1!C1128)</f>
        <v>Houston Rockets</v>
      </c>
      <c r="J1131" s="10">
        <f>IF(Planilha1!D1128="","",Planilha1!D1128)</f>
        <v>0</v>
      </c>
      <c r="K1131" s="10" t="str">
        <f>IF(Planilha1!E1128="","",IF(Planilha1!E1128=0,"",Planilha1!E1128))</f>
        <v>Minnesota Timberwolves</v>
      </c>
      <c r="L1131" s="10">
        <f>IF(Planilha1!F1128="","",Planilha1!F1128)</f>
        <v>0</v>
      </c>
      <c r="M1131" s="10" t="str">
        <f>IF(Planilha1!G1128="","",IF(Planilha1!G1128=0,"",Planilha1!G1128))</f>
        <v/>
      </c>
      <c r="N1131" s="5">
        <f t="shared" si="143"/>
        <v>1</v>
      </c>
      <c r="O1131" s="5">
        <f t="shared" si="144"/>
        <v>0</v>
      </c>
      <c r="P1131" s="5">
        <f t="shared" si="137"/>
        <v>0</v>
      </c>
      <c r="Q1131" s="5">
        <f t="shared" si="138"/>
        <v>2</v>
      </c>
      <c r="R1131" s="7">
        <f t="shared" si="139"/>
        <v>0</v>
      </c>
      <c r="S1131" s="7">
        <f t="shared" si="140"/>
        <v>0</v>
      </c>
      <c r="T1131" s="3" t="str">
        <f t="shared" si="141"/>
        <v/>
      </c>
      <c r="V1131" s="1" t="e">
        <f t="shared" si="142"/>
        <v>#DIV/0!</v>
      </c>
    </row>
    <row r="1132" spans="8:22" x14ac:dyDescent="0.3">
      <c r="H1132" s="10" t="str">
        <f>IF(Planilha1!B1129="","",Planilha1!B1129)</f>
        <v>9:00p</v>
      </c>
      <c r="I1132" s="10" t="str">
        <f>IF(Planilha1!C1129="","",Planilha1!C1129)</f>
        <v>San Antonio Spurs</v>
      </c>
      <c r="J1132" s="10">
        <f>IF(Planilha1!D1129="","",Planilha1!D1129)</f>
        <v>0</v>
      </c>
      <c r="K1132" s="10" t="str">
        <f>IF(Planilha1!E1129="","",IF(Planilha1!E1129=0,"",Planilha1!E1129))</f>
        <v>Denver Nuggets</v>
      </c>
      <c r="L1132" s="10">
        <f>IF(Planilha1!F1129="","",Planilha1!F1129)</f>
        <v>0</v>
      </c>
      <c r="M1132" s="10" t="str">
        <f>IF(Planilha1!G1129="","",IF(Planilha1!G1129=0,"",Planilha1!G1129))</f>
        <v/>
      </c>
      <c r="N1132" s="5">
        <f t="shared" si="143"/>
        <v>1</v>
      </c>
      <c r="O1132" s="5">
        <f t="shared" si="144"/>
        <v>0</v>
      </c>
      <c r="P1132" s="5">
        <f t="shared" si="137"/>
        <v>0</v>
      </c>
      <c r="Q1132" s="5">
        <f t="shared" si="138"/>
        <v>2</v>
      </c>
      <c r="R1132" s="7">
        <f t="shared" si="139"/>
        <v>0</v>
      </c>
      <c r="S1132" s="7">
        <f t="shared" si="140"/>
        <v>0</v>
      </c>
      <c r="T1132" s="3" t="str">
        <f t="shared" si="141"/>
        <v/>
      </c>
      <c r="V1132" s="1" t="e">
        <f t="shared" si="142"/>
        <v>#DIV/0!</v>
      </c>
    </row>
    <row r="1133" spans="8:22" x14ac:dyDescent="0.3">
      <c r="H1133" s="10" t="str">
        <f>IF(Planilha1!B1130="","",Planilha1!B1130)</f>
        <v>9:00p</v>
      </c>
      <c r="I1133" s="10" t="str">
        <f>IF(Planilha1!C1130="","",Planilha1!C1130)</f>
        <v>Cleveland Cavaliers</v>
      </c>
      <c r="J1133" s="10">
        <f>IF(Planilha1!D1130="","",Planilha1!D1130)</f>
        <v>0</v>
      </c>
      <c r="K1133" s="10" t="str">
        <f>IF(Planilha1!E1130="","",IF(Planilha1!E1130=0,"",Planilha1!E1130))</f>
        <v>Utah Jazz</v>
      </c>
      <c r="L1133" s="10">
        <f>IF(Planilha1!F1130="","",Planilha1!F1130)</f>
        <v>0</v>
      </c>
      <c r="M1133" s="10" t="str">
        <f>IF(Planilha1!G1130="","",IF(Planilha1!G1130=0,"",Planilha1!G1130))</f>
        <v/>
      </c>
      <c r="N1133" s="5">
        <f t="shared" si="143"/>
        <v>1</v>
      </c>
      <c r="O1133" s="5">
        <f t="shared" si="144"/>
        <v>0</v>
      </c>
      <c r="P1133" s="5">
        <f t="shared" si="137"/>
        <v>0</v>
      </c>
      <c r="Q1133" s="5">
        <f t="shared" si="138"/>
        <v>2</v>
      </c>
      <c r="R1133" s="7">
        <f t="shared" si="139"/>
        <v>0</v>
      </c>
      <c r="S1133" s="7">
        <f t="shared" si="140"/>
        <v>0</v>
      </c>
      <c r="T1133" s="3" t="str">
        <f t="shared" si="141"/>
        <v/>
      </c>
      <c r="V1133" s="1" t="e">
        <f t="shared" si="142"/>
        <v>#DIV/0!</v>
      </c>
    </row>
    <row r="1134" spans="8:22" x14ac:dyDescent="0.3">
      <c r="H1134" s="10" t="str">
        <f>IF(Planilha1!B1131="","",Planilha1!B1131)</f>
        <v>10:00p</v>
      </c>
      <c r="I1134" s="10" t="str">
        <f>IF(Planilha1!C1131="","",Planilha1!C1131)</f>
        <v>Dallas Mavericks</v>
      </c>
      <c r="J1134" s="10">
        <f>IF(Planilha1!D1131="","",Planilha1!D1131)</f>
        <v>0</v>
      </c>
      <c r="K1134" s="10" t="str">
        <f>IF(Planilha1!E1131="","",IF(Planilha1!E1131=0,"",Planilha1!E1131))</f>
        <v>Golden State Warriors</v>
      </c>
      <c r="L1134" s="10">
        <f>IF(Planilha1!F1131="","",Planilha1!F1131)</f>
        <v>0</v>
      </c>
      <c r="M1134" s="10" t="str">
        <f>IF(Planilha1!G1131="","",IF(Planilha1!G1131=0,"",Planilha1!G1131))</f>
        <v/>
      </c>
      <c r="N1134" s="5">
        <f t="shared" si="143"/>
        <v>1</v>
      </c>
      <c r="O1134" s="5">
        <f t="shared" si="144"/>
        <v>0</v>
      </c>
      <c r="P1134" s="5">
        <f t="shared" si="137"/>
        <v>0</v>
      </c>
      <c r="Q1134" s="5">
        <f t="shared" si="138"/>
        <v>2</v>
      </c>
      <c r="R1134" s="7">
        <f t="shared" si="139"/>
        <v>0</v>
      </c>
      <c r="S1134" s="7">
        <f t="shared" si="140"/>
        <v>0</v>
      </c>
      <c r="T1134" s="3" t="str">
        <f t="shared" si="141"/>
        <v/>
      </c>
      <c r="V1134" s="1" t="e">
        <f t="shared" si="142"/>
        <v>#DIV/0!</v>
      </c>
    </row>
    <row r="1135" spans="8:22" x14ac:dyDescent="0.3">
      <c r="H1135" s="10" t="str">
        <f>IF(Planilha1!B1132="","",Planilha1!B1132)</f>
        <v>10:00p</v>
      </c>
      <c r="I1135" s="10" t="str">
        <f>IF(Planilha1!C1132="","",Planilha1!C1132)</f>
        <v>Los Angeles Clippers</v>
      </c>
      <c r="J1135" s="10">
        <f>IF(Planilha1!D1132="","",Planilha1!D1132)</f>
        <v>0</v>
      </c>
      <c r="K1135" s="10" t="str">
        <f>IF(Planilha1!E1132="","",IF(Planilha1!E1132=0,"",Planilha1!E1132))</f>
        <v>Sacramento Kings</v>
      </c>
      <c r="L1135" s="10">
        <f>IF(Planilha1!F1132="","",Planilha1!F1132)</f>
        <v>0</v>
      </c>
      <c r="M1135" s="10" t="str">
        <f>IF(Planilha1!G1132="","",IF(Planilha1!G1132=0,"",Planilha1!G1132))</f>
        <v/>
      </c>
      <c r="N1135" s="5">
        <f t="shared" si="143"/>
        <v>1</v>
      </c>
      <c r="O1135" s="5">
        <f t="shared" si="144"/>
        <v>0</v>
      </c>
      <c r="P1135" s="5">
        <f t="shared" si="137"/>
        <v>0</v>
      </c>
      <c r="Q1135" s="5">
        <f t="shared" si="138"/>
        <v>2</v>
      </c>
      <c r="R1135" s="7">
        <f t="shared" si="139"/>
        <v>0</v>
      </c>
      <c r="S1135" s="7">
        <f t="shared" si="140"/>
        <v>0</v>
      </c>
      <c r="T1135" s="3" t="str">
        <f t="shared" si="141"/>
        <v/>
      </c>
      <c r="V1135" s="1" t="e">
        <f t="shared" si="142"/>
        <v>#DIV/0!</v>
      </c>
    </row>
    <row r="1136" spans="8:22" x14ac:dyDescent="0.3">
      <c r="H1136" s="10" t="str">
        <f>IF(Planilha1!B1133="","",Planilha1!B1133)</f>
        <v>7:00p</v>
      </c>
      <c r="I1136" s="10" t="str">
        <f>IF(Planilha1!C1133="","",Planilha1!C1133)</f>
        <v>Portland Trail Blazers</v>
      </c>
      <c r="J1136" s="10">
        <f>IF(Planilha1!D1133="","",Planilha1!D1133)</f>
        <v>0</v>
      </c>
      <c r="K1136" s="10" t="str">
        <f>IF(Planilha1!E1133="","",IF(Planilha1!E1133=0,"",Planilha1!E1133))</f>
        <v>Charlotte Hornets</v>
      </c>
      <c r="L1136" s="10">
        <f>IF(Planilha1!F1133="","",Planilha1!F1133)</f>
        <v>0</v>
      </c>
      <c r="M1136" s="10" t="str">
        <f>IF(Planilha1!G1133="","",IF(Planilha1!G1133=0,"",Planilha1!G1133))</f>
        <v/>
      </c>
      <c r="N1136" s="5">
        <f t="shared" si="143"/>
        <v>1</v>
      </c>
      <c r="O1136" s="5">
        <f t="shared" si="144"/>
        <v>0</v>
      </c>
      <c r="P1136" s="5">
        <f t="shared" si="137"/>
        <v>0</v>
      </c>
      <c r="Q1136" s="5">
        <f t="shared" si="138"/>
        <v>2</v>
      </c>
      <c r="R1136" s="7">
        <f t="shared" si="139"/>
        <v>0</v>
      </c>
      <c r="S1136" s="7">
        <f t="shared" si="140"/>
        <v>0</v>
      </c>
      <c r="T1136" s="3" t="str">
        <f t="shared" si="141"/>
        <v/>
      </c>
      <c r="V1136" s="1" t="e">
        <f t="shared" si="142"/>
        <v>#DIV/0!</v>
      </c>
    </row>
    <row r="1137" spans="8:22" x14ac:dyDescent="0.3">
      <c r="H1137" s="10" t="str">
        <f>IF(Planilha1!B1134="","",Planilha1!B1134)</f>
        <v>7:00p</v>
      </c>
      <c r="I1137" s="10" t="str">
        <f>IF(Planilha1!C1134="","",Planilha1!C1134)</f>
        <v>Los Angeles Lakers</v>
      </c>
      <c r="J1137" s="10">
        <f>IF(Planilha1!D1134="","",Planilha1!D1134)</f>
        <v>0</v>
      </c>
      <c r="K1137" s="10" t="str">
        <f>IF(Planilha1!E1134="","",IF(Planilha1!E1134=0,"",Planilha1!E1134))</f>
        <v>Washington Wizards</v>
      </c>
      <c r="L1137" s="10">
        <f>IF(Planilha1!F1134="","",Planilha1!F1134)</f>
        <v>0</v>
      </c>
      <c r="M1137" s="10" t="str">
        <f>IF(Planilha1!G1134="","",IF(Planilha1!G1134=0,"",Planilha1!G1134))</f>
        <v/>
      </c>
      <c r="N1137" s="5">
        <f t="shared" si="143"/>
        <v>1</v>
      </c>
      <c r="O1137" s="5">
        <f t="shared" si="144"/>
        <v>0</v>
      </c>
      <c r="P1137" s="5">
        <f t="shared" si="137"/>
        <v>0</v>
      </c>
      <c r="Q1137" s="5">
        <f t="shared" si="138"/>
        <v>2</v>
      </c>
      <c r="R1137" s="7">
        <f t="shared" si="139"/>
        <v>0</v>
      </c>
      <c r="S1137" s="7">
        <f t="shared" si="140"/>
        <v>0</v>
      </c>
      <c r="T1137" s="3" t="str">
        <f t="shared" si="141"/>
        <v/>
      </c>
      <c r="V1137" s="1" t="e">
        <f t="shared" si="142"/>
        <v>#DIV/0!</v>
      </c>
    </row>
    <row r="1138" spans="8:22" x14ac:dyDescent="0.3">
      <c r="H1138" s="10" t="str">
        <f>IF(Planilha1!B1135="","",Planilha1!B1135)</f>
        <v>7:30p</v>
      </c>
      <c r="I1138" s="10" t="str">
        <f>IF(Planilha1!C1135="","",Planilha1!C1135)</f>
        <v>Detroit Pistons</v>
      </c>
      <c r="J1138" s="10">
        <f>IF(Planilha1!D1135="","",Planilha1!D1135)</f>
        <v>0</v>
      </c>
      <c r="K1138" s="10" t="str">
        <f>IF(Planilha1!E1135="","",IF(Planilha1!E1135=0,"",Planilha1!E1135))</f>
        <v>Atlanta Hawks</v>
      </c>
      <c r="L1138" s="10">
        <f>IF(Planilha1!F1135="","",Planilha1!F1135)</f>
        <v>0</v>
      </c>
      <c r="M1138" s="10" t="str">
        <f>IF(Planilha1!G1135="","",IF(Planilha1!G1135=0,"",Planilha1!G1135))</f>
        <v/>
      </c>
      <c r="N1138" s="5">
        <f t="shared" si="143"/>
        <v>1</v>
      </c>
      <c r="O1138" s="5">
        <f t="shared" si="144"/>
        <v>0</v>
      </c>
      <c r="P1138" s="5">
        <f t="shared" si="137"/>
        <v>0</v>
      </c>
      <c r="Q1138" s="5">
        <f t="shared" si="138"/>
        <v>2</v>
      </c>
      <c r="R1138" s="7">
        <f t="shared" si="139"/>
        <v>0</v>
      </c>
      <c r="S1138" s="7">
        <f t="shared" si="140"/>
        <v>0</v>
      </c>
      <c r="T1138" s="3" t="str">
        <f t="shared" si="141"/>
        <v/>
      </c>
      <c r="V1138" s="1" t="e">
        <f t="shared" si="142"/>
        <v>#DIV/0!</v>
      </c>
    </row>
    <row r="1139" spans="8:22" x14ac:dyDescent="0.3">
      <c r="H1139" s="10" t="str">
        <f>IF(Planilha1!B1136="","",Planilha1!B1136)</f>
        <v>7:30p</v>
      </c>
      <c r="I1139" s="10" t="str">
        <f>IF(Planilha1!C1136="","",Planilha1!C1136)</f>
        <v>Oklahoma City Thunder</v>
      </c>
      <c r="J1139" s="10">
        <f>IF(Planilha1!D1136="","",Planilha1!D1136)</f>
        <v>0</v>
      </c>
      <c r="K1139" s="10" t="str">
        <f>IF(Planilha1!E1136="","",IF(Planilha1!E1136=0,"",Planilha1!E1136))</f>
        <v>Boston Celtics</v>
      </c>
      <c r="L1139" s="10">
        <f>IF(Planilha1!F1136="","",Planilha1!F1136)</f>
        <v>0</v>
      </c>
      <c r="M1139" s="10" t="str">
        <f>IF(Planilha1!G1136="","",IF(Planilha1!G1136=0,"",Planilha1!G1136))</f>
        <v/>
      </c>
      <c r="N1139" s="5">
        <f t="shared" si="143"/>
        <v>1</v>
      </c>
      <c r="O1139" s="5">
        <f t="shared" si="144"/>
        <v>0</v>
      </c>
      <c r="P1139" s="5">
        <f t="shared" si="137"/>
        <v>0</v>
      </c>
      <c r="Q1139" s="5">
        <f t="shared" si="138"/>
        <v>2</v>
      </c>
      <c r="R1139" s="7">
        <f t="shared" si="139"/>
        <v>0</v>
      </c>
      <c r="S1139" s="7">
        <f t="shared" si="140"/>
        <v>0</v>
      </c>
      <c r="T1139" s="3" t="str">
        <f t="shared" si="141"/>
        <v/>
      </c>
      <c r="V1139" s="1" t="e">
        <f t="shared" si="142"/>
        <v>#DIV/0!</v>
      </c>
    </row>
    <row r="1140" spans="8:22" x14ac:dyDescent="0.3">
      <c r="H1140" s="10" t="str">
        <f>IF(Planilha1!B1137="","",Planilha1!B1137)</f>
        <v>7:30p</v>
      </c>
      <c r="I1140" s="10" t="str">
        <f>IF(Planilha1!C1137="","",Planilha1!C1137)</f>
        <v>Indiana Pacers</v>
      </c>
      <c r="J1140" s="10">
        <f>IF(Planilha1!D1137="","",Planilha1!D1137)</f>
        <v>0</v>
      </c>
      <c r="K1140" s="10" t="str">
        <f>IF(Planilha1!E1137="","",IF(Planilha1!E1137=0,"",Planilha1!E1137))</f>
        <v>Brooklyn Nets</v>
      </c>
      <c r="L1140" s="10">
        <f>IF(Planilha1!F1137="","",Planilha1!F1137)</f>
        <v>0</v>
      </c>
      <c r="M1140" s="10" t="str">
        <f>IF(Planilha1!G1137="","",IF(Planilha1!G1137=0,"",Planilha1!G1137))</f>
        <v/>
      </c>
      <c r="N1140" s="5">
        <f t="shared" si="143"/>
        <v>1</v>
      </c>
      <c r="O1140" s="5">
        <f t="shared" si="144"/>
        <v>0</v>
      </c>
      <c r="P1140" s="5">
        <f t="shared" si="137"/>
        <v>0</v>
      </c>
      <c r="Q1140" s="5">
        <f t="shared" si="138"/>
        <v>2</v>
      </c>
      <c r="R1140" s="7">
        <f t="shared" si="139"/>
        <v>0</v>
      </c>
      <c r="S1140" s="7">
        <f t="shared" si="140"/>
        <v>0</v>
      </c>
      <c r="T1140" s="3" t="str">
        <f t="shared" si="141"/>
        <v/>
      </c>
      <c r="V1140" s="1" t="e">
        <f t="shared" si="142"/>
        <v>#DIV/0!</v>
      </c>
    </row>
    <row r="1141" spans="8:22" x14ac:dyDescent="0.3">
      <c r="H1141" s="10" t="str">
        <f>IF(Planilha1!B1138="","",Planilha1!B1138)</f>
        <v>7:30p</v>
      </c>
      <c r="I1141" s="10" t="str">
        <f>IF(Planilha1!C1138="","",Planilha1!C1138)</f>
        <v>Memphis Grizzlies</v>
      </c>
      <c r="J1141" s="10">
        <f>IF(Planilha1!D1138="","",Planilha1!D1138)</f>
        <v>0</v>
      </c>
      <c r="K1141" s="10" t="str">
        <f>IF(Planilha1!E1138="","",IF(Planilha1!E1138=0,"",Planilha1!E1138))</f>
        <v>Milwaukee Bucks</v>
      </c>
      <c r="L1141" s="10">
        <f>IF(Planilha1!F1138="","",Planilha1!F1138)</f>
        <v>0</v>
      </c>
      <c r="M1141" s="10" t="str">
        <f>IF(Planilha1!G1138="","",IF(Planilha1!G1138=0,"",Planilha1!G1138))</f>
        <v/>
      </c>
      <c r="N1141" s="5">
        <f t="shared" si="143"/>
        <v>1</v>
      </c>
      <c r="O1141" s="5">
        <f t="shared" si="144"/>
        <v>0</v>
      </c>
      <c r="P1141" s="5">
        <f t="shared" si="137"/>
        <v>0</v>
      </c>
      <c r="Q1141" s="5">
        <f t="shared" si="138"/>
        <v>2</v>
      </c>
      <c r="R1141" s="7">
        <f t="shared" si="139"/>
        <v>0</v>
      </c>
      <c r="S1141" s="7">
        <f t="shared" si="140"/>
        <v>0</v>
      </c>
      <c r="T1141" s="3" t="str">
        <f t="shared" si="141"/>
        <v/>
      </c>
      <c r="V1141" s="1" t="e">
        <f t="shared" si="142"/>
        <v>#DIV/0!</v>
      </c>
    </row>
    <row r="1142" spans="8:22" x14ac:dyDescent="0.3">
      <c r="H1142" s="10" t="str">
        <f>IF(Planilha1!B1139="","",Planilha1!B1139)</f>
        <v>8:00p</v>
      </c>
      <c r="I1142" s="10" t="str">
        <f>IF(Planilha1!C1139="","",Planilha1!C1139)</f>
        <v>Toronto Raptors</v>
      </c>
      <c r="J1142" s="10">
        <f>IF(Planilha1!D1139="","",Planilha1!D1139)</f>
        <v>0</v>
      </c>
      <c r="K1142" s="10" t="str">
        <f>IF(Planilha1!E1139="","",IF(Planilha1!E1139=0,"",Planilha1!E1139))</f>
        <v>Minnesota Timberwolves</v>
      </c>
      <c r="L1142" s="10">
        <f>IF(Planilha1!F1139="","",Planilha1!F1139)</f>
        <v>0</v>
      </c>
      <c r="M1142" s="10" t="str">
        <f>IF(Planilha1!G1139="","",IF(Planilha1!G1139=0,"",Planilha1!G1139))</f>
        <v/>
      </c>
      <c r="N1142" s="5">
        <f t="shared" si="143"/>
        <v>1</v>
      </c>
      <c r="O1142" s="5">
        <f t="shared" si="144"/>
        <v>0</v>
      </c>
      <c r="P1142" s="5">
        <f t="shared" si="137"/>
        <v>0</v>
      </c>
      <c r="Q1142" s="5">
        <f t="shared" si="138"/>
        <v>2</v>
      </c>
      <c r="R1142" s="7">
        <f t="shared" si="139"/>
        <v>0</v>
      </c>
      <c r="S1142" s="7">
        <f t="shared" si="140"/>
        <v>0</v>
      </c>
      <c r="T1142" s="3" t="str">
        <f t="shared" si="141"/>
        <v/>
      </c>
      <c r="V1142" s="1" t="e">
        <f t="shared" si="142"/>
        <v>#DIV/0!</v>
      </c>
    </row>
    <row r="1143" spans="8:22" x14ac:dyDescent="0.3">
      <c r="H1143" s="10" t="str">
        <f>IF(Planilha1!B1140="","",Planilha1!B1140)</f>
        <v>8:00p</v>
      </c>
      <c r="I1143" s="10" t="str">
        <f>IF(Planilha1!C1140="","",Planilha1!C1140)</f>
        <v>Orlando Magic</v>
      </c>
      <c r="J1143" s="10">
        <f>IF(Planilha1!D1140="","",Planilha1!D1140)</f>
        <v>0</v>
      </c>
      <c r="K1143" s="10" t="str">
        <f>IF(Planilha1!E1140="","",IF(Planilha1!E1140=0,"",Planilha1!E1140))</f>
        <v>New Orleans Pelicans</v>
      </c>
      <c r="L1143" s="10">
        <f>IF(Planilha1!F1140="","",Planilha1!F1140)</f>
        <v>0</v>
      </c>
      <c r="M1143" s="10" t="str">
        <f>IF(Planilha1!G1140="","",IF(Planilha1!G1140=0,"",Planilha1!G1140))</f>
        <v/>
      </c>
      <c r="N1143" s="5">
        <f t="shared" si="143"/>
        <v>1</v>
      </c>
      <c r="O1143" s="5">
        <f t="shared" si="144"/>
        <v>0</v>
      </c>
      <c r="P1143" s="5">
        <f t="shared" si="137"/>
        <v>0</v>
      </c>
      <c r="Q1143" s="5">
        <f t="shared" si="138"/>
        <v>2</v>
      </c>
      <c r="R1143" s="7">
        <f t="shared" si="139"/>
        <v>0</v>
      </c>
      <c r="S1143" s="7">
        <f t="shared" si="140"/>
        <v>0</v>
      </c>
      <c r="T1143" s="3" t="str">
        <f t="shared" si="141"/>
        <v/>
      </c>
      <c r="V1143" s="1" t="e">
        <f t="shared" si="142"/>
        <v>#DIV/0!</v>
      </c>
    </row>
    <row r="1144" spans="8:22" x14ac:dyDescent="0.3">
      <c r="H1144" s="10" t="str">
        <f>IF(Planilha1!B1141="","",Planilha1!B1141)</f>
        <v>10:00p</v>
      </c>
      <c r="I1144" s="10" t="str">
        <f>IF(Planilha1!C1141="","",Planilha1!C1141)</f>
        <v>Cleveland Cavaliers</v>
      </c>
      <c r="J1144" s="10">
        <f>IF(Planilha1!D1141="","",Planilha1!D1141)</f>
        <v>0</v>
      </c>
      <c r="K1144" s="10" t="str">
        <f>IF(Planilha1!E1141="","",IF(Planilha1!E1141=0,"",Planilha1!E1141))</f>
        <v>Phoenix Suns</v>
      </c>
      <c r="L1144" s="10">
        <f>IF(Planilha1!F1141="","",Planilha1!F1141)</f>
        <v>0</v>
      </c>
      <c r="M1144" s="10" t="str">
        <f>IF(Planilha1!G1141="","",IF(Planilha1!G1141=0,"",Planilha1!G1141))</f>
        <v/>
      </c>
      <c r="N1144" s="5">
        <f t="shared" si="143"/>
        <v>1</v>
      </c>
      <c r="O1144" s="5">
        <f t="shared" si="144"/>
        <v>0</v>
      </c>
      <c r="P1144" s="5">
        <f t="shared" si="137"/>
        <v>0</v>
      </c>
      <c r="Q1144" s="5">
        <f t="shared" si="138"/>
        <v>2</v>
      </c>
      <c r="R1144" s="7">
        <f t="shared" si="139"/>
        <v>0</v>
      </c>
      <c r="S1144" s="7">
        <f t="shared" si="140"/>
        <v>0</v>
      </c>
      <c r="T1144" s="3" t="str">
        <f t="shared" si="141"/>
        <v/>
      </c>
      <c r="V1144" s="1" t="e">
        <f t="shared" si="142"/>
        <v>#DIV/0!</v>
      </c>
    </row>
    <row r="1145" spans="8:22" x14ac:dyDescent="0.3">
      <c r="H1145" s="10" t="str">
        <f>IF(Planilha1!B1142="","",Planilha1!B1142)</f>
        <v>7:30p</v>
      </c>
      <c r="I1145" s="10" t="str">
        <f>IF(Planilha1!C1142="","",Planilha1!C1142)</f>
        <v>Philadelphia 76ers</v>
      </c>
      <c r="J1145" s="10">
        <f>IF(Planilha1!D1142="","",Planilha1!D1142)</f>
        <v>0</v>
      </c>
      <c r="K1145" s="10" t="str">
        <f>IF(Planilha1!E1142="","",IF(Planilha1!E1142=0,"",Planilha1!E1142))</f>
        <v>Miami Heat</v>
      </c>
      <c r="L1145" s="10">
        <f>IF(Planilha1!F1142="","",Planilha1!F1142)</f>
        <v>0</v>
      </c>
      <c r="M1145" s="10" t="str">
        <f>IF(Planilha1!G1142="","",IF(Planilha1!G1142=0,"",Planilha1!G1142))</f>
        <v/>
      </c>
      <c r="N1145" s="5">
        <f t="shared" si="143"/>
        <v>1</v>
      </c>
      <c r="O1145" s="5">
        <f t="shared" si="144"/>
        <v>0</v>
      </c>
      <c r="P1145" s="5">
        <f t="shared" si="137"/>
        <v>0</v>
      </c>
      <c r="Q1145" s="5">
        <f t="shared" si="138"/>
        <v>2</v>
      </c>
      <c r="R1145" s="7">
        <f t="shared" si="139"/>
        <v>0</v>
      </c>
      <c r="S1145" s="7">
        <f t="shared" si="140"/>
        <v>0</v>
      </c>
      <c r="T1145" s="3" t="str">
        <f t="shared" si="141"/>
        <v/>
      </c>
      <c r="V1145" s="1" t="e">
        <f t="shared" si="142"/>
        <v>#DIV/0!</v>
      </c>
    </row>
    <row r="1146" spans="8:22" x14ac:dyDescent="0.3">
      <c r="H1146" s="10" t="str">
        <f>IF(Planilha1!B1143="","",Planilha1!B1143)</f>
        <v>7:30p</v>
      </c>
      <c r="I1146" s="10" t="str">
        <f>IF(Planilha1!C1143="","",Planilha1!C1143)</f>
        <v>Sacramento Kings</v>
      </c>
      <c r="J1146" s="10">
        <f>IF(Planilha1!D1143="","",Planilha1!D1143)</f>
        <v>0</v>
      </c>
      <c r="K1146" s="10" t="str">
        <f>IF(Planilha1!E1143="","",IF(Planilha1!E1143=0,"",Planilha1!E1143))</f>
        <v>New York Knicks</v>
      </c>
      <c r="L1146" s="10">
        <f>IF(Planilha1!F1143="","",Planilha1!F1143)</f>
        <v>0</v>
      </c>
      <c r="M1146" s="10" t="str">
        <f>IF(Planilha1!G1143="","",IF(Planilha1!G1143=0,"",Planilha1!G1143))</f>
        <v/>
      </c>
      <c r="N1146" s="5">
        <f t="shared" si="143"/>
        <v>1</v>
      </c>
      <c r="O1146" s="5">
        <f t="shared" si="144"/>
        <v>0</v>
      </c>
      <c r="P1146" s="5">
        <f t="shared" si="137"/>
        <v>0</v>
      </c>
      <c r="Q1146" s="5">
        <f t="shared" si="138"/>
        <v>2</v>
      </c>
      <c r="R1146" s="7">
        <f t="shared" si="139"/>
        <v>0</v>
      </c>
      <c r="S1146" s="7">
        <f t="shared" si="140"/>
        <v>0</v>
      </c>
      <c r="T1146" s="3" t="str">
        <f t="shared" si="141"/>
        <v/>
      </c>
      <c r="V1146" s="1" t="e">
        <f t="shared" si="142"/>
        <v>#DIV/0!</v>
      </c>
    </row>
    <row r="1147" spans="8:22" x14ac:dyDescent="0.3">
      <c r="H1147" s="10" t="str">
        <f>IF(Planilha1!B1144="","",Planilha1!B1144)</f>
        <v>8:00p</v>
      </c>
      <c r="I1147" s="10" t="str">
        <f>IF(Planilha1!C1144="","",Planilha1!C1144)</f>
        <v>Golden State Warriors</v>
      </c>
      <c r="J1147" s="10">
        <f>IF(Planilha1!D1144="","",Planilha1!D1144)</f>
        <v>0</v>
      </c>
      <c r="K1147" s="10" t="str">
        <f>IF(Planilha1!E1144="","",IF(Planilha1!E1144=0,"",Planilha1!E1144))</f>
        <v>Houston Rockets</v>
      </c>
      <c r="L1147" s="10">
        <f>IF(Planilha1!F1144="","",Planilha1!F1144)</f>
        <v>0</v>
      </c>
      <c r="M1147" s="10" t="str">
        <f>IF(Planilha1!G1144="","",IF(Planilha1!G1144=0,"",Planilha1!G1144))</f>
        <v/>
      </c>
      <c r="N1147" s="5">
        <f t="shared" si="143"/>
        <v>1</v>
      </c>
      <c r="O1147" s="5">
        <f t="shared" si="144"/>
        <v>0</v>
      </c>
      <c r="P1147" s="5">
        <f t="shared" si="137"/>
        <v>0</v>
      </c>
      <c r="Q1147" s="5">
        <f t="shared" si="138"/>
        <v>2</v>
      </c>
      <c r="R1147" s="7">
        <f t="shared" si="139"/>
        <v>0</v>
      </c>
      <c r="S1147" s="7">
        <f t="shared" si="140"/>
        <v>0</v>
      </c>
      <c r="T1147" s="3" t="str">
        <f t="shared" si="141"/>
        <v/>
      </c>
      <c r="V1147" s="1" t="e">
        <f t="shared" si="142"/>
        <v>#DIV/0!</v>
      </c>
    </row>
    <row r="1148" spans="8:22" x14ac:dyDescent="0.3">
      <c r="H1148" s="10" t="str">
        <f>IF(Planilha1!B1145="","",Planilha1!B1145)</f>
        <v>8:30p</v>
      </c>
      <c r="I1148" s="10" t="str">
        <f>IF(Planilha1!C1145="","",Planilha1!C1145)</f>
        <v>Atlanta Hawks</v>
      </c>
      <c r="J1148" s="10">
        <f>IF(Planilha1!D1145="","",Planilha1!D1145)</f>
        <v>0</v>
      </c>
      <c r="K1148" s="10" t="str">
        <f>IF(Planilha1!E1145="","",IF(Planilha1!E1145=0,"",Planilha1!E1145))</f>
        <v>Dallas Mavericks</v>
      </c>
      <c r="L1148" s="10">
        <f>IF(Planilha1!F1145="","",Planilha1!F1145)</f>
        <v>0</v>
      </c>
      <c r="M1148" s="10" t="str">
        <f>IF(Planilha1!G1145="","",IF(Planilha1!G1145=0,"",Planilha1!G1145))</f>
        <v/>
      </c>
      <c r="N1148" s="5">
        <f t="shared" si="143"/>
        <v>1</v>
      </c>
      <c r="O1148" s="5">
        <f t="shared" si="144"/>
        <v>0</v>
      </c>
      <c r="P1148" s="5">
        <f t="shared" si="137"/>
        <v>0</v>
      </c>
      <c r="Q1148" s="5">
        <f t="shared" si="138"/>
        <v>2</v>
      </c>
      <c r="R1148" s="7">
        <f t="shared" si="139"/>
        <v>0</v>
      </c>
      <c r="S1148" s="7">
        <f t="shared" si="140"/>
        <v>0</v>
      </c>
      <c r="T1148" s="3" t="str">
        <f t="shared" si="141"/>
        <v/>
      </c>
      <c r="V1148" s="1" t="e">
        <f t="shared" si="142"/>
        <v>#DIV/0!</v>
      </c>
    </row>
    <row r="1149" spans="8:22" x14ac:dyDescent="0.3">
      <c r="H1149" s="10" t="str">
        <f>IF(Planilha1!B1146="","",Planilha1!B1146)</f>
        <v>10:00p</v>
      </c>
      <c r="I1149" s="10" t="str">
        <f>IF(Planilha1!C1146="","",Planilha1!C1146)</f>
        <v>Denver Nuggets</v>
      </c>
      <c r="J1149" s="10">
        <f>IF(Planilha1!D1146="","",Planilha1!D1146)</f>
        <v>0</v>
      </c>
      <c r="K1149" s="10" t="str">
        <f>IF(Planilha1!E1146="","",IF(Planilha1!E1146=0,"",Planilha1!E1146))</f>
        <v>Los Angeles Clippers</v>
      </c>
      <c r="L1149" s="10">
        <f>IF(Planilha1!F1146="","",Planilha1!F1146)</f>
        <v>0</v>
      </c>
      <c r="M1149" s="10" t="str">
        <f>IF(Planilha1!G1146="","",IF(Planilha1!G1146=0,"",Planilha1!G1146))</f>
        <v/>
      </c>
      <c r="N1149" s="5">
        <f t="shared" si="143"/>
        <v>1</v>
      </c>
      <c r="O1149" s="5">
        <f t="shared" si="144"/>
        <v>0</v>
      </c>
      <c r="P1149" s="5">
        <f t="shared" si="137"/>
        <v>0</v>
      </c>
      <c r="Q1149" s="5">
        <f t="shared" si="138"/>
        <v>2</v>
      </c>
      <c r="R1149" s="7">
        <f t="shared" si="139"/>
        <v>0</v>
      </c>
      <c r="S1149" s="7">
        <f t="shared" si="140"/>
        <v>0</v>
      </c>
      <c r="T1149" s="3" t="str">
        <f t="shared" si="141"/>
        <v/>
      </c>
      <c r="V1149" s="1" t="e">
        <f t="shared" si="142"/>
        <v>#DIV/0!</v>
      </c>
    </row>
    <row r="1150" spans="8:22" x14ac:dyDescent="0.3">
      <c r="H1150" s="10" t="str">
        <f>IF(Planilha1!B1147="","",Planilha1!B1147)</f>
        <v>7:00p</v>
      </c>
      <c r="I1150" s="10" t="str">
        <f>IF(Planilha1!C1147="","",Planilha1!C1147)</f>
        <v>Orlando Magic</v>
      </c>
      <c r="J1150" s="10">
        <f>IF(Planilha1!D1147="","",Planilha1!D1147)</f>
        <v>0</v>
      </c>
      <c r="K1150" s="10" t="str">
        <f>IF(Planilha1!E1147="","",IF(Planilha1!E1147=0,"",Planilha1!E1147))</f>
        <v>Charlotte Hornets</v>
      </c>
      <c r="L1150" s="10">
        <f>IF(Planilha1!F1147="","",Planilha1!F1147)</f>
        <v>0</v>
      </c>
      <c r="M1150" s="10" t="str">
        <f>IF(Planilha1!G1147="","",IF(Planilha1!G1147=0,"",Planilha1!G1147))</f>
        <v/>
      </c>
      <c r="N1150" s="5">
        <f t="shared" si="143"/>
        <v>1</v>
      </c>
      <c r="O1150" s="5">
        <f t="shared" si="144"/>
        <v>0</v>
      </c>
      <c r="P1150" s="5">
        <f t="shared" si="137"/>
        <v>0</v>
      </c>
      <c r="Q1150" s="5">
        <f t="shared" si="138"/>
        <v>2</v>
      </c>
      <c r="R1150" s="7">
        <f t="shared" si="139"/>
        <v>0</v>
      </c>
      <c r="S1150" s="7">
        <f t="shared" si="140"/>
        <v>0</v>
      </c>
      <c r="T1150" s="3" t="str">
        <f t="shared" si="141"/>
        <v/>
      </c>
      <c r="V1150" s="1" t="e">
        <f t="shared" si="142"/>
        <v>#DIV/0!</v>
      </c>
    </row>
    <row r="1151" spans="8:22" x14ac:dyDescent="0.3">
      <c r="H1151" s="10" t="str">
        <f>IF(Planilha1!B1148="","",Planilha1!B1148)</f>
        <v>7:00p</v>
      </c>
      <c r="I1151" s="10" t="str">
        <f>IF(Planilha1!C1148="","",Planilha1!C1148)</f>
        <v>Oklahoma City Thunder</v>
      </c>
      <c r="J1151" s="10">
        <f>IF(Planilha1!D1148="","",Planilha1!D1148)</f>
        <v>0</v>
      </c>
      <c r="K1151" s="10" t="str">
        <f>IF(Planilha1!E1148="","",IF(Planilha1!E1148=0,"",Planilha1!E1148))</f>
        <v>Indiana Pacers</v>
      </c>
      <c r="L1151" s="10">
        <f>IF(Planilha1!F1148="","",Planilha1!F1148)</f>
        <v>0</v>
      </c>
      <c r="M1151" s="10" t="str">
        <f>IF(Planilha1!G1148="","",IF(Planilha1!G1148=0,"",Planilha1!G1148))</f>
        <v/>
      </c>
      <c r="N1151" s="5">
        <f t="shared" si="143"/>
        <v>1</v>
      </c>
      <c r="O1151" s="5">
        <f t="shared" si="144"/>
        <v>0</v>
      </c>
      <c r="P1151" s="5">
        <f t="shared" si="137"/>
        <v>0</v>
      </c>
      <c r="Q1151" s="5">
        <f t="shared" si="138"/>
        <v>2</v>
      </c>
      <c r="R1151" s="7">
        <f t="shared" si="139"/>
        <v>0</v>
      </c>
      <c r="S1151" s="7">
        <f t="shared" si="140"/>
        <v>0</v>
      </c>
      <c r="T1151" s="3" t="str">
        <f t="shared" si="141"/>
        <v/>
      </c>
      <c r="V1151" s="1" t="e">
        <f t="shared" si="142"/>
        <v>#DIV/0!</v>
      </c>
    </row>
    <row r="1152" spans="8:22" x14ac:dyDescent="0.3">
      <c r="H1152" s="10" t="str">
        <f>IF(Planilha1!B1149="","",Planilha1!B1149)</f>
        <v>7:00p</v>
      </c>
      <c r="I1152" s="10" t="str">
        <f>IF(Planilha1!C1149="","",Planilha1!C1149)</f>
        <v>Portland Trail Blazers</v>
      </c>
      <c r="J1152" s="10">
        <f>IF(Planilha1!D1149="","",Planilha1!D1149)</f>
        <v>0</v>
      </c>
      <c r="K1152" s="10" t="str">
        <f>IF(Planilha1!E1149="","",IF(Planilha1!E1149=0,"",Planilha1!E1149))</f>
        <v>Washington Wizards</v>
      </c>
      <c r="L1152" s="10">
        <f>IF(Planilha1!F1149="","",Planilha1!F1149)</f>
        <v>0</v>
      </c>
      <c r="M1152" s="10" t="str">
        <f>IF(Planilha1!G1149="","",IF(Planilha1!G1149=0,"",Planilha1!G1149))</f>
        <v/>
      </c>
      <c r="N1152" s="5">
        <f t="shared" si="143"/>
        <v>1</v>
      </c>
      <c r="O1152" s="5">
        <f t="shared" si="144"/>
        <v>0</v>
      </c>
      <c r="P1152" s="5">
        <f t="shared" si="137"/>
        <v>0</v>
      </c>
      <c r="Q1152" s="5">
        <f t="shared" si="138"/>
        <v>2</v>
      </c>
      <c r="R1152" s="7">
        <f t="shared" si="139"/>
        <v>0</v>
      </c>
      <c r="S1152" s="7">
        <f t="shared" si="140"/>
        <v>0</v>
      </c>
      <c r="T1152" s="3" t="str">
        <f t="shared" si="141"/>
        <v/>
      </c>
      <c r="V1152" s="1" t="e">
        <f t="shared" si="142"/>
        <v>#DIV/0!</v>
      </c>
    </row>
    <row r="1153" spans="8:22" x14ac:dyDescent="0.3">
      <c r="H1153" s="10" t="str">
        <f>IF(Planilha1!B1150="","",Planilha1!B1150)</f>
        <v>7:30p</v>
      </c>
      <c r="I1153" s="10" t="str">
        <f>IF(Planilha1!C1150="","",Planilha1!C1150)</f>
        <v>Sacramento Kings</v>
      </c>
      <c r="J1153" s="10">
        <f>IF(Planilha1!D1150="","",Planilha1!D1150)</f>
        <v>0</v>
      </c>
      <c r="K1153" s="10" t="str">
        <f>IF(Planilha1!E1150="","",IF(Planilha1!E1150=0,"",Planilha1!E1150))</f>
        <v>Boston Celtics</v>
      </c>
      <c r="L1153" s="10">
        <f>IF(Planilha1!F1150="","",Planilha1!F1150)</f>
        <v>0</v>
      </c>
      <c r="M1153" s="10" t="str">
        <f>IF(Planilha1!G1150="","",IF(Planilha1!G1150=0,"",Planilha1!G1150))</f>
        <v/>
      </c>
      <c r="N1153" s="5">
        <f t="shared" si="143"/>
        <v>1</v>
      </c>
      <c r="O1153" s="5">
        <f t="shared" si="144"/>
        <v>0</v>
      </c>
      <c r="P1153" s="5">
        <f t="shared" si="137"/>
        <v>0</v>
      </c>
      <c r="Q1153" s="5">
        <f t="shared" si="138"/>
        <v>2</v>
      </c>
      <c r="R1153" s="7">
        <f t="shared" si="139"/>
        <v>0</v>
      </c>
      <c r="S1153" s="7">
        <f t="shared" si="140"/>
        <v>0</v>
      </c>
      <c r="T1153" s="3" t="str">
        <f t="shared" si="141"/>
        <v/>
      </c>
      <c r="V1153" s="1" t="e">
        <f t="shared" si="142"/>
        <v>#DIV/0!</v>
      </c>
    </row>
    <row r="1154" spans="8:22" x14ac:dyDescent="0.3">
      <c r="H1154" s="10" t="str">
        <f>IF(Planilha1!B1151="","",Planilha1!B1151)</f>
        <v>8:00p</v>
      </c>
      <c r="I1154" s="10" t="str">
        <f>IF(Planilha1!C1151="","",Planilha1!C1151)</f>
        <v>New York Knicks</v>
      </c>
      <c r="J1154" s="10">
        <f>IF(Planilha1!D1151="","",Planilha1!D1151)</f>
        <v>0</v>
      </c>
      <c r="K1154" s="10" t="str">
        <f>IF(Planilha1!E1151="","",IF(Planilha1!E1151=0,"",Planilha1!E1151))</f>
        <v>Chicago Bulls</v>
      </c>
      <c r="L1154" s="10">
        <f>IF(Planilha1!F1151="","",Planilha1!F1151)</f>
        <v>0</v>
      </c>
      <c r="M1154" s="10" t="str">
        <f>IF(Planilha1!G1151="","",IF(Planilha1!G1151=0,"",Planilha1!G1151))</f>
        <v/>
      </c>
      <c r="N1154" s="5">
        <f t="shared" si="143"/>
        <v>1</v>
      </c>
      <c r="O1154" s="5">
        <f t="shared" si="144"/>
        <v>0</v>
      </c>
      <c r="P1154" s="5">
        <f t="shared" si="137"/>
        <v>0</v>
      </c>
      <c r="Q1154" s="5">
        <f t="shared" si="138"/>
        <v>2</v>
      </c>
      <c r="R1154" s="7">
        <f t="shared" si="139"/>
        <v>0</v>
      </c>
      <c r="S1154" s="7">
        <f t="shared" si="140"/>
        <v>0</v>
      </c>
      <c r="T1154" s="3" t="str">
        <f t="shared" si="141"/>
        <v/>
      </c>
      <c r="V1154" s="1" t="e">
        <f t="shared" si="142"/>
        <v>#DIV/0!</v>
      </c>
    </row>
    <row r="1155" spans="8:22" x14ac:dyDescent="0.3">
      <c r="H1155" s="10" t="str">
        <f>IF(Planilha1!B1152="","",Planilha1!B1152)</f>
        <v>8:00p</v>
      </c>
      <c r="I1155" s="10" t="str">
        <f>IF(Planilha1!C1152="","",Planilha1!C1152)</f>
        <v>Miami Heat</v>
      </c>
      <c r="J1155" s="10">
        <f>IF(Planilha1!D1152="","",Planilha1!D1152)</f>
        <v>0</v>
      </c>
      <c r="K1155" s="10" t="str">
        <f>IF(Planilha1!E1152="","",IF(Planilha1!E1152=0,"",Planilha1!E1152))</f>
        <v>Houston Rockets</v>
      </c>
      <c r="L1155" s="10">
        <f>IF(Planilha1!F1152="","",Planilha1!F1152)</f>
        <v>0</v>
      </c>
      <c r="M1155" s="10" t="str">
        <f>IF(Planilha1!G1152="","",IF(Planilha1!G1152=0,"",Planilha1!G1152))</f>
        <v/>
      </c>
      <c r="N1155" s="5">
        <f t="shared" si="143"/>
        <v>1</v>
      </c>
      <c r="O1155" s="5">
        <f t="shared" si="144"/>
        <v>0</v>
      </c>
      <c r="P1155" s="5">
        <f t="shared" si="137"/>
        <v>0</v>
      </c>
      <c r="Q1155" s="5">
        <f t="shared" si="138"/>
        <v>2</v>
      </c>
      <c r="R1155" s="7">
        <f t="shared" si="139"/>
        <v>0</v>
      </c>
      <c r="S1155" s="7">
        <f t="shared" si="140"/>
        <v>0</v>
      </c>
      <c r="T1155" s="3" t="str">
        <f t="shared" si="141"/>
        <v/>
      </c>
      <c r="V1155" s="1" t="e">
        <f t="shared" si="142"/>
        <v>#DIV/0!</v>
      </c>
    </row>
    <row r="1156" spans="8:22" x14ac:dyDescent="0.3">
      <c r="H1156" s="10" t="str">
        <f>IF(Planilha1!B1153="","",Planilha1!B1153)</f>
        <v>8:00p</v>
      </c>
      <c r="I1156" s="10" t="str">
        <f>IF(Planilha1!C1153="","",Planilha1!C1153)</f>
        <v>Detroit Pistons</v>
      </c>
      <c r="J1156" s="10">
        <f>IF(Planilha1!D1153="","",Planilha1!D1153)</f>
        <v>0</v>
      </c>
      <c r="K1156" s="10" t="str">
        <f>IF(Planilha1!E1153="","",IF(Planilha1!E1153=0,"",Planilha1!E1153))</f>
        <v>Memphis Grizzlies</v>
      </c>
      <c r="L1156" s="10">
        <f>IF(Planilha1!F1153="","",Planilha1!F1153)</f>
        <v>0</v>
      </c>
      <c r="M1156" s="10" t="str">
        <f>IF(Planilha1!G1153="","",IF(Planilha1!G1153=0,"",Planilha1!G1153))</f>
        <v/>
      </c>
      <c r="N1156" s="5">
        <f t="shared" si="143"/>
        <v>1</v>
      </c>
      <c r="O1156" s="5">
        <f t="shared" si="144"/>
        <v>0</v>
      </c>
      <c r="P1156" s="5">
        <f t="shared" si="137"/>
        <v>0</v>
      </c>
      <c r="Q1156" s="5">
        <f t="shared" si="138"/>
        <v>2</v>
      </c>
      <c r="R1156" s="7">
        <f t="shared" si="139"/>
        <v>0</v>
      </c>
      <c r="S1156" s="7">
        <f t="shared" si="140"/>
        <v>0</v>
      </c>
      <c r="T1156" s="3" t="str">
        <f t="shared" si="141"/>
        <v/>
      </c>
      <c r="V1156" s="1" t="e">
        <f t="shared" si="142"/>
        <v>#DIV/0!</v>
      </c>
    </row>
    <row r="1157" spans="8:22" x14ac:dyDescent="0.3">
      <c r="H1157" s="10" t="str">
        <f>IF(Planilha1!B1154="","",Planilha1!B1154)</f>
        <v>8:00p</v>
      </c>
      <c r="I1157" s="10" t="str">
        <f>IF(Planilha1!C1154="","",Planilha1!C1154)</f>
        <v>Toronto Raptors</v>
      </c>
      <c r="J1157" s="10">
        <f>IF(Planilha1!D1154="","",Planilha1!D1154)</f>
        <v>0</v>
      </c>
      <c r="K1157" s="10" t="str">
        <f>IF(Planilha1!E1154="","",IF(Planilha1!E1154=0,"",Planilha1!E1154))</f>
        <v>Milwaukee Bucks</v>
      </c>
      <c r="L1157" s="10">
        <f>IF(Planilha1!F1154="","",Planilha1!F1154)</f>
        <v>0</v>
      </c>
      <c r="M1157" s="10" t="str">
        <f>IF(Planilha1!G1154="","",IF(Planilha1!G1154=0,"",Planilha1!G1154))</f>
        <v/>
      </c>
      <c r="N1157" s="5">
        <f t="shared" si="143"/>
        <v>1</v>
      </c>
      <c r="O1157" s="5">
        <f t="shared" si="144"/>
        <v>0</v>
      </c>
      <c r="P1157" s="5">
        <f t="shared" ref="P1157:P1220" si="145">IF(M1157="",IF(R1157&gt;S1157,2,0),IF(K1157&lt;M1157,2,0))</f>
        <v>0</v>
      </c>
      <c r="Q1157" s="5">
        <f t="shared" ref="Q1157:Q1220" si="146">IF(M1157="",IF(R1157&gt;S1157,0,2),IF(K1157&gt;M1157,2,0))</f>
        <v>2</v>
      </c>
      <c r="R1157" s="7">
        <f t="shared" ref="R1157:R1220" si="147">SUMIF($B:$B,J1157,$C:$C)+(SUMIF($B:$B,L1157,$F:$F))</f>
        <v>0</v>
      </c>
      <c r="S1157" s="7">
        <f t="shared" ref="S1157:S1220" si="148">SUMIF($B:$B,L1157,$E:$E)+(SUMIF($B:$B,J1157,$D:$D))</f>
        <v>0</v>
      </c>
      <c r="T1157" s="3" t="str">
        <f t="shared" ref="T1157:T1220" si="149">IF(M1157="","",(N1157-S1157)^2+(O1157-R1157)^2)</f>
        <v/>
      </c>
      <c r="V1157" s="1" t="e">
        <f t="shared" ref="V1157:V1220" si="150">IF(O1157="","",1/((O1157-N1157)/(R1157-S1157)))</f>
        <v>#DIV/0!</v>
      </c>
    </row>
    <row r="1158" spans="8:22" x14ac:dyDescent="0.3">
      <c r="H1158" s="10" t="str">
        <f>IF(Planilha1!B1155="","",Planilha1!B1155)</f>
        <v>8:00p</v>
      </c>
      <c r="I1158" s="10" t="str">
        <f>IF(Planilha1!C1155="","",Planilha1!C1155)</f>
        <v>San Antonio Spurs</v>
      </c>
      <c r="J1158" s="10">
        <f>IF(Planilha1!D1155="","",Planilha1!D1155)</f>
        <v>0</v>
      </c>
      <c r="K1158" s="10" t="str">
        <f>IF(Planilha1!E1155="","",IF(Planilha1!E1155=0,"",Planilha1!E1155))</f>
        <v>New Orleans Pelicans</v>
      </c>
      <c r="L1158" s="10">
        <f>IF(Planilha1!F1155="","",Planilha1!F1155)</f>
        <v>0</v>
      </c>
      <c r="M1158" s="10" t="str">
        <f>IF(Planilha1!G1155="","",IF(Planilha1!G1155=0,"",Planilha1!G1155))</f>
        <v/>
      </c>
      <c r="N1158" s="5">
        <f t="shared" ref="N1158:N1221" si="151">IF(K1158="","",IF(K1158&gt;M1158,100%,0%))</f>
        <v>1</v>
      </c>
      <c r="O1158" s="5">
        <f t="shared" ref="O1158:O1221" si="152">IF(K1158="","",IF(K1158&lt;M1158,100%,0%))</f>
        <v>0</v>
      </c>
      <c r="P1158" s="5">
        <f t="shared" si="145"/>
        <v>0</v>
      </c>
      <c r="Q1158" s="5">
        <f t="shared" si="146"/>
        <v>2</v>
      </c>
      <c r="R1158" s="7">
        <f t="shared" si="147"/>
        <v>0</v>
      </c>
      <c r="S1158" s="7">
        <f t="shared" si="148"/>
        <v>0</v>
      </c>
      <c r="T1158" s="3" t="str">
        <f t="shared" si="149"/>
        <v/>
      </c>
      <c r="V1158" s="1" t="e">
        <f t="shared" si="150"/>
        <v>#DIV/0!</v>
      </c>
    </row>
    <row r="1159" spans="8:22" x14ac:dyDescent="0.3">
      <c r="H1159" s="10" t="str">
        <f>IF(Planilha1!B1156="","",Planilha1!B1156)</f>
        <v>8:30p</v>
      </c>
      <c r="I1159" s="10" t="str">
        <f>IF(Planilha1!C1156="","",Planilha1!C1156)</f>
        <v>Golden State Warriors</v>
      </c>
      <c r="J1159" s="10">
        <f>IF(Planilha1!D1156="","",Planilha1!D1156)</f>
        <v>0</v>
      </c>
      <c r="K1159" s="10" t="str">
        <f>IF(Planilha1!E1156="","",IF(Planilha1!E1156=0,"",Planilha1!E1156))</f>
        <v>Dallas Mavericks</v>
      </c>
      <c r="L1159" s="10">
        <f>IF(Planilha1!F1156="","",Planilha1!F1156)</f>
        <v>0</v>
      </c>
      <c r="M1159" s="10" t="str">
        <f>IF(Planilha1!G1156="","",IF(Planilha1!G1156=0,"",Planilha1!G1156))</f>
        <v/>
      </c>
      <c r="N1159" s="5">
        <f t="shared" si="151"/>
        <v>1</v>
      </c>
      <c r="O1159" s="5">
        <f t="shared" si="152"/>
        <v>0</v>
      </c>
      <c r="P1159" s="5">
        <f t="shared" si="145"/>
        <v>0</v>
      </c>
      <c r="Q1159" s="5">
        <f t="shared" si="146"/>
        <v>2</v>
      </c>
      <c r="R1159" s="7">
        <f t="shared" si="147"/>
        <v>0</v>
      </c>
      <c r="S1159" s="7">
        <f t="shared" si="148"/>
        <v>0</v>
      </c>
      <c r="T1159" s="3" t="str">
        <f t="shared" si="149"/>
        <v/>
      </c>
      <c r="V1159" s="1" t="e">
        <f t="shared" si="150"/>
        <v>#DIV/0!</v>
      </c>
    </row>
    <row r="1160" spans="8:22" x14ac:dyDescent="0.3">
      <c r="H1160" s="10" t="str">
        <f>IF(Planilha1!B1157="","",Planilha1!B1157)</f>
        <v>10:00p</v>
      </c>
      <c r="I1160" s="10" t="str">
        <f>IF(Planilha1!C1157="","",Planilha1!C1157)</f>
        <v>Minnesota Timberwolves</v>
      </c>
      <c r="J1160" s="10">
        <f>IF(Planilha1!D1157="","",Planilha1!D1157)</f>
        <v>0</v>
      </c>
      <c r="K1160" s="10" t="str">
        <f>IF(Planilha1!E1157="","",IF(Planilha1!E1157=0,"",Planilha1!E1157))</f>
        <v>Phoenix Suns</v>
      </c>
      <c r="L1160" s="10">
        <f>IF(Planilha1!F1157="","",Planilha1!F1157)</f>
        <v>0</v>
      </c>
      <c r="M1160" s="10" t="str">
        <f>IF(Planilha1!G1157="","",IF(Planilha1!G1157=0,"",Planilha1!G1157))</f>
        <v/>
      </c>
      <c r="N1160" s="5">
        <f t="shared" si="151"/>
        <v>1</v>
      </c>
      <c r="O1160" s="5">
        <f t="shared" si="152"/>
        <v>0</v>
      </c>
      <c r="P1160" s="5">
        <f t="shared" si="145"/>
        <v>0</v>
      </c>
      <c r="Q1160" s="5">
        <f t="shared" si="146"/>
        <v>2</v>
      </c>
      <c r="R1160" s="7">
        <f t="shared" si="147"/>
        <v>0</v>
      </c>
      <c r="S1160" s="7">
        <f t="shared" si="148"/>
        <v>0</v>
      </c>
      <c r="T1160" s="3" t="str">
        <f t="shared" si="149"/>
        <v/>
      </c>
      <c r="V1160" s="1" t="e">
        <f t="shared" si="150"/>
        <v>#DIV/0!</v>
      </c>
    </row>
    <row r="1161" spans="8:22" x14ac:dyDescent="0.3">
      <c r="H1161" s="10" t="str">
        <f>IF(Planilha1!B1158="","",Planilha1!B1158)</f>
        <v>10:30p</v>
      </c>
      <c r="I1161" s="10" t="str">
        <f>IF(Planilha1!C1158="","",Planilha1!C1158)</f>
        <v>Utah Jazz</v>
      </c>
      <c r="J1161" s="10">
        <f>IF(Planilha1!D1158="","",Planilha1!D1158)</f>
        <v>0</v>
      </c>
      <c r="K1161" s="10" t="str">
        <f>IF(Planilha1!E1158="","",IF(Planilha1!E1158=0,"",Planilha1!E1158))</f>
        <v>Los Angeles Clippers</v>
      </c>
      <c r="L1161" s="10">
        <f>IF(Planilha1!F1158="","",Planilha1!F1158)</f>
        <v>0</v>
      </c>
      <c r="M1161" s="10" t="str">
        <f>IF(Planilha1!G1158="","",IF(Planilha1!G1158=0,"",Planilha1!G1158))</f>
        <v/>
      </c>
      <c r="N1161" s="5">
        <f t="shared" si="151"/>
        <v>1</v>
      </c>
      <c r="O1161" s="5">
        <f t="shared" si="152"/>
        <v>0</v>
      </c>
      <c r="P1161" s="5">
        <f t="shared" si="145"/>
        <v>0</v>
      </c>
      <c r="Q1161" s="5">
        <f t="shared" si="146"/>
        <v>2</v>
      </c>
      <c r="R1161" s="7">
        <f t="shared" si="147"/>
        <v>0</v>
      </c>
      <c r="S1161" s="7">
        <f t="shared" si="148"/>
        <v>0</v>
      </c>
      <c r="T1161" s="3" t="str">
        <f t="shared" si="149"/>
        <v/>
      </c>
      <c r="V1161" s="1" t="e">
        <f t="shared" si="150"/>
        <v>#DIV/0!</v>
      </c>
    </row>
    <row r="1162" spans="8:22" x14ac:dyDescent="0.3">
      <c r="H1162" s="10" t="str">
        <f>IF(Planilha1!B1159="","",Planilha1!B1159)</f>
        <v>3:30p</v>
      </c>
      <c r="I1162" s="10" t="str">
        <f>IF(Planilha1!C1159="","",Planilha1!C1159)</f>
        <v>Cleveland Cavaliers</v>
      </c>
      <c r="J1162" s="10">
        <f>IF(Planilha1!D1159="","",Planilha1!D1159)</f>
        <v>0</v>
      </c>
      <c r="K1162" s="10" t="str">
        <f>IF(Planilha1!E1159="","",IF(Planilha1!E1159=0,"",Planilha1!E1159))</f>
        <v>Los Angeles Lakers</v>
      </c>
      <c r="L1162" s="10">
        <f>IF(Planilha1!F1159="","",Planilha1!F1159)</f>
        <v>0</v>
      </c>
      <c r="M1162" s="10" t="str">
        <f>IF(Planilha1!G1159="","",IF(Planilha1!G1159=0,"",Planilha1!G1159))</f>
        <v/>
      </c>
      <c r="N1162" s="5">
        <f t="shared" si="151"/>
        <v>1</v>
      </c>
      <c r="O1162" s="5">
        <f t="shared" si="152"/>
        <v>0</v>
      </c>
      <c r="P1162" s="5">
        <f t="shared" si="145"/>
        <v>0</v>
      </c>
      <c r="Q1162" s="5">
        <f t="shared" si="146"/>
        <v>2</v>
      </c>
      <c r="R1162" s="7">
        <f t="shared" si="147"/>
        <v>0</v>
      </c>
      <c r="S1162" s="7">
        <f t="shared" si="148"/>
        <v>0</v>
      </c>
      <c r="T1162" s="3" t="str">
        <f t="shared" si="149"/>
        <v/>
      </c>
      <c r="V1162" s="1" t="e">
        <f t="shared" si="150"/>
        <v>#DIV/0!</v>
      </c>
    </row>
    <row r="1163" spans="8:22" x14ac:dyDescent="0.3">
      <c r="H1163" s="10" t="str">
        <f>IF(Planilha1!B1160="","",Planilha1!B1160)</f>
        <v>7:00p</v>
      </c>
      <c r="I1163" s="10" t="str">
        <f>IF(Planilha1!C1160="","",Planilha1!C1160)</f>
        <v>Detroit Pistons</v>
      </c>
      <c r="J1163" s="10">
        <f>IF(Planilha1!D1160="","",Planilha1!D1160)</f>
        <v>0</v>
      </c>
      <c r="K1163" s="10" t="str">
        <f>IF(Planilha1!E1160="","",IF(Planilha1!E1160=0,"",Planilha1!E1160))</f>
        <v>Brooklyn Nets</v>
      </c>
      <c r="L1163" s="10">
        <f>IF(Planilha1!F1160="","",Planilha1!F1160)</f>
        <v>0</v>
      </c>
      <c r="M1163" s="10" t="str">
        <f>IF(Planilha1!G1160="","",IF(Planilha1!G1160=0,"",Planilha1!G1160))</f>
        <v/>
      </c>
      <c r="N1163" s="5">
        <f t="shared" si="151"/>
        <v>1</v>
      </c>
      <c r="O1163" s="5">
        <f t="shared" si="152"/>
        <v>0</v>
      </c>
      <c r="P1163" s="5">
        <f t="shared" si="145"/>
        <v>0</v>
      </c>
      <c r="Q1163" s="5">
        <f t="shared" si="146"/>
        <v>2</v>
      </c>
      <c r="R1163" s="7">
        <f t="shared" si="147"/>
        <v>0</v>
      </c>
      <c r="S1163" s="7">
        <f t="shared" si="148"/>
        <v>0</v>
      </c>
      <c r="T1163" s="3" t="str">
        <f t="shared" si="149"/>
        <v/>
      </c>
      <c r="V1163" s="1" t="e">
        <f t="shared" si="150"/>
        <v>#DIV/0!</v>
      </c>
    </row>
    <row r="1164" spans="8:22" x14ac:dyDescent="0.3">
      <c r="H1164" s="10" t="str">
        <f>IF(Planilha1!B1161="","",Planilha1!B1161)</f>
        <v>8:00p</v>
      </c>
      <c r="I1164" s="10" t="str">
        <f>IF(Planilha1!C1161="","",Planilha1!C1161)</f>
        <v>Philadelphia 76ers</v>
      </c>
      <c r="J1164" s="10">
        <f>IF(Planilha1!D1161="","",Planilha1!D1161)</f>
        <v>0</v>
      </c>
      <c r="K1164" s="10" t="str">
        <f>IF(Planilha1!E1161="","",IF(Planilha1!E1161=0,"",Planilha1!E1161))</f>
        <v>Memphis Grizzlies</v>
      </c>
      <c r="L1164" s="10">
        <f>IF(Planilha1!F1161="","",Planilha1!F1161)</f>
        <v>0</v>
      </c>
      <c r="M1164" s="10" t="str">
        <f>IF(Planilha1!G1161="","",IF(Planilha1!G1161=0,"",Planilha1!G1161))</f>
        <v/>
      </c>
      <c r="N1164" s="5">
        <f t="shared" si="151"/>
        <v>1</v>
      </c>
      <c r="O1164" s="5">
        <f t="shared" si="152"/>
        <v>0</v>
      </c>
      <c r="P1164" s="5">
        <f t="shared" si="145"/>
        <v>0</v>
      </c>
      <c r="Q1164" s="5">
        <f t="shared" si="146"/>
        <v>2</v>
      </c>
      <c r="R1164" s="7">
        <f t="shared" si="147"/>
        <v>0</v>
      </c>
      <c r="S1164" s="7">
        <f t="shared" si="148"/>
        <v>0</v>
      </c>
      <c r="T1164" s="3" t="str">
        <f t="shared" si="149"/>
        <v/>
      </c>
      <c r="V1164" s="1" t="e">
        <f t="shared" si="150"/>
        <v>#DIV/0!</v>
      </c>
    </row>
    <row r="1165" spans="8:22" x14ac:dyDescent="0.3">
      <c r="H1165" s="10" t="str">
        <f>IF(Planilha1!B1162="","",Planilha1!B1162)</f>
        <v>9:00p</v>
      </c>
      <c r="I1165" s="10" t="str">
        <f>IF(Planilha1!C1162="","",Planilha1!C1162)</f>
        <v>Atlanta Hawks</v>
      </c>
      <c r="J1165" s="10">
        <f>IF(Planilha1!D1162="","",Planilha1!D1162)</f>
        <v>0</v>
      </c>
      <c r="K1165" s="10" t="str">
        <f>IF(Planilha1!E1162="","",IF(Planilha1!E1162=0,"",Planilha1!E1162))</f>
        <v>Denver Nuggets</v>
      </c>
      <c r="L1165" s="10">
        <f>IF(Planilha1!F1162="","",Planilha1!F1162)</f>
        <v>0</v>
      </c>
      <c r="M1165" s="10" t="str">
        <f>IF(Planilha1!G1162="","",IF(Planilha1!G1162=0,"",Planilha1!G1162))</f>
        <v/>
      </c>
      <c r="N1165" s="5">
        <f t="shared" si="151"/>
        <v>1</v>
      </c>
      <c r="O1165" s="5">
        <f t="shared" si="152"/>
        <v>0</v>
      </c>
      <c r="P1165" s="5">
        <f t="shared" si="145"/>
        <v>0</v>
      </c>
      <c r="Q1165" s="5">
        <f t="shared" si="146"/>
        <v>2</v>
      </c>
      <c r="R1165" s="7">
        <f t="shared" si="147"/>
        <v>0</v>
      </c>
      <c r="S1165" s="7">
        <f t="shared" si="148"/>
        <v>0</v>
      </c>
      <c r="T1165" s="3" t="str">
        <f t="shared" si="149"/>
        <v/>
      </c>
      <c r="V1165" s="1" t="e">
        <f t="shared" si="150"/>
        <v>#DIV/0!</v>
      </c>
    </row>
    <row r="1166" spans="8:22" x14ac:dyDescent="0.3">
      <c r="H1166" s="10" t="str">
        <f>IF(Planilha1!B1163="","",Planilha1!B1163)</f>
        <v>3:30p</v>
      </c>
      <c r="I1166" s="10" t="str">
        <f>IF(Planilha1!C1163="","",Planilha1!C1163)</f>
        <v>Houston Rockets</v>
      </c>
      <c r="J1166" s="10">
        <f>IF(Planilha1!D1163="","",Planilha1!D1163)</f>
        <v>0</v>
      </c>
      <c r="K1166" s="10" t="str">
        <f>IF(Planilha1!E1163="","",IF(Planilha1!E1163=0,"",Planilha1!E1163))</f>
        <v>Dallas Mavericks</v>
      </c>
      <c r="L1166" s="10">
        <f>IF(Planilha1!F1163="","",Planilha1!F1163)</f>
        <v>0</v>
      </c>
      <c r="M1166" s="10" t="str">
        <f>IF(Planilha1!G1163="","",IF(Planilha1!G1163=0,"",Planilha1!G1163))</f>
        <v/>
      </c>
      <c r="N1166" s="5">
        <f t="shared" si="151"/>
        <v>1</v>
      </c>
      <c r="O1166" s="5">
        <f t="shared" si="152"/>
        <v>0</v>
      </c>
      <c r="P1166" s="5">
        <f t="shared" si="145"/>
        <v>0</v>
      </c>
      <c r="Q1166" s="5">
        <f t="shared" si="146"/>
        <v>2</v>
      </c>
      <c r="R1166" s="7">
        <f t="shared" si="147"/>
        <v>0</v>
      </c>
      <c r="S1166" s="7">
        <f t="shared" si="148"/>
        <v>0</v>
      </c>
      <c r="T1166" s="3" t="str">
        <f t="shared" si="149"/>
        <v/>
      </c>
      <c r="V1166" s="1" t="e">
        <f t="shared" si="150"/>
        <v>#DIV/0!</v>
      </c>
    </row>
    <row r="1167" spans="8:22" x14ac:dyDescent="0.3">
      <c r="H1167" s="10" t="str">
        <f>IF(Planilha1!B1164="","",Planilha1!B1164)</f>
        <v>3:30p</v>
      </c>
      <c r="I1167" s="10" t="str">
        <f>IF(Planilha1!C1164="","",Planilha1!C1164)</f>
        <v>Cleveland Cavaliers</v>
      </c>
      <c r="J1167" s="10">
        <f>IF(Planilha1!D1164="","",Planilha1!D1164)</f>
        <v>0</v>
      </c>
      <c r="K1167" s="10" t="str">
        <f>IF(Planilha1!E1164="","",IF(Planilha1!E1164=0,"",Planilha1!E1164))</f>
        <v>Los Angeles Clippers</v>
      </c>
      <c r="L1167" s="10">
        <f>IF(Planilha1!F1164="","",Planilha1!F1164)</f>
        <v>0</v>
      </c>
      <c r="M1167" s="10" t="str">
        <f>IF(Planilha1!G1164="","",IF(Planilha1!G1164=0,"",Planilha1!G1164))</f>
        <v/>
      </c>
      <c r="N1167" s="5">
        <f t="shared" si="151"/>
        <v>1</v>
      </c>
      <c r="O1167" s="5">
        <f t="shared" si="152"/>
        <v>0</v>
      </c>
      <c r="P1167" s="5">
        <f t="shared" si="145"/>
        <v>0</v>
      </c>
      <c r="Q1167" s="5">
        <f t="shared" si="146"/>
        <v>2</v>
      </c>
      <c r="R1167" s="7">
        <f t="shared" si="147"/>
        <v>0</v>
      </c>
      <c r="S1167" s="7">
        <f t="shared" si="148"/>
        <v>0</v>
      </c>
      <c r="T1167" s="3" t="str">
        <f t="shared" si="149"/>
        <v/>
      </c>
      <c r="V1167" s="1" t="e">
        <f t="shared" si="150"/>
        <v>#DIV/0!</v>
      </c>
    </row>
    <row r="1168" spans="8:22" x14ac:dyDescent="0.3">
      <c r="H1168" s="10" t="str">
        <f>IF(Planilha1!B1165="","",Planilha1!B1165)</f>
        <v>5:00p</v>
      </c>
      <c r="I1168" s="10" t="str">
        <f>IF(Planilha1!C1165="","",Planilha1!C1165)</f>
        <v>Miami Heat</v>
      </c>
      <c r="J1168" s="10">
        <f>IF(Planilha1!D1165="","",Planilha1!D1165)</f>
        <v>0</v>
      </c>
      <c r="K1168" s="10" t="str">
        <f>IF(Planilha1!E1165="","",IF(Planilha1!E1165=0,"",Planilha1!E1165))</f>
        <v>Indiana Pacers</v>
      </c>
      <c r="L1168" s="10">
        <f>IF(Planilha1!F1165="","",Planilha1!F1165)</f>
        <v>0</v>
      </c>
      <c r="M1168" s="10" t="str">
        <f>IF(Planilha1!G1165="","",IF(Planilha1!G1165=0,"",Planilha1!G1165))</f>
        <v/>
      </c>
      <c r="N1168" s="5">
        <f t="shared" si="151"/>
        <v>1</v>
      </c>
      <c r="O1168" s="5">
        <f t="shared" si="152"/>
        <v>0</v>
      </c>
      <c r="P1168" s="5">
        <f t="shared" si="145"/>
        <v>0</v>
      </c>
      <c r="Q1168" s="5">
        <f t="shared" si="146"/>
        <v>2</v>
      </c>
      <c r="R1168" s="7">
        <f t="shared" si="147"/>
        <v>0</v>
      </c>
      <c r="S1168" s="7">
        <f t="shared" si="148"/>
        <v>0</v>
      </c>
      <c r="T1168" s="3" t="str">
        <f t="shared" si="149"/>
        <v/>
      </c>
      <c r="V1168" s="1" t="e">
        <f t="shared" si="150"/>
        <v>#DIV/0!</v>
      </c>
    </row>
    <row r="1169" spans="8:22" x14ac:dyDescent="0.3">
      <c r="H1169" s="10" t="str">
        <f>IF(Planilha1!B1166="","",Planilha1!B1166)</f>
        <v>6:00p</v>
      </c>
      <c r="I1169" s="10" t="str">
        <f>IF(Planilha1!C1166="","",Planilha1!C1166)</f>
        <v>Portland Trail Blazers</v>
      </c>
      <c r="J1169" s="10">
        <f>IF(Planilha1!D1166="","",Planilha1!D1166)</f>
        <v>0</v>
      </c>
      <c r="K1169" s="10" t="str">
        <f>IF(Planilha1!E1166="","",IF(Planilha1!E1166=0,"",Planilha1!E1166))</f>
        <v>Boston Celtics</v>
      </c>
      <c r="L1169" s="10">
        <f>IF(Planilha1!F1166="","",Planilha1!F1166)</f>
        <v>0</v>
      </c>
      <c r="M1169" s="10" t="str">
        <f>IF(Planilha1!G1166="","",IF(Planilha1!G1166=0,"",Planilha1!G1166))</f>
        <v/>
      </c>
      <c r="N1169" s="5">
        <f t="shared" si="151"/>
        <v>1</v>
      </c>
      <c r="O1169" s="5">
        <f t="shared" si="152"/>
        <v>0</v>
      </c>
      <c r="P1169" s="5">
        <f t="shared" si="145"/>
        <v>0</v>
      </c>
      <c r="Q1169" s="5">
        <f t="shared" si="146"/>
        <v>2</v>
      </c>
      <c r="R1169" s="7">
        <f t="shared" si="147"/>
        <v>0</v>
      </c>
      <c r="S1169" s="7">
        <f t="shared" si="148"/>
        <v>0</v>
      </c>
      <c r="T1169" s="3" t="str">
        <f t="shared" si="149"/>
        <v/>
      </c>
      <c r="V1169" s="1" t="e">
        <f t="shared" si="150"/>
        <v>#DIV/0!</v>
      </c>
    </row>
    <row r="1170" spans="8:22" x14ac:dyDescent="0.3">
      <c r="H1170" s="10" t="str">
        <f>IF(Planilha1!B1167="","",Planilha1!B1167)</f>
        <v>6:00p</v>
      </c>
      <c r="I1170" s="10" t="str">
        <f>IF(Planilha1!C1167="","",Planilha1!C1167)</f>
        <v>Oklahoma City Thunder</v>
      </c>
      <c r="J1170" s="10">
        <f>IF(Planilha1!D1167="","",Planilha1!D1167)</f>
        <v>0</v>
      </c>
      <c r="K1170" s="10" t="str">
        <f>IF(Planilha1!E1167="","",IF(Planilha1!E1167=0,"",Planilha1!E1167))</f>
        <v>Charlotte Hornets</v>
      </c>
      <c r="L1170" s="10">
        <f>IF(Planilha1!F1167="","",Planilha1!F1167)</f>
        <v>0</v>
      </c>
      <c r="M1170" s="10" t="str">
        <f>IF(Planilha1!G1167="","",IF(Planilha1!G1167=0,"",Planilha1!G1167))</f>
        <v/>
      </c>
      <c r="N1170" s="5">
        <f t="shared" si="151"/>
        <v>1</v>
      </c>
      <c r="O1170" s="5">
        <f t="shared" si="152"/>
        <v>0</v>
      </c>
      <c r="P1170" s="5">
        <f t="shared" si="145"/>
        <v>0</v>
      </c>
      <c r="Q1170" s="5">
        <f t="shared" si="146"/>
        <v>2</v>
      </c>
      <c r="R1170" s="7">
        <f t="shared" si="147"/>
        <v>0</v>
      </c>
      <c r="S1170" s="7">
        <f t="shared" si="148"/>
        <v>0</v>
      </c>
      <c r="T1170" s="3" t="str">
        <f t="shared" si="149"/>
        <v/>
      </c>
      <c r="V1170" s="1" t="e">
        <f t="shared" si="150"/>
        <v>#DIV/0!</v>
      </c>
    </row>
    <row r="1171" spans="8:22" x14ac:dyDescent="0.3">
      <c r="H1171" s="10" t="str">
        <f>IF(Planilha1!B1168="","",Planilha1!B1168)</f>
        <v>6:00p</v>
      </c>
      <c r="I1171" s="10" t="str">
        <f>IF(Planilha1!C1168="","",Planilha1!C1168)</f>
        <v>Chicago Bulls</v>
      </c>
      <c r="J1171" s="10">
        <f>IF(Planilha1!D1168="","",Planilha1!D1168)</f>
        <v>0</v>
      </c>
      <c r="K1171" s="10" t="str">
        <f>IF(Planilha1!E1168="","",IF(Planilha1!E1168=0,"",Planilha1!E1168))</f>
        <v>Orlando Magic</v>
      </c>
      <c r="L1171" s="10">
        <f>IF(Planilha1!F1168="","",Planilha1!F1168)</f>
        <v>0</v>
      </c>
      <c r="M1171" s="10" t="str">
        <f>IF(Planilha1!G1168="","",IF(Planilha1!G1168=0,"",Planilha1!G1168))</f>
        <v/>
      </c>
      <c r="N1171" s="5">
        <f t="shared" si="151"/>
        <v>1</v>
      </c>
      <c r="O1171" s="5">
        <f t="shared" si="152"/>
        <v>0</v>
      </c>
      <c r="P1171" s="5">
        <f t="shared" si="145"/>
        <v>0</v>
      </c>
      <c r="Q1171" s="5">
        <f t="shared" si="146"/>
        <v>2</v>
      </c>
      <c r="R1171" s="7">
        <f t="shared" si="147"/>
        <v>0</v>
      </c>
      <c r="S1171" s="7">
        <f t="shared" si="148"/>
        <v>0</v>
      </c>
      <c r="T1171" s="3" t="str">
        <f t="shared" si="149"/>
        <v/>
      </c>
      <c r="V1171" s="1" t="e">
        <f t="shared" si="150"/>
        <v>#DIV/0!</v>
      </c>
    </row>
    <row r="1172" spans="8:22" x14ac:dyDescent="0.3">
      <c r="H1172" s="10" t="str">
        <f>IF(Planilha1!B1169="","",Planilha1!B1169)</f>
        <v>6:00p</v>
      </c>
      <c r="I1172" s="10" t="str">
        <f>IF(Planilha1!C1169="","",Planilha1!C1169)</f>
        <v>New Orleans Pelicans</v>
      </c>
      <c r="J1172" s="10">
        <f>IF(Planilha1!D1169="","",Planilha1!D1169)</f>
        <v>0</v>
      </c>
      <c r="K1172" s="10" t="str">
        <f>IF(Planilha1!E1169="","",IF(Planilha1!E1169=0,"",Planilha1!E1169))</f>
        <v>Phoenix Suns</v>
      </c>
      <c r="L1172" s="10">
        <f>IF(Planilha1!F1169="","",Planilha1!F1169)</f>
        <v>0</v>
      </c>
      <c r="M1172" s="10" t="str">
        <f>IF(Planilha1!G1169="","",IF(Planilha1!G1169=0,"",Planilha1!G1169))</f>
        <v/>
      </c>
      <c r="N1172" s="5">
        <f t="shared" si="151"/>
        <v>1</v>
      </c>
      <c r="O1172" s="5">
        <f t="shared" si="152"/>
        <v>0</v>
      </c>
      <c r="P1172" s="5">
        <f t="shared" si="145"/>
        <v>0</v>
      </c>
      <c r="Q1172" s="5">
        <f t="shared" si="146"/>
        <v>2</v>
      </c>
      <c r="R1172" s="7">
        <f t="shared" si="147"/>
        <v>0</v>
      </c>
      <c r="S1172" s="7">
        <f t="shared" si="148"/>
        <v>0</v>
      </c>
      <c r="T1172" s="3" t="str">
        <f t="shared" si="149"/>
        <v/>
      </c>
      <c r="V1172" s="1" t="e">
        <f t="shared" si="150"/>
        <v>#DIV/0!</v>
      </c>
    </row>
    <row r="1173" spans="8:22" x14ac:dyDescent="0.3">
      <c r="H1173" s="10" t="str">
        <f>IF(Planilha1!B1170="","",Planilha1!B1170)</f>
        <v>6:00p</v>
      </c>
      <c r="I1173" s="10" t="str">
        <f>IF(Planilha1!C1170="","",Planilha1!C1170)</f>
        <v>Washington Wizards</v>
      </c>
      <c r="J1173" s="10">
        <f>IF(Planilha1!D1170="","",Planilha1!D1170)</f>
        <v>0</v>
      </c>
      <c r="K1173" s="10" t="str">
        <f>IF(Planilha1!E1170="","",IF(Planilha1!E1170=0,"",Planilha1!E1170))</f>
        <v>Toronto Raptors</v>
      </c>
      <c r="L1173" s="10">
        <f>IF(Planilha1!F1170="","",Planilha1!F1170)</f>
        <v>0</v>
      </c>
      <c r="M1173" s="10" t="str">
        <f>IF(Planilha1!G1170="","",IF(Planilha1!G1170=0,"",Planilha1!G1170))</f>
        <v/>
      </c>
      <c r="N1173" s="5">
        <f t="shared" si="151"/>
        <v>1</v>
      </c>
      <c r="O1173" s="5">
        <f t="shared" si="152"/>
        <v>0</v>
      </c>
      <c r="P1173" s="5">
        <f t="shared" si="145"/>
        <v>0</v>
      </c>
      <c r="Q1173" s="5">
        <f t="shared" si="146"/>
        <v>2</v>
      </c>
      <c r="R1173" s="7">
        <f t="shared" si="147"/>
        <v>0</v>
      </c>
      <c r="S1173" s="7">
        <f t="shared" si="148"/>
        <v>0</v>
      </c>
      <c r="T1173" s="3" t="str">
        <f t="shared" si="149"/>
        <v/>
      </c>
      <c r="V1173" s="1" t="e">
        <f t="shared" si="150"/>
        <v>#DIV/0!</v>
      </c>
    </row>
    <row r="1174" spans="8:22" x14ac:dyDescent="0.3">
      <c r="H1174" s="10" t="str">
        <f>IF(Planilha1!B1171="","",Planilha1!B1171)</f>
        <v>7:00p</v>
      </c>
      <c r="I1174" s="10" t="str">
        <f>IF(Planilha1!C1171="","",Planilha1!C1171)</f>
        <v>New York Knicks</v>
      </c>
      <c r="J1174" s="10">
        <f>IF(Planilha1!D1171="","",Planilha1!D1171)</f>
        <v>0</v>
      </c>
      <c r="K1174" s="10" t="str">
        <f>IF(Planilha1!E1171="","",IF(Planilha1!E1171=0,"",Planilha1!E1171))</f>
        <v>Milwaukee Bucks</v>
      </c>
      <c r="L1174" s="10">
        <f>IF(Planilha1!F1171="","",Planilha1!F1171)</f>
        <v>0</v>
      </c>
      <c r="M1174" s="10" t="str">
        <f>IF(Planilha1!G1171="","",IF(Planilha1!G1171=0,"",Planilha1!G1171))</f>
        <v/>
      </c>
      <c r="N1174" s="5">
        <f t="shared" si="151"/>
        <v>1</v>
      </c>
      <c r="O1174" s="5">
        <f t="shared" si="152"/>
        <v>0</v>
      </c>
      <c r="P1174" s="5">
        <f t="shared" si="145"/>
        <v>0</v>
      </c>
      <c r="Q1174" s="5">
        <f t="shared" si="146"/>
        <v>2</v>
      </c>
      <c r="R1174" s="7">
        <f t="shared" si="147"/>
        <v>0</v>
      </c>
      <c r="S1174" s="7">
        <f t="shared" si="148"/>
        <v>0</v>
      </c>
      <c r="T1174" s="3" t="str">
        <f t="shared" si="149"/>
        <v/>
      </c>
      <c r="V1174" s="1" t="e">
        <f t="shared" si="150"/>
        <v>#DIV/0!</v>
      </c>
    </row>
    <row r="1175" spans="8:22" x14ac:dyDescent="0.3">
      <c r="H1175" s="10" t="str">
        <f>IF(Planilha1!B1172="","",Planilha1!B1172)</f>
        <v>7:00p</v>
      </c>
      <c r="I1175" s="10" t="str">
        <f>IF(Planilha1!C1172="","",Planilha1!C1172)</f>
        <v>Philadelphia 76ers</v>
      </c>
      <c r="J1175" s="10">
        <f>IF(Planilha1!D1172="","",Planilha1!D1172)</f>
        <v>0</v>
      </c>
      <c r="K1175" s="10" t="str">
        <f>IF(Planilha1!E1172="","",IF(Planilha1!E1172=0,"",Planilha1!E1172))</f>
        <v>San Antonio Spurs</v>
      </c>
      <c r="L1175" s="10">
        <f>IF(Planilha1!F1172="","",Planilha1!F1172)</f>
        <v>0</v>
      </c>
      <c r="M1175" s="10" t="str">
        <f>IF(Planilha1!G1172="","",IF(Planilha1!G1172=0,"",Planilha1!G1172))</f>
        <v/>
      </c>
      <c r="N1175" s="5">
        <f t="shared" si="151"/>
        <v>1</v>
      </c>
      <c r="O1175" s="5">
        <f t="shared" si="152"/>
        <v>0</v>
      </c>
      <c r="P1175" s="5">
        <f t="shared" si="145"/>
        <v>0</v>
      </c>
      <c r="Q1175" s="5">
        <f t="shared" si="146"/>
        <v>2</v>
      </c>
      <c r="R1175" s="7">
        <f t="shared" si="147"/>
        <v>0</v>
      </c>
      <c r="S1175" s="7">
        <f t="shared" si="148"/>
        <v>0</v>
      </c>
      <c r="T1175" s="3" t="str">
        <f t="shared" si="149"/>
        <v/>
      </c>
      <c r="V1175" s="1" t="e">
        <f t="shared" si="150"/>
        <v>#DIV/0!</v>
      </c>
    </row>
    <row r="1176" spans="8:22" x14ac:dyDescent="0.3">
      <c r="H1176" s="10" t="str">
        <f>IF(Planilha1!B1173="","",Planilha1!B1173)</f>
        <v>7:30p</v>
      </c>
      <c r="I1176" s="10" t="str">
        <f>IF(Planilha1!C1173="","",Planilha1!C1173)</f>
        <v>Sacramento Kings</v>
      </c>
      <c r="J1176" s="10">
        <f>IF(Planilha1!D1173="","",Planilha1!D1173)</f>
        <v>0</v>
      </c>
      <c r="K1176" s="10" t="str">
        <f>IF(Planilha1!E1173="","",IF(Planilha1!E1173=0,"",Planilha1!E1173))</f>
        <v>Brooklyn Nets</v>
      </c>
      <c r="L1176" s="10">
        <f>IF(Planilha1!F1173="","",Planilha1!F1173)</f>
        <v>0</v>
      </c>
      <c r="M1176" s="10" t="str">
        <f>IF(Planilha1!G1173="","",IF(Planilha1!G1173=0,"",Planilha1!G1173))</f>
        <v/>
      </c>
      <c r="N1176" s="5">
        <f t="shared" si="151"/>
        <v>1</v>
      </c>
      <c r="O1176" s="5">
        <f t="shared" si="152"/>
        <v>0</v>
      </c>
      <c r="P1176" s="5">
        <f t="shared" si="145"/>
        <v>0</v>
      </c>
      <c r="Q1176" s="5">
        <f t="shared" si="146"/>
        <v>2</v>
      </c>
      <c r="R1176" s="7">
        <f t="shared" si="147"/>
        <v>0</v>
      </c>
      <c r="S1176" s="7">
        <f t="shared" si="148"/>
        <v>0</v>
      </c>
      <c r="T1176" s="3" t="str">
        <f t="shared" si="149"/>
        <v/>
      </c>
      <c r="V1176" s="1" t="e">
        <f t="shared" si="150"/>
        <v>#DIV/0!</v>
      </c>
    </row>
    <row r="1177" spans="8:22" x14ac:dyDescent="0.3">
      <c r="H1177" s="10" t="str">
        <f>IF(Planilha1!B1174="","",Planilha1!B1174)</f>
        <v>8:30p</v>
      </c>
      <c r="I1177" s="10" t="str">
        <f>IF(Planilha1!C1174="","",Planilha1!C1174)</f>
        <v>Utah Jazz</v>
      </c>
      <c r="J1177" s="10">
        <f>IF(Planilha1!D1174="","",Planilha1!D1174)</f>
        <v>0</v>
      </c>
      <c r="K1177" s="10" t="str">
        <f>IF(Planilha1!E1174="","",IF(Planilha1!E1174=0,"",Planilha1!E1174))</f>
        <v>Golden State Warriors</v>
      </c>
      <c r="L1177" s="10">
        <f>IF(Planilha1!F1174="","",Planilha1!F1174)</f>
        <v>0</v>
      </c>
      <c r="M1177" s="10" t="str">
        <f>IF(Planilha1!G1174="","",IF(Planilha1!G1174=0,"",Planilha1!G1174))</f>
        <v/>
      </c>
      <c r="N1177" s="5">
        <f t="shared" si="151"/>
        <v>1</v>
      </c>
      <c r="O1177" s="5">
        <f t="shared" si="152"/>
        <v>0</v>
      </c>
      <c r="P1177" s="5">
        <f t="shared" si="145"/>
        <v>0</v>
      </c>
      <c r="Q1177" s="5">
        <f t="shared" si="146"/>
        <v>2</v>
      </c>
      <c r="R1177" s="7">
        <f t="shared" si="147"/>
        <v>0</v>
      </c>
      <c r="S1177" s="7">
        <f t="shared" si="148"/>
        <v>0</v>
      </c>
      <c r="T1177" s="3" t="str">
        <f t="shared" si="149"/>
        <v/>
      </c>
      <c r="V1177" s="1" t="e">
        <f t="shared" si="150"/>
        <v>#DIV/0!</v>
      </c>
    </row>
    <row r="1178" spans="8:22" x14ac:dyDescent="0.3">
      <c r="H1178" s="10" t="str">
        <f>IF(Planilha1!B1175="","",Planilha1!B1175)</f>
        <v>10:00p</v>
      </c>
      <c r="I1178" s="10" t="str">
        <f>IF(Planilha1!C1175="","",Planilha1!C1175)</f>
        <v>Minnesota Timberwolves</v>
      </c>
      <c r="J1178" s="10">
        <f>IF(Planilha1!D1175="","",Planilha1!D1175)</f>
        <v>0</v>
      </c>
      <c r="K1178" s="10" t="str">
        <f>IF(Planilha1!E1175="","",IF(Planilha1!E1175=0,"",Planilha1!E1175))</f>
        <v>Los Angeles Lakers</v>
      </c>
      <c r="L1178" s="10">
        <f>IF(Planilha1!F1175="","",Planilha1!F1175)</f>
        <v>0</v>
      </c>
      <c r="M1178" s="10" t="str">
        <f>IF(Planilha1!G1175="","",IF(Planilha1!G1175=0,"",Planilha1!G1175))</f>
        <v/>
      </c>
      <c r="N1178" s="5">
        <f t="shared" si="151"/>
        <v>1</v>
      </c>
      <c r="O1178" s="5">
        <f t="shared" si="152"/>
        <v>0</v>
      </c>
      <c r="P1178" s="5">
        <f t="shared" si="145"/>
        <v>0</v>
      </c>
      <c r="Q1178" s="5">
        <f t="shared" si="146"/>
        <v>2</v>
      </c>
      <c r="R1178" s="7">
        <f t="shared" si="147"/>
        <v>0</v>
      </c>
      <c r="S1178" s="7">
        <f t="shared" si="148"/>
        <v>0</v>
      </c>
      <c r="T1178" s="3" t="str">
        <f t="shared" si="149"/>
        <v/>
      </c>
      <c r="V1178" s="1" t="e">
        <f t="shared" si="150"/>
        <v>#DIV/0!</v>
      </c>
    </row>
    <row r="1179" spans="8:22" x14ac:dyDescent="0.3">
      <c r="H1179" s="10" t="str">
        <f>IF(Planilha1!B1176="","",Planilha1!B1176)</f>
        <v>7:00p</v>
      </c>
      <c r="I1179" s="10" t="str">
        <f>IF(Planilha1!C1176="","",Planilha1!C1176)</f>
        <v>Dallas Mavericks</v>
      </c>
      <c r="J1179" s="10">
        <f>IF(Planilha1!D1176="","",Planilha1!D1176)</f>
        <v>0</v>
      </c>
      <c r="K1179" s="10" t="str">
        <f>IF(Planilha1!E1176="","",IF(Planilha1!E1176=0,"",Planilha1!E1176))</f>
        <v>Charlotte Hornets</v>
      </c>
      <c r="L1179" s="10">
        <f>IF(Planilha1!F1176="","",Planilha1!F1176)</f>
        <v>0</v>
      </c>
      <c r="M1179" s="10" t="str">
        <f>IF(Planilha1!G1176="","",IF(Planilha1!G1176=0,"",Planilha1!G1176))</f>
        <v/>
      </c>
      <c r="N1179" s="5">
        <f t="shared" si="151"/>
        <v>1</v>
      </c>
      <c r="O1179" s="5">
        <f t="shared" si="152"/>
        <v>0</v>
      </c>
      <c r="P1179" s="5">
        <f t="shared" si="145"/>
        <v>0</v>
      </c>
      <c r="Q1179" s="5">
        <f t="shared" si="146"/>
        <v>2</v>
      </c>
      <c r="R1179" s="7">
        <f t="shared" si="147"/>
        <v>0</v>
      </c>
      <c r="S1179" s="7">
        <f t="shared" si="148"/>
        <v>0</v>
      </c>
      <c r="T1179" s="3" t="str">
        <f t="shared" si="149"/>
        <v/>
      </c>
      <c r="V1179" s="1" t="e">
        <f t="shared" si="150"/>
        <v>#DIV/0!</v>
      </c>
    </row>
    <row r="1180" spans="8:22" x14ac:dyDescent="0.3">
      <c r="H1180" s="10" t="str">
        <f>IF(Planilha1!B1177="","",Planilha1!B1177)</f>
        <v>7:00p</v>
      </c>
      <c r="I1180" s="10" t="str">
        <f>IF(Planilha1!C1177="","",Planilha1!C1177)</f>
        <v>Detroit Pistons</v>
      </c>
      <c r="J1180" s="10">
        <f>IF(Planilha1!D1177="","",Planilha1!D1177)</f>
        <v>0</v>
      </c>
      <c r="K1180" s="10" t="str">
        <f>IF(Planilha1!E1177="","",IF(Planilha1!E1177=0,"",Planilha1!E1177))</f>
        <v>Philadelphia 76ers</v>
      </c>
      <c r="L1180" s="10">
        <f>IF(Planilha1!F1177="","",Planilha1!F1177)</f>
        <v>0</v>
      </c>
      <c r="M1180" s="10" t="str">
        <f>IF(Planilha1!G1177="","",IF(Planilha1!G1177=0,"",Planilha1!G1177))</f>
        <v/>
      </c>
      <c r="N1180" s="5">
        <f t="shared" si="151"/>
        <v>1</v>
      </c>
      <c r="O1180" s="5">
        <f t="shared" si="152"/>
        <v>0</v>
      </c>
      <c r="P1180" s="5">
        <f t="shared" si="145"/>
        <v>0</v>
      </c>
      <c r="Q1180" s="5">
        <f t="shared" si="146"/>
        <v>2</v>
      </c>
      <c r="R1180" s="7">
        <f t="shared" si="147"/>
        <v>0</v>
      </c>
      <c r="S1180" s="7">
        <f t="shared" si="148"/>
        <v>0</v>
      </c>
      <c r="T1180" s="3" t="str">
        <f t="shared" si="149"/>
        <v/>
      </c>
      <c r="V1180" s="1" t="e">
        <f t="shared" si="150"/>
        <v>#DIV/0!</v>
      </c>
    </row>
    <row r="1181" spans="8:22" x14ac:dyDescent="0.3">
      <c r="H1181" s="10" t="str">
        <f>IF(Planilha1!B1178="","",Planilha1!B1178)</f>
        <v>7:00p</v>
      </c>
      <c r="I1181" s="10" t="str">
        <f>IF(Planilha1!C1178="","",Planilha1!C1178)</f>
        <v>Indiana Pacers</v>
      </c>
      <c r="J1181" s="10">
        <f>IF(Planilha1!D1178="","",Planilha1!D1178)</f>
        <v>0</v>
      </c>
      <c r="K1181" s="10" t="str">
        <f>IF(Planilha1!E1178="","",IF(Planilha1!E1178=0,"",Planilha1!E1178))</f>
        <v>Toronto Raptors</v>
      </c>
      <c r="L1181" s="10">
        <f>IF(Planilha1!F1178="","",Planilha1!F1178)</f>
        <v>0</v>
      </c>
      <c r="M1181" s="10" t="str">
        <f>IF(Planilha1!G1178="","",IF(Planilha1!G1178=0,"",Planilha1!G1178))</f>
        <v/>
      </c>
      <c r="N1181" s="5">
        <f t="shared" si="151"/>
        <v>1</v>
      </c>
      <c r="O1181" s="5">
        <f t="shared" si="152"/>
        <v>0</v>
      </c>
      <c r="P1181" s="5">
        <f t="shared" si="145"/>
        <v>0</v>
      </c>
      <c r="Q1181" s="5">
        <f t="shared" si="146"/>
        <v>2</v>
      </c>
      <c r="R1181" s="7">
        <f t="shared" si="147"/>
        <v>0</v>
      </c>
      <c r="S1181" s="7">
        <f t="shared" si="148"/>
        <v>0</v>
      </c>
      <c r="T1181" s="3" t="str">
        <f t="shared" si="149"/>
        <v/>
      </c>
      <c r="V1181" s="1" t="e">
        <f t="shared" si="150"/>
        <v>#DIV/0!</v>
      </c>
    </row>
    <row r="1182" spans="8:22" x14ac:dyDescent="0.3">
      <c r="H1182" s="10" t="str">
        <f>IF(Planilha1!B1179="","",Planilha1!B1179)</f>
        <v>7:30p</v>
      </c>
      <c r="I1182" s="10" t="str">
        <f>IF(Planilha1!C1179="","",Planilha1!C1179)</f>
        <v>Miami Heat</v>
      </c>
      <c r="J1182" s="10">
        <f>IF(Planilha1!D1179="","",Planilha1!D1179)</f>
        <v>0</v>
      </c>
      <c r="K1182" s="10" t="str">
        <f>IF(Planilha1!E1179="","",IF(Planilha1!E1179=0,"",Planilha1!E1179))</f>
        <v>Atlanta Hawks</v>
      </c>
      <c r="L1182" s="10">
        <f>IF(Planilha1!F1179="","",Planilha1!F1179)</f>
        <v>0</v>
      </c>
      <c r="M1182" s="10" t="str">
        <f>IF(Planilha1!G1179="","",IF(Planilha1!G1179=0,"",Planilha1!G1179))</f>
        <v/>
      </c>
      <c r="N1182" s="5">
        <f t="shared" si="151"/>
        <v>1</v>
      </c>
      <c r="O1182" s="5">
        <f t="shared" si="152"/>
        <v>0</v>
      </c>
      <c r="P1182" s="5">
        <f t="shared" si="145"/>
        <v>0</v>
      </c>
      <c r="Q1182" s="5">
        <f t="shared" si="146"/>
        <v>2</v>
      </c>
      <c r="R1182" s="7">
        <f t="shared" si="147"/>
        <v>0</v>
      </c>
      <c r="S1182" s="7">
        <f t="shared" si="148"/>
        <v>0</v>
      </c>
      <c r="T1182" s="3" t="str">
        <f t="shared" si="149"/>
        <v/>
      </c>
      <c r="V1182" s="1" t="e">
        <f t="shared" si="150"/>
        <v>#DIV/0!</v>
      </c>
    </row>
    <row r="1183" spans="8:22" x14ac:dyDescent="0.3">
      <c r="H1183" s="10" t="str">
        <f>IF(Planilha1!B1180="","",Planilha1!B1180)</f>
        <v>7:30p</v>
      </c>
      <c r="I1183" s="10" t="str">
        <f>IF(Planilha1!C1180="","",Planilha1!C1180)</f>
        <v>Boston Celtics</v>
      </c>
      <c r="J1183" s="10">
        <f>IF(Planilha1!D1180="","",Planilha1!D1180)</f>
        <v>0</v>
      </c>
      <c r="K1183" s="10" t="str">
        <f>IF(Planilha1!E1180="","",IF(Planilha1!E1180=0,"",Planilha1!E1180))</f>
        <v>Milwaukee Bucks</v>
      </c>
      <c r="L1183" s="10">
        <f>IF(Planilha1!F1180="","",Planilha1!F1180)</f>
        <v>0</v>
      </c>
      <c r="M1183" s="10" t="str">
        <f>IF(Planilha1!G1180="","",IF(Planilha1!G1180=0,"",Planilha1!G1180))</f>
        <v/>
      </c>
      <c r="N1183" s="5">
        <f t="shared" si="151"/>
        <v>1</v>
      </c>
      <c r="O1183" s="5">
        <f t="shared" si="152"/>
        <v>0</v>
      </c>
      <c r="P1183" s="5">
        <f t="shared" si="145"/>
        <v>0</v>
      </c>
      <c r="Q1183" s="5">
        <f t="shared" si="146"/>
        <v>2</v>
      </c>
      <c r="R1183" s="7">
        <f t="shared" si="147"/>
        <v>0</v>
      </c>
      <c r="S1183" s="7">
        <f t="shared" si="148"/>
        <v>0</v>
      </c>
      <c r="T1183" s="3" t="str">
        <f t="shared" si="149"/>
        <v/>
      </c>
      <c r="V1183" s="1" t="e">
        <f t="shared" si="150"/>
        <v>#DIV/0!</v>
      </c>
    </row>
    <row r="1184" spans="8:22" x14ac:dyDescent="0.3">
      <c r="H1184" s="10" t="str">
        <f>IF(Planilha1!B1181="","",Planilha1!B1181)</f>
        <v>8:00p</v>
      </c>
      <c r="I1184" s="10" t="str">
        <f>IF(Planilha1!C1181="","",Planilha1!C1181)</f>
        <v>New York Knicks</v>
      </c>
      <c r="J1184" s="10">
        <f>IF(Planilha1!D1181="","",Planilha1!D1181)</f>
        <v>0</v>
      </c>
      <c r="K1184" s="10" t="str">
        <f>IF(Planilha1!E1181="","",IF(Planilha1!E1181=0,"",Planilha1!E1181))</f>
        <v>Chicago Bulls</v>
      </c>
      <c r="L1184" s="10">
        <f>IF(Planilha1!F1181="","",Planilha1!F1181)</f>
        <v>0</v>
      </c>
      <c r="M1184" s="10" t="str">
        <f>IF(Planilha1!G1181="","",IF(Planilha1!G1181=0,"",Planilha1!G1181))</f>
        <v/>
      </c>
      <c r="N1184" s="5">
        <f t="shared" si="151"/>
        <v>1</v>
      </c>
      <c r="O1184" s="5">
        <f t="shared" si="152"/>
        <v>0</v>
      </c>
      <c r="P1184" s="5">
        <f t="shared" si="145"/>
        <v>0</v>
      </c>
      <c r="Q1184" s="5">
        <f t="shared" si="146"/>
        <v>2</v>
      </c>
      <c r="R1184" s="7">
        <f t="shared" si="147"/>
        <v>0</v>
      </c>
      <c r="S1184" s="7">
        <f t="shared" si="148"/>
        <v>0</v>
      </c>
      <c r="T1184" s="3" t="str">
        <f t="shared" si="149"/>
        <v/>
      </c>
      <c r="V1184" s="1" t="e">
        <f t="shared" si="150"/>
        <v>#DIV/0!</v>
      </c>
    </row>
    <row r="1185" spans="8:22" x14ac:dyDescent="0.3">
      <c r="H1185" s="10" t="str">
        <f>IF(Planilha1!B1182="","",Planilha1!B1182)</f>
        <v>8:00p</v>
      </c>
      <c r="I1185" s="10" t="str">
        <f>IF(Planilha1!C1182="","",Planilha1!C1182)</f>
        <v>Orlando Magic</v>
      </c>
      <c r="J1185" s="10">
        <f>IF(Planilha1!D1182="","",Planilha1!D1182)</f>
        <v>0</v>
      </c>
      <c r="K1185" s="10" t="str">
        <f>IF(Planilha1!E1182="","",IF(Planilha1!E1182=0,"",Planilha1!E1182))</f>
        <v>Houston Rockets</v>
      </c>
      <c r="L1185" s="10">
        <f>IF(Planilha1!F1182="","",Planilha1!F1182)</f>
        <v>0</v>
      </c>
      <c r="M1185" s="10" t="str">
        <f>IF(Planilha1!G1182="","",IF(Planilha1!G1182=0,"",Planilha1!G1182))</f>
        <v/>
      </c>
      <c r="N1185" s="5">
        <f t="shared" si="151"/>
        <v>1</v>
      </c>
      <c r="O1185" s="5">
        <f t="shared" si="152"/>
        <v>0</v>
      </c>
      <c r="P1185" s="5">
        <f t="shared" si="145"/>
        <v>0</v>
      </c>
      <c r="Q1185" s="5">
        <f t="shared" si="146"/>
        <v>2</v>
      </c>
      <c r="R1185" s="7">
        <f t="shared" si="147"/>
        <v>0</v>
      </c>
      <c r="S1185" s="7">
        <f t="shared" si="148"/>
        <v>0</v>
      </c>
      <c r="T1185" s="3" t="str">
        <f t="shared" si="149"/>
        <v/>
      </c>
      <c r="V1185" s="1" t="e">
        <f t="shared" si="150"/>
        <v>#DIV/0!</v>
      </c>
    </row>
    <row r="1186" spans="8:22" x14ac:dyDescent="0.3">
      <c r="H1186" s="10" t="str">
        <f>IF(Planilha1!B1183="","",Planilha1!B1183)</f>
        <v>8:00p</v>
      </c>
      <c r="I1186" s="10" t="str">
        <f>IF(Planilha1!C1183="","",Planilha1!C1183)</f>
        <v>San Antonio Spurs</v>
      </c>
      <c r="J1186" s="10">
        <f>IF(Planilha1!D1183="","",Planilha1!D1183)</f>
        <v>0</v>
      </c>
      <c r="K1186" s="10" t="str">
        <f>IF(Planilha1!E1183="","",IF(Planilha1!E1183=0,"",Planilha1!E1183))</f>
        <v>Memphis Grizzlies</v>
      </c>
      <c r="L1186" s="10">
        <f>IF(Planilha1!F1183="","",Planilha1!F1183)</f>
        <v>0</v>
      </c>
      <c r="M1186" s="10" t="str">
        <f>IF(Planilha1!G1183="","",IF(Planilha1!G1183=0,"",Planilha1!G1183))</f>
        <v/>
      </c>
      <c r="N1186" s="5">
        <f t="shared" si="151"/>
        <v>1</v>
      </c>
      <c r="O1186" s="5">
        <f t="shared" si="152"/>
        <v>0</v>
      </c>
      <c r="P1186" s="5">
        <f t="shared" si="145"/>
        <v>0</v>
      </c>
      <c r="Q1186" s="5">
        <f t="shared" si="146"/>
        <v>2</v>
      </c>
      <c r="R1186" s="7">
        <f t="shared" si="147"/>
        <v>0</v>
      </c>
      <c r="S1186" s="7">
        <f t="shared" si="148"/>
        <v>0</v>
      </c>
      <c r="T1186" s="3" t="str">
        <f t="shared" si="149"/>
        <v/>
      </c>
      <c r="V1186" s="1" t="e">
        <f t="shared" si="150"/>
        <v>#DIV/0!</v>
      </c>
    </row>
    <row r="1187" spans="8:22" x14ac:dyDescent="0.3">
      <c r="H1187" s="10" t="str">
        <f>IF(Planilha1!B1184="","",Planilha1!B1184)</f>
        <v>8:00p</v>
      </c>
      <c r="I1187" s="10" t="str">
        <f>IF(Planilha1!C1184="","",Planilha1!C1184)</f>
        <v>Washington Wizards</v>
      </c>
      <c r="J1187" s="10">
        <f>IF(Planilha1!D1184="","",Planilha1!D1184)</f>
        <v>0</v>
      </c>
      <c r="K1187" s="10" t="str">
        <f>IF(Planilha1!E1184="","",IF(Planilha1!E1184=0,"",Planilha1!E1184))</f>
        <v>Minnesota Timberwolves</v>
      </c>
      <c r="L1187" s="10">
        <f>IF(Planilha1!F1184="","",Planilha1!F1184)</f>
        <v>0</v>
      </c>
      <c r="M1187" s="10" t="str">
        <f>IF(Planilha1!G1184="","",IF(Planilha1!G1184=0,"",Planilha1!G1184))</f>
        <v/>
      </c>
      <c r="N1187" s="5">
        <f t="shared" si="151"/>
        <v>1</v>
      </c>
      <c r="O1187" s="5">
        <f t="shared" si="152"/>
        <v>0</v>
      </c>
      <c r="P1187" s="5">
        <f t="shared" si="145"/>
        <v>0</v>
      </c>
      <c r="Q1187" s="5">
        <f t="shared" si="146"/>
        <v>2</v>
      </c>
      <c r="R1187" s="7">
        <f t="shared" si="147"/>
        <v>0</v>
      </c>
      <c r="S1187" s="7">
        <f t="shared" si="148"/>
        <v>0</v>
      </c>
      <c r="T1187" s="3" t="str">
        <f t="shared" si="149"/>
        <v/>
      </c>
      <c r="V1187" s="1" t="e">
        <f t="shared" si="150"/>
        <v>#DIV/0!</v>
      </c>
    </row>
    <row r="1188" spans="8:22" x14ac:dyDescent="0.3">
      <c r="H1188" s="10" t="str">
        <f>IF(Planilha1!B1185="","",Planilha1!B1185)</f>
        <v>8:00p</v>
      </c>
      <c r="I1188" s="10" t="str">
        <f>IF(Planilha1!C1185="","",Planilha1!C1185)</f>
        <v>Sacramento Kings</v>
      </c>
      <c r="J1188" s="10">
        <f>IF(Planilha1!D1185="","",Planilha1!D1185)</f>
        <v>0</v>
      </c>
      <c r="K1188" s="10" t="str">
        <f>IF(Planilha1!E1185="","",IF(Planilha1!E1185=0,"",Planilha1!E1185))</f>
        <v>Oklahoma City Thunder</v>
      </c>
      <c r="L1188" s="10">
        <f>IF(Planilha1!F1185="","",Planilha1!F1185)</f>
        <v>0</v>
      </c>
      <c r="M1188" s="10" t="str">
        <f>IF(Planilha1!G1185="","",IF(Planilha1!G1185=0,"",Planilha1!G1185))</f>
        <v/>
      </c>
      <c r="N1188" s="5">
        <f t="shared" si="151"/>
        <v>1</v>
      </c>
      <c r="O1188" s="5">
        <f t="shared" si="152"/>
        <v>0</v>
      </c>
      <c r="P1188" s="5">
        <f t="shared" si="145"/>
        <v>0</v>
      </c>
      <c r="Q1188" s="5">
        <f t="shared" si="146"/>
        <v>2</v>
      </c>
      <c r="R1188" s="7">
        <f t="shared" si="147"/>
        <v>0</v>
      </c>
      <c r="S1188" s="7">
        <f t="shared" si="148"/>
        <v>0</v>
      </c>
      <c r="T1188" s="3" t="str">
        <f t="shared" si="149"/>
        <v/>
      </c>
      <c r="V1188" s="1" t="e">
        <f t="shared" si="150"/>
        <v>#DIV/0!</v>
      </c>
    </row>
    <row r="1189" spans="8:22" x14ac:dyDescent="0.3">
      <c r="H1189" s="10" t="str">
        <f>IF(Planilha1!B1186="","",Planilha1!B1186)</f>
        <v>9:00p</v>
      </c>
      <c r="I1189" s="10" t="str">
        <f>IF(Planilha1!C1186="","",Planilha1!C1186)</f>
        <v>Denver Nuggets</v>
      </c>
      <c r="J1189" s="10">
        <f>IF(Planilha1!D1186="","",Planilha1!D1186)</f>
        <v>0</v>
      </c>
      <c r="K1189" s="10" t="str">
        <f>IF(Planilha1!E1186="","",IF(Planilha1!E1186=0,"",Planilha1!E1186))</f>
        <v>Utah Jazz</v>
      </c>
      <c r="L1189" s="10">
        <f>IF(Planilha1!F1186="","",Planilha1!F1186)</f>
        <v>0</v>
      </c>
      <c r="M1189" s="10" t="str">
        <f>IF(Planilha1!G1186="","",IF(Planilha1!G1186=0,"",Planilha1!G1186))</f>
        <v/>
      </c>
      <c r="N1189" s="5">
        <f t="shared" si="151"/>
        <v>1</v>
      </c>
      <c r="O1189" s="5">
        <f t="shared" si="152"/>
        <v>0</v>
      </c>
      <c r="P1189" s="5">
        <f t="shared" si="145"/>
        <v>0</v>
      </c>
      <c r="Q1189" s="5">
        <f t="shared" si="146"/>
        <v>2</v>
      </c>
      <c r="R1189" s="7">
        <f t="shared" si="147"/>
        <v>0</v>
      </c>
      <c r="S1189" s="7">
        <f t="shared" si="148"/>
        <v>0</v>
      </c>
      <c r="T1189" s="3" t="str">
        <f t="shared" si="149"/>
        <v/>
      </c>
      <c r="V1189" s="1" t="e">
        <f t="shared" si="150"/>
        <v>#DIV/0!</v>
      </c>
    </row>
    <row r="1190" spans="8:22" x14ac:dyDescent="0.3">
      <c r="H1190" s="10" t="str">
        <f>IF(Planilha1!B1187="","",Planilha1!B1187)</f>
        <v>10:00p</v>
      </c>
      <c r="I1190" s="10" t="str">
        <f>IF(Planilha1!C1187="","",Planilha1!C1187)</f>
        <v>Golden State Warriors</v>
      </c>
      <c r="J1190" s="10">
        <f>IF(Planilha1!D1187="","",Planilha1!D1187)</f>
        <v>0</v>
      </c>
      <c r="K1190" s="10" t="str">
        <f>IF(Planilha1!E1187="","",IF(Planilha1!E1187=0,"",Planilha1!E1187))</f>
        <v>Los Angeles Lakers</v>
      </c>
      <c r="L1190" s="10">
        <f>IF(Planilha1!F1187="","",Planilha1!F1187)</f>
        <v>0</v>
      </c>
      <c r="M1190" s="10" t="str">
        <f>IF(Planilha1!G1187="","",IF(Planilha1!G1187=0,"",Planilha1!G1187))</f>
        <v/>
      </c>
      <c r="N1190" s="5">
        <f t="shared" si="151"/>
        <v>1</v>
      </c>
      <c r="O1190" s="5">
        <f t="shared" si="152"/>
        <v>0</v>
      </c>
      <c r="P1190" s="5">
        <f t="shared" si="145"/>
        <v>0</v>
      </c>
      <c r="Q1190" s="5">
        <f t="shared" si="146"/>
        <v>2</v>
      </c>
      <c r="R1190" s="7">
        <f t="shared" si="147"/>
        <v>0</v>
      </c>
      <c r="S1190" s="7">
        <f t="shared" si="148"/>
        <v>0</v>
      </c>
      <c r="T1190" s="3" t="str">
        <f t="shared" si="149"/>
        <v/>
      </c>
      <c r="V1190" s="1" t="e">
        <f t="shared" si="150"/>
        <v>#DIV/0!</v>
      </c>
    </row>
    <row r="1191" spans="8:22" x14ac:dyDescent="0.3">
      <c r="H1191" s="10" t="str">
        <f>IF(Planilha1!B1188="","",Planilha1!B1188)</f>
        <v>10:00p</v>
      </c>
      <c r="I1191" s="10" t="str">
        <f>IF(Planilha1!C1188="","",Planilha1!C1188)</f>
        <v>Los Angeles Clippers</v>
      </c>
      <c r="J1191" s="10">
        <f>IF(Planilha1!D1188="","",Planilha1!D1188)</f>
        <v>0</v>
      </c>
      <c r="K1191" s="10" t="str">
        <f>IF(Planilha1!E1188="","",IF(Planilha1!E1188=0,"",Planilha1!E1188))</f>
        <v>Phoenix Suns</v>
      </c>
      <c r="L1191" s="10">
        <f>IF(Planilha1!F1188="","",Planilha1!F1188)</f>
        <v>0</v>
      </c>
      <c r="M1191" s="10" t="str">
        <f>IF(Planilha1!G1188="","",IF(Planilha1!G1188=0,"",Planilha1!G1188))</f>
        <v/>
      </c>
      <c r="N1191" s="5">
        <f t="shared" si="151"/>
        <v>1</v>
      </c>
      <c r="O1191" s="5">
        <f t="shared" si="152"/>
        <v>0</v>
      </c>
      <c r="P1191" s="5">
        <f t="shared" si="145"/>
        <v>0</v>
      </c>
      <c r="Q1191" s="5">
        <f t="shared" si="146"/>
        <v>2</v>
      </c>
      <c r="R1191" s="7">
        <f t="shared" si="147"/>
        <v>0</v>
      </c>
      <c r="S1191" s="7">
        <f t="shared" si="148"/>
        <v>0</v>
      </c>
      <c r="T1191" s="3" t="str">
        <f t="shared" si="149"/>
        <v/>
      </c>
      <c r="V1191" s="1" t="e">
        <f t="shared" si="150"/>
        <v>#DIV/0!</v>
      </c>
    </row>
    <row r="1192" spans="8:22" x14ac:dyDescent="0.3">
      <c r="H1192" s="10" t="str">
        <f>IF(Planilha1!B1189="","",Planilha1!B1189)</f>
        <v>10:00p</v>
      </c>
      <c r="I1192" s="10" t="str">
        <f>IF(Planilha1!C1189="","",Planilha1!C1189)</f>
        <v>New Orleans Pelicans</v>
      </c>
      <c r="J1192" s="10">
        <f>IF(Planilha1!D1189="","",Planilha1!D1189)</f>
        <v>0</v>
      </c>
      <c r="K1192" s="10" t="str">
        <f>IF(Planilha1!E1189="","",IF(Planilha1!E1189=0,"",Planilha1!E1189))</f>
        <v>Portland Trail Blazers</v>
      </c>
      <c r="L1192" s="10">
        <f>IF(Planilha1!F1189="","",Planilha1!F1189)</f>
        <v>0</v>
      </c>
      <c r="M1192" s="10" t="str">
        <f>IF(Planilha1!G1189="","",IF(Planilha1!G1189=0,"",Planilha1!G1189))</f>
        <v/>
      </c>
      <c r="N1192" s="5">
        <f t="shared" si="151"/>
        <v>1</v>
      </c>
      <c r="O1192" s="5">
        <f t="shared" si="152"/>
        <v>0</v>
      </c>
      <c r="P1192" s="5">
        <f t="shared" si="145"/>
        <v>0</v>
      </c>
      <c r="Q1192" s="5">
        <f t="shared" si="146"/>
        <v>2</v>
      </c>
      <c r="R1192" s="7">
        <f t="shared" si="147"/>
        <v>0</v>
      </c>
      <c r="S1192" s="7">
        <f t="shared" si="148"/>
        <v>0</v>
      </c>
      <c r="T1192" s="3" t="str">
        <f t="shared" si="149"/>
        <v/>
      </c>
      <c r="V1192" s="1" t="e">
        <f t="shared" si="150"/>
        <v>#DIV/0!</v>
      </c>
    </row>
    <row r="1193" spans="8:22" x14ac:dyDescent="0.3">
      <c r="H1193" s="10" t="str">
        <f>IF(Planilha1!B1190="","",Planilha1!B1190)</f>
        <v>7:00p</v>
      </c>
      <c r="I1193" s="10" t="str">
        <f>IF(Planilha1!C1190="","",Planilha1!C1190)</f>
        <v>Memphis Grizzlies</v>
      </c>
      <c r="J1193" s="10">
        <f>IF(Planilha1!D1190="","",Planilha1!D1190)</f>
        <v>0</v>
      </c>
      <c r="K1193" s="10" t="str">
        <f>IF(Planilha1!E1190="","",IF(Planilha1!E1190=0,"",Planilha1!E1190))</f>
        <v>Cleveland Cavaliers</v>
      </c>
      <c r="L1193" s="10">
        <f>IF(Planilha1!F1190="","",Planilha1!F1190)</f>
        <v>0</v>
      </c>
      <c r="M1193" s="10" t="str">
        <f>IF(Planilha1!G1190="","",IF(Planilha1!G1190=0,"",Planilha1!G1190))</f>
        <v/>
      </c>
      <c r="N1193" s="5">
        <f t="shared" si="151"/>
        <v>1</v>
      </c>
      <c r="O1193" s="5">
        <f t="shared" si="152"/>
        <v>0</v>
      </c>
      <c r="P1193" s="5">
        <f t="shared" si="145"/>
        <v>0</v>
      </c>
      <c r="Q1193" s="5">
        <f t="shared" si="146"/>
        <v>2</v>
      </c>
      <c r="R1193" s="7">
        <f t="shared" si="147"/>
        <v>0</v>
      </c>
      <c r="S1193" s="7">
        <f t="shared" si="148"/>
        <v>0</v>
      </c>
      <c r="T1193" s="3" t="str">
        <f t="shared" si="149"/>
        <v/>
      </c>
      <c r="V1193" s="1" t="e">
        <f t="shared" si="150"/>
        <v>#DIV/0!</v>
      </c>
    </row>
    <row r="1194" spans="8:22" x14ac:dyDescent="0.3">
      <c r="H1194" s="10" t="str">
        <f>IF(Planilha1!B1191="","",Planilha1!B1191)</f>
        <v>7:30p</v>
      </c>
      <c r="I1194" s="10" t="str">
        <f>IF(Planilha1!C1191="","",Planilha1!C1191)</f>
        <v>Charlotte Hornets</v>
      </c>
      <c r="J1194" s="10">
        <f>IF(Planilha1!D1191="","",Planilha1!D1191)</f>
        <v>0</v>
      </c>
      <c r="K1194" s="10" t="str">
        <f>IF(Planilha1!E1191="","",IF(Planilha1!E1191=0,"",Planilha1!E1191))</f>
        <v>Atlanta Hawks</v>
      </c>
      <c r="L1194" s="10">
        <f>IF(Planilha1!F1191="","",Planilha1!F1191)</f>
        <v>0</v>
      </c>
      <c r="M1194" s="10" t="str">
        <f>IF(Planilha1!G1191="","",IF(Planilha1!G1191=0,"",Planilha1!G1191))</f>
        <v/>
      </c>
      <c r="N1194" s="5">
        <f t="shared" si="151"/>
        <v>1</v>
      </c>
      <c r="O1194" s="5">
        <f t="shared" si="152"/>
        <v>0</v>
      </c>
      <c r="P1194" s="5">
        <f t="shared" si="145"/>
        <v>0</v>
      </c>
      <c r="Q1194" s="5">
        <f t="shared" si="146"/>
        <v>2</v>
      </c>
      <c r="R1194" s="7">
        <f t="shared" si="147"/>
        <v>0</v>
      </c>
      <c r="S1194" s="7">
        <f t="shared" si="148"/>
        <v>0</v>
      </c>
      <c r="T1194" s="3" t="str">
        <f t="shared" si="149"/>
        <v/>
      </c>
      <c r="V1194" s="1" t="e">
        <f t="shared" si="150"/>
        <v>#DIV/0!</v>
      </c>
    </row>
    <row r="1195" spans="8:22" x14ac:dyDescent="0.3">
      <c r="H1195" s="10" t="str">
        <f>IF(Planilha1!B1192="","",Planilha1!B1192)</f>
        <v>7:30p</v>
      </c>
      <c r="I1195" s="10" t="str">
        <f>IF(Planilha1!C1192="","",Planilha1!C1192)</f>
        <v>Toronto Raptors</v>
      </c>
      <c r="J1195" s="10">
        <f>IF(Planilha1!D1192="","",Planilha1!D1192)</f>
        <v>0</v>
      </c>
      <c r="K1195" s="10" t="str">
        <f>IF(Planilha1!E1192="","",IF(Planilha1!E1192=0,"",Planilha1!E1192))</f>
        <v>Brooklyn Nets</v>
      </c>
      <c r="L1195" s="10">
        <f>IF(Planilha1!F1192="","",Planilha1!F1192)</f>
        <v>0</v>
      </c>
      <c r="M1195" s="10" t="str">
        <f>IF(Planilha1!G1192="","",IF(Planilha1!G1192=0,"",Planilha1!G1192))</f>
        <v/>
      </c>
      <c r="N1195" s="5">
        <f t="shared" si="151"/>
        <v>1</v>
      </c>
      <c r="O1195" s="5">
        <f t="shared" si="152"/>
        <v>0</v>
      </c>
      <c r="P1195" s="5">
        <f t="shared" si="145"/>
        <v>0</v>
      </c>
      <c r="Q1195" s="5">
        <f t="shared" si="146"/>
        <v>2</v>
      </c>
      <c r="R1195" s="7">
        <f t="shared" si="147"/>
        <v>0</v>
      </c>
      <c r="S1195" s="7">
        <f t="shared" si="148"/>
        <v>0</v>
      </c>
      <c r="T1195" s="3" t="str">
        <f t="shared" si="149"/>
        <v/>
      </c>
      <c r="V1195" s="1" t="e">
        <f t="shared" si="150"/>
        <v>#DIV/0!</v>
      </c>
    </row>
    <row r="1196" spans="8:22" x14ac:dyDescent="0.3">
      <c r="H1196" s="10" t="str">
        <f>IF(Planilha1!B1193="","",Planilha1!B1193)</f>
        <v>7:30p</v>
      </c>
      <c r="I1196" s="10" t="str">
        <f>IF(Planilha1!C1193="","",Planilha1!C1193)</f>
        <v>Dallas Mavericks</v>
      </c>
      <c r="J1196" s="10">
        <f>IF(Planilha1!D1193="","",Planilha1!D1193)</f>
        <v>0</v>
      </c>
      <c r="K1196" s="10" t="str">
        <f>IF(Planilha1!E1193="","",IF(Planilha1!E1193=0,"",Planilha1!E1193))</f>
        <v>Miami Heat</v>
      </c>
      <c r="L1196" s="10">
        <f>IF(Planilha1!F1193="","",Planilha1!F1193)</f>
        <v>0</v>
      </c>
      <c r="M1196" s="10" t="str">
        <f>IF(Planilha1!G1193="","",IF(Planilha1!G1193=0,"",Planilha1!G1193))</f>
        <v/>
      </c>
      <c r="N1196" s="5">
        <f t="shared" si="151"/>
        <v>1</v>
      </c>
      <c r="O1196" s="5">
        <f t="shared" si="152"/>
        <v>0</v>
      </c>
      <c r="P1196" s="5">
        <f t="shared" si="145"/>
        <v>0</v>
      </c>
      <c r="Q1196" s="5">
        <f t="shared" si="146"/>
        <v>2</v>
      </c>
      <c r="R1196" s="7">
        <f t="shared" si="147"/>
        <v>0</v>
      </c>
      <c r="S1196" s="7">
        <f t="shared" si="148"/>
        <v>0</v>
      </c>
      <c r="T1196" s="3" t="str">
        <f t="shared" si="149"/>
        <v/>
      </c>
      <c r="V1196" s="1" t="e">
        <f t="shared" si="150"/>
        <v>#DIV/0!</v>
      </c>
    </row>
    <row r="1197" spans="8:22" x14ac:dyDescent="0.3">
      <c r="H1197" s="10" t="str">
        <f>IF(Planilha1!B1194="","",Planilha1!B1194)</f>
        <v>8:00p</v>
      </c>
      <c r="I1197" s="10" t="str">
        <f>IF(Planilha1!C1194="","",Planilha1!C1194)</f>
        <v>Orlando Magic</v>
      </c>
      <c r="J1197" s="10">
        <f>IF(Planilha1!D1194="","",Planilha1!D1194)</f>
        <v>0</v>
      </c>
      <c r="K1197" s="10" t="str">
        <f>IF(Planilha1!E1194="","",IF(Planilha1!E1194=0,"",Planilha1!E1194))</f>
        <v>Milwaukee Bucks</v>
      </c>
      <c r="L1197" s="10">
        <f>IF(Planilha1!F1194="","",Planilha1!F1194)</f>
        <v>0</v>
      </c>
      <c r="M1197" s="10" t="str">
        <f>IF(Planilha1!G1194="","",IF(Planilha1!G1194=0,"",Planilha1!G1194))</f>
        <v/>
      </c>
      <c r="N1197" s="5">
        <f t="shared" si="151"/>
        <v>1</v>
      </c>
      <c r="O1197" s="5">
        <f t="shared" si="152"/>
        <v>0</v>
      </c>
      <c r="P1197" s="5">
        <f t="shared" si="145"/>
        <v>0</v>
      </c>
      <c r="Q1197" s="5">
        <f t="shared" si="146"/>
        <v>2</v>
      </c>
      <c r="R1197" s="7">
        <f t="shared" si="147"/>
        <v>0</v>
      </c>
      <c r="S1197" s="7">
        <f t="shared" si="148"/>
        <v>0</v>
      </c>
      <c r="T1197" s="3" t="str">
        <f t="shared" si="149"/>
        <v/>
      </c>
      <c r="V1197" s="1" t="e">
        <f t="shared" si="150"/>
        <v>#DIV/0!</v>
      </c>
    </row>
    <row r="1198" spans="8:22" x14ac:dyDescent="0.3">
      <c r="H1198" s="10" t="str">
        <f>IF(Planilha1!B1195="","",Planilha1!B1195)</f>
        <v>8:00p</v>
      </c>
      <c r="I1198" s="10" t="str">
        <f>IF(Planilha1!C1195="","",Planilha1!C1195)</f>
        <v>San Antonio Spurs</v>
      </c>
      <c r="J1198" s="10">
        <f>IF(Planilha1!D1195="","",Planilha1!D1195)</f>
        <v>0</v>
      </c>
      <c r="K1198" s="10" t="str">
        <f>IF(Planilha1!E1195="","",IF(Planilha1!E1195=0,"",Planilha1!E1195))</f>
        <v>Oklahoma City Thunder</v>
      </c>
      <c r="L1198" s="10">
        <f>IF(Planilha1!F1195="","",Planilha1!F1195)</f>
        <v>0</v>
      </c>
      <c r="M1198" s="10" t="str">
        <f>IF(Planilha1!G1195="","",IF(Planilha1!G1195=0,"",Planilha1!G1195))</f>
        <v/>
      </c>
      <c r="N1198" s="5">
        <f t="shared" si="151"/>
        <v>1</v>
      </c>
      <c r="O1198" s="5">
        <f t="shared" si="152"/>
        <v>0</v>
      </c>
      <c r="P1198" s="5">
        <f t="shared" si="145"/>
        <v>0</v>
      </c>
      <c r="Q1198" s="5">
        <f t="shared" si="146"/>
        <v>2</v>
      </c>
      <c r="R1198" s="7">
        <f t="shared" si="147"/>
        <v>0</v>
      </c>
      <c r="S1198" s="7">
        <f t="shared" si="148"/>
        <v>0</v>
      </c>
      <c r="T1198" s="3" t="str">
        <f t="shared" si="149"/>
        <v/>
      </c>
      <c r="V1198" s="1" t="e">
        <f t="shared" si="150"/>
        <v>#DIV/0!</v>
      </c>
    </row>
    <row r="1199" spans="8:22" x14ac:dyDescent="0.3">
      <c r="H1199" s="10" t="str">
        <f>IF(Planilha1!B1196="","",Planilha1!B1196)</f>
        <v>10:00p</v>
      </c>
      <c r="I1199" s="10" t="str">
        <f>IF(Planilha1!C1196="","",Planilha1!C1196)</f>
        <v>Minnesota Timberwolves</v>
      </c>
      <c r="J1199" s="10">
        <f>IF(Planilha1!D1196="","",Planilha1!D1196)</f>
        <v>0</v>
      </c>
      <c r="K1199" s="10" t="str">
        <f>IF(Planilha1!E1196="","",IF(Planilha1!E1196=0,"",Planilha1!E1196))</f>
        <v>Denver Nuggets</v>
      </c>
      <c r="L1199" s="10">
        <f>IF(Planilha1!F1196="","",Planilha1!F1196)</f>
        <v>0</v>
      </c>
      <c r="M1199" s="10" t="str">
        <f>IF(Planilha1!G1196="","",IF(Planilha1!G1196=0,"",Planilha1!G1196))</f>
        <v/>
      </c>
      <c r="N1199" s="5">
        <f t="shared" si="151"/>
        <v>1</v>
      </c>
      <c r="O1199" s="5">
        <f t="shared" si="152"/>
        <v>0</v>
      </c>
      <c r="P1199" s="5">
        <f t="shared" si="145"/>
        <v>0</v>
      </c>
      <c r="Q1199" s="5">
        <f t="shared" si="146"/>
        <v>2</v>
      </c>
      <c r="R1199" s="7">
        <f t="shared" si="147"/>
        <v>0</v>
      </c>
      <c r="S1199" s="7">
        <f t="shared" si="148"/>
        <v>0</v>
      </c>
      <c r="T1199" s="3" t="str">
        <f t="shared" si="149"/>
        <v/>
      </c>
      <c r="V1199" s="1" t="e">
        <f t="shared" si="150"/>
        <v>#DIV/0!</v>
      </c>
    </row>
    <row r="1200" spans="8:22" x14ac:dyDescent="0.3">
      <c r="H1200" s="10" t="str">
        <f>IF(Planilha1!B1197="","",Planilha1!B1197)</f>
        <v>10:30p</v>
      </c>
      <c r="I1200" s="10" t="str">
        <f>IF(Planilha1!C1197="","",Planilha1!C1197)</f>
        <v>Phoenix Suns</v>
      </c>
      <c r="J1200" s="10">
        <f>IF(Planilha1!D1197="","",Planilha1!D1197)</f>
        <v>0</v>
      </c>
      <c r="K1200" s="10" t="str">
        <f>IF(Planilha1!E1197="","",IF(Planilha1!E1197=0,"",Planilha1!E1197))</f>
        <v>Los Angeles Clippers</v>
      </c>
      <c r="L1200" s="10">
        <f>IF(Planilha1!F1197="","",Planilha1!F1197)</f>
        <v>0</v>
      </c>
      <c r="M1200" s="10" t="str">
        <f>IF(Planilha1!G1197="","",IF(Planilha1!G1197=0,"",Planilha1!G1197))</f>
        <v/>
      </c>
      <c r="N1200" s="5">
        <f t="shared" si="151"/>
        <v>1</v>
      </c>
      <c r="O1200" s="5">
        <f t="shared" si="152"/>
        <v>0</v>
      </c>
      <c r="P1200" s="5">
        <f t="shared" si="145"/>
        <v>0</v>
      </c>
      <c r="Q1200" s="5">
        <f t="shared" si="146"/>
        <v>2</v>
      </c>
      <c r="R1200" s="7">
        <f t="shared" si="147"/>
        <v>0</v>
      </c>
      <c r="S1200" s="7">
        <f t="shared" si="148"/>
        <v>0</v>
      </c>
      <c r="T1200" s="3" t="str">
        <f t="shared" si="149"/>
        <v/>
      </c>
      <c r="V1200" s="1" t="e">
        <f t="shared" si="150"/>
        <v>#DIV/0!</v>
      </c>
    </row>
    <row r="1201" spans="8:22" x14ac:dyDescent="0.3">
      <c r="H1201" s="10" t="str">
        <f>IF(Planilha1!B1198="","",Planilha1!B1198)</f>
        <v>7:00p</v>
      </c>
      <c r="I1201" s="10" t="str">
        <f>IF(Planilha1!C1198="","",Planilha1!C1198)</f>
        <v>Chicago Bulls</v>
      </c>
      <c r="J1201" s="10">
        <f>IF(Planilha1!D1198="","",Planilha1!D1198)</f>
        <v>0</v>
      </c>
      <c r="K1201" s="10" t="str">
        <f>IF(Planilha1!E1198="","",IF(Planilha1!E1198=0,"",Planilha1!E1198))</f>
        <v>Detroit Pistons</v>
      </c>
      <c r="L1201" s="10">
        <f>IF(Planilha1!F1198="","",Planilha1!F1198)</f>
        <v>0</v>
      </c>
      <c r="M1201" s="10" t="str">
        <f>IF(Planilha1!G1198="","",IF(Planilha1!G1198=0,"",Planilha1!G1198))</f>
        <v/>
      </c>
      <c r="N1201" s="5">
        <f t="shared" si="151"/>
        <v>1</v>
      </c>
      <c r="O1201" s="5">
        <f t="shared" si="152"/>
        <v>0</v>
      </c>
      <c r="P1201" s="5">
        <f t="shared" si="145"/>
        <v>0</v>
      </c>
      <c r="Q1201" s="5">
        <f t="shared" si="146"/>
        <v>2</v>
      </c>
      <c r="R1201" s="7">
        <f t="shared" si="147"/>
        <v>0</v>
      </c>
      <c r="S1201" s="7">
        <f t="shared" si="148"/>
        <v>0</v>
      </c>
      <c r="T1201" s="3" t="str">
        <f t="shared" si="149"/>
        <v/>
      </c>
      <c r="V1201" s="1" t="e">
        <f t="shared" si="150"/>
        <v>#DIV/0!</v>
      </c>
    </row>
    <row r="1202" spans="8:22" x14ac:dyDescent="0.3">
      <c r="H1202" s="10" t="str">
        <f>IF(Planilha1!B1199="","",Planilha1!B1199)</f>
        <v>7:30p</v>
      </c>
      <c r="I1202" s="10" t="str">
        <f>IF(Planilha1!C1199="","",Planilha1!C1199)</f>
        <v>New York Knicks</v>
      </c>
      <c r="J1202" s="10">
        <f>IF(Planilha1!D1199="","",Planilha1!D1199)</f>
        <v>0</v>
      </c>
      <c r="K1202" s="10" t="str">
        <f>IF(Planilha1!E1199="","",IF(Planilha1!E1199=0,"",Planilha1!E1199))</f>
        <v>Boston Celtics</v>
      </c>
      <c r="L1202" s="10">
        <f>IF(Planilha1!F1199="","",Planilha1!F1199)</f>
        <v>0</v>
      </c>
      <c r="M1202" s="10" t="str">
        <f>IF(Planilha1!G1199="","",IF(Planilha1!G1199=0,"",Planilha1!G1199))</f>
        <v/>
      </c>
      <c r="N1202" s="5">
        <f t="shared" si="151"/>
        <v>1</v>
      </c>
      <c r="O1202" s="5">
        <f t="shared" si="152"/>
        <v>0</v>
      </c>
      <c r="P1202" s="5">
        <f t="shared" si="145"/>
        <v>0</v>
      </c>
      <c r="Q1202" s="5">
        <f t="shared" si="146"/>
        <v>2</v>
      </c>
      <c r="R1202" s="7">
        <f t="shared" si="147"/>
        <v>0</v>
      </c>
      <c r="S1202" s="7">
        <f t="shared" si="148"/>
        <v>0</v>
      </c>
      <c r="T1202" s="3" t="str">
        <f t="shared" si="149"/>
        <v/>
      </c>
      <c r="V1202" s="1" t="e">
        <f t="shared" si="150"/>
        <v>#DIV/0!</v>
      </c>
    </row>
    <row r="1203" spans="8:22" x14ac:dyDescent="0.3">
      <c r="H1203" s="10" t="str">
        <f>IF(Planilha1!B1200="","",Planilha1!B1200)</f>
        <v>9:00p</v>
      </c>
      <c r="I1203" s="10" t="str">
        <f>IF(Planilha1!C1200="","",Planilha1!C1200)</f>
        <v>Houston Rockets</v>
      </c>
      <c r="J1203" s="10">
        <f>IF(Planilha1!D1200="","",Planilha1!D1200)</f>
        <v>0</v>
      </c>
      <c r="K1203" s="10" t="str">
        <f>IF(Planilha1!E1200="","",IF(Planilha1!E1200=0,"",Planilha1!E1200))</f>
        <v>Utah Jazz</v>
      </c>
      <c r="L1203" s="10">
        <f>IF(Planilha1!F1200="","",Planilha1!F1200)</f>
        <v>0</v>
      </c>
      <c r="M1203" s="10" t="str">
        <f>IF(Planilha1!G1200="","",IF(Planilha1!G1200=0,"",Planilha1!G1200))</f>
        <v/>
      </c>
      <c r="N1203" s="5">
        <f t="shared" si="151"/>
        <v>1</v>
      </c>
      <c r="O1203" s="5">
        <f t="shared" si="152"/>
        <v>0</v>
      </c>
      <c r="P1203" s="5">
        <f t="shared" si="145"/>
        <v>0</v>
      </c>
      <c r="Q1203" s="5">
        <f t="shared" si="146"/>
        <v>2</v>
      </c>
      <c r="R1203" s="7">
        <f t="shared" si="147"/>
        <v>0</v>
      </c>
      <c r="S1203" s="7">
        <f t="shared" si="148"/>
        <v>0</v>
      </c>
      <c r="T1203" s="3" t="str">
        <f t="shared" si="149"/>
        <v/>
      </c>
      <c r="V1203" s="1" t="e">
        <f t="shared" si="150"/>
        <v>#DIV/0!</v>
      </c>
    </row>
    <row r="1204" spans="8:22" x14ac:dyDescent="0.3">
      <c r="H1204" s="10" t="str">
        <f>IF(Planilha1!B1201="","",Planilha1!B1201)</f>
        <v>10:00p</v>
      </c>
      <c r="I1204" s="10" t="str">
        <f>IF(Planilha1!C1201="","",Planilha1!C1201)</f>
        <v>Golden State Warriors</v>
      </c>
      <c r="J1204" s="10">
        <f>IF(Planilha1!D1201="","",Planilha1!D1201)</f>
        <v>0</v>
      </c>
      <c r="K1204" s="10" t="str">
        <f>IF(Planilha1!E1201="","",IF(Planilha1!E1201=0,"",Planilha1!E1201))</f>
        <v>Portland Trail Blazers</v>
      </c>
      <c r="L1204" s="10">
        <f>IF(Planilha1!F1201="","",Planilha1!F1201)</f>
        <v>0</v>
      </c>
      <c r="M1204" s="10" t="str">
        <f>IF(Planilha1!G1201="","",IF(Planilha1!G1201=0,"",Planilha1!G1201))</f>
        <v/>
      </c>
      <c r="N1204" s="5">
        <f t="shared" si="151"/>
        <v>1</v>
      </c>
      <c r="O1204" s="5">
        <f t="shared" si="152"/>
        <v>0</v>
      </c>
      <c r="P1204" s="5">
        <f t="shared" si="145"/>
        <v>0</v>
      </c>
      <c r="Q1204" s="5">
        <f t="shared" si="146"/>
        <v>2</v>
      </c>
      <c r="R1204" s="7">
        <f t="shared" si="147"/>
        <v>0</v>
      </c>
      <c r="S1204" s="7">
        <f t="shared" si="148"/>
        <v>0</v>
      </c>
      <c r="T1204" s="3" t="str">
        <f t="shared" si="149"/>
        <v/>
      </c>
      <c r="V1204" s="1" t="e">
        <f t="shared" si="150"/>
        <v>#DIV/0!</v>
      </c>
    </row>
    <row r="1205" spans="8:22" x14ac:dyDescent="0.3">
      <c r="H1205" s="10" t="str">
        <f>IF(Planilha1!B1202="","",Planilha1!B1202)</f>
        <v>10:00p</v>
      </c>
      <c r="I1205" s="10" t="str">
        <f>IF(Planilha1!C1202="","",Planilha1!C1202)</f>
        <v>New Orleans Pelicans</v>
      </c>
      <c r="J1205" s="10">
        <f>IF(Planilha1!D1202="","",Planilha1!D1202)</f>
        <v>0</v>
      </c>
      <c r="K1205" s="10" t="str">
        <f>IF(Planilha1!E1202="","",IF(Planilha1!E1202=0,"",Planilha1!E1202))</f>
        <v>Sacramento Kings</v>
      </c>
      <c r="L1205" s="10">
        <f>IF(Planilha1!F1202="","",Planilha1!F1202)</f>
        <v>0</v>
      </c>
      <c r="M1205" s="10" t="str">
        <f>IF(Planilha1!G1202="","",IF(Planilha1!G1202=0,"",Planilha1!G1202))</f>
        <v/>
      </c>
      <c r="N1205" s="5">
        <f t="shared" si="151"/>
        <v>1</v>
      </c>
      <c r="O1205" s="5">
        <f t="shared" si="152"/>
        <v>0</v>
      </c>
      <c r="P1205" s="5">
        <f t="shared" si="145"/>
        <v>0</v>
      </c>
      <c r="Q1205" s="5">
        <f t="shared" si="146"/>
        <v>2</v>
      </c>
      <c r="R1205" s="7">
        <f t="shared" si="147"/>
        <v>0</v>
      </c>
      <c r="S1205" s="7">
        <f t="shared" si="148"/>
        <v>0</v>
      </c>
      <c r="T1205" s="3" t="str">
        <f t="shared" si="149"/>
        <v/>
      </c>
      <c r="V1205" s="1" t="e">
        <f t="shared" si="150"/>
        <v>#DIV/0!</v>
      </c>
    </row>
    <row r="1206" spans="8:22" x14ac:dyDescent="0.3">
      <c r="H1206" s="10" t="str">
        <f>IF(Planilha1!B1203="","",Planilha1!B1203)</f>
        <v>7:00p</v>
      </c>
      <c r="I1206" s="10" t="str">
        <f>IF(Planilha1!C1203="","",Planilha1!C1203)</f>
        <v>Orlando Magic</v>
      </c>
      <c r="J1206" s="10">
        <f>IF(Planilha1!D1203="","",Planilha1!D1203)</f>
        <v>0</v>
      </c>
      <c r="K1206" s="10" t="str">
        <f>IF(Planilha1!E1203="","",IF(Planilha1!E1203=0,"",Planilha1!E1203))</f>
        <v>Philadelphia 76ers</v>
      </c>
      <c r="L1206" s="10">
        <f>IF(Planilha1!F1203="","",Planilha1!F1203)</f>
        <v>0</v>
      </c>
      <c r="M1206" s="10" t="str">
        <f>IF(Planilha1!G1203="","",IF(Planilha1!G1203=0,"",Planilha1!G1203))</f>
        <v/>
      </c>
      <c r="N1206" s="5">
        <f t="shared" si="151"/>
        <v>1</v>
      </c>
      <c r="O1206" s="5">
        <f t="shared" si="152"/>
        <v>0</v>
      </c>
      <c r="P1206" s="5">
        <f t="shared" si="145"/>
        <v>0</v>
      </c>
      <c r="Q1206" s="5">
        <f t="shared" si="146"/>
        <v>2</v>
      </c>
      <c r="R1206" s="7">
        <f t="shared" si="147"/>
        <v>0</v>
      </c>
      <c r="S1206" s="7">
        <f t="shared" si="148"/>
        <v>0</v>
      </c>
      <c r="T1206" s="3" t="str">
        <f t="shared" si="149"/>
        <v/>
      </c>
      <c r="V1206" s="1" t="e">
        <f t="shared" si="150"/>
        <v>#DIV/0!</v>
      </c>
    </row>
    <row r="1207" spans="8:22" x14ac:dyDescent="0.3">
      <c r="H1207" s="10" t="str">
        <f>IF(Planilha1!B1204="","",Planilha1!B1204)</f>
        <v>7:00p</v>
      </c>
      <c r="I1207" s="10" t="str">
        <f>IF(Planilha1!C1204="","",Planilha1!C1204)</f>
        <v>Chicago Bulls</v>
      </c>
      <c r="J1207" s="10">
        <f>IF(Planilha1!D1204="","",Planilha1!D1204)</f>
        <v>0</v>
      </c>
      <c r="K1207" s="10" t="str">
        <f>IF(Planilha1!E1204="","",IF(Planilha1!E1204=0,"",Planilha1!E1204))</f>
        <v>Washington Wizards</v>
      </c>
      <c r="L1207" s="10">
        <f>IF(Planilha1!F1204="","",Planilha1!F1204)</f>
        <v>0</v>
      </c>
      <c r="M1207" s="10" t="str">
        <f>IF(Planilha1!G1204="","",IF(Planilha1!G1204=0,"",Planilha1!G1204))</f>
        <v/>
      </c>
      <c r="N1207" s="5">
        <f t="shared" si="151"/>
        <v>1</v>
      </c>
      <c r="O1207" s="5">
        <f t="shared" si="152"/>
        <v>0</v>
      </c>
      <c r="P1207" s="5">
        <f t="shared" si="145"/>
        <v>0</v>
      </c>
      <c r="Q1207" s="5">
        <f t="shared" si="146"/>
        <v>2</v>
      </c>
      <c r="R1207" s="7">
        <f t="shared" si="147"/>
        <v>0</v>
      </c>
      <c r="S1207" s="7">
        <f t="shared" si="148"/>
        <v>0</v>
      </c>
      <c r="T1207" s="3" t="str">
        <f t="shared" si="149"/>
        <v/>
      </c>
      <c r="V1207" s="1" t="e">
        <f t="shared" si="150"/>
        <v>#DIV/0!</v>
      </c>
    </row>
    <row r="1208" spans="8:22" x14ac:dyDescent="0.3">
      <c r="H1208" s="10" t="str">
        <f>IF(Planilha1!B1205="","",Planilha1!B1205)</f>
        <v>7:30p</v>
      </c>
      <c r="I1208" s="10" t="str">
        <f>IF(Planilha1!C1205="","",Planilha1!C1205)</f>
        <v>Charlotte Hornets</v>
      </c>
      <c r="J1208" s="10">
        <f>IF(Planilha1!D1205="","",Planilha1!D1205)</f>
        <v>0</v>
      </c>
      <c r="K1208" s="10" t="str">
        <f>IF(Planilha1!E1205="","",IF(Planilha1!E1205=0,"",Planilha1!E1205))</f>
        <v>Boston Celtics</v>
      </c>
      <c r="L1208" s="10">
        <f>IF(Planilha1!F1205="","",Planilha1!F1205)</f>
        <v>0</v>
      </c>
      <c r="M1208" s="10" t="str">
        <f>IF(Planilha1!G1205="","",IF(Planilha1!G1205=0,"",Planilha1!G1205))</f>
        <v/>
      </c>
      <c r="N1208" s="5">
        <f t="shared" si="151"/>
        <v>1</v>
      </c>
      <c r="O1208" s="5">
        <f t="shared" si="152"/>
        <v>0</v>
      </c>
      <c r="P1208" s="5">
        <f t="shared" si="145"/>
        <v>0</v>
      </c>
      <c r="Q1208" s="5">
        <f t="shared" si="146"/>
        <v>2</v>
      </c>
      <c r="R1208" s="7">
        <f t="shared" si="147"/>
        <v>0</v>
      </c>
      <c r="S1208" s="7">
        <f t="shared" si="148"/>
        <v>0</v>
      </c>
      <c r="T1208" s="3" t="str">
        <f t="shared" si="149"/>
        <v/>
      </c>
      <c r="V1208" s="1" t="e">
        <f t="shared" si="150"/>
        <v>#DIV/0!</v>
      </c>
    </row>
    <row r="1209" spans="8:22" x14ac:dyDescent="0.3">
      <c r="H1209" s="10" t="str">
        <f>IF(Planilha1!B1206="","",Planilha1!B1206)</f>
        <v>7:30p</v>
      </c>
      <c r="I1209" s="10" t="str">
        <f>IF(Planilha1!C1206="","",Planilha1!C1206)</f>
        <v>Indiana Pacers</v>
      </c>
      <c r="J1209" s="10">
        <f>IF(Planilha1!D1206="","",Planilha1!D1206)</f>
        <v>0</v>
      </c>
      <c r="K1209" s="10" t="str">
        <f>IF(Planilha1!E1206="","",IF(Planilha1!E1206=0,"",Planilha1!E1206))</f>
        <v>Cleveland Cavaliers</v>
      </c>
      <c r="L1209" s="10">
        <f>IF(Planilha1!F1206="","",Planilha1!F1206)</f>
        <v>0</v>
      </c>
      <c r="M1209" s="10" t="str">
        <f>IF(Planilha1!G1206="","",IF(Planilha1!G1206=0,"",Planilha1!G1206))</f>
        <v/>
      </c>
      <c r="N1209" s="5">
        <f t="shared" si="151"/>
        <v>1</v>
      </c>
      <c r="O1209" s="5">
        <f t="shared" si="152"/>
        <v>0</v>
      </c>
      <c r="P1209" s="5">
        <f t="shared" si="145"/>
        <v>0</v>
      </c>
      <c r="Q1209" s="5">
        <f t="shared" si="146"/>
        <v>2</v>
      </c>
      <c r="R1209" s="7">
        <f t="shared" si="147"/>
        <v>0</v>
      </c>
      <c r="S1209" s="7">
        <f t="shared" si="148"/>
        <v>0</v>
      </c>
      <c r="T1209" s="3" t="str">
        <f t="shared" si="149"/>
        <v/>
      </c>
      <c r="V1209" s="1" t="e">
        <f t="shared" si="150"/>
        <v>#DIV/0!</v>
      </c>
    </row>
    <row r="1210" spans="8:22" x14ac:dyDescent="0.3">
      <c r="H1210" s="10" t="str">
        <f>IF(Planilha1!B1207="","",Planilha1!B1207)</f>
        <v>7:30p</v>
      </c>
      <c r="I1210" s="10" t="str">
        <f>IF(Planilha1!C1207="","",Planilha1!C1207)</f>
        <v>Brooklyn Nets</v>
      </c>
      <c r="J1210" s="10">
        <f>IF(Planilha1!D1207="","",Planilha1!D1207)</f>
        <v>0</v>
      </c>
      <c r="K1210" s="10" t="str">
        <f>IF(Planilha1!E1207="","",IF(Planilha1!E1207=0,"",Planilha1!E1207))</f>
        <v>New York Knicks</v>
      </c>
      <c r="L1210" s="10">
        <f>IF(Planilha1!F1207="","",Planilha1!F1207)</f>
        <v>0</v>
      </c>
      <c r="M1210" s="10" t="str">
        <f>IF(Planilha1!G1207="","",IF(Planilha1!G1207=0,"",Planilha1!G1207))</f>
        <v/>
      </c>
      <c r="N1210" s="5">
        <f t="shared" si="151"/>
        <v>1</v>
      </c>
      <c r="O1210" s="5">
        <f t="shared" si="152"/>
        <v>0</v>
      </c>
      <c r="P1210" s="5">
        <f t="shared" si="145"/>
        <v>0</v>
      </c>
      <c r="Q1210" s="5">
        <f t="shared" si="146"/>
        <v>2</v>
      </c>
      <c r="R1210" s="7">
        <f t="shared" si="147"/>
        <v>0</v>
      </c>
      <c r="S1210" s="7">
        <f t="shared" si="148"/>
        <v>0</v>
      </c>
      <c r="T1210" s="3" t="str">
        <f t="shared" si="149"/>
        <v/>
      </c>
      <c r="V1210" s="1" t="e">
        <f t="shared" si="150"/>
        <v>#DIV/0!</v>
      </c>
    </row>
    <row r="1211" spans="8:22" x14ac:dyDescent="0.3">
      <c r="H1211" s="10" t="str">
        <f>IF(Planilha1!B1208="","",Planilha1!B1208)</f>
        <v>8:00p</v>
      </c>
      <c r="I1211" s="10" t="str">
        <f>IF(Planilha1!C1208="","",Planilha1!C1208)</f>
        <v>Los Angeles Lakers</v>
      </c>
      <c r="J1211" s="10">
        <f>IF(Planilha1!D1208="","",Planilha1!D1208)</f>
        <v>0</v>
      </c>
      <c r="K1211" s="10" t="str">
        <f>IF(Planilha1!E1208="","",IF(Planilha1!E1208=0,"",Planilha1!E1208))</f>
        <v>Memphis Grizzlies</v>
      </c>
      <c r="L1211" s="10">
        <f>IF(Planilha1!F1208="","",Planilha1!F1208)</f>
        <v>0</v>
      </c>
      <c r="M1211" s="10" t="str">
        <f>IF(Planilha1!G1208="","",IF(Planilha1!G1208=0,"",Planilha1!G1208))</f>
        <v/>
      </c>
      <c r="N1211" s="5">
        <f t="shared" si="151"/>
        <v>1</v>
      </c>
      <c r="O1211" s="5">
        <f t="shared" si="152"/>
        <v>0</v>
      </c>
      <c r="P1211" s="5">
        <f t="shared" si="145"/>
        <v>0</v>
      </c>
      <c r="Q1211" s="5">
        <f t="shared" si="146"/>
        <v>2</v>
      </c>
      <c r="R1211" s="7">
        <f t="shared" si="147"/>
        <v>0</v>
      </c>
      <c r="S1211" s="7">
        <f t="shared" si="148"/>
        <v>0</v>
      </c>
      <c r="T1211" s="3" t="str">
        <f t="shared" si="149"/>
        <v/>
      </c>
      <c r="V1211" s="1" t="e">
        <f t="shared" si="150"/>
        <v>#DIV/0!</v>
      </c>
    </row>
    <row r="1212" spans="8:22" x14ac:dyDescent="0.3">
      <c r="H1212" s="10" t="str">
        <f>IF(Planilha1!B1209="","",Planilha1!B1209)</f>
        <v>8:00p</v>
      </c>
      <c r="I1212" s="10" t="str">
        <f>IF(Planilha1!C1209="","",Planilha1!C1209)</f>
        <v>Toronto Raptors</v>
      </c>
      <c r="J1212" s="10">
        <f>IF(Planilha1!D1209="","",Planilha1!D1209)</f>
        <v>0</v>
      </c>
      <c r="K1212" s="10" t="str">
        <f>IF(Planilha1!E1209="","",IF(Planilha1!E1209=0,"",Planilha1!E1209))</f>
        <v>Miami Heat</v>
      </c>
      <c r="L1212" s="10">
        <f>IF(Planilha1!F1209="","",Planilha1!F1209)</f>
        <v>0</v>
      </c>
      <c r="M1212" s="10" t="str">
        <f>IF(Planilha1!G1209="","",IF(Planilha1!G1209=0,"",Planilha1!G1209))</f>
        <v/>
      </c>
      <c r="N1212" s="5">
        <f t="shared" si="151"/>
        <v>1</v>
      </c>
      <c r="O1212" s="5">
        <f t="shared" si="152"/>
        <v>0</v>
      </c>
      <c r="P1212" s="5">
        <f t="shared" si="145"/>
        <v>0</v>
      </c>
      <c r="Q1212" s="5">
        <f t="shared" si="146"/>
        <v>2</v>
      </c>
      <c r="R1212" s="7">
        <f t="shared" si="147"/>
        <v>0</v>
      </c>
      <c r="S1212" s="7">
        <f t="shared" si="148"/>
        <v>0</v>
      </c>
      <c r="T1212" s="3" t="str">
        <f t="shared" si="149"/>
        <v/>
      </c>
      <c r="V1212" s="1" t="e">
        <f t="shared" si="150"/>
        <v>#DIV/0!</v>
      </c>
    </row>
    <row r="1213" spans="8:22" x14ac:dyDescent="0.3">
      <c r="H1213" s="10" t="str">
        <f>IF(Planilha1!B1210="","",Planilha1!B1210)</f>
        <v>8:00p</v>
      </c>
      <c r="I1213" s="10" t="str">
        <f>IF(Planilha1!C1210="","",Planilha1!C1210)</f>
        <v>Atlanta Hawks</v>
      </c>
      <c r="J1213" s="10">
        <f>IF(Planilha1!D1210="","",Planilha1!D1210)</f>
        <v>0</v>
      </c>
      <c r="K1213" s="10" t="str">
        <f>IF(Planilha1!E1210="","",IF(Planilha1!E1210=0,"",Planilha1!E1210))</f>
        <v>Minnesota Timberwolves</v>
      </c>
      <c r="L1213" s="10">
        <f>IF(Planilha1!F1210="","",Planilha1!F1210)</f>
        <v>0</v>
      </c>
      <c r="M1213" s="10" t="str">
        <f>IF(Planilha1!G1210="","",IF(Planilha1!G1210=0,"",Planilha1!G1210))</f>
        <v/>
      </c>
      <c r="N1213" s="5">
        <f t="shared" si="151"/>
        <v>1</v>
      </c>
      <c r="O1213" s="5">
        <f t="shared" si="152"/>
        <v>0</v>
      </c>
      <c r="P1213" s="5">
        <f t="shared" si="145"/>
        <v>0</v>
      </c>
      <c r="Q1213" s="5">
        <f t="shared" si="146"/>
        <v>2</v>
      </c>
      <c r="R1213" s="7">
        <f t="shared" si="147"/>
        <v>0</v>
      </c>
      <c r="S1213" s="7">
        <f t="shared" si="148"/>
        <v>0</v>
      </c>
      <c r="T1213" s="3" t="str">
        <f t="shared" si="149"/>
        <v/>
      </c>
      <c r="V1213" s="1" t="e">
        <f t="shared" si="150"/>
        <v>#DIV/0!</v>
      </c>
    </row>
    <row r="1214" spans="8:22" x14ac:dyDescent="0.3">
      <c r="H1214" s="10" t="str">
        <f>IF(Planilha1!B1211="","",Planilha1!B1211)</f>
        <v>8:00p</v>
      </c>
      <c r="I1214" s="10" t="str">
        <f>IF(Planilha1!C1211="","",Planilha1!C1211)</f>
        <v>Milwaukee Bucks</v>
      </c>
      <c r="J1214" s="10">
        <f>IF(Planilha1!D1211="","",Planilha1!D1211)</f>
        <v>0</v>
      </c>
      <c r="K1214" s="10" t="str">
        <f>IF(Planilha1!E1211="","",IF(Planilha1!E1211=0,"",Planilha1!E1211))</f>
        <v>Oklahoma City Thunder</v>
      </c>
      <c r="L1214" s="10">
        <f>IF(Planilha1!F1211="","",Planilha1!F1211)</f>
        <v>0</v>
      </c>
      <c r="M1214" s="10" t="str">
        <f>IF(Planilha1!G1211="","",IF(Planilha1!G1211=0,"",Planilha1!G1211))</f>
        <v/>
      </c>
      <c r="N1214" s="5">
        <f t="shared" si="151"/>
        <v>1</v>
      </c>
      <c r="O1214" s="5">
        <f t="shared" si="152"/>
        <v>0</v>
      </c>
      <c r="P1214" s="5">
        <f t="shared" si="145"/>
        <v>0</v>
      </c>
      <c r="Q1214" s="5">
        <f t="shared" si="146"/>
        <v>2</v>
      </c>
      <c r="R1214" s="7">
        <f t="shared" si="147"/>
        <v>0</v>
      </c>
      <c r="S1214" s="7">
        <f t="shared" si="148"/>
        <v>0</v>
      </c>
      <c r="T1214" s="3" t="str">
        <f t="shared" si="149"/>
        <v/>
      </c>
      <c r="V1214" s="1" t="e">
        <f t="shared" si="150"/>
        <v>#DIV/0!</v>
      </c>
    </row>
    <row r="1215" spans="8:22" x14ac:dyDescent="0.3">
      <c r="H1215" s="10" t="str">
        <f>IF(Planilha1!B1212="","",Planilha1!B1212)</f>
        <v>8:00p</v>
      </c>
      <c r="I1215" s="10" t="str">
        <f>IF(Planilha1!C1212="","",Planilha1!C1212)</f>
        <v>Denver Nuggets</v>
      </c>
      <c r="J1215" s="10">
        <f>IF(Planilha1!D1212="","",Planilha1!D1212)</f>
        <v>0</v>
      </c>
      <c r="K1215" s="10" t="str">
        <f>IF(Planilha1!E1212="","",IF(Planilha1!E1212=0,"",Planilha1!E1212))</f>
        <v>San Antonio Spurs</v>
      </c>
      <c r="L1215" s="10">
        <f>IF(Planilha1!F1212="","",Planilha1!F1212)</f>
        <v>0</v>
      </c>
      <c r="M1215" s="10" t="str">
        <f>IF(Planilha1!G1212="","",IF(Planilha1!G1212=0,"",Planilha1!G1212))</f>
        <v/>
      </c>
      <c r="N1215" s="5">
        <f t="shared" si="151"/>
        <v>1</v>
      </c>
      <c r="O1215" s="5">
        <f t="shared" si="152"/>
        <v>0</v>
      </c>
      <c r="P1215" s="5">
        <f t="shared" si="145"/>
        <v>0</v>
      </c>
      <c r="Q1215" s="5">
        <f t="shared" si="146"/>
        <v>2</v>
      </c>
      <c r="R1215" s="7">
        <f t="shared" si="147"/>
        <v>0</v>
      </c>
      <c r="S1215" s="7">
        <f t="shared" si="148"/>
        <v>0</v>
      </c>
      <c r="T1215" s="3" t="str">
        <f t="shared" si="149"/>
        <v/>
      </c>
      <c r="V1215" s="1" t="e">
        <f t="shared" si="150"/>
        <v>#DIV/0!</v>
      </c>
    </row>
    <row r="1216" spans="8:22" x14ac:dyDescent="0.3">
      <c r="H1216" s="10" t="str">
        <f>IF(Planilha1!B1213="","",Planilha1!B1213)</f>
        <v>8:30p</v>
      </c>
      <c r="I1216" s="10" t="str">
        <f>IF(Planilha1!C1213="","",Planilha1!C1213)</f>
        <v>Detroit Pistons</v>
      </c>
      <c r="J1216" s="10">
        <f>IF(Planilha1!D1213="","",Planilha1!D1213)</f>
        <v>0</v>
      </c>
      <c r="K1216" s="10" t="str">
        <f>IF(Planilha1!E1213="","",IF(Planilha1!E1213=0,"",Planilha1!E1213))</f>
        <v>Dallas Mavericks</v>
      </c>
      <c r="L1216" s="10">
        <f>IF(Planilha1!F1213="","",Planilha1!F1213)</f>
        <v>0</v>
      </c>
      <c r="M1216" s="10" t="str">
        <f>IF(Planilha1!G1213="","",IF(Planilha1!G1213=0,"",Planilha1!G1213))</f>
        <v/>
      </c>
      <c r="N1216" s="5">
        <f t="shared" si="151"/>
        <v>1</v>
      </c>
      <c r="O1216" s="5">
        <f t="shared" si="152"/>
        <v>0</v>
      </c>
      <c r="P1216" s="5">
        <f t="shared" si="145"/>
        <v>0</v>
      </c>
      <c r="Q1216" s="5">
        <f t="shared" si="146"/>
        <v>2</v>
      </c>
      <c r="R1216" s="7">
        <f t="shared" si="147"/>
        <v>0</v>
      </c>
      <c r="S1216" s="7">
        <f t="shared" si="148"/>
        <v>0</v>
      </c>
      <c r="T1216" s="3" t="str">
        <f t="shared" si="149"/>
        <v/>
      </c>
      <c r="V1216" s="1" t="e">
        <f t="shared" si="150"/>
        <v>#DIV/0!</v>
      </c>
    </row>
    <row r="1217" spans="8:22" x14ac:dyDescent="0.3">
      <c r="H1217" s="10" t="str">
        <f>IF(Planilha1!B1214="","",Planilha1!B1214)</f>
        <v>10:00p</v>
      </c>
      <c r="I1217" s="10" t="str">
        <f>IF(Planilha1!C1214="","",Planilha1!C1214)</f>
        <v>New Orleans Pelicans</v>
      </c>
      <c r="J1217" s="10">
        <f>IF(Planilha1!D1214="","",Planilha1!D1214)</f>
        <v>0</v>
      </c>
      <c r="K1217" s="10" t="str">
        <f>IF(Planilha1!E1214="","",IF(Planilha1!E1214=0,"",Planilha1!E1214))</f>
        <v>Golden State Warriors</v>
      </c>
      <c r="L1217" s="10">
        <f>IF(Planilha1!F1214="","",Planilha1!F1214)</f>
        <v>0</v>
      </c>
      <c r="M1217" s="10" t="str">
        <f>IF(Planilha1!G1214="","",IF(Planilha1!G1214=0,"",Planilha1!G1214))</f>
        <v/>
      </c>
      <c r="N1217" s="5">
        <f t="shared" si="151"/>
        <v>1</v>
      </c>
      <c r="O1217" s="5">
        <f t="shared" si="152"/>
        <v>0</v>
      </c>
      <c r="P1217" s="5">
        <f t="shared" si="145"/>
        <v>0</v>
      </c>
      <c r="Q1217" s="5">
        <f t="shared" si="146"/>
        <v>2</v>
      </c>
      <c r="R1217" s="7">
        <f t="shared" si="147"/>
        <v>0</v>
      </c>
      <c r="S1217" s="7">
        <f t="shared" si="148"/>
        <v>0</v>
      </c>
      <c r="T1217" s="3" t="str">
        <f t="shared" si="149"/>
        <v/>
      </c>
      <c r="V1217" s="1" t="e">
        <f t="shared" si="150"/>
        <v>#DIV/0!</v>
      </c>
    </row>
    <row r="1218" spans="8:22" x14ac:dyDescent="0.3">
      <c r="H1218" s="10" t="str">
        <f>IF(Planilha1!B1215="","",Planilha1!B1215)</f>
        <v>10:00p</v>
      </c>
      <c r="I1218" s="10" t="str">
        <f>IF(Planilha1!C1215="","",Planilha1!C1215)</f>
        <v>Houston Rockets</v>
      </c>
      <c r="J1218" s="10">
        <f>IF(Planilha1!D1215="","",Planilha1!D1215)</f>
        <v>0</v>
      </c>
      <c r="K1218" s="10" t="str">
        <f>IF(Planilha1!E1215="","",IF(Planilha1!E1215=0,"",Planilha1!E1215))</f>
        <v>Portland Trail Blazers</v>
      </c>
      <c r="L1218" s="10">
        <f>IF(Planilha1!F1215="","",Planilha1!F1215)</f>
        <v>0</v>
      </c>
      <c r="M1218" s="10" t="str">
        <f>IF(Planilha1!G1215="","",IF(Planilha1!G1215=0,"",Planilha1!G1215))</f>
        <v/>
      </c>
      <c r="N1218" s="5">
        <f t="shared" si="151"/>
        <v>1</v>
      </c>
      <c r="O1218" s="5">
        <f t="shared" si="152"/>
        <v>0</v>
      </c>
      <c r="P1218" s="5">
        <f t="shared" si="145"/>
        <v>0</v>
      </c>
      <c r="Q1218" s="5">
        <f t="shared" si="146"/>
        <v>2</v>
      </c>
      <c r="R1218" s="7">
        <f t="shared" si="147"/>
        <v>0</v>
      </c>
      <c r="S1218" s="7">
        <f t="shared" si="148"/>
        <v>0</v>
      </c>
      <c r="T1218" s="3" t="str">
        <f t="shared" si="149"/>
        <v/>
      </c>
      <c r="V1218" s="1" t="e">
        <f t="shared" si="150"/>
        <v>#DIV/0!</v>
      </c>
    </row>
    <row r="1219" spans="8:22" x14ac:dyDescent="0.3">
      <c r="H1219" s="10" t="str">
        <f>IF(Planilha1!B1216="","",Planilha1!B1216)</f>
        <v>10:30p</v>
      </c>
      <c r="I1219" s="10" t="str">
        <f>IF(Planilha1!C1216="","",Planilha1!C1216)</f>
        <v>Utah Jazz</v>
      </c>
      <c r="J1219" s="10">
        <f>IF(Planilha1!D1216="","",Planilha1!D1216)</f>
        <v>0</v>
      </c>
      <c r="K1219" s="10" t="str">
        <f>IF(Planilha1!E1216="","",IF(Planilha1!E1216=0,"",Planilha1!E1216))</f>
        <v>Los Angeles Clippers</v>
      </c>
      <c r="L1219" s="10">
        <f>IF(Planilha1!F1216="","",Planilha1!F1216)</f>
        <v>0</v>
      </c>
      <c r="M1219" s="10" t="str">
        <f>IF(Planilha1!G1216="","",IF(Planilha1!G1216=0,"",Planilha1!G1216))</f>
        <v/>
      </c>
      <c r="N1219" s="5">
        <f t="shared" si="151"/>
        <v>1</v>
      </c>
      <c r="O1219" s="5">
        <f t="shared" si="152"/>
        <v>0</v>
      </c>
      <c r="P1219" s="5">
        <f t="shared" si="145"/>
        <v>0</v>
      </c>
      <c r="Q1219" s="5">
        <f t="shared" si="146"/>
        <v>2</v>
      </c>
      <c r="R1219" s="7">
        <f t="shared" si="147"/>
        <v>0</v>
      </c>
      <c r="S1219" s="7">
        <f t="shared" si="148"/>
        <v>0</v>
      </c>
      <c r="T1219" s="3" t="str">
        <f t="shared" si="149"/>
        <v/>
      </c>
      <c r="V1219" s="1" t="e">
        <f t="shared" si="150"/>
        <v>#DIV/0!</v>
      </c>
    </row>
    <row r="1220" spans="8:22" x14ac:dyDescent="0.3">
      <c r="H1220" s="10" t="str">
        <f>IF(Planilha1!B1217="","",Planilha1!B1217)</f>
        <v>10:30p</v>
      </c>
      <c r="I1220" s="10" t="str">
        <f>IF(Planilha1!C1217="","",Planilha1!C1217)</f>
        <v>Phoenix Suns</v>
      </c>
      <c r="J1220" s="10">
        <f>IF(Planilha1!D1217="","",Planilha1!D1217)</f>
        <v>0</v>
      </c>
      <c r="K1220" s="10" t="str">
        <f>IF(Planilha1!E1217="","",IF(Planilha1!E1217=0,"",Planilha1!E1217))</f>
        <v>Sacramento Kings</v>
      </c>
      <c r="L1220" s="10">
        <f>IF(Planilha1!F1217="","",Planilha1!F1217)</f>
        <v>0</v>
      </c>
      <c r="M1220" s="10" t="str">
        <f>IF(Planilha1!G1217="","",IF(Planilha1!G1217=0,"",Planilha1!G1217))</f>
        <v/>
      </c>
      <c r="N1220" s="5">
        <f t="shared" si="151"/>
        <v>1</v>
      </c>
      <c r="O1220" s="5">
        <f t="shared" si="152"/>
        <v>0</v>
      </c>
      <c r="P1220" s="5">
        <f t="shared" si="145"/>
        <v>0</v>
      </c>
      <c r="Q1220" s="5">
        <f t="shared" si="146"/>
        <v>2</v>
      </c>
      <c r="R1220" s="7">
        <f t="shared" si="147"/>
        <v>0</v>
      </c>
      <c r="S1220" s="7">
        <f t="shared" si="148"/>
        <v>0</v>
      </c>
      <c r="T1220" s="3" t="str">
        <f t="shared" si="149"/>
        <v/>
      </c>
      <c r="V1220" s="1" t="e">
        <f t="shared" si="150"/>
        <v>#DIV/0!</v>
      </c>
    </row>
    <row r="1221" spans="8:22" x14ac:dyDescent="0.3">
      <c r="H1221" s="10" t="str">
        <f>IF(Planilha1!B1218="","",Planilha1!B1218)</f>
        <v>1:00p</v>
      </c>
      <c r="I1221" s="10" t="str">
        <f>IF(Planilha1!C1218="","",Planilha1!C1218)</f>
        <v>Washington Wizards</v>
      </c>
      <c r="J1221" s="10">
        <f>IF(Planilha1!D1218="","",Planilha1!D1218)</f>
        <v>0</v>
      </c>
      <c r="K1221" s="10" t="str">
        <f>IF(Planilha1!E1218="","",IF(Planilha1!E1218=0,"",Planilha1!E1218))</f>
        <v>Boston Celtics</v>
      </c>
      <c r="L1221" s="10">
        <f>IF(Planilha1!F1218="","",Planilha1!F1218)</f>
        <v>0</v>
      </c>
      <c r="M1221" s="10" t="str">
        <f>IF(Planilha1!G1218="","",IF(Planilha1!G1218=0,"",Planilha1!G1218))</f>
        <v/>
      </c>
      <c r="N1221" s="5">
        <f t="shared" si="151"/>
        <v>1</v>
      </c>
      <c r="O1221" s="5">
        <f t="shared" si="152"/>
        <v>0</v>
      </c>
      <c r="P1221" s="5">
        <f t="shared" ref="P1221:P1233" si="153">IF(M1221="",IF(R1221&gt;S1221,2,0),IF(K1221&lt;M1221,2,0))</f>
        <v>0</v>
      </c>
      <c r="Q1221" s="5">
        <f t="shared" ref="Q1221:Q1233" si="154">IF(M1221="",IF(R1221&gt;S1221,0,2),IF(K1221&gt;M1221,2,0))</f>
        <v>2</v>
      </c>
      <c r="R1221" s="7">
        <f t="shared" ref="R1221:R1233" si="155">SUMIF($B:$B,J1221,$C:$C)+(SUMIF($B:$B,L1221,$F:$F))</f>
        <v>0</v>
      </c>
      <c r="S1221" s="7">
        <f t="shared" ref="S1221:S1233" si="156">SUMIF($B:$B,L1221,$E:$E)+(SUMIF($B:$B,J1221,$D:$D))</f>
        <v>0</v>
      </c>
      <c r="T1221" s="3" t="str">
        <f t="shared" ref="T1221:T1235" si="157">IF(M1221="","",(N1221-S1221)^2+(O1221-R1221)^2)</f>
        <v/>
      </c>
      <c r="V1221" s="1" t="e">
        <f t="shared" ref="V1221:V1235" si="158">IF(O1221="","",1/((O1221-N1221)/(R1221-S1221)))</f>
        <v>#DIV/0!</v>
      </c>
    </row>
    <row r="1222" spans="8:22" x14ac:dyDescent="0.3">
      <c r="H1222" s="10" t="str">
        <f>IF(Planilha1!B1219="","",Planilha1!B1219)</f>
        <v>1:00p</v>
      </c>
      <c r="I1222" s="10" t="str">
        <f>IF(Planilha1!C1219="","",Planilha1!C1219)</f>
        <v>Charlotte Hornets</v>
      </c>
      <c r="J1222" s="10">
        <f>IF(Planilha1!D1219="","",Planilha1!D1219)</f>
        <v>0</v>
      </c>
      <c r="K1222" s="10" t="str">
        <f>IF(Planilha1!E1219="","",IF(Planilha1!E1219=0,"",Planilha1!E1219))</f>
        <v>Cleveland Cavaliers</v>
      </c>
      <c r="L1222" s="10">
        <f>IF(Planilha1!F1219="","",Planilha1!F1219)</f>
        <v>0</v>
      </c>
      <c r="M1222" s="10" t="str">
        <f>IF(Planilha1!G1219="","",IF(Planilha1!G1219=0,"",Planilha1!G1219))</f>
        <v/>
      </c>
      <c r="N1222" s="5">
        <f t="shared" ref="N1222:N1235" si="159">IF(K1222="","",IF(K1222&gt;M1222,100%,0%))</f>
        <v>1</v>
      </c>
      <c r="O1222" s="5">
        <f t="shared" ref="O1222:O1235" si="160">IF(K1222="","",IF(K1222&lt;M1222,100%,0%))</f>
        <v>0</v>
      </c>
      <c r="P1222" s="5">
        <f t="shared" si="153"/>
        <v>0</v>
      </c>
      <c r="Q1222" s="5">
        <f t="shared" si="154"/>
        <v>2</v>
      </c>
      <c r="R1222" s="7">
        <f t="shared" si="155"/>
        <v>0</v>
      </c>
      <c r="S1222" s="7">
        <f t="shared" si="156"/>
        <v>0</v>
      </c>
      <c r="T1222" s="3" t="str">
        <f t="shared" si="157"/>
        <v/>
      </c>
      <c r="V1222" s="1" t="e">
        <f t="shared" si="158"/>
        <v>#DIV/0!</v>
      </c>
    </row>
    <row r="1223" spans="8:22" x14ac:dyDescent="0.3">
      <c r="H1223" s="10" t="str">
        <f>IF(Planilha1!B1220="","",Planilha1!B1220)</f>
        <v>1:00p</v>
      </c>
      <c r="I1223" s="10" t="str">
        <f>IF(Planilha1!C1220="","",Planilha1!C1220)</f>
        <v>Atlanta Hawks</v>
      </c>
      <c r="J1223" s="10">
        <f>IF(Planilha1!D1220="","",Planilha1!D1220)</f>
        <v>0</v>
      </c>
      <c r="K1223" s="10" t="str">
        <f>IF(Planilha1!E1220="","",IF(Planilha1!E1220=0,"",Planilha1!E1220))</f>
        <v>Indiana Pacers</v>
      </c>
      <c r="L1223" s="10">
        <f>IF(Planilha1!F1220="","",Planilha1!F1220)</f>
        <v>0</v>
      </c>
      <c r="M1223" s="10" t="str">
        <f>IF(Planilha1!G1220="","",IF(Planilha1!G1220=0,"",Planilha1!G1220))</f>
        <v/>
      </c>
      <c r="N1223" s="5">
        <f t="shared" si="159"/>
        <v>1</v>
      </c>
      <c r="O1223" s="5">
        <f t="shared" si="160"/>
        <v>0</v>
      </c>
      <c r="P1223" s="5">
        <f t="shared" si="153"/>
        <v>0</v>
      </c>
      <c r="Q1223" s="5">
        <f t="shared" si="154"/>
        <v>2</v>
      </c>
      <c r="R1223" s="7">
        <f t="shared" si="155"/>
        <v>0</v>
      </c>
      <c r="S1223" s="7">
        <f t="shared" si="156"/>
        <v>0</v>
      </c>
      <c r="T1223" s="3" t="str">
        <f t="shared" si="157"/>
        <v/>
      </c>
      <c r="V1223" s="1" t="e">
        <f t="shared" si="158"/>
        <v>#DIV/0!</v>
      </c>
    </row>
    <row r="1224" spans="8:22" x14ac:dyDescent="0.3">
      <c r="H1224" s="10" t="str">
        <f>IF(Planilha1!B1221="","",Planilha1!B1221)</f>
        <v>1:00p</v>
      </c>
      <c r="I1224" s="10" t="str">
        <f>IF(Planilha1!C1221="","",Planilha1!C1221)</f>
        <v>Toronto Raptors</v>
      </c>
      <c r="J1224" s="10">
        <f>IF(Planilha1!D1221="","",Planilha1!D1221)</f>
        <v>0</v>
      </c>
      <c r="K1224" s="10" t="str">
        <f>IF(Planilha1!E1221="","",IF(Planilha1!E1221=0,"",Planilha1!E1221))</f>
        <v>Miami Heat</v>
      </c>
      <c r="L1224" s="10">
        <f>IF(Planilha1!F1221="","",Planilha1!F1221)</f>
        <v>0</v>
      </c>
      <c r="M1224" s="10" t="str">
        <f>IF(Planilha1!G1221="","",IF(Planilha1!G1221=0,"",Planilha1!G1221))</f>
        <v/>
      </c>
      <c r="N1224" s="5">
        <f t="shared" si="159"/>
        <v>1</v>
      </c>
      <c r="O1224" s="5">
        <f t="shared" si="160"/>
        <v>0</v>
      </c>
      <c r="P1224" s="5">
        <f t="shared" si="153"/>
        <v>0</v>
      </c>
      <c r="Q1224" s="5">
        <f t="shared" si="154"/>
        <v>2</v>
      </c>
      <c r="R1224" s="7">
        <f t="shared" si="155"/>
        <v>0</v>
      </c>
      <c r="S1224" s="7">
        <f t="shared" si="156"/>
        <v>0</v>
      </c>
      <c r="T1224" s="3" t="str">
        <f t="shared" si="157"/>
        <v/>
      </c>
      <c r="V1224" s="1" t="e">
        <f t="shared" si="158"/>
        <v>#DIV/0!</v>
      </c>
    </row>
    <row r="1225" spans="8:22" x14ac:dyDescent="0.3">
      <c r="H1225" s="10" t="str">
        <f>IF(Planilha1!B1222="","",Planilha1!B1222)</f>
        <v>1:00p</v>
      </c>
      <c r="I1225" s="10" t="str">
        <f>IF(Planilha1!C1222="","",Planilha1!C1222)</f>
        <v>Chicago Bulls</v>
      </c>
      <c r="J1225" s="10">
        <f>IF(Planilha1!D1222="","",Planilha1!D1222)</f>
        <v>0</v>
      </c>
      <c r="K1225" s="10" t="str">
        <f>IF(Planilha1!E1222="","",IF(Planilha1!E1222=0,"",Planilha1!E1222))</f>
        <v>New York Knicks</v>
      </c>
      <c r="L1225" s="10">
        <f>IF(Planilha1!F1222="","",Planilha1!F1222)</f>
        <v>0</v>
      </c>
      <c r="M1225" s="10" t="str">
        <f>IF(Planilha1!G1222="","",IF(Planilha1!G1222=0,"",Planilha1!G1222))</f>
        <v/>
      </c>
      <c r="N1225" s="5">
        <f t="shared" si="159"/>
        <v>1</v>
      </c>
      <c r="O1225" s="5">
        <f t="shared" si="160"/>
        <v>0</v>
      </c>
      <c r="P1225" s="5">
        <f t="shared" si="153"/>
        <v>0</v>
      </c>
      <c r="Q1225" s="5">
        <f t="shared" si="154"/>
        <v>2</v>
      </c>
      <c r="R1225" s="7">
        <f t="shared" si="155"/>
        <v>0</v>
      </c>
      <c r="S1225" s="7">
        <f t="shared" si="156"/>
        <v>0</v>
      </c>
      <c r="T1225" s="3" t="str">
        <f t="shared" si="157"/>
        <v/>
      </c>
      <c r="V1225" s="1" t="e">
        <f t="shared" si="158"/>
        <v>#DIV/0!</v>
      </c>
    </row>
    <row r="1226" spans="8:22" x14ac:dyDescent="0.3">
      <c r="H1226" s="10" t="str">
        <f>IF(Planilha1!B1223="","",Planilha1!B1223)</f>
        <v>1:00p</v>
      </c>
      <c r="I1226" s="10" t="str">
        <f>IF(Planilha1!C1223="","",Planilha1!C1223)</f>
        <v>Milwaukee Bucks</v>
      </c>
      <c r="J1226" s="10">
        <f>IF(Planilha1!D1223="","",Planilha1!D1223)</f>
        <v>0</v>
      </c>
      <c r="K1226" s="10" t="str">
        <f>IF(Planilha1!E1223="","",IF(Planilha1!E1223=0,"",Planilha1!E1223))</f>
        <v>Orlando Magic</v>
      </c>
      <c r="L1226" s="10">
        <f>IF(Planilha1!F1223="","",Planilha1!F1223)</f>
        <v>0</v>
      </c>
      <c r="M1226" s="10" t="str">
        <f>IF(Planilha1!G1223="","",IF(Planilha1!G1223=0,"",Planilha1!G1223))</f>
        <v/>
      </c>
      <c r="N1226" s="5">
        <f t="shared" si="159"/>
        <v>1</v>
      </c>
      <c r="O1226" s="5">
        <f t="shared" si="160"/>
        <v>0</v>
      </c>
      <c r="P1226" s="5">
        <f t="shared" si="153"/>
        <v>0</v>
      </c>
      <c r="Q1226" s="5">
        <f t="shared" si="154"/>
        <v>2</v>
      </c>
      <c r="R1226" s="7">
        <f t="shared" si="155"/>
        <v>0</v>
      </c>
      <c r="S1226" s="7">
        <f t="shared" si="156"/>
        <v>0</v>
      </c>
      <c r="T1226" s="3" t="str">
        <f t="shared" si="157"/>
        <v/>
      </c>
      <c r="V1226" s="1" t="e">
        <f t="shared" si="158"/>
        <v>#DIV/0!</v>
      </c>
    </row>
    <row r="1227" spans="8:22" x14ac:dyDescent="0.3">
      <c r="H1227" s="10" t="str">
        <f>IF(Planilha1!B1224="","",Planilha1!B1224)</f>
        <v>1:00p</v>
      </c>
      <c r="I1227" s="10" t="str">
        <f>IF(Planilha1!C1224="","",Planilha1!C1224)</f>
        <v>Brooklyn Nets</v>
      </c>
      <c r="J1227" s="10">
        <f>IF(Planilha1!D1224="","",Planilha1!D1224)</f>
        <v>0</v>
      </c>
      <c r="K1227" s="10" t="str">
        <f>IF(Planilha1!E1224="","",IF(Planilha1!E1224=0,"",Planilha1!E1224))</f>
        <v>Philadelphia 76ers</v>
      </c>
      <c r="L1227" s="10">
        <f>IF(Planilha1!F1224="","",Planilha1!F1224)</f>
        <v>0</v>
      </c>
      <c r="M1227" s="10" t="str">
        <f>IF(Planilha1!G1224="","",IF(Planilha1!G1224=0,"",Planilha1!G1224))</f>
        <v/>
      </c>
      <c r="N1227" s="5">
        <f t="shared" si="159"/>
        <v>1</v>
      </c>
      <c r="O1227" s="5">
        <f t="shared" si="160"/>
        <v>0</v>
      </c>
      <c r="P1227" s="5">
        <f t="shared" si="153"/>
        <v>0</v>
      </c>
      <c r="Q1227" s="5">
        <f t="shared" si="154"/>
        <v>2</v>
      </c>
      <c r="R1227" s="7">
        <f t="shared" si="155"/>
        <v>0</v>
      </c>
      <c r="S1227" s="7">
        <f t="shared" si="156"/>
        <v>0</v>
      </c>
      <c r="T1227" s="3" t="str">
        <f t="shared" si="157"/>
        <v/>
      </c>
      <c r="V1227" s="1" t="e">
        <f t="shared" si="158"/>
        <v>#DIV/0!</v>
      </c>
    </row>
    <row r="1228" spans="8:22" x14ac:dyDescent="0.3">
      <c r="H1228" s="10" t="str">
        <f>IF(Planilha1!B1225="","",Planilha1!B1225)</f>
        <v>3:30p</v>
      </c>
      <c r="I1228" s="10" t="str">
        <f>IF(Planilha1!C1225="","",Planilha1!C1225)</f>
        <v>Utah Jazz</v>
      </c>
      <c r="J1228" s="10">
        <f>IF(Planilha1!D1225="","",Planilha1!D1225)</f>
        <v>0</v>
      </c>
      <c r="K1228" s="10" t="str">
        <f>IF(Planilha1!E1225="","",IF(Planilha1!E1225=0,"",Planilha1!E1225))</f>
        <v>Golden State Warriors</v>
      </c>
      <c r="L1228" s="10">
        <f>IF(Planilha1!F1225="","",Planilha1!F1225)</f>
        <v>0</v>
      </c>
      <c r="M1228" s="10" t="str">
        <f>IF(Planilha1!G1225="","",IF(Planilha1!G1225=0,"",Planilha1!G1225))</f>
        <v/>
      </c>
      <c r="N1228" s="5">
        <f t="shared" si="159"/>
        <v>1</v>
      </c>
      <c r="O1228" s="5">
        <f t="shared" si="160"/>
        <v>0</v>
      </c>
      <c r="P1228" s="5">
        <f t="shared" si="153"/>
        <v>0</v>
      </c>
      <c r="Q1228" s="5">
        <f t="shared" si="154"/>
        <v>2</v>
      </c>
      <c r="R1228" s="7">
        <f t="shared" si="155"/>
        <v>0</v>
      </c>
      <c r="S1228" s="7">
        <f t="shared" si="156"/>
        <v>0</v>
      </c>
      <c r="T1228" s="3" t="str">
        <f t="shared" si="157"/>
        <v/>
      </c>
      <c r="V1228" s="1" t="e">
        <f t="shared" si="158"/>
        <v>#DIV/0!</v>
      </c>
    </row>
    <row r="1229" spans="8:22" x14ac:dyDescent="0.3">
      <c r="H1229" s="10" t="str">
        <f>IF(Planilha1!B1226="","",Planilha1!B1226)</f>
        <v>3:30p</v>
      </c>
      <c r="I1229" s="10" t="str">
        <f>IF(Planilha1!C1226="","",Planilha1!C1226)</f>
        <v>Houston Rockets</v>
      </c>
      <c r="J1229" s="10">
        <f>IF(Planilha1!D1226="","",Planilha1!D1226)</f>
        <v>0</v>
      </c>
      <c r="K1229" s="10" t="str">
        <f>IF(Planilha1!E1226="","",IF(Planilha1!E1226=0,"",Planilha1!E1226))</f>
        <v>Los Angeles Clippers</v>
      </c>
      <c r="L1229" s="10">
        <f>IF(Planilha1!F1226="","",Planilha1!F1226)</f>
        <v>0</v>
      </c>
      <c r="M1229" s="10" t="str">
        <f>IF(Planilha1!G1226="","",IF(Planilha1!G1226=0,"",Planilha1!G1226))</f>
        <v/>
      </c>
      <c r="N1229" s="5">
        <f t="shared" si="159"/>
        <v>1</v>
      </c>
      <c r="O1229" s="5">
        <f t="shared" si="160"/>
        <v>0</v>
      </c>
      <c r="P1229" s="5">
        <f t="shared" si="153"/>
        <v>0</v>
      </c>
      <c r="Q1229" s="5">
        <f t="shared" si="154"/>
        <v>2</v>
      </c>
      <c r="R1229" s="7">
        <f t="shared" si="155"/>
        <v>0</v>
      </c>
      <c r="S1229" s="7">
        <f t="shared" si="156"/>
        <v>0</v>
      </c>
      <c r="T1229" s="3" t="str">
        <f t="shared" si="157"/>
        <v/>
      </c>
      <c r="V1229" s="1" t="e">
        <f t="shared" si="158"/>
        <v>#DIV/0!</v>
      </c>
    </row>
    <row r="1230" spans="8:22" x14ac:dyDescent="0.3">
      <c r="H1230" s="10" t="str">
        <f>IF(Planilha1!B1227="","",Planilha1!B1227)</f>
        <v>3:30p</v>
      </c>
      <c r="I1230" s="10" t="str">
        <f>IF(Planilha1!C1227="","",Planilha1!C1227)</f>
        <v>Denver Nuggets</v>
      </c>
      <c r="J1230" s="10">
        <f>IF(Planilha1!D1227="","",Planilha1!D1227)</f>
        <v>0</v>
      </c>
      <c r="K1230" s="10" t="str">
        <f>IF(Planilha1!E1227="","",IF(Planilha1!E1227=0,"",Planilha1!E1227))</f>
        <v>Memphis Grizzlies</v>
      </c>
      <c r="L1230" s="10">
        <f>IF(Planilha1!F1227="","",Planilha1!F1227)</f>
        <v>0</v>
      </c>
      <c r="M1230" s="10" t="str">
        <f>IF(Planilha1!G1227="","",IF(Planilha1!G1227=0,"",Planilha1!G1227))</f>
        <v/>
      </c>
      <c r="N1230" s="5">
        <f t="shared" si="159"/>
        <v>1</v>
      </c>
      <c r="O1230" s="5">
        <f t="shared" si="160"/>
        <v>0</v>
      </c>
      <c r="P1230" s="5">
        <f t="shared" si="153"/>
        <v>0</v>
      </c>
      <c r="Q1230" s="5">
        <f t="shared" si="154"/>
        <v>2</v>
      </c>
      <c r="R1230" s="7">
        <f t="shared" si="155"/>
        <v>0</v>
      </c>
      <c r="S1230" s="7">
        <f t="shared" si="156"/>
        <v>0</v>
      </c>
      <c r="T1230" s="3" t="str">
        <f t="shared" si="157"/>
        <v/>
      </c>
      <c r="V1230" s="1" t="e">
        <f t="shared" si="158"/>
        <v>#DIV/0!</v>
      </c>
    </row>
    <row r="1231" spans="8:22" x14ac:dyDescent="0.3">
      <c r="H1231" s="10" t="str">
        <f>IF(Planilha1!B1228="","",Planilha1!B1228)</f>
        <v>3:30p</v>
      </c>
      <c r="I1231" s="10" t="str">
        <f>IF(Planilha1!C1228="","",Planilha1!C1228)</f>
        <v>Phoenix Suns</v>
      </c>
      <c r="J1231" s="10">
        <f>IF(Planilha1!D1228="","",Planilha1!D1228)</f>
        <v>0</v>
      </c>
      <c r="K1231" s="10" t="str">
        <f>IF(Planilha1!E1228="","",IF(Planilha1!E1228=0,"",Planilha1!E1228))</f>
        <v>Minnesota Timberwolves</v>
      </c>
      <c r="L1231" s="10">
        <f>IF(Planilha1!F1228="","",Planilha1!F1228)</f>
        <v>0</v>
      </c>
      <c r="M1231" s="10" t="str">
        <f>IF(Planilha1!G1228="","",IF(Planilha1!G1228=0,"",Planilha1!G1228))</f>
        <v/>
      </c>
      <c r="N1231" s="5">
        <f t="shared" si="159"/>
        <v>1</v>
      </c>
      <c r="O1231" s="5">
        <f t="shared" si="160"/>
        <v>0</v>
      </c>
      <c r="P1231" s="5">
        <f t="shared" si="153"/>
        <v>0</v>
      </c>
      <c r="Q1231" s="5">
        <f t="shared" si="154"/>
        <v>2</v>
      </c>
      <c r="R1231" s="7">
        <f t="shared" si="155"/>
        <v>0</v>
      </c>
      <c r="S1231" s="7">
        <f t="shared" si="156"/>
        <v>0</v>
      </c>
      <c r="T1231" s="3" t="str">
        <f t="shared" si="157"/>
        <v/>
      </c>
      <c r="V1231" s="1" t="e">
        <f t="shared" si="158"/>
        <v>#DIV/0!</v>
      </c>
    </row>
    <row r="1232" spans="8:22" x14ac:dyDescent="0.3">
      <c r="H1232" s="10" t="str">
        <f>IF(Planilha1!B1229="","",Planilha1!B1229)</f>
        <v>3:30p</v>
      </c>
      <c r="I1232" s="10" t="str">
        <f>IF(Planilha1!C1229="","",Planilha1!C1229)</f>
        <v>Los Angeles Lakers</v>
      </c>
      <c r="J1232" s="10">
        <f>IF(Planilha1!D1229="","",Planilha1!D1229)</f>
        <v>0</v>
      </c>
      <c r="K1232" s="10" t="str">
        <f>IF(Planilha1!E1229="","",IF(Planilha1!E1229=0,"",Planilha1!E1229))</f>
        <v>New Orleans Pelicans</v>
      </c>
      <c r="L1232" s="10">
        <f>IF(Planilha1!F1229="","",Planilha1!F1229)</f>
        <v>0</v>
      </c>
      <c r="M1232" s="10" t="str">
        <f>IF(Planilha1!G1229="","",IF(Planilha1!G1229=0,"",Planilha1!G1229))</f>
        <v/>
      </c>
      <c r="N1232" s="5">
        <f t="shared" si="159"/>
        <v>1</v>
      </c>
      <c r="O1232" s="5">
        <f t="shared" si="160"/>
        <v>0</v>
      </c>
      <c r="P1232" s="5">
        <f t="shared" si="153"/>
        <v>0</v>
      </c>
      <c r="Q1232" s="5">
        <f t="shared" si="154"/>
        <v>2</v>
      </c>
      <c r="R1232" s="7">
        <f t="shared" si="155"/>
        <v>0</v>
      </c>
      <c r="S1232" s="7">
        <f t="shared" si="156"/>
        <v>0</v>
      </c>
      <c r="T1232" s="3" t="str">
        <f t="shared" si="157"/>
        <v/>
      </c>
      <c r="V1232" s="1" t="e">
        <f t="shared" si="158"/>
        <v>#DIV/0!</v>
      </c>
    </row>
    <row r="1233" spans="8:22" x14ac:dyDescent="0.3">
      <c r="H1233" s="10" t="str">
        <f>IF(Planilha1!B1230="","",Planilha1!B1230)</f>
        <v>3:30p</v>
      </c>
      <c r="I1233" s="10" t="str">
        <f>IF(Planilha1!C1230="","",Planilha1!C1230)</f>
        <v>Dallas Mavericks</v>
      </c>
      <c r="J1233" s="10">
        <f>IF(Planilha1!D1230="","",Planilha1!D1230)</f>
        <v>0</v>
      </c>
      <c r="K1233" s="10" t="str">
        <f>IF(Planilha1!E1230="","",IF(Planilha1!E1230=0,"",Planilha1!E1230))</f>
        <v>Oklahoma City Thunder</v>
      </c>
      <c r="L1233" s="10">
        <f>IF(Planilha1!F1230="","",Planilha1!F1230)</f>
        <v>0</v>
      </c>
      <c r="M1233" s="10" t="str">
        <f>IF(Planilha1!G1230="","",IF(Planilha1!G1230=0,"",Planilha1!G1230))</f>
        <v/>
      </c>
      <c r="N1233" s="5">
        <f t="shared" si="159"/>
        <v>1</v>
      </c>
      <c r="O1233" s="5">
        <f t="shared" si="160"/>
        <v>0</v>
      </c>
      <c r="P1233" s="5">
        <f t="shared" si="153"/>
        <v>0</v>
      </c>
      <c r="Q1233" s="5">
        <f t="shared" si="154"/>
        <v>2</v>
      </c>
      <c r="R1233" s="7">
        <f t="shared" si="155"/>
        <v>0</v>
      </c>
      <c r="S1233" s="7">
        <f t="shared" si="156"/>
        <v>0</v>
      </c>
      <c r="T1233" s="3" t="str">
        <f t="shared" si="157"/>
        <v/>
      </c>
      <c r="V1233" s="1" t="e">
        <f t="shared" si="158"/>
        <v>#DIV/0!</v>
      </c>
    </row>
    <row r="1234" spans="8:22" x14ac:dyDescent="0.3">
      <c r="H1234" s="10" t="str">
        <f>IF(Planilha1!B1231="","",Planilha1!B1231)</f>
        <v>3:30p</v>
      </c>
      <c r="I1234" s="10" t="str">
        <f>IF(Planilha1!C1231="","",Planilha1!C1231)</f>
        <v>Portland Trail Blazers</v>
      </c>
      <c r="J1234" s="10">
        <f>IF(Planilha1!D1231="","",Planilha1!D1231)</f>
        <v>0</v>
      </c>
      <c r="K1234" s="10" t="str">
        <f>IF(Planilha1!E1231="","",IF(Planilha1!E1231=0,"",Planilha1!E1231))</f>
        <v>Sacramento Kings</v>
      </c>
      <c r="L1234" s="10">
        <f>IF(Planilha1!F1231="","",Planilha1!F1231)</f>
        <v>0</v>
      </c>
      <c r="M1234" s="10" t="str">
        <f>IF(Planilha1!G1231="","",IF(Planilha1!G1231=0,"",Planilha1!G1231))</f>
        <v/>
      </c>
      <c r="N1234" s="5">
        <f t="shared" si="159"/>
        <v>1</v>
      </c>
      <c r="O1234" s="5">
        <f t="shared" si="160"/>
        <v>0</v>
      </c>
      <c r="P1234" s="5"/>
      <c r="Q1234" s="5"/>
      <c r="R1234" s="7"/>
      <c r="S1234" s="7"/>
      <c r="T1234" s="3" t="str">
        <f t="shared" si="157"/>
        <v/>
      </c>
      <c r="V1234" s="1" t="e">
        <f t="shared" si="158"/>
        <v>#DIV/0!</v>
      </c>
    </row>
    <row r="1235" spans="8:22" x14ac:dyDescent="0.3">
      <c r="H1235" s="10" t="str">
        <f>IF(Planilha1!B1232="","",Planilha1!B1232)</f>
        <v>3:30p</v>
      </c>
      <c r="I1235" s="10" t="str">
        <f>IF(Planilha1!C1232="","",Planilha1!C1232)</f>
        <v>Detroit Pistons</v>
      </c>
      <c r="J1235" s="10">
        <f>IF(Planilha1!D1232="","",Planilha1!D1232)</f>
        <v>0</v>
      </c>
      <c r="K1235" s="10" t="str">
        <f>IF(Planilha1!E1232="","",IF(Planilha1!E1232=0,"",Planilha1!E1232))</f>
        <v>San Antonio Spurs</v>
      </c>
      <c r="L1235" s="10">
        <f>IF(Planilha1!F1232="","",Planilha1!F1232)</f>
        <v>0</v>
      </c>
      <c r="M1235" s="10" t="str">
        <f>IF(Planilha1!G1232="","",IF(Planilha1!G1232=0,"",Planilha1!G1232))</f>
        <v/>
      </c>
      <c r="N1235" s="5">
        <f t="shared" si="159"/>
        <v>1</v>
      </c>
      <c r="O1235" s="5">
        <f t="shared" si="160"/>
        <v>0</v>
      </c>
      <c r="P1235" s="5"/>
      <c r="Q1235" s="5"/>
      <c r="R1235" s="7"/>
      <c r="S1235" s="7"/>
      <c r="T1235" s="3" t="str">
        <f t="shared" si="157"/>
        <v/>
      </c>
      <c r="V1235" s="1" t="e">
        <f t="shared" si="158"/>
        <v>#DIV/0!</v>
      </c>
    </row>
    <row r="1236" spans="8:22" x14ac:dyDescent="0.3">
      <c r="N1236" s="5"/>
      <c r="O1236" s="5"/>
      <c r="P1236" s="5"/>
      <c r="Q1236" s="5"/>
      <c r="R1236" s="8"/>
      <c r="S1236" s="8"/>
      <c r="T1236" s="3"/>
    </row>
    <row r="1237" spans="8:22" x14ac:dyDescent="0.3">
      <c r="N1237" s="5"/>
      <c r="O1237" s="5"/>
      <c r="P1237" s="5"/>
      <c r="Q1237" s="5"/>
      <c r="R1237" s="8"/>
      <c r="S1237" s="8"/>
      <c r="T1237" s="3"/>
    </row>
    <row r="1238" spans="8:22" x14ac:dyDescent="0.3">
      <c r="N1238" s="5"/>
      <c r="O1238" s="5"/>
      <c r="P1238" s="5"/>
      <c r="Q1238" s="5"/>
      <c r="R1238" s="8"/>
      <c r="S1238" s="8"/>
      <c r="T1238" s="3"/>
    </row>
    <row r="1239" spans="8:22" x14ac:dyDescent="0.3">
      <c r="N1239" s="5"/>
      <c r="O1239" s="5"/>
      <c r="P1239" s="5"/>
      <c r="Q1239" s="5"/>
      <c r="R1239" s="8"/>
      <c r="S1239" s="8"/>
      <c r="T1239" s="3"/>
    </row>
    <row r="1240" spans="8:22" x14ac:dyDescent="0.3">
      <c r="N1240" s="5"/>
      <c r="O1240" s="5"/>
      <c r="P1240" s="5"/>
      <c r="Q1240" s="5"/>
      <c r="R1240" s="8"/>
      <c r="S1240" s="8"/>
      <c r="T1240" s="3"/>
    </row>
    <row r="1241" spans="8:22" x14ac:dyDescent="0.3">
      <c r="N1241" s="5"/>
      <c r="O1241" s="5"/>
      <c r="P1241" s="5"/>
      <c r="Q1241" s="5"/>
      <c r="R1241" s="8"/>
      <c r="S1241" s="8"/>
      <c r="T1241" s="3"/>
    </row>
    <row r="1242" spans="8:22" x14ac:dyDescent="0.3">
      <c r="N1242" s="5"/>
      <c r="O1242" s="5"/>
      <c r="P1242" s="5"/>
      <c r="Q1242" s="5"/>
      <c r="R1242" s="8"/>
      <c r="S1242" s="8"/>
      <c r="T1242" s="3"/>
    </row>
    <row r="1243" spans="8:22" x14ac:dyDescent="0.3">
      <c r="N1243" s="5"/>
      <c r="O1243" s="5"/>
      <c r="P1243" s="5"/>
      <c r="Q1243" s="5"/>
      <c r="R1243" s="8"/>
      <c r="S1243" s="8"/>
      <c r="T1243" s="3"/>
    </row>
    <row r="1244" spans="8:22" x14ac:dyDescent="0.3">
      <c r="N1244" s="5"/>
      <c r="O1244" s="5"/>
      <c r="P1244" s="5"/>
      <c r="Q1244" s="5"/>
      <c r="R1244" s="8"/>
      <c r="S1244" s="8"/>
      <c r="T1244" s="3"/>
    </row>
    <row r="1245" spans="8:22" x14ac:dyDescent="0.3">
      <c r="N1245" s="5"/>
      <c r="O1245" s="5"/>
      <c r="P1245" s="5"/>
      <c r="Q1245" s="5"/>
      <c r="R1245" s="8"/>
      <c r="S1245" s="8"/>
      <c r="T1245" s="3"/>
    </row>
    <row r="1246" spans="8:22" x14ac:dyDescent="0.3">
      <c r="N1246" s="5"/>
      <c r="O1246" s="5"/>
      <c r="P1246" s="5"/>
      <c r="Q1246" s="5"/>
      <c r="R1246" s="8"/>
      <c r="S1246" s="8"/>
      <c r="T1246" s="3"/>
    </row>
    <row r="1247" spans="8:22" x14ac:dyDescent="0.3">
      <c r="N1247" s="5"/>
      <c r="O1247" s="5"/>
      <c r="P1247" s="5"/>
      <c r="Q1247" s="5"/>
      <c r="R1247" s="8"/>
      <c r="S1247" s="8"/>
      <c r="T1247" s="3"/>
    </row>
    <row r="1248" spans="8:22" x14ac:dyDescent="0.3">
      <c r="N1248" s="5"/>
      <c r="O1248" s="5"/>
      <c r="P1248" s="5"/>
      <c r="Q1248" s="5"/>
      <c r="R1248" s="8"/>
      <c r="S1248" s="8"/>
      <c r="T1248" s="3"/>
    </row>
    <row r="1249" spans="14:20" x14ac:dyDescent="0.3">
      <c r="N1249" s="5"/>
      <c r="O1249" s="5"/>
      <c r="P1249" s="5"/>
      <c r="Q1249" s="5"/>
      <c r="R1249" s="8"/>
      <c r="S1249" s="8"/>
      <c r="T1249" s="3"/>
    </row>
    <row r="1250" spans="14:20" x14ac:dyDescent="0.3">
      <c r="N1250" s="5"/>
      <c r="O1250" s="5"/>
      <c r="P1250" s="5"/>
      <c r="Q1250" s="5"/>
      <c r="R1250" s="8"/>
      <c r="S1250" s="8"/>
      <c r="T1250" s="3"/>
    </row>
    <row r="1251" spans="14:20" x14ac:dyDescent="0.3">
      <c r="N1251" s="5"/>
      <c r="O1251" s="5"/>
      <c r="P1251" s="5"/>
      <c r="Q1251" s="5"/>
      <c r="R1251" s="8"/>
      <c r="S1251" s="8"/>
      <c r="T1251" s="3"/>
    </row>
    <row r="1252" spans="14:20" x14ac:dyDescent="0.3">
      <c r="N1252" s="5"/>
      <c r="O1252" s="5"/>
      <c r="P1252" s="5"/>
      <c r="Q1252" s="5"/>
      <c r="R1252" s="8"/>
      <c r="S1252" s="8"/>
      <c r="T1252" s="3"/>
    </row>
    <row r="1253" spans="14:20" x14ac:dyDescent="0.3">
      <c r="N1253" s="5"/>
      <c r="O1253" s="5"/>
      <c r="P1253" s="5"/>
      <c r="Q1253" s="5"/>
      <c r="R1253" s="8"/>
      <c r="S1253" s="8"/>
      <c r="T1253" s="3"/>
    </row>
    <row r="1254" spans="14:20" x14ac:dyDescent="0.3">
      <c r="N1254" s="5"/>
      <c r="O1254" s="5"/>
      <c r="P1254" s="5"/>
      <c r="Q1254" s="5"/>
      <c r="R1254" s="8"/>
      <c r="S1254" s="8"/>
      <c r="T1254" s="3"/>
    </row>
    <row r="1255" spans="14:20" x14ac:dyDescent="0.3">
      <c r="N1255" s="5"/>
      <c r="O1255" s="5"/>
      <c r="P1255" s="5"/>
      <c r="Q1255" s="5"/>
      <c r="R1255" s="8"/>
      <c r="S1255" s="8"/>
      <c r="T1255" s="3"/>
    </row>
    <row r="1256" spans="14:20" x14ac:dyDescent="0.3">
      <c r="N1256" s="5"/>
      <c r="O1256" s="5"/>
      <c r="P1256" s="5"/>
      <c r="Q1256" s="5"/>
      <c r="R1256" s="8"/>
      <c r="S1256" s="8"/>
      <c r="T1256" s="3"/>
    </row>
    <row r="1257" spans="14:20" x14ac:dyDescent="0.3">
      <c r="N1257" s="5"/>
      <c r="O1257" s="5"/>
      <c r="P1257" s="5"/>
      <c r="Q1257" s="5"/>
      <c r="R1257" s="8"/>
      <c r="S1257" s="8"/>
      <c r="T1257" s="3"/>
    </row>
    <row r="1258" spans="14:20" x14ac:dyDescent="0.3">
      <c r="N1258" s="5"/>
      <c r="O1258" s="5"/>
      <c r="P1258" s="5"/>
      <c r="Q1258" s="5"/>
      <c r="R1258" s="8"/>
      <c r="S1258" s="8"/>
      <c r="T1258" s="3"/>
    </row>
    <row r="1259" spans="14:20" x14ac:dyDescent="0.3">
      <c r="N1259" s="5"/>
      <c r="O1259" s="5"/>
      <c r="P1259" s="5"/>
      <c r="Q1259" s="5"/>
      <c r="R1259" s="8"/>
      <c r="S1259" s="8"/>
      <c r="T1259" s="3"/>
    </row>
    <row r="1260" spans="14:20" x14ac:dyDescent="0.3">
      <c r="N1260" s="5"/>
      <c r="O1260" s="5"/>
      <c r="P1260" s="5"/>
      <c r="Q1260" s="5"/>
      <c r="R1260" s="8"/>
      <c r="S1260" s="8"/>
      <c r="T1260" s="3"/>
    </row>
    <row r="1261" spans="14:20" x14ac:dyDescent="0.3">
      <c r="N1261" s="5"/>
      <c r="O1261" s="5"/>
      <c r="P1261" s="5"/>
      <c r="Q1261" s="5"/>
      <c r="R1261" s="8"/>
      <c r="S1261" s="8"/>
      <c r="T1261" s="3"/>
    </row>
    <row r="1262" spans="14:20" x14ac:dyDescent="0.3">
      <c r="N1262" s="5"/>
      <c r="O1262" s="5"/>
      <c r="P1262" s="5"/>
      <c r="Q1262" s="5"/>
      <c r="R1262" s="8"/>
      <c r="S1262" s="8"/>
      <c r="T1262" s="3"/>
    </row>
    <row r="1263" spans="14:20" x14ac:dyDescent="0.3">
      <c r="N1263" s="5"/>
      <c r="O1263" s="5"/>
      <c r="P1263" s="5"/>
      <c r="Q1263" s="5"/>
      <c r="R1263" s="8"/>
      <c r="S1263" s="8"/>
      <c r="T1263" s="3"/>
    </row>
    <row r="1264" spans="14:20" x14ac:dyDescent="0.3">
      <c r="N1264" s="5"/>
      <c r="O1264" s="5"/>
      <c r="P1264" s="5"/>
      <c r="Q1264" s="5"/>
      <c r="R1264" s="8"/>
      <c r="S1264" s="8"/>
      <c r="T1264" s="3"/>
    </row>
    <row r="1265" spans="14:20" x14ac:dyDescent="0.3">
      <c r="N1265" s="5"/>
      <c r="O1265" s="5"/>
      <c r="P1265" s="5"/>
      <c r="Q1265" s="5"/>
      <c r="R1265" s="8"/>
      <c r="S1265" s="8"/>
      <c r="T1265" s="3"/>
    </row>
    <row r="1266" spans="14:20" x14ac:dyDescent="0.3">
      <c r="N1266" s="5"/>
      <c r="O1266" s="5"/>
      <c r="P1266" s="5"/>
      <c r="Q1266" s="5"/>
      <c r="R1266" s="8"/>
      <c r="S1266" s="8"/>
      <c r="T1266" s="3"/>
    </row>
    <row r="1267" spans="14:20" x14ac:dyDescent="0.3">
      <c r="N1267" s="5"/>
      <c r="O1267" s="5"/>
      <c r="P1267" s="5"/>
      <c r="Q1267" s="5"/>
      <c r="R1267" s="8"/>
      <c r="S1267" s="8"/>
      <c r="T1267" s="3"/>
    </row>
    <row r="1268" spans="14:20" x14ac:dyDescent="0.3">
      <c r="N1268" s="5"/>
      <c r="O1268" s="5"/>
      <c r="P1268" s="5"/>
      <c r="Q1268" s="5"/>
      <c r="R1268" s="8"/>
      <c r="S1268" s="8"/>
      <c r="T1268" s="3"/>
    </row>
    <row r="1269" spans="14:20" x14ac:dyDescent="0.3">
      <c r="N1269" s="5"/>
      <c r="O1269" s="5"/>
      <c r="P1269" s="5"/>
      <c r="Q1269" s="5"/>
      <c r="R1269" s="8"/>
      <c r="S1269" s="8"/>
      <c r="T1269" s="3"/>
    </row>
    <row r="1270" spans="14:20" x14ac:dyDescent="0.3">
      <c r="N1270" s="5"/>
      <c r="O1270" s="5"/>
      <c r="P1270" s="5"/>
      <c r="Q1270" s="5"/>
      <c r="R1270" s="8"/>
      <c r="S1270" s="8"/>
      <c r="T1270" s="3"/>
    </row>
    <row r="1271" spans="14:20" x14ac:dyDescent="0.3">
      <c r="N1271" s="5"/>
      <c r="O1271" s="5"/>
      <c r="P1271" s="5"/>
      <c r="Q1271" s="5"/>
      <c r="R1271" s="8"/>
      <c r="S1271" s="8"/>
      <c r="T1271" s="3"/>
    </row>
    <row r="1272" spans="14:20" x14ac:dyDescent="0.3">
      <c r="N1272" s="5"/>
      <c r="O1272" s="5"/>
      <c r="P1272" s="5"/>
      <c r="Q1272" s="5"/>
      <c r="R1272" s="8"/>
      <c r="S1272" s="8"/>
      <c r="T1272" s="3"/>
    </row>
    <row r="1273" spans="14:20" x14ac:dyDescent="0.3">
      <c r="N1273" s="5"/>
      <c r="O1273" s="5"/>
      <c r="P1273" s="5"/>
      <c r="Q1273" s="5"/>
      <c r="R1273" s="8"/>
      <c r="S1273" s="8"/>
      <c r="T1273" s="3"/>
    </row>
    <row r="1274" spans="14:20" x14ac:dyDescent="0.3">
      <c r="N1274" s="5"/>
      <c r="O1274" s="5"/>
      <c r="P1274" s="5"/>
      <c r="Q1274" s="5"/>
      <c r="R1274" s="8"/>
      <c r="S1274" s="8"/>
      <c r="T1274" s="3"/>
    </row>
    <row r="1275" spans="14:20" x14ac:dyDescent="0.3">
      <c r="N1275" s="5"/>
      <c r="O1275" s="5"/>
      <c r="P1275" s="5"/>
      <c r="Q1275" s="5"/>
      <c r="R1275" s="8"/>
      <c r="S1275" s="8"/>
      <c r="T1275" s="3"/>
    </row>
    <row r="1276" spans="14:20" x14ac:dyDescent="0.3">
      <c r="N1276" s="5"/>
      <c r="O1276" s="5"/>
      <c r="P1276" s="5"/>
      <c r="Q1276" s="5"/>
      <c r="R1276" s="8"/>
      <c r="S1276" s="8"/>
      <c r="T1276" s="3"/>
    </row>
    <row r="1277" spans="14:20" x14ac:dyDescent="0.3">
      <c r="N1277" s="5"/>
      <c r="O1277" s="5"/>
      <c r="P1277" s="5"/>
      <c r="Q1277" s="5"/>
      <c r="R1277" s="8"/>
      <c r="S1277" s="8"/>
      <c r="T1277" s="3"/>
    </row>
    <row r="1278" spans="14:20" x14ac:dyDescent="0.3">
      <c r="N1278" s="5"/>
      <c r="O1278" s="5"/>
      <c r="P1278" s="5"/>
      <c r="Q1278" s="5"/>
      <c r="R1278" s="8"/>
      <c r="S1278" s="8"/>
      <c r="T1278" s="3"/>
    </row>
    <row r="1279" spans="14:20" x14ac:dyDescent="0.3">
      <c r="N1279" s="5"/>
      <c r="O1279" s="5"/>
      <c r="P1279" s="5"/>
      <c r="Q1279" s="5"/>
      <c r="R1279" s="8"/>
      <c r="S1279" s="8"/>
      <c r="T1279" s="3"/>
    </row>
    <row r="1280" spans="14:20" x14ac:dyDescent="0.3">
      <c r="N1280" s="5"/>
      <c r="O1280" s="5"/>
      <c r="P1280" s="5"/>
      <c r="Q1280" s="5"/>
      <c r="R1280" s="8"/>
      <c r="S1280" s="8"/>
      <c r="T1280" s="3"/>
    </row>
    <row r="1281" spans="14:20" x14ac:dyDescent="0.3">
      <c r="N1281" s="5"/>
      <c r="O1281" s="5"/>
      <c r="P1281" s="5"/>
      <c r="Q1281" s="5"/>
      <c r="R1281" s="8"/>
      <c r="S1281" s="8"/>
      <c r="T1281" s="3"/>
    </row>
    <row r="1282" spans="14:20" x14ac:dyDescent="0.3">
      <c r="N1282" s="5"/>
      <c r="O1282" s="5"/>
      <c r="P1282" s="5"/>
      <c r="Q1282" s="5"/>
      <c r="R1282" s="8"/>
      <c r="S1282" s="8"/>
      <c r="T1282" s="3"/>
    </row>
    <row r="1283" spans="14:20" x14ac:dyDescent="0.3">
      <c r="N1283" s="5"/>
      <c r="O1283" s="5"/>
      <c r="P1283" s="5"/>
      <c r="Q1283" s="5"/>
      <c r="R1283" s="8"/>
      <c r="S1283" s="8"/>
      <c r="T1283" s="3"/>
    </row>
    <row r="1284" spans="14:20" x14ac:dyDescent="0.3">
      <c r="N1284" s="5"/>
      <c r="O1284" s="5"/>
      <c r="P1284" s="5"/>
      <c r="Q1284" s="5"/>
      <c r="R1284" s="8"/>
      <c r="S1284" s="8"/>
      <c r="T1284" s="3"/>
    </row>
    <row r="1285" spans="14:20" x14ac:dyDescent="0.3">
      <c r="N1285" s="5"/>
      <c r="O1285" s="5"/>
      <c r="P1285" s="5"/>
      <c r="Q1285" s="5"/>
      <c r="R1285" s="8"/>
      <c r="S1285" s="8"/>
      <c r="T1285" s="3"/>
    </row>
    <row r="1286" spans="14:20" x14ac:dyDescent="0.3">
      <c r="N1286" s="5"/>
      <c r="O1286" s="5"/>
      <c r="P1286" s="5"/>
      <c r="Q1286" s="5"/>
      <c r="R1286" s="8"/>
      <c r="S1286" s="8"/>
      <c r="T1286" s="3"/>
    </row>
    <row r="1287" spans="14:20" x14ac:dyDescent="0.3">
      <c r="N1287" s="5"/>
      <c r="O1287" s="5"/>
      <c r="P1287" s="5"/>
      <c r="Q1287" s="5"/>
      <c r="R1287" s="8"/>
      <c r="S1287" s="8"/>
      <c r="T1287" s="3"/>
    </row>
    <row r="1288" spans="14:20" x14ac:dyDescent="0.3">
      <c r="N1288" s="5"/>
      <c r="O1288" s="5"/>
      <c r="P1288" s="5"/>
      <c r="Q1288" s="5"/>
      <c r="R1288" s="8"/>
      <c r="S1288" s="8"/>
      <c r="T1288" s="3"/>
    </row>
    <row r="1289" spans="14:20" x14ac:dyDescent="0.3">
      <c r="N1289" s="5"/>
      <c r="O1289" s="5"/>
      <c r="P1289" s="5"/>
      <c r="Q1289" s="5"/>
      <c r="R1289" s="8"/>
      <c r="S1289" s="8"/>
      <c r="T1289" s="3"/>
    </row>
    <row r="1290" spans="14:20" x14ac:dyDescent="0.3">
      <c r="N1290" s="5"/>
      <c r="O1290" s="5"/>
      <c r="P1290" s="5"/>
      <c r="Q1290" s="5"/>
      <c r="R1290" s="8"/>
      <c r="S1290" s="8"/>
      <c r="T1290" s="3"/>
    </row>
    <row r="1291" spans="14:20" x14ac:dyDescent="0.3">
      <c r="N1291" s="5"/>
      <c r="O1291" s="5"/>
      <c r="P1291" s="5"/>
      <c r="Q1291" s="5"/>
      <c r="R1291" s="8"/>
      <c r="S1291" s="8"/>
      <c r="T1291" s="3"/>
    </row>
    <row r="1292" spans="14:20" x14ac:dyDescent="0.3">
      <c r="N1292" s="5"/>
      <c r="O1292" s="5"/>
      <c r="P1292" s="5"/>
      <c r="Q1292" s="5"/>
      <c r="R1292" s="8"/>
      <c r="S1292" s="8"/>
      <c r="T1292" s="3"/>
    </row>
    <row r="1293" spans="14:20" x14ac:dyDescent="0.3">
      <c r="N1293" s="5"/>
      <c r="O1293" s="5"/>
      <c r="P1293" s="5"/>
      <c r="Q1293" s="5"/>
      <c r="R1293" s="8"/>
      <c r="S1293" s="8"/>
      <c r="T1293" s="3"/>
    </row>
    <row r="1294" spans="14:20" x14ac:dyDescent="0.3">
      <c r="N1294" s="5"/>
      <c r="O1294" s="5"/>
      <c r="P1294" s="5"/>
      <c r="Q1294" s="5"/>
      <c r="R1294" s="8"/>
      <c r="S1294" s="8"/>
      <c r="T1294" s="3"/>
    </row>
    <row r="1295" spans="14:20" x14ac:dyDescent="0.3">
      <c r="N1295" s="5"/>
      <c r="O1295" s="5"/>
      <c r="P1295" s="5"/>
      <c r="Q1295" s="5"/>
      <c r="R1295" s="8"/>
      <c r="S1295" s="8"/>
      <c r="T1295" s="3"/>
    </row>
    <row r="1296" spans="14:20" x14ac:dyDescent="0.3">
      <c r="N1296" s="5"/>
      <c r="O1296" s="5"/>
      <c r="P1296" s="5"/>
      <c r="Q1296" s="5"/>
      <c r="R1296" s="8"/>
      <c r="S1296" s="8"/>
      <c r="T1296" s="3"/>
    </row>
    <row r="1297" spans="14:20" x14ac:dyDescent="0.3">
      <c r="N1297" s="5"/>
      <c r="O1297" s="5"/>
      <c r="P1297" s="5"/>
      <c r="Q1297" s="5"/>
      <c r="R1297" s="8"/>
      <c r="S1297" s="8"/>
      <c r="T1297" s="3"/>
    </row>
    <row r="1298" spans="14:20" x14ac:dyDescent="0.3">
      <c r="N1298" s="5"/>
      <c r="O1298" s="5"/>
      <c r="P1298" s="5"/>
      <c r="Q1298" s="5"/>
      <c r="R1298" s="8"/>
      <c r="S1298" s="8"/>
      <c r="T1298" s="3"/>
    </row>
    <row r="1299" spans="14:20" x14ac:dyDescent="0.3">
      <c r="N1299" s="5"/>
      <c r="O1299" s="5"/>
      <c r="P1299" s="5"/>
      <c r="Q1299" s="5"/>
      <c r="R1299" s="8"/>
      <c r="S1299" s="8"/>
      <c r="T1299" s="3"/>
    </row>
    <row r="1300" spans="14:20" x14ac:dyDescent="0.3">
      <c r="N1300" s="5"/>
      <c r="O1300" s="5"/>
      <c r="P1300" s="5"/>
      <c r="Q1300" s="5"/>
      <c r="R1300" s="8"/>
      <c r="S1300" s="8"/>
      <c r="T1300" s="3"/>
    </row>
    <row r="1301" spans="14:20" x14ac:dyDescent="0.3">
      <c r="N1301" s="5"/>
      <c r="O1301" s="5"/>
      <c r="P1301" s="5"/>
      <c r="Q1301" s="5"/>
      <c r="R1301" s="8"/>
      <c r="S1301" s="8"/>
      <c r="T1301" s="3"/>
    </row>
    <row r="1302" spans="14:20" x14ac:dyDescent="0.3">
      <c r="N1302" s="5"/>
      <c r="O1302" s="5"/>
      <c r="P1302" s="5"/>
      <c r="Q1302" s="5"/>
      <c r="R1302" s="8"/>
      <c r="S1302" s="8"/>
      <c r="T1302" s="3"/>
    </row>
    <row r="1303" spans="14:20" x14ac:dyDescent="0.3">
      <c r="N1303" s="5"/>
      <c r="O1303" s="5"/>
      <c r="P1303" s="5"/>
      <c r="Q1303" s="5"/>
      <c r="R1303" s="8"/>
      <c r="S1303" s="8"/>
      <c r="T1303" s="3"/>
    </row>
    <row r="1304" spans="14:20" x14ac:dyDescent="0.3">
      <c r="N1304" s="5"/>
      <c r="O1304" s="5"/>
      <c r="P1304" s="5"/>
      <c r="Q1304" s="5"/>
      <c r="R1304" s="8"/>
      <c r="S1304" s="8"/>
      <c r="T1304" s="3"/>
    </row>
    <row r="1305" spans="14:20" x14ac:dyDescent="0.3">
      <c r="N1305" s="5"/>
      <c r="O1305" s="5"/>
      <c r="P1305" s="5"/>
      <c r="Q1305" s="5"/>
      <c r="R1305" s="8"/>
      <c r="S1305" s="8"/>
      <c r="T1305" s="3"/>
    </row>
    <row r="1306" spans="14:20" x14ac:dyDescent="0.3">
      <c r="N1306" s="5"/>
      <c r="O1306" s="5"/>
      <c r="P1306" s="5"/>
      <c r="Q1306" s="5"/>
      <c r="R1306" s="8"/>
      <c r="S1306" s="8"/>
      <c r="T1306" s="3"/>
    </row>
    <row r="1307" spans="14:20" x14ac:dyDescent="0.3">
      <c r="N1307" s="5"/>
      <c r="O1307" s="5"/>
      <c r="P1307" s="5"/>
      <c r="Q1307" s="5"/>
      <c r="R1307" s="8"/>
      <c r="S1307" s="8"/>
      <c r="T1307" s="3"/>
    </row>
    <row r="1308" spans="14:20" x14ac:dyDescent="0.3">
      <c r="N1308" s="5"/>
      <c r="O1308" s="5"/>
      <c r="P1308" s="5"/>
      <c r="Q1308" s="5"/>
      <c r="R1308" s="8"/>
      <c r="S1308" s="8"/>
      <c r="T1308" s="3"/>
    </row>
    <row r="1309" spans="14:20" x14ac:dyDescent="0.3">
      <c r="N1309" s="5"/>
      <c r="O1309" s="5"/>
      <c r="P1309" s="5"/>
      <c r="Q1309" s="5"/>
      <c r="R1309" s="8"/>
      <c r="S1309" s="8"/>
      <c r="T1309" s="3"/>
    </row>
    <row r="1310" spans="14:20" x14ac:dyDescent="0.3">
      <c r="N1310" s="5"/>
      <c r="O1310" s="5"/>
      <c r="P1310" s="5"/>
      <c r="Q1310" s="5"/>
      <c r="R1310" s="8"/>
      <c r="S1310" s="8"/>
      <c r="T1310" s="3"/>
    </row>
    <row r="1311" spans="14:20" x14ac:dyDescent="0.3">
      <c r="N1311" s="5"/>
      <c r="O1311" s="5"/>
      <c r="P1311" s="5"/>
      <c r="Q1311" s="5"/>
      <c r="R1311" s="8"/>
      <c r="S1311" s="8"/>
      <c r="T1311" s="3"/>
    </row>
    <row r="1312" spans="14:20" x14ac:dyDescent="0.3">
      <c r="N1312" s="5"/>
      <c r="O1312" s="5"/>
      <c r="P1312" s="5"/>
      <c r="Q1312" s="5"/>
      <c r="R1312" s="8"/>
      <c r="S1312" s="8"/>
      <c r="T1312" s="3"/>
    </row>
    <row r="1313" spans="14:20" x14ac:dyDescent="0.3">
      <c r="N1313" s="5"/>
      <c r="O1313" s="5"/>
      <c r="P1313" s="5"/>
      <c r="Q1313" s="5"/>
      <c r="R1313" s="8"/>
      <c r="S1313" s="8"/>
      <c r="T1313" s="3"/>
    </row>
    <row r="1314" spans="14:20" x14ac:dyDescent="0.3">
      <c r="N1314" s="5"/>
      <c r="O1314" s="5"/>
      <c r="P1314" s="5"/>
      <c r="Q1314" s="5"/>
      <c r="R1314" s="8"/>
      <c r="S1314" s="8"/>
      <c r="T1314" s="3"/>
    </row>
    <row r="1315" spans="14:20" x14ac:dyDescent="0.3">
      <c r="N1315" s="5"/>
      <c r="O1315" s="5"/>
      <c r="P1315" s="5"/>
      <c r="Q1315" s="5"/>
      <c r="R1315" s="8"/>
      <c r="S1315" s="8"/>
      <c r="T1315" s="3"/>
    </row>
    <row r="1316" spans="14:20" x14ac:dyDescent="0.3">
      <c r="N1316" s="5"/>
      <c r="O1316" s="5"/>
      <c r="P1316" s="5"/>
      <c r="Q1316" s="5"/>
      <c r="R1316" s="8"/>
      <c r="S1316" s="8"/>
      <c r="T1316" s="3"/>
    </row>
    <row r="1317" spans="14:20" x14ac:dyDescent="0.3">
      <c r="N1317" s="5"/>
      <c r="O1317" s="5"/>
      <c r="P1317" s="5"/>
      <c r="Q1317" s="5"/>
      <c r="R1317" s="8"/>
      <c r="S1317" s="8"/>
      <c r="T1317" s="3"/>
    </row>
    <row r="1318" spans="14:20" x14ac:dyDescent="0.3">
      <c r="N1318" s="5"/>
      <c r="O1318" s="5"/>
      <c r="P1318" s="5"/>
      <c r="Q1318" s="5"/>
      <c r="R1318" s="8"/>
      <c r="S1318" s="8"/>
      <c r="T1318" s="3"/>
    </row>
    <row r="1319" spans="14:20" x14ac:dyDescent="0.3">
      <c r="N1319" s="5"/>
      <c r="O1319" s="5"/>
      <c r="P1319" s="5"/>
      <c r="Q1319" s="5"/>
      <c r="R1319" s="8"/>
      <c r="S1319" s="8"/>
      <c r="T1319" s="3"/>
    </row>
    <row r="1320" spans="14:20" x14ac:dyDescent="0.3">
      <c r="N1320" s="5"/>
      <c r="O1320" s="5"/>
      <c r="P1320" s="5"/>
      <c r="Q1320" s="5"/>
      <c r="R1320" s="8"/>
      <c r="S1320" s="8"/>
      <c r="T1320" s="3"/>
    </row>
    <row r="1321" spans="14:20" x14ac:dyDescent="0.3">
      <c r="N1321" s="5"/>
      <c r="O1321" s="5"/>
      <c r="P1321" s="5"/>
      <c r="Q1321" s="5"/>
      <c r="R1321" s="8"/>
      <c r="S1321" s="8"/>
      <c r="T1321" s="3"/>
    </row>
    <row r="1322" spans="14:20" x14ac:dyDescent="0.3">
      <c r="N1322" s="5"/>
      <c r="O1322" s="5"/>
      <c r="P1322" s="5"/>
      <c r="Q1322" s="5"/>
      <c r="R1322" s="8"/>
      <c r="S1322" s="8"/>
      <c r="T1322" s="3"/>
    </row>
    <row r="1323" spans="14:20" x14ac:dyDescent="0.3">
      <c r="N1323" s="5"/>
      <c r="O1323" s="5"/>
      <c r="P1323" s="5"/>
      <c r="Q1323" s="5"/>
      <c r="R1323" s="8"/>
      <c r="S1323" s="8"/>
      <c r="T1323" s="3"/>
    </row>
    <row r="1324" spans="14:20" x14ac:dyDescent="0.3">
      <c r="N1324" s="5"/>
      <c r="O1324" s="5"/>
      <c r="P1324" s="5"/>
      <c r="Q1324" s="5"/>
      <c r="R1324" s="8"/>
      <c r="S1324" s="8"/>
      <c r="T1324" s="3"/>
    </row>
    <row r="1325" spans="14:20" x14ac:dyDescent="0.3">
      <c r="N1325" s="5"/>
      <c r="O1325" s="5"/>
      <c r="P1325" s="5"/>
      <c r="Q1325" s="5"/>
      <c r="R1325" s="8"/>
      <c r="S1325" s="8"/>
      <c r="T1325" s="3"/>
    </row>
    <row r="1326" spans="14:20" x14ac:dyDescent="0.3">
      <c r="N1326" s="5"/>
      <c r="O1326" s="5"/>
      <c r="P1326" s="5"/>
      <c r="Q1326" s="5"/>
      <c r="R1326" s="8"/>
      <c r="S1326" s="8"/>
      <c r="T1326" s="3"/>
    </row>
    <row r="1327" spans="14:20" x14ac:dyDescent="0.3">
      <c r="N1327" s="5"/>
      <c r="O1327" s="5"/>
      <c r="P1327" s="5"/>
      <c r="Q1327" s="5"/>
      <c r="R1327" s="8"/>
      <c r="S1327" s="8"/>
      <c r="T1327" s="3"/>
    </row>
    <row r="1328" spans="14:20" x14ac:dyDescent="0.3">
      <c r="N1328" s="5"/>
      <c r="O1328" s="5"/>
      <c r="P1328" s="5"/>
      <c r="Q1328" s="5"/>
      <c r="R1328" s="8"/>
      <c r="S1328" s="8"/>
      <c r="T1328" s="3"/>
    </row>
    <row r="1329" spans="14:20" x14ac:dyDescent="0.3">
      <c r="N1329" s="5"/>
      <c r="O1329" s="5"/>
      <c r="P1329" s="5"/>
      <c r="Q1329" s="5"/>
      <c r="R1329" s="8"/>
      <c r="S1329" s="8"/>
      <c r="T1329" s="3"/>
    </row>
    <row r="1330" spans="14:20" x14ac:dyDescent="0.3">
      <c r="N1330" s="5"/>
      <c r="O1330" s="5"/>
      <c r="P1330" s="5"/>
      <c r="Q1330" s="5"/>
      <c r="R1330" s="8"/>
      <c r="S1330" s="8"/>
      <c r="T1330" s="3"/>
    </row>
    <row r="1331" spans="14:20" x14ac:dyDescent="0.3">
      <c r="N1331" s="5"/>
      <c r="O1331" s="5"/>
      <c r="P1331" s="5"/>
      <c r="Q1331" s="5"/>
      <c r="R1331" s="8"/>
      <c r="S1331" s="8"/>
      <c r="T1331" s="3"/>
    </row>
    <row r="1332" spans="14:20" x14ac:dyDescent="0.3">
      <c r="N1332" s="5"/>
      <c r="O1332" s="5"/>
      <c r="P1332" s="5"/>
      <c r="Q1332" s="5"/>
      <c r="R1332" s="8"/>
      <c r="S1332" s="8"/>
      <c r="T1332" s="3"/>
    </row>
    <row r="1333" spans="14:20" x14ac:dyDescent="0.3">
      <c r="N1333" s="5"/>
      <c r="O1333" s="5"/>
      <c r="P1333" s="5"/>
      <c r="Q1333" s="5"/>
      <c r="R1333" s="8"/>
      <c r="S1333" s="8"/>
      <c r="T1333" s="3"/>
    </row>
    <row r="1334" spans="14:20" x14ac:dyDescent="0.3">
      <c r="N1334" s="5"/>
      <c r="O1334" s="5"/>
      <c r="P1334" s="5"/>
      <c r="Q1334" s="5"/>
      <c r="R1334" s="8"/>
      <c r="S1334" s="8"/>
      <c r="T1334" s="3"/>
    </row>
    <row r="1335" spans="14:20" x14ac:dyDescent="0.3">
      <c r="N1335" s="5"/>
      <c r="O1335" s="5"/>
      <c r="P1335" s="5"/>
      <c r="Q1335" s="5"/>
      <c r="R1335" s="8"/>
      <c r="S1335" s="8"/>
      <c r="T1335" s="3"/>
    </row>
    <row r="1336" spans="14:20" x14ac:dyDescent="0.3">
      <c r="N1336" s="5"/>
      <c r="O1336" s="5"/>
      <c r="P1336" s="5"/>
      <c r="Q1336" s="5"/>
      <c r="R1336" s="8"/>
      <c r="S1336" s="8"/>
      <c r="T1336" s="3"/>
    </row>
    <row r="1337" spans="14:20" x14ac:dyDescent="0.3">
      <c r="N1337" s="5"/>
      <c r="O1337" s="5"/>
      <c r="P1337" s="5"/>
      <c r="Q1337" s="5"/>
      <c r="R1337" s="8"/>
      <c r="S1337" s="8"/>
      <c r="T1337" s="3"/>
    </row>
    <row r="1338" spans="14:20" x14ac:dyDescent="0.3">
      <c r="N1338" s="5"/>
      <c r="O1338" s="5"/>
      <c r="P1338" s="5"/>
      <c r="Q1338" s="5"/>
      <c r="R1338" s="8"/>
      <c r="S1338" s="8"/>
      <c r="T1338" s="3"/>
    </row>
    <row r="1339" spans="14:20" x14ac:dyDescent="0.3">
      <c r="N1339" s="5"/>
      <c r="O1339" s="5"/>
      <c r="P1339" s="5"/>
      <c r="Q1339" s="5"/>
      <c r="R1339" s="8"/>
      <c r="S1339" s="8"/>
      <c r="T1339" s="3"/>
    </row>
    <row r="1340" spans="14:20" x14ac:dyDescent="0.3">
      <c r="N1340" s="5"/>
      <c r="O1340" s="5"/>
      <c r="P1340" s="5"/>
      <c r="Q1340" s="5"/>
      <c r="R1340" s="8"/>
      <c r="S1340" s="8"/>
      <c r="T1340" s="3"/>
    </row>
    <row r="1341" spans="14:20" x14ac:dyDescent="0.3">
      <c r="N1341" s="5"/>
      <c r="O1341" s="5"/>
      <c r="P1341" s="5"/>
      <c r="Q1341" s="5"/>
      <c r="R1341" s="8"/>
      <c r="S1341" s="8"/>
      <c r="T1341" s="3"/>
    </row>
    <row r="1342" spans="14:20" x14ac:dyDescent="0.3">
      <c r="N1342" s="5"/>
      <c r="O1342" s="5"/>
      <c r="P1342" s="5"/>
      <c r="Q1342" s="5"/>
      <c r="R1342" s="8"/>
      <c r="S1342" s="8"/>
      <c r="T1342" s="3"/>
    </row>
    <row r="1343" spans="14:20" x14ac:dyDescent="0.3">
      <c r="N1343" s="5"/>
      <c r="O1343" s="5"/>
      <c r="P1343" s="5"/>
      <c r="Q1343" s="5"/>
      <c r="R1343" s="8"/>
      <c r="S1343" s="8"/>
      <c r="T1343" s="3"/>
    </row>
    <row r="1344" spans="14:20" x14ac:dyDescent="0.3">
      <c r="N1344" s="5"/>
      <c r="O1344" s="5"/>
      <c r="P1344" s="5"/>
      <c r="Q1344" s="5"/>
      <c r="R1344" s="8"/>
      <c r="S1344" s="8"/>
      <c r="T1344" s="3"/>
    </row>
    <row r="1345" spans="14:20" x14ac:dyDescent="0.3">
      <c r="N1345" s="5"/>
      <c r="O1345" s="5"/>
      <c r="P1345" s="5"/>
      <c r="Q1345" s="5"/>
      <c r="R1345" s="8"/>
      <c r="S1345" s="8"/>
      <c r="T1345" s="3"/>
    </row>
    <row r="1346" spans="14:20" x14ac:dyDescent="0.3">
      <c r="N1346" s="5"/>
      <c r="O1346" s="5"/>
      <c r="P1346" s="5"/>
      <c r="Q1346" s="5"/>
      <c r="R1346" s="8"/>
      <c r="S1346" s="8"/>
      <c r="T1346" s="3"/>
    </row>
    <row r="1347" spans="14:20" x14ac:dyDescent="0.3">
      <c r="N1347" s="5"/>
      <c r="O1347" s="5"/>
      <c r="P1347" s="5"/>
      <c r="Q1347" s="5"/>
      <c r="R1347" s="8"/>
      <c r="S1347" s="8"/>
      <c r="T1347" s="3"/>
    </row>
    <row r="1348" spans="14:20" x14ac:dyDescent="0.3">
      <c r="N1348" s="5"/>
      <c r="O1348" s="5"/>
      <c r="P1348" s="5"/>
      <c r="Q1348" s="5"/>
      <c r="R1348" s="8"/>
      <c r="S1348" s="8"/>
      <c r="T1348" s="3"/>
    </row>
    <row r="1349" spans="14:20" x14ac:dyDescent="0.3">
      <c r="N1349" s="5"/>
      <c r="O1349" s="5"/>
      <c r="P1349" s="5"/>
      <c r="Q1349" s="5"/>
      <c r="R1349" s="8"/>
      <c r="S1349" s="8"/>
      <c r="T1349" s="3"/>
    </row>
    <row r="1350" spans="14:20" x14ac:dyDescent="0.3">
      <c r="N1350" s="5"/>
      <c r="O1350" s="5"/>
      <c r="P1350" s="5"/>
      <c r="Q1350" s="5"/>
      <c r="R1350" s="8"/>
      <c r="S1350" s="8"/>
      <c r="T1350" s="3"/>
    </row>
    <row r="1351" spans="14:20" x14ac:dyDescent="0.3">
      <c r="N1351" s="5"/>
      <c r="O1351" s="5"/>
      <c r="P1351" s="5"/>
      <c r="Q1351" s="5"/>
      <c r="R1351" s="8"/>
      <c r="S1351" s="8"/>
      <c r="T1351" s="3"/>
    </row>
    <row r="1352" spans="14:20" x14ac:dyDescent="0.3">
      <c r="N1352" s="5"/>
      <c r="O1352" s="5"/>
      <c r="P1352" s="5"/>
      <c r="Q1352" s="5"/>
      <c r="R1352" s="8"/>
      <c r="S1352" s="8"/>
      <c r="T1352" s="3"/>
    </row>
    <row r="1353" spans="14:20" x14ac:dyDescent="0.3">
      <c r="N1353" s="5"/>
      <c r="O1353" s="5"/>
      <c r="P1353" s="5"/>
      <c r="Q1353" s="5"/>
      <c r="R1353" s="8"/>
      <c r="S1353" s="8"/>
      <c r="T1353" s="3"/>
    </row>
    <row r="1354" spans="14:20" x14ac:dyDescent="0.3">
      <c r="N1354" s="5"/>
      <c r="O1354" s="5"/>
      <c r="P1354" s="5"/>
      <c r="Q1354" s="5"/>
      <c r="R1354" s="8"/>
      <c r="S1354" s="8"/>
      <c r="T1354" s="3"/>
    </row>
    <row r="1355" spans="14:20" x14ac:dyDescent="0.3">
      <c r="N1355" s="5"/>
      <c r="O1355" s="5"/>
      <c r="P1355" s="5"/>
      <c r="Q1355" s="5"/>
      <c r="R1355" s="8"/>
      <c r="S1355" s="8"/>
      <c r="T1355" s="3"/>
    </row>
    <row r="1356" spans="14:20" x14ac:dyDescent="0.3">
      <c r="N1356" s="5"/>
      <c r="O1356" s="5"/>
      <c r="P1356" s="5"/>
      <c r="Q1356" s="5"/>
      <c r="R1356" s="8"/>
      <c r="S1356" s="8"/>
      <c r="T1356" s="3"/>
    </row>
    <row r="1357" spans="14:20" x14ac:dyDescent="0.3">
      <c r="N1357" s="5"/>
      <c r="O1357" s="5"/>
      <c r="P1357" s="5"/>
      <c r="Q1357" s="5"/>
      <c r="R1357" s="8"/>
      <c r="S1357" s="8"/>
      <c r="T1357" s="3"/>
    </row>
    <row r="1358" spans="14:20" x14ac:dyDescent="0.3">
      <c r="N1358" s="5"/>
      <c r="O1358" s="5"/>
      <c r="P1358" s="5"/>
      <c r="Q1358" s="5"/>
      <c r="R1358" s="8"/>
      <c r="S1358" s="8"/>
      <c r="T1358" s="3"/>
    </row>
    <row r="1359" spans="14:20" x14ac:dyDescent="0.3">
      <c r="N1359" s="5"/>
      <c r="O1359" s="5"/>
      <c r="P1359" s="5"/>
      <c r="Q1359" s="5"/>
      <c r="R1359" s="8"/>
      <c r="S1359" s="8"/>
      <c r="T1359" s="3"/>
    </row>
    <row r="1360" spans="14:20" x14ac:dyDescent="0.3">
      <c r="N1360" s="5"/>
      <c r="O1360" s="5"/>
      <c r="P1360" s="5"/>
      <c r="Q1360" s="5"/>
      <c r="R1360" s="8"/>
      <c r="S1360" s="8"/>
      <c r="T1360" s="3"/>
    </row>
    <row r="1361" spans="14:20" x14ac:dyDescent="0.3">
      <c r="N1361" s="5"/>
      <c r="O1361" s="5"/>
      <c r="P1361" s="5"/>
      <c r="Q1361" s="5"/>
      <c r="R1361" s="8"/>
      <c r="S1361" s="8"/>
      <c r="T1361" s="3"/>
    </row>
    <row r="1362" spans="14:20" x14ac:dyDescent="0.3">
      <c r="N1362" s="5"/>
      <c r="O1362" s="5"/>
      <c r="P1362" s="5"/>
      <c r="Q1362" s="5"/>
      <c r="R1362" s="8"/>
      <c r="S1362" s="8"/>
      <c r="T1362" s="3"/>
    </row>
    <row r="1363" spans="14:20" x14ac:dyDescent="0.3">
      <c r="N1363" s="5"/>
      <c r="O1363" s="5"/>
      <c r="P1363" s="5"/>
      <c r="Q1363" s="5"/>
      <c r="R1363" s="8"/>
      <c r="S1363" s="8"/>
      <c r="T1363" s="3"/>
    </row>
    <row r="1364" spans="14:20" x14ac:dyDescent="0.3">
      <c r="N1364" s="5"/>
      <c r="O1364" s="5"/>
      <c r="P1364" s="5"/>
      <c r="Q1364" s="5"/>
      <c r="R1364" s="8"/>
      <c r="S1364" s="8"/>
      <c r="T1364" s="3"/>
    </row>
    <row r="1365" spans="14:20" x14ac:dyDescent="0.3">
      <c r="N1365" s="5"/>
      <c r="O1365" s="5"/>
      <c r="P1365" s="5"/>
      <c r="Q1365" s="5"/>
      <c r="R1365" s="8"/>
      <c r="S1365" s="8"/>
      <c r="T1365" s="3"/>
    </row>
    <row r="1366" spans="14:20" x14ac:dyDescent="0.3">
      <c r="N1366" s="5"/>
      <c r="O1366" s="5"/>
      <c r="P1366" s="5"/>
      <c r="Q1366" s="5"/>
      <c r="R1366" s="8"/>
      <c r="S1366" s="8"/>
      <c r="T1366" s="3"/>
    </row>
    <row r="1367" spans="14:20" x14ac:dyDescent="0.3">
      <c r="N1367" s="5"/>
      <c r="O1367" s="5"/>
      <c r="P1367" s="5"/>
      <c r="Q1367" s="5"/>
      <c r="R1367" s="8"/>
      <c r="S1367" s="8"/>
      <c r="T1367" s="3"/>
    </row>
    <row r="1368" spans="14:20" x14ac:dyDescent="0.3">
      <c r="N1368" s="5"/>
      <c r="O1368" s="5"/>
      <c r="P1368" s="5"/>
      <c r="Q1368" s="5"/>
      <c r="R1368" s="8"/>
      <c r="S1368" s="8"/>
      <c r="T1368" s="3"/>
    </row>
    <row r="1369" spans="14:20" x14ac:dyDescent="0.3">
      <c r="N1369" s="5"/>
      <c r="O1369" s="5"/>
      <c r="P1369" s="5"/>
      <c r="Q1369" s="5"/>
      <c r="R1369" s="8"/>
      <c r="S1369" s="8"/>
      <c r="T1369" s="3"/>
    </row>
    <row r="1370" spans="14:20" x14ac:dyDescent="0.3">
      <c r="N1370" s="5"/>
      <c r="O1370" s="5"/>
      <c r="P1370" s="5"/>
      <c r="Q1370" s="5"/>
      <c r="R1370" s="8"/>
      <c r="S1370" s="8"/>
      <c r="T1370" s="3"/>
    </row>
    <row r="1371" spans="14:20" x14ac:dyDescent="0.3">
      <c r="N1371" s="5"/>
      <c r="O1371" s="5"/>
      <c r="P1371" s="5"/>
      <c r="Q1371" s="5"/>
      <c r="R1371" s="8"/>
      <c r="S1371" s="8"/>
      <c r="T1371" s="3"/>
    </row>
    <row r="1372" spans="14:20" x14ac:dyDescent="0.3">
      <c r="N1372" s="5"/>
      <c r="O1372" s="5"/>
      <c r="P1372" s="5"/>
      <c r="Q1372" s="5"/>
      <c r="R1372" s="8"/>
      <c r="S1372" s="8"/>
      <c r="T1372" s="3"/>
    </row>
    <row r="1373" spans="14:20" x14ac:dyDescent="0.3">
      <c r="N1373" s="5"/>
      <c r="O1373" s="5"/>
      <c r="P1373" s="5"/>
      <c r="Q1373" s="5"/>
      <c r="R1373" s="8"/>
      <c r="S1373" s="8"/>
      <c r="T1373" s="3"/>
    </row>
    <row r="1374" spans="14:20" x14ac:dyDescent="0.3">
      <c r="N1374" s="5"/>
      <c r="O1374" s="5"/>
      <c r="P1374" s="5"/>
      <c r="Q1374" s="5"/>
      <c r="R1374" s="8"/>
      <c r="S1374" s="8"/>
      <c r="T1374" s="3"/>
    </row>
    <row r="1375" spans="14:20" x14ac:dyDescent="0.3">
      <c r="N1375" s="5"/>
      <c r="O1375" s="5"/>
      <c r="P1375" s="5"/>
      <c r="Q1375" s="5"/>
      <c r="R1375" s="8"/>
      <c r="S1375" s="8"/>
      <c r="T1375" s="3"/>
    </row>
    <row r="1376" spans="14:20" x14ac:dyDescent="0.3">
      <c r="N1376" s="5"/>
      <c r="O1376" s="5"/>
      <c r="P1376" s="5"/>
      <c r="Q1376" s="5"/>
      <c r="R1376" s="8"/>
      <c r="S1376" s="8"/>
      <c r="T1376" s="3"/>
    </row>
    <row r="1377" spans="14:20" x14ac:dyDescent="0.3">
      <c r="N1377" s="5"/>
      <c r="O1377" s="5"/>
      <c r="P1377" s="5"/>
      <c r="Q1377" s="5"/>
      <c r="R1377" s="8"/>
      <c r="S1377" s="8"/>
      <c r="T1377" s="3"/>
    </row>
    <row r="1378" spans="14:20" x14ac:dyDescent="0.3">
      <c r="N1378" s="5"/>
      <c r="O1378" s="5"/>
      <c r="P1378" s="5"/>
      <c r="Q1378" s="5"/>
      <c r="R1378" s="8"/>
      <c r="S1378" s="8"/>
      <c r="T1378" s="3"/>
    </row>
    <row r="1379" spans="14:20" x14ac:dyDescent="0.3">
      <c r="N1379" s="5"/>
      <c r="O1379" s="5"/>
      <c r="P1379" s="5"/>
      <c r="Q1379" s="5"/>
      <c r="R1379" s="8"/>
      <c r="S1379" s="8"/>
      <c r="T1379" s="3"/>
    </row>
    <row r="1380" spans="14:20" x14ac:dyDescent="0.3">
      <c r="N1380" s="5"/>
      <c r="O1380" s="5"/>
      <c r="P1380" s="5"/>
      <c r="Q1380" s="5"/>
      <c r="R1380" s="8"/>
      <c r="S1380" s="8"/>
      <c r="T1380" s="3"/>
    </row>
    <row r="1381" spans="14:20" x14ac:dyDescent="0.3">
      <c r="N1381" s="5"/>
      <c r="O1381" s="5"/>
      <c r="P1381" s="5"/>
      <c r="Q1381" s="5"/>
      <c r="R1381" s="8"/>
      <c r="S1381" s="8"/>
      <c r="T1381" s="3"/>
    </row>
    <row r="1382" spans="14:20" x14ac:dyDescent="0.3">
      <c r="N1382" s="5"/>
      <c r="O1382" s="5"/>
      <c r="P1382" s="5"/>
      <c r="Q1382" s="5"/>
      <c r="R1382" s="8"/>
      <c r="S1382" s="8"/>
      <c r="T1382" s="3"/>
    </row>
    <row r="1383" spans="14:20" x14ac:dyDescent="0.3">
      <c r="N1383" s="5"/>
      <c r="O1383" s="5"/>
      <c r="P1383" s="5"/>
      <c r="Q1383" s="5"/>
      <c r="R1383" s="8"/>
      <c r="S1383" s="8"/>
      <c r="T1383" s="3"/>
    </row>
    <row r="1384" spans="14:20" x14ac:dyDescent="0.3">
      <c r="N1384" s="5"/>
      <c r="O1384" s="5"/>
      <c r="P1384" s="5"/>
      <c r="Q1384" s="5"/>
      <c r="R1384" s="8"/>
      <c r="S1384" s="8"/>
      <c r="T1384" s="3"/>
    </row>
    <row r="1385" spans="14:20" x14ac:dyDescent="0.3">
      <c r="N1385" s="5"/>
      <c r="O1385" s="5"/>
      <c r="P1385" s="5"/>
      <c r="Q1385" s="5"/>
      <c r="R1385" s="8"/>
      <c r="S1385" s="8"/>
      <c r="T1385" s="3"/>
    </row>
    <row r="1386" spans="14:20" x14ac:dyDescent="0.3">
      <c r="N1386" s="5"/>
      <c r="O1386" s="5"/>
      <c r="P1386" s="5"/>
      <c r="Q1386" s="5"/>
      <c r="R1386" s="8"/>
      <c r="S1386" s="8"/>
      <c r="T1386" s="3"/>
    </row>
    <row r="1387" spans="14:20" x14ac:dyDescent="0.3">
      <c r="N1387" s="5"/>
      <c r="O1387" s="5"/>
      <c r="P1387" s="5"/>
      <c r="Q1387" s="5"/>
      <c r="R1387" s="8"/>
      <c r="S1387" s="8"/>
      <c r="T1387" s="3"/>
    </row>
    <row r="1388" spans="14:20" x14ac:dyDescent="0.3">
      <c r="N1388" s="5"/>
      <c r="O1388" s="5"/>
      <c r="P1388" s="5"/>
      <c r="Q1388" s="5"/>
      <c r="R1388" s="8"/>
      <c r="S1388" s="8"/>
      <c r="T1388" s="3"/>
    </row>
    <row r="1389" spans="14:20" x14ac:dyDescent="0.3">
      <c r="N1389" s="5"/>
      <c r="O1389" s="5"/>
      <c r="P1389" s="5"/>
      <c r="Q1389" s="5"/>
      <c r="R1389" s="8"/>
      <c r="S1389" s="8"/>
      <c r="T1389" s="3"/>
    </row>
    <row r="1390" spans="14:20" x14ac:dyDescent="0.3">
      <c r="N1390" s="5"/>
      <c r="O1390" s="5"/>
      <c r="P1390" s="5"/>
      <c r="Q1390" s="5"/>
      <c r="R1390" s="8"/>
      <c r="S1390" s="8"/>
      <c r="T1390" s="3"/>
    </row>
    <row r="1391" spans="14:20" x14ac:dyDescent="0.3">
      <c r="N1391" s="5"/>
      <c r="O1391" s="5"/>
      <c r="P1391" s="5"/>
      <c r="Q1391" s="5"/>
      <c r="R1391" s="8"/>
      <c r="S1391" s="8"/>
      <c r="T1391" s="3"/>
    </row>
    <row r="1392" spans="14:20" x14ac:dyDescent="0.3">
      <c r="N1392" s="5"/>
      <c r="O1392" s="5"/>
      <c r="P1392" s="5"/>
      <c r="Q1392" s="5"/>
      <c r="R1392" s="8"/>
      <c r="S1392" s="8"/>
      <c r="T1392" s="3"/>
    </row>
    <row r="1393" spans="14:20" x14ac:dyDescent="0.3">
      <c r="N1393" s="5"/>
      <c r="O1393" s="5"/>
      <c r="P1393" s="5"/>
      <c r="Q1393" s="5"/>
      <c r="R1393" s="8"/>
      <c r="S1393" s="8"/>
      <c r="T1393" s="3"/>
    </row>
    <row r="1394" spans="14:20" x14ac:dyDescent="0.3">
      <c r="N1394" s="5"/>
      <c r="O1394" s="5"/>
      <c r="P1394" s="5"/>
      <c r="Q1394" s="5"/>
      <c r="R1394" s="8"/>
      <c r="S1394" s="8"/>
      <c r="T1394" s="3"/>
    </row>
    <row r="1395" spans="14:20" x14ac:dyDescent="0.3">
      <c r="N1395" s="5"/>
      <c r="O1395" s="5"/>
      <c r="P1395" s="5"/>
      <c r="Q1395" s="5"/>
      <c r="R1395" s="8"/>
      <c r="S1395" s="8"/>
      <c r="T1395" s="3"/>
    </row>
    <row r="1396" spans="14:20" x14ac:dyDescent="0.3">
      <c r="N1396" s="5"/>
      <c r="O1396" s="5"/>
      <c r="P1396" s="5"/>
      <c r="Q1396" s="5"/>
      <c r="R1396" s="8"/>
      <c r="S1396" s="8"/>
      <c r="T1396" s="3"/>
    </row>
    <row r="1397" spans="14:20" x14ac:dyDescent="0.3">
      <c r="N1397" s="5"/>
      <c r="O1397" s="5"/>
      <c r="P1397" s="5"/>
      <c r="Q1397" s="5"/>
      <c r="R1397" s="8"/>
      <c r="S1397" s="8"/>
      <c r="T1397" s="3"/>
    </row>
    <row r="1398" spans="14:20" x14ac:dyDescent="0.3">
      <c r="N1398" s="5"/>
      <c r="O1398" s="5"/>
      <c r="P1398" s="5"/>
      <c r="Q1398" s="5"/>
      <c r="R1398" s="8"/>
      <c r="S1398" s="8"/>
      <c r="T1398" s="3"/>
    </row>
    <row r="1399" spans="14:20" x14ac:dyDescent="0.3">
      <c r="N1399" s="5"/>
      <c r="O1399" s="5"/>
      <c r="P1399" s="5"/>
      <c r="Q1399" s="5"/>
      <c r="R1399" s="8"/>
      <c r="S1399" s="8"/>
      <c r="T1399" s="3"/>
    </row>
    <row r="1400" spans="14:20" x14ac:dyDescent="0.3">
      <c r="N1400" s="5"/>
      <c r="O1400" s="5"/>
      <c r="P1400" s="5"/>
      <c r="Q1400" s="5"/>
      <c r="R1400" s="8"/>
      <c r="S1400" s="8"/>
      <c r="T1400" s="3"/>
    </row>
    <row r="1401" spans="14:20" x14ac:dyDescent="0.3">
      <c r="N1401" s="5"/>
      <c r="O1401" s="5"/>
      <c r="P1401" s="5"/>
      <c r="Q1401" s="5"/>
      <c r="R1401" s="8"/>
      <c r="S1401" s="8"/>
      <c r="T1401" s="3"/>
    </row>
    <row r="1402" spans="14:20" x14ac:dyDescent="0.3">
      <c r="N1402" s="5"/>
      <c r="O1402" s="5"/>
      <c r="P1402" s="5"/>
      <c r="Q1402" s="5"/>
      <c r="R1402" s="8"/>
      <c r="S1402" s="8"/>
      <c r="T1402" s="3"/>
    </row>
    <row r="1403" spans="14:20" x14ac:dyDescent="0.3">
      <c r="N1403" s="5"/>
      <c r="O1403" s="5"/>
      <c r="P1403" s="5"/>
      <c r="Q1403" s="5"/>
      <c r="R1403" s="8"/>
      <c r="S1403" s="8"/>
      <c r="T1403" s="3"/>
    </row>
    <row r="1404" spans="14:20" x14ac:dyDescent="0.3">
      <c r="N1404" s="5"/>
      <c r="O1404" s="5"/>
      <c r="P1404" s="5"/>
      <c r="Q1404" s="5"/>
      <c r="R1404" s="8"/>
      <c r="S1404" s="8"/>
      <c r="T1404" s="3"/>
    </row>
    <row r="1405" spans="14:20" x14ac:dyDescent="0.3">
      <c r="N1405" s="5"/>
      <c r="O1405" s="5"/>
      <c r="P1405" s="5"/>
      <c r="Q1405" s="5"/>
      <c r="R1405" s="8"/>
      <c r="S1405" s="8"/>
      <c r="T1405" s="3"/>
    </row>
    <row r="1406" spans="14:20" x14ac:dyDescent="0.3">
      <c r="N1406" s="5"/>
      <c r="O1406" s="5"/>
      <c r="P1406" s="5"/>
      <c r="Q1406" s="5"/>
      <c r="R1406" s="8"/>
      <c r="S1406" s="8"/>
      <c r="T1406" s="3"/>
    </row>
    <row r="1407" spans="14:20" x14ac:dyDescent="0.3">
      <c r="N1407" s="5"/>
      <c r="O1407" s="5"/>
      <c r="P1407" s="5"/>
      <c r="Q1407" s="5"/>
      <c r="R1407" s="8"/>
      <c r="S1407" s="8"/>
      <c r="T1407" s="3"/>
    </row>
    <row r="1408" spans="14:20" x14ac:dyDescent="0.3">
      <c r="N1408" s="5"/>
      <c r="O1408" s="5"/>
      <c r="P1408" s="5"/>
      <c r="Q1408" s="5"/>
      <c r="R1408" s="8"/>
      <c r="S1408" s="8"/>
      <c r="T1408" s="3"/>
    </row>
    <row r="1409" spans="14:20" x14ac:dyDescent="0.3">
      <c r="N1409" s="5"/>
      <c r="O1409" s="5"/>
      <c r="P1409" s="5"/>
      <c r="Q1409" s="5"/>
      <c r="R1409" s="8"/>
      <c r="S1409" s="8"/>
      <c r="T1409" s="3"/>
    </row>
    <row r="1410" spans="14:20" x14ac:dyDescent="0.3">
      <c r="N1410" s="5"/>
      <c r="O1410" s="5"/>
      <c r="P1410" s="5"/>
      <c r="Q1410" s="5"/>
      <c r="R1410" s="8"/>
      <c r="S1410" s="8"/>
      <c r="T1410" s="3"/>
    </row>
    <row r="1411" spans="14:20" x14ac:dyDescent="0.3">
      <c r="N1411" s="5"/>
      <c r="O1411" s="5"/>
      <c r="P1411" s="5"/>
      <c r="Q1411" s="5"/>
      <c r="R1411" s="8"/>
      <c r="S1411" s="8"/>
      <c r="T1411" s="3"/>
    </row>
    <row r="1412" spans="14:20" x14ac:dyDescent="0.3">
      <c r="N1412" s="5"/>
      <c r="O1412" s="5"/>
      <c r="P1412" s="5"/>
      <c r="Q1412" s="5"/>
      <c r="R1412" s="8"/>
      <c r="S1412" s="8"/>
      <c r="T1412" s="3"/>
    </row>
    <row r="1413" spans="14:20" x14ac:dyDescent="0.3">
      <c r="N1413" s="5"/>
      <c r="O1413" s="5"/>
      <c r="P1413" s="5"/>
      <c r="Q1413" s="5"/>
      <c r="R1413" s="8"/>
      <c r="S1413" s="8"/>
      <c r="T1413" s="3"/>
    </row>
    <row r="1414" spans="14:20" x14ac:dyDescent="0.3">
      <c r="N1414" s="5"/>
      <c r="O1414" s="5"/>
      <c r="P1414" s="5"/>
      <c r="Q1414" s="5"/>
      <c r="R1414" s="8"/>
      <c r="S1414" s="8"/>
      <c r="T1414" s="3"/>
    </row>
    <row r="1415" spans="14:20" x14ac:dyDescent="0.3">
      <c r="N1415" s="5"/>
      <c r="O1415" s="5"/>
      <c r="P1415" s="5"/>
      <c r="Q1415" s="5"/>
      <c r="R1415" s="8"/>
      <c r="S1415" s="8"/>
      <c r="T1415" s="3"/>
    </row>
    <row r="1416" spans="14:20" x14ac:dyDescent="0.3">
      <c r="N1416" s="5"/>
      <c r="O1416" s="5"/>
      <c r="P1416" s="5"/>
      <c r="Q1416" s="5"/>
      <c r="R1416" s="8"/>
      <c r="S1416" s="8"/>
      <c r="T1416" s="3"/>
    </row>
    <row r="1417" spans="14:20" x14ac:dyDescent="0.3">
      <c r="N1417" s="5"/>
      <c r="O1417" s="5"/>
      <c r="P1417" s="5"/>
      <c r="Q1417" s="5"/>
      <c r="R1417" s="8"/>
      <c r="S1417" s="8"/>
      <c r="T1417" s="3"/>
    </row>
    <row r="1418" spans="14:20" x14ac:dyDescent="0.3">
      <c r="N1418" s="5"/>
      <c r="O1418" s="5"/>
      <c r="P1418" s="5"/>
      <c r="Q1418" s="5"/>
      <c r="R1418" s="8"/>
      <c r="S1418" s="8"/>
      <c r="T1418" s="3"/>
    </row>
    <row r="1419" spans="14:20" x14ac:dyDescent="0.3">
      <c r="N1419" s="5"/>
      <c r="O1419" s="5"/>
      <c r="P1419" s="5"/>
      <c r="Q1419" s="5"/>
      <c r="R1419" s="8"/>
      <c r="S1419" s="8"/>
      <c r="T1419" s="3"/>
    </row>
    <row r="1420" spans="14:20" x14ac:dyDescent="0.3">
      <c r="N1420" s="5"/>
      <c r="O1420" s="5"/>
      <c r="P1420" s="5"/>
      <c r="Q1420" s="5"/>
      <c r="R1420" s="8"/>
      <c r="S1420" s="8"/>
      <c r="T1420" s="3"/>
    </row>
    <row r="1421" spans="14:20" x14ac:dyDescent="0.3">
      <c r="N1421" s="5"/>
      <c r="O1421" s="5"/>
      <c r="P1421" s="5"/>
      <c r="Q1421" s="5"/>
      <c r="R1421" s="8"/>
      <c r="S1421" s="8"/>
      <c r="T1421" s="3"/>
    </row>
    <row r="1422" spans="14:20" x14ac:dyDescent="0.3">
      <c r="N1422" s="5"/>
      <c r="O1422" s="5"/>
      <c r="P1422" s="5"/>
      <c r="Q1422" s="5"/>
      <c r="R1422" s="8"/>
      <c r="S1422" s="8"/>
      <c r="T1422" s="3"/>
    </row>
    <row r="1423" spans="14:20" x14ac:dyDescent="0.3">
      <c r="N1423" s="5"/>
      <c r="O1423" s="5"/>
      <c r="P1423" s="5"/>
      <c r="Q1423" s="5"/>
      <c r="R1423" s="8"/>
      <c r="S1423" s="8"/>
      <c r="T1423" s="3"/>
    </row>
    <row r="1424" spans="14:20" x14ac:dyDescent="0.3">
      <c r="N1424" s="5"/>
      <c r="O1424" s="5"/>
      <c r="P1424" s="5"/>
      <c r="Q1424" s="5"/>
      <c r="R1424" s="8"/>
      <c r="S1424" s="8"/>
      <c r="T1424" s="3"/>
    </row>
    <row r="1425" spans="14:20" x14ac:dyDescent="0.3">
      <c r="N1425" s="5"/>
      <c r="O1425" s="5"/>
      <c r="P1425" s="5"/>
      <c r="Q1425" s="5"/>
      <c r="R1425" s="8"/>
      <c r="S1425" s="8"/>
      <c r="T1425" s="3"/>
    </row>
    <row r="1426" spans="14:20" x14ac:dyDescent="0.3">
      <c r="N1426" s="5"/>
      <c r="O1426" s="5"/>
      <c r="P1426" s="5"/>
      <c r="Q1426" s="5"/>
      <c r="R1426" s="8"/>
      <c r="S1426" s="8"/>
      <c r="T1426" s="3"/>
    </row>
    <row r="1427" spans="14:20" x14ac:dyDescent="0.3">
      <c r="N1427" s="5"/>
      <c r="O1427" s="5"/>
      <c r="P1427" s="5"/>
      <c r="Q1427" s="5"/>
      <c r="R1427" s="8"/>
      <c r="S1427" s="8"/>
      <c r="T1427" s="3"/>
    </row>
    <row r="1428" spans="14:20" x14ac:dyDescent="0.3">
      <c r="N1428" s="5"/>
      <c r="O1428" s="5"/>
      <c r="P1428" s="5"/>
      <c r="Q1428" s="5"/>
      <c r="R1428" s="8"/>
      <c r="S1428" s="8"/>
      <c r="T1428" s="3"/>
    </row>
    <row r="1429" spans="14:20" x14ac:dyDescent="0.3">
      <c r="N1429" s="5"/>
      <c r="O1429" s="5"/>
      <c r="P1429" s="5"/>
      <c r="Q1429" s="5"/>
      <c r="R1429" s="8"/>
      <c r="S1429" s="8"/>
      <c r="T1429" s="3"/>
    </row>
    <row r="1430" spans="14:20" x14ac:dyDescent="0.3">
      <c r="N1430" s="5"/>
      <c r="O1430" s="5"/>
      <c r="P1430" s="5"/>
      <c r="Q1430" s="5"/>
      <c r="R1430" s="8"/>
      <c r="S1430" s="8"/>
      <c r="T1430" s="3"/>
    </row>
    <row r="1431" spans="14:20" x14ac:dyDescent="0.3">
      <c r="N1431" s="5"/>
      <c r="O1431" s="5"/>
      <c r="P1431" s="5"/>
      <c r="Q1431" s="5"/>
      <c r="R1431" s="8"/>
      <c r="S1431" s="8"/>
      <c r="T1431" s="3"/>
    </row>
    <row r="1432" spans="14:20" x14ac:dyDescent="0.3">
      <c r="N1432" s="5"/>
      <c r="O1432" s="5"/>
      <c r="P1432" s="5"/>
      <c r="Q1432" s="5"/>
      <c r="R1432" s="8"/>
      <c r="S1432" s="8"/>
      <c r="T1432" s="3"/>
    </row>
    <row r="1433" spans="14:20" x14ac:dyDescent="0.3">
      <c r="N1433" s="5"/>
      <c r="O1433" s="5"/>
      <c r="P1433" s="5"/>
      <c r="Q1433" s="5"/>
      <c r="R1433" s="8"/>
      <c r="S1433" s="8"/>
      <c r="T1433" s="3"/>
    </row>
    <row r="1434" spans="14:20" x14ac:dyDescent="0.3">
      <c r="N1434" s="5"/>
      <c r="O1434" s="5"/>
      <c r="P1434" s="5"/>
      <c r="Q1434" s="5"/>
      <c r="R1434" s="8"/>
      <c r="S1434" s="8"/>
      <c r="T1434" s="3"/>
    </row>
    <row r="1435" spans="14:20" x14ac:dyDescent="0.3">
      <c r="N1435" s="5"/>
      <c r="O1435" s="5"/>
      <c r="P1435" s="5"/>
      <c r="Q1435" s="5"/>
      <c r="R1435" s="8"/>
      <c r="S1435" s="8"/>
      <c r="T1435" s="3"/>
    </row>
    <row r="1436" spans="14:20" x14ac:dyDescent="0.3">
      <c r="N1436" s="5"/>
      <c r="O1436" s="5"/>
      <c r="P1436" s="5"/>
      <c r="Q1436" s="5"/>
      <c r="R1436" s="8"/>
      <c r="S1436" s="8"/>
      <c r="T1436" s="3"/>
    </row>
    <row r="1437" spans="14:20" x14ac:dyDescent="0.3">
      <c r="N1437" s="5"/>
      <c r="O1437" s="5"/>
      <c r="P1437" s="5"/>
      <c r="Q1437" s="5"/>
      <c r="R1437" s="8"/>
      <c r="S1437" s="8"/>
      <c r="T1437" s="3"/>
    </row>
    <row r="1438" spans="14:20" x14ac:dyDescent="0.3">
      <c r="N1438" s="5"/>
      <c r="O1438" s="5"/>
      <c r="P1438" s="5"/>
      <c r="Q1438" s="5"/>
      <c r="R1438" s="8"/>
      <c r="S1438" s="8"/>
      <c r="T1438" s="3"/>
    </row>
    <row r="1439" spans="14:20" x14ac:dyDescent="0.3">
      <c r="N1439" s="5"/>
      <c r="O1439" s="5"/>
      <c r="P1439" s="5"/>
      <c r="Q1439" s="5"/>
      <c r="R1439" s="8"/>
      <c r="S1439" s="8"/>
      <c r="T1439" s="3"/>
    </row>
    <row r="1440" spans="14:20" x14ac:dyDescent="0.3">
      <c r="N1440" s="5"/>
      <c r="O1440" s="5"/>
      <c r="P1440" s="5"/>
      <c r="Q1440" s="5"/>
      <c r="R1440" s="8"/>
      <c r="S1440" s="8"/>
      <c r="T1440" s="3"/>
    </row>
    <row r="1441" spans="14:20" x14ac:dyDescent="0.3">
      <c r="N1441" s="5"/>
      <c r="O1441" s="5"/>
      <c r="P1441" s="5"/>
      <c r="Q1441" s="5"/>
      <c r="R1441" s="8"/>
      <c r="S1441" s="8"/>
      <c r="T1441" s="3"/>
    </row>
    <row r="1442" spans="14:20" x14ac:dyDescent="0.3">
      <c r="N1442" s="5"/>
      <c r="O1442" s="5"/>
      <c r="P1442" s="5"/>
      <c r="Q1442" s="5"/>
      <c r="R1442" s="8"/>
      <c r="S1442" s="8"/>
      <c r="T1442" s="3"/>
    </row>
    <row r="1443" spans="14:20" x14ac:dyDescent="0.3">
      <c r="N1443" s="5"/>
      <c r="O1443" s="5"/>
      <c r="P1443" s="5"/>
      <c r="Q1443" s="5"/>
      <c r="R1443" s="8"/>
      <c r="S1443" s="8"/>
      <c r="T1443" s="3"/>
    </row>
    <row r="1444" spans="14:20" x14ac:dyDescent="0.3">
      <c r="N1444" s="5"/>
      <c r="O1444" s="5"/>
      <c r="P1444" s="5"/>
      <c r="Q1444" s="5"/>
      <c r="R1444" s="8"/>
      <c r="S1444" s="8"/>
      <c r="T1444" s="3"/>
    </row>
    <row r="1445" spans="14:20" x14ac:dyDescent="0.3">
      <c r="N1445" s="5"/>
      <c r="O1445" s="5"/>
      <c r="P1445" s="5"/>
      <c r="Q1445" s="5"/>
      <c r="R1445" s="8"/>
      <c r="S1445" s="8"/>
      <c r="T1445" s="3"/>
    </row>
    <row r="1446" spans="14:20" x14ac:dyDescent="0.3">
      <c r="N1446" s="5"/>
      <c r="O1446" s="5"/>
      <c r="P1446" s="5"/>
      <c r="Q1446" s="5"/>
      <c r="R1446" s="8"/>
      <c r="S1446" s="8"/>
      <c r="T1446" s="3"/>
    </row>
    <row r="1447" spans="14:20" x14ac:dyDescent="0.3">
      <c r="N1447" s="5"/>
      <c r="O1447" s="5"/>
      <c r="P1447" s="5"/>
      <c r="Q1447" s="5"/>
      <c r="R1447" s="8"/>
      <c r="S1447" s="8"/>
      <c r="T1447" s="3"/>
    </row>
    <row r="1448" spans="14:20" x14ac:dyDescent="0.3">
      <c r="N1448" s="5"/>
      <c r="O1448" s="5"/>
      <c r="P1448" s="5"/>
      <c r="Q1448" s="5"/>
      <c r="R1448" s="8"/>
      <c r="S1448" s="8"/>
      <c r="T1448" s="3"/>
    </row>
    <row r="1449" spans="14:20" x14ac:dyDescent="0.3">
      <c r="N1449" s="5"/>
      <c r="O1449" s="5"/>
      <c r="P1449" s="5"/>
      <c r="Q1449" s="5"/>
      <c r="R1449" s="8"/>
      <c r="S1449" s="8"/>
      <c r="T1449" s="3"/>
    </row>
    <row r="1450" spans="14:20" x14ac:dyDescent="0.3">
      <c r="N1450" s="5"/>
      <c r="O1450" s="5"/>
      <c r="P1450" s="5"/>
      <c r="Q1450" s="5"/>
      <c r="R1450" s="8"/>
      <c r="S1450" s="8"/>
      <c r="T1450" s="3"/>
    </row>
    <row r="1451" spans="14:20" x14ac:dyDescent="0.3">
      <c r="N1451" s="5"/>
      <c r="O1451" s="5"/>
      <c r="P1451" s="5"/>
      <c r="Q1451" s="5"/>
      <c r="R1451" s="8"/>
      <c r="S1451" s="8"/>
      <c r="T1451" s="3"/>
    </row>
    <row r="1452" spans="14:20" x14ac:dyDescent="0.3">
      <c r="N1452" s="5"/>
      <c r="O1452" s="5"/>
      <c r="P1452" s="5"/>
      <c r="Q1452" s="5"/>
      <c r="R1452" s="8"/>
      <c r="S1452" s="8"/>
      <c r="T1452" s="3"/>
    </row>
    <row r="1453" spans="14:20" x14ac:dyDescent="0.3">
      <c r="N1453" s="5"/>
      <c r="O1453" s="5"/>
      <c r="P1453" s="5"/>
      <c r="Q1453" s="5"/>
      <c r="R1453" s="8"/>
      <c r="S1453" s="8"/>
      <c r="T1453" s="3"/>
    </row>
    <row r="1454" spans="14:20" x14ac:dyDescent="0.3">
      <c r="N1454" s="5"/>
      <c r="O1454" s="5"/>
      <c r="P1454" s="5"/>
      <c r="Q1454" s="5"/>
      <c r="R1454" s="8"/>
      <c r="S1454" s="8"/>
      <c r="T1454" s="3"/>
    </row>
    <row r="1455" spans="14:20" x14ac:dyDescent="0.3">
      <c r="N1455" s="5"/>
      <c r="O1455" s="5"/>
      <c r="P1455" s="5"/>
      <c r="Q1455" s="5"/>
      <c r="R1455" s="8"/>
      <c r="S1455" s="8"/>
      <c r="T1455" s="3"/>
    </row>
    <row r="1456" spans="14:20" x14ac:dyDescent="0.3">
      <c r="N1456" s="5"/>
      <c r="O1456" s="5"/>
      <c r="P1456" s="5"/>
      <c r="Q1456" s="5"/>
      <c r="R1456" s="8"/>
      <c r="S1456" s="8"/>
      <c r="T1456" s="3"/>
    </row>
    <row r="1457" spans="14:20" x14ac:dyDescent="0.3">
      <c r="N1457" s="5"/>
      <c r="O1457" s="5"/>
      <c r="P1457" s="5"/>
      <c r="Q1457" s="5"/>
      <c r="R1457" s="8"/>
      <c r="S1457" s="8"/>
      <c r="T1457" s="3"/>
    </row>
    <row r="1458" spans="14:20" x14ac:dyDescent="0.3">
      <c r="N1458" s="5"/>
      <c r="O1458" s="5"/>
      <c r="P1458" s="5"/>
      <c r="Q1458" s="5"/>
      <c r="R1458" s="8"/>
      <c r="S1458" s="8"/>
      <c r="T1458" s="3"/>
    </row>
    <row r="1459" spans="14:20" x14ac:dyDescent="0.3">
      <c r="N1459" s="5"/>
      <c r="O1459" s="5"/>
      <c r="P1459" s="5"/>
      <c r="Q1459" s="5"/>
      <c r="R1459" s="8"/>
      <c r="S1459" s="8"/>
      <c r="T1459" s="3"/>
    </row>
    <row r="1460" spans="14:20" x14ac:dyDescent="0.3">
      <c r="N1460" s="5"/>
      <c r="O1460" s="5"/>
      <c r="P1460" s="5"/>
      <c r="Q1460" s="5"/>
      <c r="R1460" s="8"/>
      <c r="S1460" s="8"/>
      <c r="T1460" s="3"/>
    </row>
    <row r="1461" spans="14:20" x14ac:dyDescent="0.3">
      <c r="N1461" s="5"/>
      <c r="O1461" s="5"/>
      <c r="P1461" s="5"/>
      <c r="Q1461" s="5"/>
      <c r="R1461" s="8"/>
      <c r="S1461" s="8"/>
      <c r="T1461" s="3"/>
    </row>
    <row r="1462" spans="14:20" x14ac:dyDescent="0.3">
      <c r="N1462" s="5"/>
      <c r="O1462" s="5"/>
      <c r="P1462" s="5"/>
      <c r="Q1462" s="5"/>
      <c r="R1462" s="8"/>
      <c r="S1462" s="8"/>
      <c r="T1462" s="3"/>
    </row>
    <row r="1463" spans="14:20" x14ac:dyDescent="0.3">
      <c r="N1463" s="5"/>
      <c r="O1463" s="5"/>
      <c r="P1463" s="5"/>
      <c r="Q1463" s="5"/>
      <c r="R1463" s="8"/>
      <c r="S1463" s="8"/>
      <c r="T1463" s="3"/>
    </row>
    <row r="1464" spans="14:20" x14ac:dyDescent="0.3">
      <c r="N1464" s="5"/>
      <c r="O1464" s="5"/>
      <c r="P1464" s="5"/>
      <c r="Q1464" s="5"/>
      <c r="R1464" s="8"/>
      <c r="S1464" s="8"/>
      <c r="T1464" s="3"/>
    </row>
    <row r="1465" spans="14:20" x14ac:dyDescent="0.3">
      <c r="N1465" s="5"/>
      <c r="O1465" s="5"/>
      <c r="P1465" s="5"/>
      <c r="Q1465" s="5"/>
      <c r="R1465" s="8"/>
      <c r="S1465" s="8"/>
      <c r="T1465" s="3"/>
    </row>
    <row r="1466" spans="14:20" x14ac:dyDescent="0.3">
      <c r="N1466" s="5"/>
      <c r="O1466" s="5"/>
      <c r="P1466" s="5"/>
      <c r="Q1466" s="5"/>
      <c r="R1466" s="8"/>
      <c r="S1466" s="8"/>
      <c r="T1466" s="3"/>
    </row>
    <row r="1467" spans="14:20" x14ac:dyDescent="0.3">
      <c r="N1467" s="5"/>
      <c r="O1467" s="5"/>
      <c r="P1467" s="5"/>
      <c r="Q1467" s="5"/>
      <c r="R1467" s="8"/>
      <c r="S1467" s="8"/>
      <c r="T1467" s="3"/>
    </row>
    <row r="1468" spans="14:20" x14ac:dyDescent="0.3">
      <c r="N1468" s="5"/>
      <c r="O1468" s="5"/>
      <c r="P1468" s="5"/>
      <c r="Q1468" s="5"/>
      <c r="R1468" s="8"/>
      <c r="S1468" s="8"/>
      <c r="T1468" s="3"/>
    </row>
    <row r="1469" spans="14:20" x14ac:dyDescent="0.3">
      <c r="N1469" s="5"/>
      <c r="O1469" s="5"/>
      <c r="P1469" s="5"/>
      <c r="Q1469" s="5"/>
      <c r="R1469" s="8"/>
      <c r="S1469" s="8"/>
      <c r="T1469" s="3"/>
    </row>
    <row r="1470" spans="14:20" x14ac:dyDescent="0.3">
      <c r="N1470" s="5"/>
      <c r="O1470" s="5"/>
      <c r="P1470" s="5"/>
      <c r="Q1470" s="5"/>
      <c r="R1470" s="8"/>
      <c r="S1470" s="8"/>
      <c r="T1470" s="3"/>
    </row>
    <row r="1471" spans="14:20" x14ac:dyDescent="0.3">
      <c r="N1471" s="5"/>
      <c r="O1471" s="5"/>
      <c r="P1471" s="5"/>
      <c r="Q1471" s="5"/>
      <c r="R1471" s="8"/>
      <c r="S1471" s="8"/>
      <c r="T1471" s="3"/>
    </row>
    <row r="1472" spans="14:20" x14ac:dyDescent="0.3">
      <c r="N1472" s="5"/>
      <c r="O1472" s="5"/>
      <c r="P1472" s="5"/>
      <c r="Q1472" s="5"/>
      <c r="R1472" s="8"/>
      <c r="S1472" s="8"/>
      <c r="T1472" s="3"/>
    </row>
    <row r="1473" spans="14:20" x14ac:dyDescent="0.3">
      <c r="N1473" s="5"/>
      <c r="O1473" s="5"/>
      <c r="P1473" s="5"/>
      <c r="Q1473" s="5"/>
      <c r="R1473" s="8"/>
      <c r="S1473" s="8"/>
      <c r="T1473" s="3"/>
    </row>
    <row r="1474" spans="14:20" x14ac:dyDescent="0.3">
      <c r="N1474" s="5"/>
      <c r="O1474" s="5"/>
      <c r="P1474" s="5"/>
      <c r="Q1474" s="5"/>
      <c r="R1474" s="8"/>
      <c r="S1474" s="8"/>
      <c r="T1474" s="3"/>
    </row>
    <row r="1475" spans="14:20" x14ac:dyDescent="0.3">
      <c r="N1475" s="5"/>
      <c r="O1475" s="5"/>
      <c r="P1475" s="5"/>
      <c r="Q1475" s="5"/>
      <c r="R1475" s="8"/>
      <c r="S1475" s="8"/>
      <c r="T1475" s="3"/>
    </row>
    <row r="1476" spans="14:20" x14ac:dyDescent="0.3">
      <c r="N1476" s="5"/>
      <c r="O1476" s="5"/>
      <c r="P1476" s="5"/>
      <c r="Q1476" s="5"/>
      <c r="R1476" s="8"/>
      <c r="S1476" s="8"/>
      <c r="T1476" s="3"/>
    </row>
    <row r="1477" spans="14:20" x14ac:dyDescent="0.3">
      <c r="N1477" s="5"/>
      <c r="O1477" s="5"/>
      <c r="P1477" s="5"/>
      <c r="Q1477" s="5"/>
      <c r="R1477" s="8"/>
      <c r="S1477" s="8"/>
      <c r="T1477" s="3"/>
    </row>
    <row r="1478" spans="14:20" x14ac:dyDescent="0.3">
      <c r="N1478" s="5"/>
      <c r="O1478" s="5"/>
      <c r="P1478" s="5"/>
      <c r="Q1478" s="5"/>
      <c r="R1478" s="8"/>
      <c r="S1478" s="8"/>
      <c r="T1478" s="3"/>
    </row>
    <row r="1479" spans="14:20" x14ac:dyDescent="0.3">
      <c r="N1479" s="5"/>
      <c r="O1479" s="5"/>
      <c r="P1479" s="5"/>
      <c r="Q1479" s="5"/>
      <c r="R1479" s="8"/>
      <c r="S1479" s="8"/>
      <c r="T1479" s="3"/>
    </row>
    <row r="1480" spans="14:20" x14ac:dyDescent="0.3">
      <c r="N1480" s="5"/>
      <c r="O1480" s="5"/>
      <c r="P1480" s="5"/>
      <c r="Q1480" s="5"/>
      <c r="R1480" s="8"/>
      <c r="S1480" s="8"/>
      <c r="T1480" s="3"/>
    </row>
    <row r="1481" spans="14:20" x14ac:dyDescent="0.3">
      <c r="N1481" s="5"/>
      <c r="O1481" s="5"/>
      <c r="P1481" s="5"/>
      <c r="Q1481" s="5"/>
      <c r="R1481" s="8"/>
      <c r="S1481" s="8"/>
      <c r="T1481" s="3"/>
    </row>
    <row r="1482" spans="14:20" x14ac:dyDescent="0.3">
      <c r="N1482" s="5"/>
      <c r="O1482" s="5"/>
      <c r="P1482" s="5"/>
      <c r="Q1482" s="5"/>
      <c r="R1482" s="8"/>
      <c r="S1482" s="8"/>
      <c r="T1482" s="3"/>
    </row>
    <row r="1483" spans="14:20" x14ac:dyDescent="0.3">
      <c r="N1483" s="5"/>
      <c r="O1483" s="5"/>
      <c r="P1483" s="5"/>
      <c r="Q1483" s="5"/>
      <c r="R1483" s="8"/>
      <c r="S1483" s="8"/>
      <c r="T1483" s="3"/>
    </row>
    <row r="1484" spans="14:20" x14ac:dyDescent="0.3">
      <c r="N1484" s="5"/>
      <c r="O1484" s="5"/>
      <c r="P1484" s="5"/>
      <c r="Q1484" s="5"/>
      <c r="R1484" s="8"/>
      <c r="S1484" s="8"/>
      <c r="T1484" s="3"/>
    </row>
    <row r="1485" spans="14:20" x14ac:dyDescent="0.3">
      <c r="N1485" s="5"/>
      <c r="O1485" s="5"/>
      <c r="P1485" s="5"/>
      <c r="Q1485" s="5"/>
      <c r="R1485" s="8"/>
      <c r="S1485" s="8"/>
      <c r="T1485" s="3"/>
    </row>
    <row r="1486" spans="14:20" x14ac:dyDescent="0.3">
      <c r="N1486" s="5"/>
      <c r="O1486" s="5"/>
      <c r="P1486" s="5"/>
      <c r="Q1486" s="5"/>
      <c r="R1486" s="8"/>
      <c r="S1486" s="8"/>
      <c r="T1486" s="3"/>
    </row>
    <row r="1487" spans="14:20" x14ac:dyDescent="0.3">
      <c r="N1487" s="5"/>
      <c r="O1487" s="5"/>
      <c r="P1487" s="5"/>
      <c r="Q1487" s="5"/>
      <c r="R1487" s="8"/>
      <c r="S1487" s="8"/>
      <c r="T1487" s="3"/>
    </row>
    <row r="1488" spans="14:20" x14ac:dyDescent="0.3">
      <c r="N1488" s="5"/>
      <c r="O1488" s="5"/>
      <c r="P1488" s="5"/>
      <c r="Q1488" s="5"/>
      <c r="R1488" s="8"/>
      <c r="S1488" s="8"/>
      <c r="T1488" s="3"/>
    </row>
    <row r="1489" spans="14:20" x14ac:dyDescent="0.3">
      <c r="N1489" s="5"/>
      <c r="O1489" s="5"/>
      <c r="P1489" s="5"/>
      <c r="Q1489" s="5"/>
      <c r="R1489" s="8"/>
      <c r="S1489" s="8"/>
      <c r="T1489" s="3"/>
    </row>
    <row r="1490" spans="14:20" x14ac:dyDescent="0.3">
      <c r="N1490" s="5"/>
      <c r="O1490" s="5"/>
      <c r="P1490" s="5"/>
      <c r="Q1490" s="5"/>
      <c r="R1490" s="8"/>
      <c r="S1490" s="8"/>
      <c r="T1490" s="3"/>
    </row>
    <row r="1491" spans="14:20" x14ac:dyDescent="0.3">
      <c r="N1491" s="5"/>
      <c r="O1491" s="5"/>
      <c r="P1491" s="5"/>
      <c r="Q1491" s="5"/>
      <c r="R1491" s="8"/>
      <c r="S1491" s="8"/>
      <c r="T1491" s="3"/>
    </row>
    <row r="1492" spans="14:20" x14ac:dyDescent="0.3">
      <c r="N1492" s="5"/>
      <c r="O1492" s="5"/>
      <c r="P1492" s="5"/>
      <c r="Q1492" s="5"/>
      <c r="R1492" s="8"/>
      <c r="S1492" s="8"/>
      <c r="T1492" s="3"/>
    </row>
    <row r="1493" spans="14:20" x14ac:dyDescent="0.3">
      <c r="N1493" s="5"/>
      <c r="O1493" s="5"/>
      <c r="P1493" s="5"/>
      <c r="Q1493" s="5"/>
      <c r="R1493" s="8"/>
      <c r="S1493" s="8"/>
      <c r="T1493" s="3"/>
    </row>
    <row r="1494" spans="14:20" x14ac:dyDescent="0.3">
      <c r="N1494" s="5"/>
      <c r="O1494" s="5"/>
      <c r="P1494" s="5"/>
      <c r="Q1494" s="5"/>
      <c r="R1494" s="8"/>
      <c r="S1494" s="8"/>
      <c r="T1494" s="3"/>
    </row>
    <row r="1495" spans="14:20" x14ac:dyDescent="0.3">
      <c r="N1495" s="5"/>
      <c r="O1495" s="5"/>
      <c r="P1495" s="5"/>
      <c r="Q1495" s="5"/>
      <c r="R1495" s="8"/>
      <c r="S1495" s="8"/>
      <c r="T1495" s="3"/>
    </row>
    <row r="1496" spans="14:20" x14ac:dyDescent="0.3">
      <c r="N1496" s="5"/>
      <c r="O1496" s="5"/>
      <c r="P1496" s="5"/>
      <c r="Q1496" s="5"/>
      <c r="R1496" s="8"/>
      <c r="S1496" s="8"/>
      <c r="T1496" s="3"/>
    </row>
    <row r="1497" spans="14:20" x14ac:dyDescent="0.3">
      <c r="N1497" s="5"/>
      <c r="O1497" s="5"/>
      <c r="P1497" s="5"/>
      <c r="Q1497" s="5"/>
      <c r="R1497" s="8"/>
      <c r="S1497" s="8"/>
      <c r="T1497" s="3"/>
    </row>
    <row r="1498" spans="14:20" x14ac:dyDescent="0.3">
      <c r="N1498" s="5"/>
      <c r="O1498" s="5"/>
      <c r="P1498" s="5"/>
      <c r="Q1498" s="5"/>
      <c r="R1498" s="8"/>
      <c r="S1498" s="8"/>
      <c r="T1498" s="3"/>
    </row>
    <row r="1499" spans="14:20" x14ac:dyDescent="0.3">
      <c r="N1499" s="5"/>
      <c r="O1499" s="5"/>
      <c r="P1499" s="5"/>
      <c r="Q1499" s="5"/>
      <c r="R1499" s="8"/>
      <c r="S1499" s="8"/>
      <c r="T1499" s="3"/>
    </row>
    <row r="1500" spans="14:20" x14ac:dyDescent="0.3">
      <c r="N1500" s="5"/>
      <c r="O1500" s="5"/>
      <c r="P1500" s="5"/>
      <c r="Q1500" s="5"/>
      <c r="R1500" s="8"/>
      <c r="S1500" s="8"/>
      <c r="T1500" s="3"/>
    </row>
    <row r="1501" spans="14:20" x14ac:dyDescent="0.3">
      <c r="N1501" s="5"/>
      <c r="O1501" s="5"/>
      <c r="P1501" s="5"/>
      <c r="Q1501" s="5"/>
      <c r="R1501" s="8"/>
      <c r="S1501" s="8"/>
      <c r="T1501" s="3"/>
    </row>
    <row r="1502" spans="14:20" x14ac:dyDescent="0.3">
      <c r="N1502" s="5"/>
      <c r="O1502" s="5"/>
      <c r="P1502" s="5"/>
      <c r="Q1502" s="5"/>
      <c r="R1502" s="8"/>
      <c r="S1502" s="8"/>
      <c r="T1502" s="3"/>
    </row>
    <row r="1503" spans="14:20" x14ac:dyDescent="0.3">
      <c r="N1503" s="5"/>
      <c r="O1503" s="5"/>
      <c r="P1503" s="5"/>
      <c r="Q1503" s="5"/>
      <c r="R1503" s="8"/>
      <c r="S1503" s="8"/>
      <c r="T1503" s="3"/>
    </row>
    <row r="1504" spans="14:20" x14ac:dyDescent="0.3">
      <c r="N1504" s="5"/>
      <c r="O1504" s="5"/>
      <c r="P1504" s="5"/>
      <c r="Q1504" s="5"/>
      <c r="R1504" s="8"/>
      <c r="S1504" s="8"/>
      <c r="T1504" s="3"/>
    </row>
    <row r="1505" spans="14:20" x14ac:dyDescent="0.3">
      <c r="N1505" s="5"/>
      <c r="O1505" s="5"/>
      <c r="P1505" s="5"/>
      <c r="Q1505" s="5"/>
      <c r="R1505" s="8"/>
      <c r="S1505" s="8"/>
      <c r="T1505" s="3"/>
    </row>
    <row r="1506" spans="14:20" x14ac:dyDescent="0.3">
      <c r="N1506" s="5"/>
      <c r="O1506" s="5"/>
      <c r="P1506" s="5"/>
      <c r="Q1506" s="5"/>
      <c r="R1506" s="8"/>
      <c r="S1506" s="8"/>
      <c r="T1506" s="3"/>
    </row>
    <row r="1507" spans="14:20" x14ac:dyDescent="0.3">
      <c r="N1507" s="5"/>
      <c r="O1507" s="5"/>
      <c r="P1507" s="5"/>
      <c r="Q1507" s="5"/>
      <c r="R1507" s="8"/>
      <c r="S1507" s="8"/>
      <c r="T1507" s="3"/>
    </row>
    <row r="1508" spans="14:20" x14ac:dyDescent="0.3">
      <c r="N1508" s="5"/>
      <c r="O1508" s="5"/>
      <c r="P1508" s="5"/>
      <c r="Q1508" s="5"/>
      <c r="R1508" s="8"/>
      <c r="S1508" s="8"/>
      <c r="T1508" s="3"/>
    </row>
    <row r="1509" spans="14:20" x14ac:dyDescent="0.3">
      <c r="N1509" s="5"/>
      <c r="O1509" s="5"/>
      <c r="P1509" s="5"/>
      <c r="Q1509" s="5"/>
      <c r="R1509" s="8"/>
      <c r="S1509" s="8"/>
      <c r="T1509" s="3"/>
    </row>
    <row r="1510" spans="14:20" x14ac:dyDescent="0.3">
      <c r="N1510" s="5"/>
      <c r="O1510" s="5"/>
      <c r="P1510" s="5"/>
      <c r="Q1510" s="5"/>
      <c r="R1510" s="8"/>
      <c r="S1510" s="8"/>
      <c r="T1510" s="3"/>
    </row>
    <row r="1511" spans="14:20" x14ac:dyDescent="0.3">
      <c r="N1511" s="5"/>
      <c r="O1511" s="5"/>
      <c r="P1511" s="5"/>
      <c r="Q1511" s="5"/>
      <c r="R1511" s="8"/>
      <c r="S1511" s="8"/>
      <c r="T1511" s="3"/>
    </row>
    <row r="1512" spans="14:20" x14ac:dyDescent="0.3">
      <c r="N1512" s="5"/>
      <c r="O1512" s="5"/>
      <c r="P1512" s="5"/>
      <c r="Q1512" s="5"/>
      <c r="R1512" s="8"/>
      <c r="S1512" s="8"/>
      <c r="T1512" s="3"/>
    </row>
    <row r="1513" spans="14:20" x14ac:dyDescent="0.3">
      <c r="N1513" s="5"/>
      <c r="O1513" s="5"/>
      <c r="P1513" s="5"/>
      <c r="Q1513" s="5"/>
      <c r="R1513" s="8"/>
      <c r="S1513" s="8"/>
      <c r="T1513" s="3"/>
    </row>
    <row r="1514" spans="14:20" x14ac:dyDescent="0.3">
      <c r="N1514" s="5"/>
      <c r="O1514" s="5"/>
      <c r="P1514" s="5"/>
      <c r="Q1514" s="5"/>
      <c r="R1514" s="8"/>
      <c r="S1514" s="8"/>
      <c r="T1514" s="3"/>
    </row>
    <row r="1515" spans="14:20" x14ac:dyDescent="0.3">
      <c r="N1515" s="5"/>
      <c r="O1515" s="5"/>
      <c r="P1515" s="5"/>
      <c r="Q1515" s="5"/>
      <c r="R1515" s="8"/>
      <c r="S1515" s="8"/>
      <c r="T1515" s="3"/>
    </row>
    <row r="1516" spans="14:20" x14ac:dyDescent="0.3">
      <c r="N1516" s="5"/>
      <c r="O1516" s="5"/>
      <c r="P1516" s="5"/>
      <c r="Q1516" s="5"/>
      <c r="R1516" s="8"/>
      <c r="S1516" s="8"/>
      <c r="T1516" s="3"/>
    </row>
    <row r="1517" spans="14:20" x14ac:dyDescent="0.3">
      <c r="N1517" s="5"/>
      <c r="O1517" s="5"/>
      <c r="P1517" s="5"/>
      <c r="Q1517" s="5"/>
      <c r="R1517" s="8"/>
      <c r="S1517" s="8"/>
      <c r="T1517" s="3"/>
    </row>
    <row r="1518" spans="14:20" x14ac:dyDescent="0.3">
      <c r="N1518" s="5"/>
      <c r="O1518" s="5"/>
      <c r="P1518" s="5"/>
      <c r="Q1518" s="5"/>
      <c r="R1518" s="8"/>
      <c r="S1518" s="8"/>
      <c r="T1518" s="3"/>
    </row>
    <row r="1519" spans="14:20" x14ac:dyDescent="0.3">
      <c r="N1519" s="5"/>
      <c r="O1519" s="5"/>
      <c r="P1519" s="5"/>
      <c r="Q1519" s="5"/>
      <c r="R1519" s="8"/>
      <c r="S1519" s="8"/>
      <c r="T1519" s="3"/>
    </row>
    <row r="1520" spans="14:20" x14ac:dyDescent="0.3">
      <c r="N1520" s="5"/>
      <c r="O1520" s="5"/>
      <c r="P1520" s="5"/>
      <c r="Q1520" s="5"/>
      <c r="R1520" s="8"/>
      <c r="S1520" s="8"/>
      <c r="T1520" s="3"/>
    </row>
    <row r="1521" spans="14:20" x14ac:dyDescent="0.3">
      <c r="N1521" s="5"/>
      <c r="O1521" s="5"/>
      <c r="P1521" s="5"/>
      <c r="Q1521" s="5"/>
      <c r="R1521" s="8"/>
      <c r="S1521" s="8"/>
      <c r="T1521" s="3"/>
    </row>
    <row r="1522" spans="14:20" x14ac:dyDescent="0.3">
      <c r="N1522" s="5"/>
      <c r="O1522" s="5"/>
      <c r="P1522" s="5"/>
      <c r="Q1522" s="5"/>
      <c r="R1522" s="8"/>
      <c r="S1522" s="8"/>
      <c r="T1522" s="3"/>
    </row>
    <row r="1523" spans="14:20" x14ac:dyDescent="0.3">
      <c r="N1523" s="5"/>
      <c r="O1523" s="5"/>
      <c r="P1523" s="5"/>
      <c r="Q1523" s="5"/>
      <c r="R1523" s="8"/>
      <c r="S1523" s="8"/>
      <c r="T1523" s="3"/>
    </row>
    <row r="1524" spans="14:20" x14ac:dyDescent="0.3">
      <c r="N1524" s="5"/>
      <c r="O1524" s="5"/>
      <c r="P1524" s="5"/>
      <c r="Q1524" s="5"/>
      <c r="R1524" s="8"/>
      <c r="S1524" s="8"/>
      <c r="T1524" s="3"/>
    </row>
    <row r="1525" spans="14:20" x14ac:dyDescent="0.3">
      <c r="N1525" s="5"/>
      <c r="O1525" s="5"/>
      <c r="P1525" s="5"/>
      <c r="Q1525" s="5"/>
      <c r="R1525" s="8"/>
      <c r="S1525" s="8"/>
      <c r="T1525" s="3"/>
    </row>
    <row r="1526" spans="14:20" x14ac:dyDescent="0.3">
      <c r="N1526" s="5"/>
      <c r="O1526" s="5"/>
      <c r="P1526" s="5"/>
      <c r="Q1526" s="5"/>
      <c r="R1526" s="8"/>
      <c r="S1526" s="8"/>
      <c r="T1526" s="3"/>
    </row>
    <row r="1527" spans="14:20" x14ac:dyDescent="0.3">
      <c r="N1527" s="5"/>
      <c r="O1527" s="5"/>
      <c r="P1527" s="5"/>
      <c r="Q1527" s="5"/>
      <c r="R1527" s="8"/>
      <c r="S1527" s="8"/>
      <c r="T1527" s="3"/>
    </row>
    <row r="1528" spans="14:20" x14ac:dyDescent="0.3">
      <c r="N1528" s="5"/>
      <c r="O1528" s="5"/>
      <c r="P1528" s="5"/>
      <c r="Q1528" s="5"/>
      <c r="R1528" s="8"/>
      <c r="S1528" s="8"/>
      <c r="T1528" s="3"/>
    </row>
    <row r="1529" spans="14:20" x14ac:dyDescent="0.3">
      <c r="N1529" s="5"/>
      <c r="O1529" s="5"/>
      <c r="P1529" s="5"/>
      <c r="Q1529" s="5"/>
      <c r="R1529" s="8"/>
      <c r="S1529" s="8"/>
      <c r="T1529" s="3"/>
    </row>
    <row r="1530" spans="14:20" x14ac:dyDescent="0.3">
      <c r="N1530" s="5"/>
      <c r="O1530" s="5"/>
      <c r="P1530" s="5"/>
      <c r="Q1530" s="5"/>
      <c r="R1530" s="8"/>
      <c r="S1530" s="8"/>
      <c r="T1530" s="3"/>
    </row>
    <row r="1531" spans="14:20" x14ac:dyDescent="0.3">
      <c r="N1531" s="5"/>
      <c r="O1531" s="5"/>
      <c r="P1531" s="5"/>
      <c r="Q1531" s="5"/>
      <c r="R1531" s="8"/>
      <c r="S1531" s="8"/>
      <c r="T1531" s="3"/>
    </row>
    <row r="1532" spans="14:20" x14ac:dyDescent="0.3">
      <c r="N1532" s="5"/>
      <c r="O1532" s="5"/>
      <c r="P1532" s="5"/>
      <c r="Q1532" s="5"/>
      <c r="R1532" s="8"/>
      <c r="S1532" s="8"/>
      <c r="T1532" s="3"/>
    </row>
    <row r="1533" spans="14:20" x14ac:dyDescent="0.3">
      <c r="N1533" s="5"/>
      <c r="O1533" s="5"/>
      <c r="P1533" s="5"/>
      <c r="Q1533" s="5"/>
      <c r="R1533" s="8"/>
      <c r="S1533" s="8"/>
      <c r="T1533" s="3"/>
    </row>
    <row r="1534" spans="14:20" x14ac:dyDescent="0.3">
      <c r="N1534" s="5"/>
      <c r="O1534" s="5"/>
      <c r="P1534" s="5"/>
      <c r="Q1534" s="5"/>
      <c r="R1534" s="8"/>
      <c r="S1534" s="8"/>
      <c r="T1534" s="3"/>
    </row>
    <row r="1535" spans="14:20" x14ac:dyDescent="0.3">
      <c r="N1535" s="5"/>
      <c r="O1535" s="5"/>
      <c r="P1535" s="5"/>
      <c r="Q1535" s="5"/>
      <c r="R1535" s="8"/>
      <c r="S1535" s="8"/>
      <c r="T1535" s="3"/>
    </row>
    <row r="1536" spans="14:20" x14ac:dyDescent="0.3">
      <c r="N1536" s="5"/>
      <c r="O1536" s="5"/>
      <c r="P1536" s="5"/>
      <c r="Q1536" s="5"/>
      <c r="R1536" s="8"/>
      <c r="S1536" s="8"/>
      <c r="T1536" s="3"/>
    </row>
    <row r="1537" spans="14:20" x14ac:dyDescent="0.3">
      <c r="N1537" s="5"/>
      <c r="O1537" s="5"/>
      <c r="P1537" s="5"/>
      <c r="Q1537" s="5"/>
      <c r="R1537" s="8"/>
      <c r="S1537" s="8"/>
      <c r="T1537" s="3"/>
    </row>
    <row r="1538" spans="14:20" x14ac:dyDescent="0.3">
      <c r="N1538" s="5"/>
      <c r="O1538" s="5"/>
      <c r="P1538" s="5"/>
      <c r="Q1538" s="5"/>
      <c r="R1538" s="8"/>
      <c r="S1538" s="8"/>
      <c r="T1538" s="3"/>
    </row>
    <row r="1539" spans="14:20" x14ac:dyDescent="0.3">
      <c r="N1539" s="5"/>
      <c r="O1539" s="5"/>
      <c r="P1539" s="5"/>
      <c r="Q1539" s="5"/>
      <c r="R1539" s="8"/>
      <c r="S1539" s="8"/>
      <c r="T1539" s="3"/>
    </row>
    <row r="1540" spans="14:20" x14ac:dyDescent="0.3">
      <c r="N1540" s="5"/>
      <c r="O1540" s="5"/>
      <c r="P1540" s="5"/>
      <c r="Q1540" s="5"/>
      <c r="R1540" s="8"/>
      <c r="S1540" s="8"/>
      <c r="T1540" s="3"/>
    </row>
    <row r="1541" spans="14:20" x14ac:dyDescent="0.3">
      <c r="N1541" s="5"/>
      <c r="O1541" s="5"/>
      <c r="P1541" s="5"/>
      <c r="Q1541" s="5"/>
      <c r="R1541" s="8"/>
      <c r="S1541" s="8"/>
      <c r="T1541" s="3"/>
    </row>
    <row r="1542" spans="14:20" x14ac:dyDescent="0.3">
      <c r="N1542" s="5"/>
      <c r="O1542" s="5"/>
      <c r="P1542" s="5"/>
      <c r="Q1542" s="5"/>
      <c r="R1542" s="8"/>
      <c r="S1542" s="8"/>
      <c r="T1542" s="3"/>
    </row>
    <row r="1543" spans="14:20" x14ac:dyDescent="0.3">
      <c r="N1543" s="5"/>
      <c r="O1543" s="5"/>
      <c r="P1543" s="5"/>
      <c r="Q1543" s="5"/>
      <c r="R1543" s="8"/>
      <c r="S1543" s="8"/>
      <c r="T1543" s="3"/>
    </row>
    <row r="1544" spans="14:20" x14ac:dyDescent="0.3">
      <c r="N1544" s="5"/>
      <c r="O1544" s="5"/>
      <c r="P1544" s="5"/>
      <c r="Q1544" s="5"/>
      <c r="R1544" s="8"/>
      <c r="S1544" s="8"/>
      <c r="T1544" s="3"/>
    </row>
    <row r="1545" spans="14:20" x14ac:dyDescent="0.3">
      <c r="N1545" s="5"/>
      <c r="O1545" s="5"/>
      <c r="P1545" s="5"/>
      <c r="Q1545" s="5"/>
      <c r="R1545" s="8"/>
      <c r="S1545" s="8"/>
      <c r="T1545" s="3"/>
    </row>
    <row r="1546" spans="14:20" x14ac:dyDescent="0.3">
      <c r="N1546" s="5"/>
      <c r="O1546" s="5"/>
      <c r="P1546" s="5"/>
      <c r="Q1546" s="5"/>
      <c r="R1546" s="8"/>
      <c r="S1546" s="8"/>
      <c r="T1546" s="3"/>
    </row>
    <row r="1547" spans="14:20" x14ac:dyDescent="0.3">
      <c r="N1547" s="5"/>
      <c r="O1547" s="5"/>
      <c r="P1547" s="5"/>
      <c r="Q1547" s="5"/>
      <c r="R1547" s="8"/>
      <c r="S1547" s="8"/>
      <c r="T1547" s="3"/>
    </row>
    <row r="1548" spans="14:20" x14ac:dyDescent="0.3">
      <c r="N1548" s="5"/>
      <c r="O1548" s="5"/>
      <c r="P1548" s="5"/>
      <c r="Q1548" s="5"/>
      <c r="R1548" s="8"/>
      <c r="S1548" s="8"/>
      <c r="T1548" s="3"/>
    </row>
    <row r="1549" spans="14:20" x14ac:dyDescent="0.3">
      <c r="N1549" s="5"/>
      <c r="O1549" s="5"/>
      <c r="P1549" s="5"/>
      <c r="Q1549" s="5"/>
      <c r="R1549" s="8"/>
      <c r="S1549" s="8"/>
      <c r="T1549" s="3"/>
    </row>
    <row r="1550" spans="14:20" x14ac:dyDescent="0.3">
      <c r="N1550" s="5"/>
      <c r="O1550" s="5"/>
      <c r="P1550" s="5"/>
      <c r="Q1550" s="5"/>
      <c r="R1550" s="8"/>
      <c r="S1550" s="8"/>
      <c r="T1550" s="3"/>
    </row>
    <row r="1551" spans="14:20" x14ac:dyDescent="0.3">
      <c r="N1551" s="5"/>
      <c r="O1551" s="5"/>
      <c r="P1551" s="5"/>
      <c r="Q1551" s="5"/>
      <c r="R1551" s="8"/>
      <c r="S1551" s="8"/>
      <c r="T1551" s="3"/>
    </row>
    <row r="1552" spans="14:20" x14ac:dyDescent="0.3">
      <c r="N1552" s="5"/>
      <c r="O1552" s="5"/>
      <c r="P1552" s="5"/>
      <c r="Q1552" s="5"/>
      <c r="R1552" s="8"/>
      <c r="S1552" s="8"/>
      <c r="T1552" s="3"/>
    </row>
    <row r="1553" spans="14:20" x14ac:dyDescent="0.3">
      <c r="N1553" s="5"/>
      <c r="O1553" s="5"/>
      <c r="P1553" s="5"/>
      <c r="Q1553" s="5"/>
      <c r="R1553" s="8"/>
      <c r="S1553" s="8"/>
      <c r="T1553" s="3"/>
    </row>
    <row r="1554" spans="14:20" x14ac:dyDescent="0.3">
      <c r="N1554" s="5"/>
      <c r="O1554" s="5"/>
      <c r="P1554" s="5"/>
      <c r="Q1554" s="5"/>
      <c r="R1554" s="8"/>
      <c r="S1554" s="8"/>
      <c r="T1554" s="3"/>
    </row>
    <row r="1555" spans="14:20" x14ac:dyDescent="0.3">
      <c r="N1555" s="5"/>
      <c r="O1555" s="5"/>
      <c r="P1555" s="5"/>
      <c r="Q1555" s="5"/>
      <c r="R1555" s="8"/>
      <c r="S1555" s="8"/>
      <c r="T1555" s="3"/>
    </row>
    <row r="1556" spans="14:20" x14ac:dyDescent="0.3">
      <c r="N1556" s="5"/>
      <c r="O1556" s="5"/>
      <c r="P1556" s="5"/>
      <c r="Q1556" s="5"/>
      <c r="R1556" s="8"/>
      <c r="S1556" s="8"/>
      <c r="T1556" s="3"/>
    </row>
    <row r="1557" spans="14:20" x14ac:dyDescent="0.3">
      <c r="N1557" s="5"/>
      <c r="O1557" s="5"/>
      <c r="P1557" s="5"/>
      <c r="Q1557" s="5"/>
      <c r="R1557" s="8"/>
      <c r="S1557" s="8"/>
      <c r="T1557" s="3"/>
    </row>
    <row r="1558" spans="14:20" x14ac:dyDescent="0.3">
      <c r="N1558" s="5"/>
      <c r="O1558" s="5"/>
      <c r="P1558" s="5"/>
      <c r="Q1558" s="5"/>
      <c r="R1558" s="8"/>
      <c r="S1558" s="8"/>
      <c r="T1558" s="3"/>
    </row>
    <row r="1559" spans="14:20" x14ac:dyDescent="0.3">
      <c r="N1559" s="5"/>
      <c r="O1559" s="5"/>
      <c r="P1559" s="5"/>
      <c r="Q1559" s="5"/>
      <c r="R1559" s="8"/>
      <c r="S1559" s="8"/>
      <c r="T1559" s="3"/>
    </row>
    <row r="1560" spans="14:20" x14ac:dyDescent="0.3">
      <c r="N1560" s="5"/>
      <c r="O1560" s="5"/>
      <c r="P1560" s="5"/>
      <c r="Q1560" s="5"/>
      <c r="R1560" s="8"/>
      <c r="S1560" s="8"/>
      <c r="T1560" s="3"/>
    </row>
    <row r="1561" spans="14:20" x14ac:dyDescent="0.3">
      <c r="N1561" s="5"/>
      <c r="O1561" s="5"/>
      <c r="P1561" s="5"/>
      <c r="Q1561" s="5"/>
      <c r="R1561" s="8"/>
      <c r="S1561" s="8"/>
      <c r="T1561" s="3"/>
    </row>
    <row r="1562" spans="14:20" x14ac:dyDescent="0.3">
      <c r="N1562" s="5"/>
      <c r="O1562" s="5"/>
      <c r="P1562" s="5"/>
      <c r="Q1562" s="5"/>
      <c r="R1562" s="8"/>
      <c r="S1562" s="8"/>
      <c r="T1562" s="3"/>
    </row>
    <row r="1563" spans="14:20" x14ac:dyDescent="0.3">
      <c r="N1563" s="5"/>
      <c r="O1563" s="5"/>
      <c r="P1563" s="5"/>
      <c r="Q1563" s="5"/>
      <c r="R1563" s="8"/>
      <c r="S1563" s="8"/>
      <c r="T1563" s="3"/>
    </row>
    <row r="1564" spans="14:20" x14ac:dyDescent="0.3">
      <c r="N1564" s="5"/>
      <c r="O1564" s="5"/>
      <c r="P1564" s="5"/>
      <c r="Q1564" s="5"/>
      <c r="R1564" s="8"/>
      <c r="S1564" s="8"/>
      <c r="T1564" s="3"/>
    </row>
    <row r="1565" spans="14:20" x14ac:dyDescent="0.3">
      <c r="N1565" s="5"/>
      <c r="O1565" s="5"/>
      <c r="P1565" s="5"/>
      <c r="Q1565" s="5"/>
      <c r="R1565" s="8"/>
      <c r="S1565" s="8"/>
      <c r="T1565" s="3"/>
    </row>
    <row r="1566" spans="14:20" x14ac:dyDescent="0.3">
      <c r="N1566" s="5"/>
      <c r="O1566" s="5"/>
      <c r="P1566" s="5"/>
      <c r="Q1566" s="5"/>
      <c r="R1566" s="8"/>
      <c r="S1566" s="8"/>
      <c r="T1566" s="3"/>
    </row>
    <row r="1567" spans="14:20" x14ac:dyDescent="0.3">
      <c r="N1567" s="5"/>
      <c r="O1567" s="5"/>
      <c r="P1567" s="5"/>
      <c r="Q1567" s="5"/>
      <c r="R1567" s="8"/>
      <c r="S1567" s="8"/>
      <c r="T1567" s="3"/>
    </row>
    <row r="1568" spans="14:20" x14ac:dyDescent="0.3">
      <c r="N1568" s="5"/>
      <c r="O1568" s="5"/>
      <c r="P1568" s="5"/>
      <c r="Q1568" s="5"/>
      <c r="R1568" s="8"/>
      <c r="S1568" s="8"/>
      <c r="T1568" s="3"/>
    </row>
    <row r="1569" spans="14:20" x14ac:dyDescent="0.3">
      <c r="N1569" s="5"/>
      <c r="O1569" s="5"/>
      <c r="P1569" s="5"/>
      <c r="Q1569" s="5"/>
      <c r="R1569" s="8"/>
      <c r="S1569" s="8"/>
      <c r="T1569" s="3"/>
    </row>
    <row r="1570" spans="14:20" x14ac:dyDescent="0.3">
      <c r="N1570" s="5"/>
      <c r="O1570" s="5"/>
      <c r="P1570" s="5"/>
      <c r="Q1570" s="5"/>
      <c r="R1570" s="8"/>
      <c r="S1570" s="8"/>
      <c r="T1570" s="3"/>
    </row>
    <row r="1571" spans="14:20" x14ac:dyDescent="0.3">
      <c r="N1571" s="5"/>
      <c r="O1571" s="5"/>
      <c r="P1571" s="5"/>
      <c r="Q1571" s="5"/>
      <c r="R1571" s="8"/>
      <c r="S1571" s="8"/>
      <c r="T1571" s="3"/>
    </row>
    <row r="1572" spans="14:20" x14ac:dyDescent="0.3">
      <c r="N1572" s="5"/>
      <c r="O1572" s="5"/>
      <c r="P1572" s="5"/>
      <c r="Q1572" s="5"/>
      <c r="R1572" s="8"/>
      <c r="S1572" s="8"/>
      <c r="T1572" s="3"/>
    </row>
    <row r="1573" spans="14:20" x14ac:dyDescent="0.3">
      <c r="N1573" s="5"/>
      <c r="O1573" s="5"/>
      <c r="P1573" s="5"/>
      <c r="Q1573" s="5"/>
      <c r="R1573" s="8"/>
      <c r="S1573" s="8"/>
      <c r="T1573" s="3"/>
    </row>
    <row r="1574" spans="14:20" x14ac:dyDescent="0.3">
      <c r="N1574" s="5"/>
      <c r="O1574" s="5"/>
      <c r="P1574" s="5"/>
      <c r="Q1574" s="5"/>
      <c r="R1574" s="8"/>
      <c r="S1574" s="8"/>
      <c r="T1574" s="3"/>
    </row>
    <row r="1575" spans="14:20" x14ac:dyDescent="0.3">
      <c r="N1575" s="5"/>
      <c r="O1575" s="5"/>
      <c r="P1575" s="5"/>
      <c r="Q1575" s="5"/>
      <c r="R1575" s="8"/>
      <c r="S1575" s="8"/>
      <c r="T1575" s="3"/>
    </row>
    <row r="1576" spans="14:20" x14ac:dyDescent="0.3">
      <c r="N1576" s="5"/>
      <c r="O1576" s="5"/>
      <c r="P1576" s="5"/>
      <c r="Q1576" s="5"/>
      <c r="R1576" s="8"/>
      <c r="S1576" s="8"/>
      <c r="T1576" s="3"/>
    </row>
    <row r="1577" spans="14:20" x14ac:dyDescent="0.3">
      <c r="N1577" s="5"/>
      <c r="O1577" s="5"/>
      <c r="P1577" s="5"/>
      <c r="Q1577" s="5"/>
      <c r="R1577" s="8"/>
      <c r="S1577" s="8"/>
      <c r="T1577" s="3"/>
    </row>
    <row r="1578" spans="14:20" x14ac:dyDescent="0.3">
      <c r="N1578" s="5"/>
      <c r="O1578" s="5"/>
      <c r="P1578" s="5"/>
      <c r="Q1578" s="5"/>
      <c r="R1578" s="8"/>
      <c r="S1578" s="8"/>
      <c r="T1578" s="3"/>
    </row>
    <row r="1579" spans="14:20" x14ac:dyDescent="0.3">
      <c r="N1579" s="5"/>
      <c r="O1579" s="5"/>
      <c r="P1579" s="5"/>
      <c r="Q1579" s="5"/>
      <c r="R1579" s="8"/>
      <c r="S1579" s="8"/>
      <c r="T1579" s="3"/>
    </row>
    <row r="1580" spans="14:20" x14ac:dyDescent="0.3">
      <c r="N1580" s="5"/>
      <c r="O1580" s="5"/>
      <c r="P1580" s="5"/>
      <c r="Q1580" s="5"/>
      <c r="R1580" s="8"/>
      <c r="S1580" s="8"/>
      <c r="T1580" s="3"/>
    </row>
    <row r="1581" spans="14:20" x14ac:dyDescent="0.3">
      <c r="N1581" s="5"/>
      <c r="O1581" s="5"/>
      <c r="P1581" s="5"/>
      <c r="Q1581" s="5"/>
      <c r="R1581" s="8"/>
      <c r="S1581" s="8"/>
      <c r="T1581" s="3"/>
    </row>
    <row r="1582" spans="14:20" x14ac:dyDescent="0.3">
      <c r="N1582" s="5"/>
      <c r="O1582" s="5"/>
      <c r="P1582" s="5"/>
      <c r="Q1582" s="5"/>
      <c r="R1582" s="8"/>
      <c r="S1582" s="8"/>
      <c r="T1582" s="3"/>
    </row>
    <row r="1583" spans="14:20" x14ac:dyDescent="0.3">
      <c r="N1583" s="5"/>
      <c r="O1583" s="5"/>
      <c r="P1583" s="5"/>
      <c r="Q1583" s="5"/>
      <c r="R1583" s="8"/>
      <c r="S1583" s="8"/>
      <c r="T1583" s="3"/>
    </row>
    <row r="1584" spans="14:20" x14ac:dyDescent="0.3">
      <c r="N1584" s="5"/>
      <c r="O1584" s="5"/>
      <c r="P1584" s="5"/>
      <c r="Q1584" s="5"/>
      <c r="R1584" s="8"/>
      <c r="S1584" s="8"/>
      <c r="T1584" s="3"/>
    </row>
    <row r="1585" spans="14:20" x14ac:dyDescent="0.3">
      <c r="N1585" s="5"/>
      <c r="O1585" s="5"/>
      <c r="P1585" s="5"/>
      <c r="Q1585" s="5"/>
      <c r="R1585" s="8"/>
      <c r="S1585" s="8"/>
      <c r="T1585" s="3"/>
    </row>
    <row r="1586" spans="14:20" x14ac:dyDescent="0.3">
      <c r="N1586" s="5"/>
      <c r="O1586" s="5"/>
      <c r="P1586" s="5"/>
      <c r="Q1586" s="5"/>
      <c r="R1586" s="8"/>
      <c r="S1586" s="8"/>
      <c r="T1586" s="3"/>
    </row>
    <row r="1587" spans="14:20" x14ac:dyDescent="0.3">
      <c r="N1587" s="5"/>
      <c r="O1587" s="5"/>
      <c r="P1587" s="5"/>
      <c r="Q1587" s="5"/>
      <c r="R1587" s="8"/>
      <c r="S1587" s="8"/>
      <c r="T1587" s="3"/>
    </row>
    <row r="1588" spans="14:20" x14ac:dyDescent="0.3">
      <c r="N1588" s="5"/>
      <c r="O1588" s="5"/>
      <c r="P1588" s="5"/>
      <c r="Q1588" s="5"/>
      <c r="R1588" s="8"/>
      <c r="S1588" s="8"/>
      <c r="T1588" s="3"/>
    </row>
    <row r="1589" spans="14:20" x14ac:dyDescent="0.3">
      <c r="N1589" s="5"/>
      <c r="O1589" s="5"/>
      <c r="P1589" s="5"/>
      <c r="Q1589" s="5"/>
      <c r="R1589" s="8"/>
      <c r="S1589" s="8"/>
      <c r="T1589" s="3"/>
    </row>
    <row r="1590" spans="14:20" x14ac:dyDescent="0.3">
      <c r="N1590" s="5"/>
      <c r="O1590" s="5"/>
      <c r="P1590" s="5"/>
      <c r="Q1590" s="5"/>
      <c r="R1590" s="8"/>
      <c r="S1590" s="8"/>
      <c r="T1590" s="3"/>
    </row>
    <row r="1591" spans="14:20" x14ac:dyDescent="0.3">
      <c r="N1591" s="5"/>
      <c r="O1591" s="5"/>
      <c r="P1591" s="5"/>
      <c r="Q1591" s="5"/>
      <c r="R1591" s="8"/>
      <c r="S1591" s="8"/>
      <c r="T1591" s="3"/>
    </row>
    <row r="1592" spans="14:20" x14ac:dyDescent="0.3">
      <c r="N1592" s="5"/>
      <c r="O1592" s="5"/>
      <c r="P1592" s="5"/>
      <c r="Q1592" s="5"/>
      <c r="R1592" s="8"/>
      <c r="S1592" s="8"/>
      <c r="T1592" s="3"/>
    </row>
    <row r="1593" spans="14:20" x14ac:dyDescent="0.3">
      <c r="N1593" s="5"/>
      <c r="O1593" s="5"/>
      <c r="P1593" s="5"/>
      <c r="Q1593" s="5"/>
      <c r="R1593" s="8"/>
      <c r="S1593" s="8"/>
      <c r="T1593" s="3"/>
    </row>
    <row r="1594" spans="14:20" x14ac:dyDescent="0.3">
      <c r="N1594" s="5"/>
      <c r="O1594" s="5"/>
      <c r="P1594" s="5"/>
      <c r="Q1594" s="5"/>
      <c r="R1594" s="8"/>
      <c r="S1594" s="8"/>
      <c r="T1594" s="3"/>
    </row>
    <row r="1595" spans="14:20" x14ac:dyDescent="0.3">
      <c r="N1595" s="5"/>
      <c r="O1595" s="5"/>
      <c r="P1595" s="5"/>
      <c r="Q1595" s="5"/>
      <c r="R1595" s="8"/>
      <c r="S1595" s="8"/>
      <c r="T1595" s="3"/>
    </row>
    <row r="1596" spans="14:20" x14ac:dyDescent="0.3">
      <c r="N1596" s="5"/>
      <c r="O1596" s="5"/>
      <c r="P1596" s="5"/>
      <c r="Q1596" s="5"/>
      <c r="R1596" s="8"/>
      <c r="S1596" s="8"/>
      <c r="T1596" s="3"/>
    </row>
    <row r="1597" spans="14:20" x14ac:dyDescent="0.3">
      <c r="N1597" s="5"/>
      <c r="O1597" s="5"/>
      <c r="P1597" s="5"/>
      <c r="Q1597" s="5"/>
      <c r="R1597" s="8"/>
      <c r="S1597" s="8"/>
      <c r="T1597" s="3"/>
    </row>
    <row r="1598" spans="14:20" x14ac:dyDescent="0.3">
      <c r="N1598" s="5"/>
      <c r="O1598" s="5"/>
      <c r="P1598" s="5"/>
      <c r="Q1598" s="5"/>
      <c r="R1598" s="8"/>
      <c r="S1598" s="8"/>
      <c r="T1598" s="3"/>
    </row>
    <row r="1599" spans="14:20" x14ac:dyDescent="0.3">
      <c r="N1599" s="5"/>
      <c r="O1599" s="5"/>
      <c r="P1599" s="5"/>
      <c r="Q1599" s="5"/>
      <c r="R1599" s="8"/>
      <c r="S1599" s="8"/>
      <c r="T1599" s="3"/>
    </row>
    <row r="1600" spans="14:20" x14ac:dyDescent="0.3">
      <c r="N1600" s="5"/>
      <c r="O1600" s="5"/>
      <c r="P1600" s="5"/>
      <c r="Q1600" s="5"/>
      <c r="R1600" s="8"/>
      <c r="S1600" s="8"/>
      <c r="T1600" s="3"/>
    </row>
    <row r="1601" spans="14:20" x14ac:dyDescent="0.3">
      <c r="N1601" s="5"/>
      <c r="O1601" s="5"/>
      <c r="P1601" s="5"/>
      <c r="Q1601" s="5"/>
      <c r="R1601" s="8"/>
      <c r="S1601" s="8"/>
      <c r="T1601" s="3"/>
    </row>
    <row r="1602" spans="14:20" x14ac:dyDescent="0.3">
      <c r="N1602" s="5"/>
      <c r="O1602" s="5"/>
      <c r="P1602" s="5"/>
      <c r="Q1602" s="5"/>
      <c r="R1602" s="8"/>
      <c r="S1602" s="8"/>
      <c r="T1602" s="3"/>
    </row>
    <row r="1603" spans="14:20" x14ac:dyDescent="0.3">
      <c r="N1603" s="5"/>
      <c r="O1603" s="5"/>
      <c r="P1603" s="5"/>
      <c r="Q1603" s="5"/>
      <c r="R1603" s="8"/>
      <c r="S1603" s="8"/>
      <c r="T1603" s="3"/>
    </row>
    <row r="1604" spans="14:20" x14ac:dyDescent="0.3">
      <c r="N1604" s="5"/>
      <c r="O1604" s="5"/>
      <c r="P1604" s="5"/>
      <c r="Q1604" s="5"/>
      <c r="R1604" s="8"/>
      <c r="S1604" s="8"/>
      <c r="T1604" s="3"/>
    </row>
    <row r="1605" spans="14:20" x14ac:dyDescent="0.3">
      <c r="N1605" s="5"/>
      <c r="O1605" s="5"/>
      <c r="P1605" s="5"/>
      <c r="Q1605" s="5"/>
      <c r="R1605" s="8"/>
      <c r="S1605" s="8"/>
      <c r="T1605" s="3"/>
    </row>
    <row r="1606" spans="14:20" x14ac:dyDescent="0.3">
      <c r="N1606" s="5"/>
      <c r="O1606" s="5"/>
      <c r="P1606" s="5"/>
      <c r="Q1606" s="5"/>
      <c r="R1606" s="8"/>
      <c r="S1606" s="8"/>
      <c r="T1606" s="3"/>
    </row>
    <row r="1607" spans="14:20" x14ac:dyDescent="0.3">
      <c r="N1607" s="5"/>
      <c r="O1607" s="5"/>
      <c r="P1607" s="5"/>
      <c r="Q1607" s="5"/>
      <c r="R1607" s="8"/>
      <c r="S1607" s="8"/>
      <c r="T1607" s="3"/>
    </row>
    <row r="1608" spans="14:20" x14ac:dyDescent="0.3">
      <c r="N1608" s="5"/>
      <c r="O1608" s="5"/>
      <c r="P1608" s="5"/>
      <c r="Q1608" s="5"/>
      <c r="R1608" s="8"/>
      <c r="S1608" s="8"/>
      <c r="T1608" s="3"/>
    </row>
    <row r="1609" spans="14:20" x14ac:dyDescent="0.3">
      <c r="N1609" s="5"/>
      <c r="O1609" s="5"/>
      <c r="P1609" s="5"/>
      <c r="Q1609" s="5"/>
      <c r="R1609" s="8"/>
      <c r="S1609" s="8"/>
      <c r="T1609" s="3"/>
    </row>
    <row r="1610" spans="14:20" x14ac:dyDescent="0.3">
      <c r="N1610" s="5"/>
      <c r="O1610" s="5"/>
      <c r="P1610" s="5"/>
      <c r="Q1610" s="5"/>
      <c r="R1610" s="8"/>
      <c r="S1610" s="8"/>
      <c r="T1610" s="3"/>
    </row>
    <row r="1611" spans="14:20" x14ac:dyDescent="0.3">
      <c r="N1611" s="5"/>
      <c r="O1611" s="5"/>
      <c r="P1611" s="5"/>
      <c r="Q1611" s="5"/>
      <c r="R1611" s="8"/>
      <c r="S1611" s="8"/>
      <c r="T1611" s="3"/>
    </row>
    <row r="1612" spans="14:20" x14ac:dyDescent="0.3">
      <c r="N1612" s="5"/>
      <c r="O1612" s="5"/>
      <c r="P1612" s="5"/>
      <c r="Q1612" s="5"/>
      <c r="R1612" s="8"/>
      <c r="S1612" s="8"/>
      <c r="T1612" s="3"/>
    </row>
    <row r="1613" spans="14:20" x14ac:dyDescent="0.3">
      <c r="N1613" s="5"/>
      <c r="O1613" s="5"/>
      <c r="P1613" s="5"/>
      <c r="Q1613" s="5"/>
      <c r="R1613" s="8"/>
      <c r="S1613" s="8"/>
      <c r="T1613" s="3"/>
    </row>
    <row r="1614" spans="14:20" x14ac:dyDescent="0.3">
      <c r="N1614" s="5"/>
      <c r="O1614" s="5"/>
      <c r="P1614" s="5"/>
      <c r="Q1614" s="5"/>
      <c r="R1614" s="8"/>
      <c r="S1614" s="8"/>
      <c r="T1614" s="3"/>
    </row>
    <row r="1615" spans="14:20" x14ac:dyDescent="0.3">
      <c r="N1615" s="5"/>
      <c r="O1615" s="5"/>
      <c r="P1615" s="5"/>
      <c r="Q1615" s="5"/>
      <c r="R1615" s="8"/>
      <c r="S1615" s="8"/>
      <c r="T1615" s="3"/>
    </row>
    <row r="1616" spans="14:20" x14ac:dyDescent="0.3">
      <c r="N1616" s="5"/>
      <c r="O1616" s="5"/>
      <c r="P1616" s="5"/>
      <c r="Q1616" s="5"/>
      <c r="R1616" s="8"/>
      <c r="S1616" s="8"/>
      <c r="T1616" s="3"/>
    </row>
    <row r="1617" spans="14:20" x14ac:dyDescent="0.3">
      <c r="N1617" s="5"/>
      <c r="O1617" s="5"/>
      <c r="P1617" s="5"/>
      <c r="Q1617" s="5"/>
      <c r="R1617" s="8"/>
      <c r="S1617" s="8"/>
      <c r="T1617" s="3"/>
    </row>
    <row r="1618" spans="14:20" x14ac:dyDescent="0.3">
      <c r="N1618" s="5"/>
      <c r="O1618" s="5"/>
      <c r="P1618" s="5"/>
      <c r="Q1618" s="5"/>
      <c r="R1618" s="8"/>
      <c r="S1618" s="8"/>
      <c r="T1618" s="3"/>
    </row>
    <row r="1619" spans="14:20" x14ac:dyDescent="0.3">
      <c r="N1619" s="5"/>
      <c r="O1619" s="5"/>
      <c r="P1619" s="5"/>
      <c r="Q1619" s="5"/>
      <c r="R1619" s="8"/>
      <c r="S1619" s="8"/>
      <c r="T1619" s="3"/>
    </row>
    <row r="1620" spans="14:20" x14ac:dyDescent="0.3">
      <c r="N1620" s="5"/>
      <c r="O1620" s="5"/>
      <c r="P1620" s="5"/>
      <c r="Q1620" s="5"/>
      <c r="R1620" s="8"/>
      <c r="S1620" s="8"/>
      <c r="T1620" s="3"/>
    </row>
    <row r="1621" spans="14:20" x14ac:dyDescent="0.3">
      <c r="N1621" s="5"/>
      <c r="O1621" s="5"/>
      <c r="P1621" s="5"/>
      <c r="Q1621" s="5"/>
      <c r="R1621" s="8"/>
      <c r="S1621" s="8"/>
      <c r="T1621" s="3"/>
    </row>
    <row r="1622" spans="14:20" x14ac:dyDescent="0.3">
      <c r="N1622" s="5"/>
      <c r="O1622" s="5"/>
      <c r="P1622" s="5"/>
      <c r="Q1622" s="5"/>
      <c r="R1622" s="8"/>
      <c r="S1622" s="8"/>
      <c r="T1622" s="3"/>
    </row>
    <row r="1623" spans="14:20" x14ac:dyDescent="0.3">
      <c r="N1623" s="5"/>
      <c r="O1623" s="5"/>
      <c r="P1623" s="5"/>
      <c r="Q1623" s="5"/>
      <c r="R1623" s="8"/>
      <c r="S1623" s="8"/>
      <c r="T1623" s="3"/>
    </row>
    <row r="1624" spans="14:20" x14ac:dyDescent="0.3">
      <c r="N1624" s="5"/>
      <c r="O1624" s="5"/>
      <c r="P1624" s="5"/>
      <c r="Q1624" s="5"/>
      <c r="R1624" s="8"/>
      <c r="S1624" s="8"/>
      <c r="T1624" s="3"/>
    </row>
    <row r="1625" spans="14:20" x14ac:dyDescent="0.3">
      <c r="N1625" s="5"/>
      <c r="O1625" s="5"/>
      <c r="P1625" s="5"/>
      <c r="Q1625" s="5"/>
      <c r="R1625" s="8"/>
      <c r="S1625" s="8"/>
      <c r="T1625" s="3"/>
    </row>
    <row r="1626" spans="14:20" x14ac:dyDescent="0.3">
      <c r="N1626" s="5"/>
      <c r="O1626" s="5"/>
      <c r="P1626" s="5"/>
      <c r="Q1626" s="5"/>
      <c r="R1626" s="8"/>
      <c r="S1626" s="8"/>
      <c r="T1626" s="3"/>
    </row>
    <row r="1627" spans="14:20" x14ac:dyDescent="0.3">
      <c r="N1627" s="5"/>
      <c r="O1627" s="5"/>
      <c r="P1627" s="5"/>
      <c r="Q1627" s="5"/>
      <c r="R1627" s="8"/>
      <c r="S1627" s="8"/>
      <c r="T1627" s="3"/>
    </row>
    <row r="1628" spans="14:20" x14ac:dyDescent="0.3">
      <c r="N1628" s="5"/>
      <c r="O1628" s="5"/>
      <c r="P1628" s="5"/>
      <c r="Q1628" s="5"/>
      <c r="R1628" s="8"/>
      <c r="S1628" s="8"/>
      <c r="T1628" s="3"/>
    </row>
    <row r="1629" spans="14:20" x14ac:dyDescent="0.3">
      <c r="N1629" s="5"/>
      <c r="O1629" s="5"/>
      <c r="P1629" s="5"/>
      <c r="Q1629" s="5"/>
      <c r="R1629" s="8"/>
      <c r="S1629" s="8"/>
      <c r="T1629" s="3"/>
    </row>
    <row r="1630" spans="14:20" x14ac:dyDescent="0.3">
      <c r="N1630" s="5"/>
      <c r="O1630" s="5"/>
      <c r="P1630" s="5"/>
      <c r="Q1630" s="5"/>
      <c r="R1630" s="8"/>
      <c r="S1630" s="8"/>
      <c r="T1630" s="3"/>
    </row>
    <row r="1631" spans="14:20" x14ac:dyDescent="0.3">
      <c r="N1631" s="5"/>
      <c r="O1631" s="5"/>
      <c r="P1631" s="5"/>
      <c r="Q1631" s="5"/>
      <c r="R1631" s="8"/>
      <c r="S1631" s="8"/>
      <c r="T1631" s="3"/>
    </row>
    <row r="1632" spans="14:20" x14ac:dyDescent="0.3">
      <c r="N1632" s="5"/>
      <c r="O1632" s="5"/>
      <c r="P1632" s="5"/>
      <c r="Q1632" s="5"/>
      <c r="R1632" s="8"/>
      <c r="S1632" s="8"/>
      <c r="T1632" s="3"/>
    </row>
    <row r="1633" spans="14:20" x14ac:dyDescent="0.3">
      <c r="N1633" s="5"/>
      <c r="O1633" s="5"/>
      <c r="P1633" s="5"/>
      <c r="Q1633" s="5"/>
      <c r="R1633" s="8"/>
      <c r="S1633" s="8"/>
      <c r="T1633" s="3"/>
    </row>
    <row r="1634" spans="14:20" x14ac:dyDescent="0.3">
      <c r="N1634" s="5"/>
      <c r="O1634" s="5"/>
      <c r="P1634" s="5"/>
      <c r="Q1634" s="5"/>
      <c r="R1634" s="8"/>
      <c r="S1634" s="8"/>
      <c r="T1634" s="3"/>
    </row>
    <row r="1635" spans="14:20" x14ac:dyDescent="0.3">
      <c r="N1635" s="5"/>
      <c r="O1635" s="5"/>
      <c r="P1635" s="5"/>
      <c r="Q1635" s="5"/>
      <c r="R1635" s="8"/>
      <c r="S1635" s="8"/>
      <c r="T1635" s="3"/>
    </row>
    <row r="1636" spans="14:20" x14ac:dyDescent="0.3">
      <c r="N1636" s="5"/>
      <c r="O1636" s="5"/>
      <c r="P1636" s="5"/>
      <c r="Q1636" s="5"/>
      <c r="R1636" s="8"/>
      <c r="S1636" s="8"/>
      <c r="T1636" s="3"/>
    </row>
    <row r="1637" spans="14:20" x14ac:dyDescent="0.3">
      <c r="N1637" s="5"/>
      <c r="O1637" s="5"/>
      <c r="P1637" s="5"/>
      <c r="Q1637" s="5"/>
      <c r="R1637" s="8"/>
      <c r="S1637" s="8"/>
      <c r="T1637" s="3"/>
    </row>
    <row r="1638" spans="14:20" x14ac:dyDescent="0.3">
      <c r="N1638" s="5"/>
      <c r="O1638" s="5"/>
      <c r="P1638" s="5"/>
      <c r="Q1638" s="5"/>
      <c r="R1638" s="8"/>
      <c r="S1638" s="8"/>
      <c r="T1638" s="3"/>
    </row>
    <row r="1639" spans="14:20" x14ac:dyDescent="0.3">
      <c r="N1639" s="5"/>
      <c r="O1639" s="5"/>
      <c r="P1639" s="5"/>
      <c r="Q1639" s="5"/>
      <c r="R1639" s="8"/>
      <c r="S1639" s="8"/>
      <c r="T1639" s="3"/>
    </row>
    <row r="1640" spans="14:20" x14ac:dyDescent="0.3">
      <c r="N1640" s="5"/>
      <c r="O1640" s="5"/>
      <c r="P1640" s="5"/>
      <c r="Q1640" s="5"/>
      <c r="R1640" s="8"/>
      <c r="S1640" s="8"/>
      <c r="T1640" s="3"/>
    </row>
    <row r="1641" spans="14:20" x14ac:dyDescent="0.3">
      <c r="N1641" s="5"/>
      <c r="O1641" s="5"/>
      <c r="P1641" s="5"/>
      <c r="Q1641" s="5"/>
      <c r="R1641" s="8"/>
      <c r="S1641" s="8"/>
      <c r="T1641" s="3"/>
    </row>
    <row r="1642" spans="14:20" x14ac:dyDescent="0.3">
      <c r="N1642" s="5"/>
      <c r="O1642" s="5"/>
      <c r="P1642" s="5"/>
      <c r="Q1642" s="5"/>
      <c r="R1642" s="8"/>
      <c r="S1642" s="8"/>
      <c r="T1642" s="3"/>
    </row>
    <row r="1643" spans="14:20" x14ac:dyDescent="0.3">
      <c r="N1643" s="5"/>
      <c r="O1643" s="5"/>
      <c r="P1643" s="5"/>
      <c r="Q1643" s="5"/>
      <c r="R1643" s="8"/>
      <c r="S1643" s="8"/>
      <c r="T1643" s="3"/>
    </row>
    <row r="1644" spans="14:20" x14ac:dyDescent="0.3">
      <c r="N1644" s="5"/>
      <c r="O1644" s="5"/>
      <c r="P1644" s="5"/>
      <c r="Q1644" s="5"/>
      <c r="R1644" s="8"/>
      <c r="S1644" s="8"/>
      <c r="T1644" s="3"/>
    </row>
    <row r="1645" spans="14:20" x14ac:dyDescent="0.3">
      <c r="N1645" s="5"/>
      <c r="O1645" s="5"/>
      <c r="P1645" s="5"/>
      <c r="Q1645" s="5"/>
      <c r="R1645" s="8"/>
      <c r="S1645" s="8"/>
      <c r="T1645" s="3"/>
    </row>
    <row r="1646" spans="14:20" x14ac:dyDescent="0.3">
      <c r="N1646" s="5"/>
      <c r="O1646" s="5"/>
      <c r="P1646" s="5"/>
      <c r="Q1646" s="5"/>
      <c r="R1646" s="8"/>
      <c r="S1646" s="8"/>
      <c r="T1646" s="3"/>
    </row>
    <row r="1647" spans="14:20" x14ac:dyDescent="0.3">
      <c r="N1647" s="5"/>
      <c r="O1647" s="5"/>
      <c r="P1647" s="5"/>
      <c r="Q1647" s="5"/>
      <c r="R1647" s="8"/>
      <c r="S1647" s="8"/>
      <c r="T1647" s="3"/>
    </row>
    <row r="1648" spans="14:20" x14ac:dyDescent="0.3">
      <c r="N1648" s="5"/>
      <c r="O1648" s="5"/>
      <c r="P1648" s="5"/>
      <c r="Q1648" s="5"/>
      <c r="R1648" s="8"/>
      <c r="S1648" s="8"/>
      <c r="T1648" s="3"/>
    </row>
    <row r="1649" spans="14:20" x14ac:dyDescent="0.3">
      <c r="N1649" s="5"/>
      <c r="O1649" s="5"/>
      <c r="P1649" s="5"/>
      <c r="Q1649" s="5"/>
      <c r="R1649" s="8"/>
      <c r="S1649" s="8"/>
      <c r="T1649" s="3"/>
    </row>
    <row r="1650" spans="14:20" x14ac:dyDescent="0.3">
      <c r="N1650" s="5"/>
      <c r="O1650" s="5"/>
      <c r="P1650" s="5"/>
      <c r="Q1650" s="5"/>
      <c r="R1650" s="8"/>
      <c r="S1650" s="8"/>
      <c r="T1650" s="3"/>
    </row>
    <row r="1651" spans="14:20" x14ac:dyDescent="0.3">
      <c r="N1651" s="5"/>
      <c r="O1651" s="5"/>
      <c r="P1651" s="5"/>
      <c r="Q1651" s="5"/>
      <c r="R1651" s="8"/>
      <c r="S1651" s="8"/>
      <c r="T1651" s="3"/>
    </row>
    <row r="1652" spans="14:20" x14ac:dyDescent="0.3">
      <c r="N1652" s="5"/>
      <c r="O1652" s="5"/>
      <c r="P1652" s="5"/>
      <c r="Q1652" s="5"/>
      <c r="R1652" s="8"/>
      <c r="S1652" s="8"/>
      <c r="T1652" s="3"/>
    </row>
    <row r="1653" spans="14:20" x14ac:dyDescent="0.3">
      <c r="N1653" s="5"/>
      <c r="O1653" s="5"/>
      <c r="P1653" s="5"/>
      <c r="Q1653" s="5"/>
      <c r="R1653" s="8"/>
      <c r="S1653" s="8"/>
      <c r="T1653" s="3"/>
    </row>
    <row r="1654" spans="14:20" x14ac:dyDescent="0.3">
      <c r="N1654" s="5"/>
      <c r="O1654" s="5"/>
      <c r="P1654" s="5"/>
      <c r="Q1654" s="5"/>
      <c r="R1654" s="8"/>
      <c r="S1654" s="8"/>
      <c r="T1654" s="3"/>
    </row>
    <row r="1655" spans="14:20" x14ac:dyDescent="0.3">
      <c r="N1655" s="5"/>
      <c r="O1655" s="5"/>
      <c r="P1655" s="5"/>
      <c r="Q1655" s="5"/>
      <c r="R1655" s="8"/>
      <c r="S1655" s="8"/>
      <c r="T1655" s="3"/>
    </row>
    <row r="1656" spans="14:20" x14ac:dyDescent="0.3">
      <c r="N1656" s="5"/>
      <c r="O1656" s="5"/>
      <c r="P1656" s="5"/>
      <c r="Q1656" s="5"/>
      <c r="R1656" s="8"/>
      <c r="S1656" s="8"/>
      <c r="T1656" s="3"/>
    </row>
    <row r="1657" spans="14:20" x14ac:dyDescent="0.3">
      <c r="N1657" s="5"/>
      <c r="O1657" s="5"/>
      <c r="P1657" s="5"/>
      <c r="Q1657" s="5"/>
      <c r="R1657" s="8"/>
      <c r="S1657" s="8"/>
      <c r="T1657" s="3"/>
    </row>
    <row r="1658" spans="14:20" x14ac:dyDescent="0.3">
      <c r="N1658" s="5"/>
      <c r="O1658" s="5"/>
      <c r="P1658" s="5"/>
      <c r="Q1658" s="5"/>
      <c r="R1658" s="8"/>
      <c r="S1658" s="8"/>
      <c r="T1658" s="3"/>
    </row>
    <row r="1659" spans="14:20" x14ac:dyDescent="0.3">
      <c r="N1659" s="5"/>
      <c r="O1659" s="5"/>
      <c r="P1659" s="5"/>
      <c r="Q1659" s="5"/>
      <c r="R1659" s="8"/>
      <c r="S1659" s="8"/>
      <c r="T1659" s="3"/>
    </row>
    <row r="1660" spans="14:20" x14ac:dyDescent="0.3">
      <c r="N1660" s="5"/>
      <c r="O1660" s="5"/>
      <c r="P1660" s="5"/>
      <c r="Q1660" s="5"/>
      <c r="R1660" s="8"/>
      <c r="S1660" s="8"/>
      <c r="T1660" s="3"/>
    </row>
    <row r="1661" spans="14:20" x14ac:dyDescent="0.3">
      <c r="N1661" s="5"/>
      <c r="O1661" s="5"/>
      <c r="P1661" s="5"/>
      <c r="Q1661" s="5"/>
      <c r="R1661" s="8"/>
      <c r="S1661" s="8"/>
      <c r="T1661" s="3"/>
    </row>
    <row r="1662" spans="14:20" x14ac:dyDescent="0.3">
      <c r="N1662" s="5"/>
      <c r="O1662" s="5"/>
      <c r="P1662" s="5"/>
      <c r="Q1662" s="5"/>
      <c r="R1662" s="8"/>
      <c r="S1662" s="8"/>
      <c r="T1662" s="3"/>
    </row>
    <row r="1663" spans="14:20" x14ac:dyDescent="0.3">
      <c r="N1663" s="5"/>
      <c r="O1663" s="5"/>
      <c r="P1663" s="5"/>
      <c r="Q1663" s="5"/>
      <c r="R1663" s="8"/>
      <c r="S1663" s="8"/>
      <c r="T1663" s="3"/>
    </row>
    <row r="1664" spans="14:20" x14ac:dyDescent="0.3">
      <c r="N1664" s="5"/>
      <c r="O1664" s="5"/>
      <c r="P1664" s="5"/>
      <c r="Q1664" s="5"/>
      <c r="R1664" s="8"/>
      <c r="S1664" s="8"/>
      <c r="T1664" s="3"/>
    </row>
    <row r="1665" spans="14:20" x14ac:dyDescent="0.3">
      <c r="N1665" s="5"/>
      <c r="O1665" s="5"/>
      <c r="P1665" s="5"/>
      <c r="Q1665" s="5"/>
      <c r="R1665" s="8"/>
      <c r="S1665" s="8"/>
      <c r="T1665" s="3"/>
    </row>
    <row r="1666" spans="14:20" x14ac:dyDescent="0.3">
      <c r="N1666" s="5"/>
      <c r="O1666" s="5"/>
      <c r="P1666" s="5"/>
      <c r="Q1666" s="5"/>
      <c r="R1666" s="8"/>
      <c r="S1666" s="8"/>
      <c r="T1666" s="3"/>
    </row>
    <row r="1667" spans="14:20" x14ac:dyDescent="0.3">
      <c r="N1667" s="5"/>
      <c r="O1667" s="5"/>
      <c r="P1667" s="5"/>
      <c r="Q1667" s="5"/>
      <c r="R1667" s="8"/>
      <c r="S1667" s="8"/>
      <c r="T1667" s="3"/>
    </row>
    <row r="1668" spans="14:20" x14ac:dyDescent="0.3">
      <c r="N1668" s="5"/>
      <c r="O1668" s="5"/>
      <c r="P1668" s="5"/>
      <c r="Q1668" s="5"/>
      <c r="R1668" s="8"/>
      <c r="S1668" s="8"/>
      <c r="T1668" s="3"/>
    </row>
    <row r="1669" spans="14:20" x14ac:dyDescent="0.3">
      <c r="N1669" s="5"/>
      <c r="O1669" s="5"/>
      <c r="P1669" s="5"/>
      <c r="Q1669" s="5"/>
      <c r="R1669" s="8"/>
      <c r="S1669" s="8"/>
      <c r="T1669" s="3"/>
    </row>
    <row r="1670" spans="14:20" x14ac:dyDescent="0.3">
      <c r="N1670" s="5"/>
      <c r="O1670" s="5"/>
      <c r="P1670" s="5"/>
      <c r="Q1670" s="5"/>
      <c r="R1670" s="8"/>
      <c r="S1670" s="8"/>
      <c r="T1670" s="3"/>
    </row>
    <row r="1671" spans="14:20" x14ac:dyDescent="0.3">
      <c r="N1671" s="5"/>
      <c r="O1671" s="5"/>
      <c r="P1671" s="5"/>
      <c r="Q1671" s="5"/>
      <c r="R1671" s="8"/>
      <c r="S1671" s="8"/>
      <c r="T1671" s="3"/>
    </row>
    <row r="1672" spans="14:20" x14ac:dyDescent="0.3">
      <c r="N1672" s="5"/>
      <c r="O1672" s="5"/>
      <c r="P1672" s="5"/>
      <c r="Q1672" s="5"/>
      <c r="R1672" s="8"/>
      <c r="S1672" s="8"/>
      <c r="T1672" s="3"/>
    </row>
    <row r="1673" spans="14:20" x14ac:dyDescent="0.3">
      <c r="N1673" s="5"/>
      <c r="O1673" s="5"/>
      <c r="P1673" s="5"/>
      <c r="Q1673" s="5"/>
      <c r="R1673" s="8"/>
      <c r="S1673" s="8"/>
      <c r="T1673" s="3"/>
    </row>
    <row r="1674" spans="14:20" x14ac:dyDescent="0.3">
      <c r="N1674" s="5"/>
      <c r="O1674" s="5"/>
      <c r="P1674" s="5"/>
      <c r="Q1674" s="5"/>
      <c r="R1674" s="8"/>
      <c r="S1674" s="8"/>
      <c r="T1674" s="3"/>
    </row>
    <row r="1675" spans="14:20" x14ac:dyDescent="0.3">
      <c r="N1675" s="5"/>
      <c r="O1675" s="5"/>
      <c r="P1675" s="5"/>
      <c r="Q1675" s="5"/>
      <c r="R1675" s="8"/>
      <c r="S1675" s="8"/>
      <c r="T1675" s="3"/>
    </row>
    <row r="1676" spans="14:20" x14ac:dyDescent="0.3">
      <c r="N1676" s="5"/>
      <c r="O1676" s="5"/>
      <c r="P1676" s="5"/>
      <c r="Q1676" s="5"/>
      <c r="R1676" s="8"/>
      <c r="S1676" s="8"/>
      <c r="T1676" s="3"/>
    </row>
    <row r="1677" spans="14:20" x14ac:dyDescent="0.3">
      <c r="N1677" s="5"/>
      <c r="O1677" s="5"/>
      <c r="P1677" s="5"/>
      <c r="Q1677" s="5"/>
      <c r="R1677" s="8"/>
      <c r="S1677" s="8"/>
      <c r="T1677" s="3"/>
    </row>
    <row r="1678" spans="14:20" x14ac:dyDescent="0.3">
      <c r="N1678" s="5"/>
      <c r="O1678" s="5"/>
      <c r="P1678" s="5"/>
      <c r="Q1678" s="5"/>
      <c r="R1678" s="8"/>
      <c r="S1678" s="8"/>
      <c r="T1678" s="3"/>
    </row>
    <row r="1679" spans="14:20" x14ac:dyDescent="0.3">
      <c r="N1679" s="5"/>
      <c r="O1679" s="5"/>
      <c r="P1679" s="5"/>
      <c r="Q1679" s="5"/>
      <c r="R1679" s="8"/>
      <c r="S1679" s="8"/>
      <c r="T1679" s="3"/>
    </row>
    <row r="1680" spans="14:20" x14ac:dyDescent="0.3">
      <c r="N1680" s="5"/>
      <c r="O1680" s="5"/>
      <c r="P1680" s="5"/>
      <c r="Q1680" s="5"/>
      <c r="R1680" s="8"/>
      <c r="S1680" s="8"/>
      <c r="T1680" s="3"/>
    </row>
    <row r="1681" spans="14:20" x14ac:dyDescent="0.3">
      <c r="N1681" s="5"/>
      <c r="O1681" s="5"/>
      <c r="P1681" s="5"/>
      <c r="Q1681" s="5"/>
      <c r="R1681" s="8"/>
      <c r="S1681" s="8"/>
      <c r="T1681" s="3"/>
    </row>
    <row r="1682" spans="14:20" x14ac:dyDescent="0.3">
      <c r="N1682" s="5"/>
      <c r="O1682" s="5"/>
      <c r="P1682" s="5"/>
      <c r="Q1682" s="5"/>
      <c r="R1682" s="8"/>
      <c r="S1682" s="8"/>
      <c r="T1682" s="3"/>
    </row>
    <row r="1683" spans="14:20" x14ac:dyDescent="0.3">
      <c r="N1683" s="5"/>
      <c r="O1683" s="5"/>
      <c r="P1683" s="5"/>
      <c r="Q1683" s="5"/>
      <c r="R1683" s="8"/>
      <c r="S1683" s="8"/>
      <c r="T1683" s="3"/>
    </row>
    <row r="1684" spans="14:20" x14ac:dyDescent="0.3">
      <c r="N1684" s="5"/>
      <c r="O1684" s="5"/>
      <c r="P1684" s="5"/>
      <c r="Q1684" s="5"/>
      <c r="R1684" s="8"/>
      <c r="S1684" s="8"/>
      <c r="T1684" s="3"/>
    </row>
    <row r="1685" spans="14:20" x14ac:dyDescent="0.3">
      <c r="N1685" s="5"/>
      <c r="O1685" s="5"/>
      <c r="P1685" s="5"/>
      <c r="Q1685" s="5"/>
      <c r="R1685" s="8"/>
      <c r="S1685" s="8"/>
      <c r="T1685" s="3"/>
    </row>
    <row r="1686" spans="14:20" x14ac:dyDescent="0.3">
      <c r="N1686" s="5"/>
      <c r="O1686" s="5"/>
      <c r="P1686" s="5"/>
      <c r="Q1686" s="5"/>
      <c r="R1686" s="8"/>
      <c r="S1686" s="8"/>
      <c r="T1686" s="3"/>
    </row>
    <row r="1687" spans="14:20" x14ac:dyDescent="0.3">
      <c r="N1687" s="5"/>
      <c r="O1687" s="5"/>
      <c r="P1687" s="5"/>
      <c r="Q1687" s="5"/>
      <c r="R1687" s="8"/>
      <c r="S1687" s="8"/>
      <c r="T1687" s="3"/>
    </row>
    <row r="1688" spans="14:20" x14ac:dyDescent="0.3">
      <c r="N1688" s="5"/>
      <c r="O1688" s="5"/>
      <c r="P1688" s="5"/>
      <c r="Q1688" s="5"/>
      <c r="R1688" s="8"/>
      <c r="S1688" s="8"/>
      <c r="T1688" s="3"/>
    </row>
    <row r="1689" spans="14:20" x14ac:dyDescent="0.3">
      <c r="N1689" s="5"/>
      <c r="O1689" s="5"/>
      <c r="P1689" s="5"/>
      <c r="Q1689" s="5"/>
      <c r="R1689" s="8"/>
      <c r="S1689" s="8"/>
      <c r="T1689" s="3"/>
    </row>
    <row r="1690" spans="14:20" x14ac:dyDescent="0.3">
      <c r="N1690" s="5"/>
      <c r="O1690" s="5"/>
      <c r="P1690" s="5"/>
      <c r="Q1690" s="5"/>
      <c r="R1690" s="8"/>
      <c r="S1690" s="8"/>
      <c r="T1690" s="3"/>
    </row>
    <row r="1691" spans="14:20" x14ac:dyDescent="0.3">
      <c r="N1691" s="5"/>
      <c r="O1691" s="5"/>
      <c r="P1691" s="5"/>
      <c r="Q1691" s="5"/>
      <c r="R1691" s="8"/>
      <c r="S1691" s="8"/>
      <c r="T1691" s="3"/>
    </row>
    <row r="1692" spans="14:20" x14ac:dyDescent="0.3">
      <c r="N1692" s="5"/>
      <c r="O1692" s="5"/>
      <c r="P1692" s="5"/>
      <c r="Q1692" s="5"/>
      <c r="R1692" s="8"/>
      <c r="S1692" s="8"/>
      <c r="T1692" s="3"/>
    </row>
    <row r="1693" spans="14:20" x14ac:dyDescent="0.3">
      <c r="N1693" s="5"/>
      <c r="O1693" s="5"/>
      <c r="P1693" s="5"/>
      <c r="Q1693" s="5"/>
      <c r="R1693" s="8"/>
      <c r="S1693" s="8"/>
      <c r="T1693" s="3"/>
    </row>
    <row r="1694" spans="14:20" x14ac:dyDescent="0.3">
      <c r="N1694" s="5"/>
      <c r="O1694" s="5"/>
      <c r="P1694" s="5"/>
      <c r="Q1694" s="5"/>
      <c r="R1694" s="8"/>
      <c r="S1694" s="8"/>
      <c r="T1694" s="3"/>
    </row>
    <row r="1695" spans="14:20" x14ac:dyDescent="0.3">
      <c r="N1695" s="5"/>
      <c r="O1695" s="5"/>
      <c r="P1695" s="5"/>
      <c r="Q1695" s="5"/>
      <c r="R1695" s="8"/>
      <c r="S1695" s="8"/>
      <c r="T1695" s="3"/>
    </row>
    <row r="1696" spans="14:20" x14ac:dyDescent="0.3">
      <c r="N1696" s="5"/>
      <c r="O1696" s="5"/>
      <c r="P1696" s="5"/>
      <c r="Q1696" s="5"/>
      <c r="R1696" s="8"/>
      <c r="S1696" s="8"/>
      <c r="T1696" s="3"/>
    </row>
    <row r="1697" spans="14:20" x14ac:dyDescent="0.3">
      <c r="N1697" s="5"/>
      <c r="O1697" s="5"/>
      <c r="P1697" s="5"/>
      <c r="Q1697" s="5"/>
      <c r="R1697" s="8"/>
      <c r="S1697" s="8"/>
      <c r="T1697" s="3"/>
    </row>
    <row r="1698" spans="14:20" x14ac:dyDescent="0.3">
      <c r="N1698" s="5"/>
      <c r="O1698" s="5"/>
      <c r="P1698" s="5"/>
      <c r="Q1698" s="5"/>
      <c r="R1698" s="8"/>
      <c r="S1698" s="8"/>
      <c r="T1698" s="3"/>
    </row>
    <row r="1699" spans="14:20" x14ac:dyDescent="0.3">
      <c r="N1699" s="5"/>
      <c r="O1699" s="5"/>
      <c r="P1699" s="5"/>
      <c r="Q1699" s="5"/>
      <c r="R1699" s="8"/>
      <c r="S1699" s="8"/>
      <c r="T1699" s="3"/>
    </row>
    <row r="1700" spans="14:20" x14ac:dyDescent="0.3">
      <c r="N1700" s="5"/>
      <c r="O1700" s="5"/>
      <c r="P1700" s="5"/>
      <c r="Q1700" s="5"/>
      <c r="R1700" s="8"/>
      <c r="S1700" s="8"/>
      <c r="T1700" s="3"/>
    </row>
    <row r="1701" spans="14:20" x14ac:dyDescent="0.3">
      <c r="N1701" s="5"/>
      <c r="O1701" s="5"/>
      <c r="P1701" s="5"/>
      <c r="Q1701" s="5"/>
      <c r="R1701" s="8"/>
      <c r="S1701" s="8"/>
      <c r="T1701" s="3"/>
    </row>
    <row r="1702" spans="14:20" x14ac:dyDescent="0.3">
      <c r="N1702" s="5"/>
      <c r="O1702" s="5"/>
      <c r="P1702" s="5"/>
      <c r="Q1702" s="5"/>
      <c r="R1702" s="8"/>
      <c r="S1702" s="8"/>
      <c r="T1702" s="3"/>
    </row>
    <row r="1703" spans="14:20" x14ac:dyDescent="0.3">
      <c r="N1703" s="5"/>
      <c r="O1703" s="5"/>
      <c r="P1703" s="5"/>
      <c r="Q1703" s="5"/>
      <c r="R1703" s="8"/>
      <c r="S1703" s="8"/>
      <c r="T1703" s="3"/>
    </row>
    <row r="1704" spans="14:20" x14ac:dyDescent="0.3">
      <c r="N1704" s="5"/>
      <c r="O1704" s="5"/>
      <c r="P1704" s="5"/>
      <c r="Q1704" s="5"/>
      <c r="R1704" s="8"/>
      <c r="S1704" s="8"/>
      <c r="T1704" s="3"/>
    </row>
    <row r="1705" spans="14:20" x14ac:dyDescent="0.3">
      <c r="N1705" s="5"/>
      <c r="O1705" s="5"/>
      <c r="P1705" s="5"/>
      <c r="Q1705" s="5"/>
      <c r="R1705" s="8"/>
      <c r="S1705" s="8"/>
      <c r="T1705" s="3"/>
    </row>
    <row r="1706" spans="14:20" x14ac:dyDescent="0.3">
      <c r="N1706" s="5"/>
      <c r="O1706" s="5"/>
      <c r="P1706" s="5"/>
      <c r="Q1706" s="5"/>
      <c r="R1706" s="8"/>
      <c r="S1706" s="8"/>
      <c r="T1706" s="3"/>
    </row>
    <row r="1707" spans="14:20" x14ac:dyDescent="0.3">
      <c r="N1707" s="5"/>
      <c r="O1707" s="5"/>
      <c r="P1707" s="5"/>
      <c r="Q1707" s="5"/>
      <c r="R1707" s="8"/>
      <c r="S1707" s="8"/>
      <c r="T1707" s="3"/>
    </row>
    <row r="1708" spans="14:20" x14ac:dyDescent="0.3">
      <c r="N1708" s="5"/>
      <c r="O1708" s="5"/>
      <c r="P1708" s="5"/>
      <c r="Q1708" s="5"/>
      <c r="R1708" s="8"/>
      <c r="S1708" s="8"/>
      <c r="T1708" s="3"/>
    </row>
    <row r="1709" spans="14:20" x14ac:dyDescent="0.3">
      <c r="N1709" s="5"/>
      <c r="O1709" s="5"/>
      <c r="P1709" s="5"/>
      <c r="Q1709" s="5"/>
      <c r="R1709" s="8"/>
      <c r="S1709" s="8"/>
      <c r="T1709" s="3"/>
    </row>
    <row r="1710" spans="14:20" x14ac:dyDescent="0.3">
      <c r="N1710" s="5"/>
      <c r="O1710" s="5"/>
      <c r="P1710" s="5"/>
      <c r="Q1710" s="5"/>
      <c r="R1710" s="8"/>
      <c r="S1710" s="8"/>
      <c r="T1710" s="3"/>
    </row>
    <row r="1711" spans="14:20" x14ac:dyDescent="0.3">
      <c r="N1711" s="5"/>
      <c r="O1711" s="5"/>
      <c r="P1711" s="5"/>
      <c r="Q1711" s="5"/>
      <c r="R1711" s="8"/>
      <c r="S1711" s="8"/>
      <c r="T1711" s="3"/>
    </row>
    <row r="1712" spans="14:20" x14ac:dyDescent="0.3">
      <c r="N1712" s="5"/>
      <c r="O1712" s="5"/>
      <c r="P1712" s="5"/>
      <c r="Q1712" s="5"/>
      <c r="R1712" s="8"/>
      <c r="S1712" s="8"/>
      <c r="T1712" s="3"/>
    </row>
    <row r="1713" spans="14:20" x14ac:dyDescent="0.3">
      <c r="N1713" s="5"/>
      <c r="O1713" s="5"/>
      <c r="P1713" s="5"/>
      <c r="Q1713" s="5"/>
      <c r="R1713" s="8"/>
      <c r="S1713" s="8"/>
      <c r="T1713" s="3"/>
    </row>
    <row r="1714" spans="14:20" x14ac:dyDescent="0.3">
      <c r="N1714" s="5"/>
      <c r="O1714" s="5"/>
      <c r="P1714" s="5"/>
      <c r="Q1714" s="5"/>
      <c r="R1714" s="8"/>
      <c r="S1714" s="8"/>
      <c r="T1714" s="3"/>
    </row>
    <row r="1715" spans="14:20" x14ac:dyDescent="0.3">
      <c r="N1715" s="5"/>
      <c r="O1715" s="5"/>
      <c r="P1715" s="5"/>
      <c r="Q1715" s="5"/>
      <c r="R1715" s="8"/>
      <c r="S1715" s="8"/>
      <c r="T1715" s="3"/>
    </row>
    <row r="1716" spans="14:20" x14ac:dyDescent="0.3">
      <c r="N1716" s="5"/>
      <c r="O1716" s="5"/>
      <c r="P1716" s="5"/>
      <c r="Q1716" s="5"/>
      <c r="R1716" s="8"/>
      <c r="S1716" s="8"/>
      <c r="T1716" s="3"/>
    </row>
    <row r="1717" spans="14:20" x14ac:dyDescent="0.3">
      <c r="N1717" s="5"/>
      <c r="O1717" s="5"/>
      <c r="P1717" s="5"/>
      <c r="Q1717" s="5"/>
      <c r="R1717" s="8"/>
      <c r="S1717" s="8"/>
      <c r="T1717" s="3"/>
    </row>
    <row r="1718" spans="14:20" x14ac:dyDescent="0.3">
      <c r="N1718" s="5"/>
      <c r="O1718" s="5"/>
      <c r="P1718" s="5"/>
      <c r="Q1718" s="5"/>
      <c r="R1718" s="8"/>
      <c r="S1718" s="8"/>
      <c r="T1718" s="3"/>
    </row>
    <row r="1719" spans="14:20" x14ac:dyDescent="0.3">
      <c r="N1719" s="5"/>
      <c r="O1719" s="5"/>
      <c r="P1719" s="5"/>
      <c r="Q1719" s="5"/>
      <c r="R1719" s="8"/>
      <c r="S1719" s="8"/>
      <c r="T1719" s="3"/>
    </row>
    <row r="1720" spans="14:20" x14ac:dyDescent="0.3">
      <c r="N1720" s="5"/>
      <c r="O1720" s="5"/>
      <c r="P1720" s="5"/>
      <c r="Q1720" s="5"/>
      <c r="R1720" s="8"/>
      <c r="S1720" s="8"/>
      <c r="T1720" s="3"/>
    </row>
    <row r="1721" spans="14:20" x14ac:dyDescent="0.3">
      <c r="N1721" s="5"/>
      <c r="O1721" s="5"/>
      <c r="P1721" s="5"/>
      <c r="Q1721" s="5"/>
      <c r="R1721" s="8"/>
      <c r="S1721" s="8"/>
      <c r="T1721" s="3"/>
    </row>
    <row r="1722" spans="14:20" x14ac:dyDescent="0.3">
      <c r="N1722" s="5"/>
      <c r="O1722" s="5"/>
      <c r="P1722" s="5"/>
      <c r="Q1722" s="5"/>
      <c r="R1722" s="8"/>
      <c r="S1722" s="8"/>
      <c r="T1722" s="3"/>
    </row>
    <row r="1723" spans="14:20" x14ac:dyDescent="0.3">
      <c r="N1723" s="5"/>
      <c r="O1723" s="5"/>
      <c r="P1723" s="5"/>
      <c r="Q1723" s="5"/>
      <c r="R1723" s="8"/>
      <c r="S1723" s="8"/>
      <c r="T1723" s="3"/>
    </row>
    <row r="1724" spans="14:20" x14ac:dyDescent="0.3">
      <c r="N1724" s="5"/>
      <c r="O1724" s="5"/>
      <c r="P1724" s="5"/>
      <c r="Q1724" s="5"/>
      <c r="R1724" s="8"/>
      <c r="S1724" s="8"/>
      <c r="T1724" s="3"/>
    </row>
    <row r="1725" spans="14:20" x14ac:dyDescent="0.3">
      <c r="N1725" s="5"/>
      <c r="O1725" s="5"/>
      <c r="P1725" s="5"/>
      <c r="Q1725" s="5"/>
      <c r="R1725" s="8"/>
      <c r="S1725" s="8"/>
      <c r="T1725" s="3"/>
    </row>
    <row r="1726" spans="14:20" x14ac:dyDescent="0.3">
      <c r="N1726" s="5"/>
      <c r="O1726" s="5"/>
      <c r="P1726" s="5"/>
      <c r="Q1726" s="5"/>
      <c r="R1726" s="8"/>
      <c r="S1726" s="8"/>
      <c r="T1726" s="3"/>
    </row>
    <row r="1727" spans="14:20" x14ac:dyDescent="0.3">
      <c r="N1727" s="5"/>
      <c r="O1727" s="5"/>
      <c r="P1727" s="5"/>
      <c r="Q1727" s="5"/>
      <c r="R1727" s="8"/>
      <c r="S1727" s="8"/>
      <c r="T1727" s="3"/>
    </row>
    <row r="1728" spans="14:20" x14ac:dyDescent="0.3">
      <c r="N1728" s="5"/>
      <c r="O1728" s="5"/>
      <c r="P1728" s="5"/>
      <c r="Q1728" s="5"/>
      <c r="R1728" s="8"/>
      <c r="S1728" s="8"/>
      <c r="T1728" s="3"/>
    </row>
    <row r="1729" spans="14:20" x14ac:dyDescent="0.3">
      <c r="N1729" s="5"/>
      <c r="O1729" s="5"/>
      <c r="P1729" s="5"/>
      <c r="Q1729" s="5"/>
      <c r="R1729" s="8"/>
      <c r="S1729" s="8"/>
      <c r="T1729" s="3"/>
    </row>
    <row r="1730" spans="14:20" x14ac:dyDescent="0.3">
      <c r="N1730" s="5"/>
      <c r="O1730" s="5"/>
      <c r="P1730" s="5"/>
      <c r="Q1730" s="5"/>
      <c r="R1730" s="8"/>
      <c r="S1730" s="8"/>
      <c r="T1730" s="3"/>
    </row>
    <row r="1731" spans="14:20" x14ac:dyDescent="0.3">
      <c r="N1731" s="5"/>
      <c r="O1731" s="5"/>
      <c r="P1731" s="5"/>
      <c r="Q1731" s="5"/>
      <c r="R1731" s="8"/>
      <c r="S1731" s="8"/>
      <c r="T1731" s="3"/>
    </row>
    <row r="1732" spans="14:20" x14ac:dyDescent="0.3">
      <c r="N1732" s="5"/>
      <c r="O1732" s="5"/>
      <c r="P1732" s="5"/>
      <c r="Q1732" s="5"/>
      <c r="R1732" s="8"/>
      <c r="S1732" s="8"/>
      <c r="T1732" s="3"/>
    </row>
    <row r="1733" spans="14:20" x14ac:dyDescent="0.3">
      <c r="N1733" s="5"/>
      <c r="O1733" s="5"/>
      <c r="P1733" s="5"/>
      <c r="Q1733" s="5"/>
      <c r="R1733" s="8"/>
      <c r="S1733" s="8"/>
      <c r="T1733" s="3"/>
    </row>
    <row r="1734" spans="14:20" x14ac:dyDescent="0.3">
      <c r="N1734" s="5"/>
      <c r="O1734" s="5"/>
      <c r="P1734" s="5"/>
      <c r="Q1734" s="5"/>
      <c r="R1734" s="8"/>
      <c r="S1734" s="8"/>
      <c r="T1734" s="3"/>
    </row>
    <row r="1735" spans="14:20" x14ac:dyDescent="0.3">
      <c r="N1735" s="5"/>
      <c r="O1735" s="5"/>
      <c r="P1735" s="5"/>
      <c r="Q1735" s="5"/>
      <c r="R1735" s="8"/>
      <c r="S1735" s="8"/>
      <c r="T1735" s="3"/>
    </row>
    <row r="1736" spans="14:20" x14ac:dyDescent="0.3">
      <c r="N1736" s="5"/>
      <c r="O1736" s="5"/>
      <c r="P1736" s="5"/>
      <c r="Q1736" s="5"/>
      <c r="R1736" s="8"/>
      <c r="S1736" s="8"/>
      <c r="T1736" s="3"/>
    </row>
    <row r="1737" spans="14:20" x14ac:dyDescent="0.3">
      <c r="N1737" s="5"/>
      <c r="O1737" s="5"/>
      <c r="P1737" s="5"/>
      <c r="Q1737" s="5"/>
      <c r="R1737" s="8"/>
      <c r="S1737" s="8"/>
      <c r="T1737" s="3"/>
    </row>
    <row r="1738" spans="14:20" x14ac:dyDescent="0.3">
      <c r="N1738" s="5"/>
      <c r="O1738" s="5"/>
      <c r="P1738" s="5"/>
      <c r="Q1738" s="5"/>
      <c r="R1738" s="8"/>
      <c r="S1738" s="8"/>
      <c r="T1738" s="3"/>
    </row>
    <row r="1739" spans="14:20" x14ac:dyDescent="0.3">
      <c r="N1739" s="5"/>
      <c r="O1739" s="5"/>
      <c r="P1739" s="5"/>
      <c r="Q1739" s="5"/>
      <c r="R1739" s="8"/>
      <c r="S1739" s="8"/>
      <c r="T1739" s="3"/>
    </row>
    <row r="1740" spans="14:20" x14ac:dyDescent="0.3">
      <c r="N1740" s="5"/>
      <c r="O1740" s="5"/>
      <c r="P1740" s="5"/>
      <c r="Q1740" s="5"/>
      <c r="R1740" s="8"/>
      <c r="S1740" s="8"/>
      <c r="T1740" s="3"/>
    </row>
    <row r="1741" spans="14:20" x14ac:dyDescent="0.3">
      <c r="N1741" s="5"/>
      <c r="O1741" s="5"/>
      <c r="P1741" s="5"/>
      <c r="Q1741" s="5"/>
      <c r="R1741" s="8"/>
      <c r="S1741" s="8"/>
      <c r="T1741" s="3"/>
    </row>
    <row r="1742" spans="14:20" x14ac:dyDescent="0.3">
      <c r="N1742" s="5"/>
      <c r="O1742" s="5"/>
      <c r="P1742" s="5"/>
      <c r="Q1742" s="5"/>
      <c r="R1742" s="8"/>
      <c r="S1742" s="8"/>
      <c r="T1742" s="3"/>
    </row>
    <row r="1743" spans="14:20" x14ac:dyDescent="0.3">
      <c r="N1743" s="5"/>
      <c r="O1743" s="5"/>
      <c r="P1743" s="5"/>
      <c r="Q1743" s="5"/>
      <c r="R1743" s="8"/>
      <c r="S1743" s="8"/>
      <c r="T1743" s="3"/>
    </row>
    <row r="1744" spans="14:20" x14ac:dyDescent="0.3">
      <c r="N1744" s="5"/>
      <c r="O1744" s="5"/>
      <c r="P1744" s="5"/>
      <c r="Q1744" s="5"/>
      <c r="R1744" s="8"/>
      <c r="S1744" s="8"/>
      <c r="T1744" s="3"/>
    </row>
    <row r="1745" spans="14:20" x14ac:dyDescent="0.3">
      <c r="N1745" s="5"/>
      <c r="O1745" s="5"/>
      <c r="P1745" s="5"/>
      <c r="Q1745" s="5"/>
      <c r="R1745" s="8"/>
      <c r="S1745" s="8"/>
      <c r="T1745" s="3"/>
    </row>
    <row r="1746" spans="14:20" x14ac:dyDescent="0.3">
      <c r="N1746" s="5"/>
      <c r="O1746" s="5"/>
      <c r="P1746" s="5"/>
      <c r="Q1746" s="5"/>
      <c r="R1746" s="8"/>
      <c r="S1746" s="8"/>
      <c r="T1746" s="3"/>
    </row>
    <row r="1747" spans="14:20" x14ac:dyDescent="0.3">
      <c r="N1747" s="5"/>
      <c r="O1747" s="5"/>
      <c r="P1747" s="5"/>
      <c r="Q1747" s="5"/>
      <c r="R1747" s="8"/>
      <c r="S1747" s="8"/>
      <c r="T1747" s="3"/>
    </row>
    <row r="1748" spans="14:20" x14ac:dyDescent="0.3">
      <c r="N1748" s="5"/>
      <c r="O1748" s="5"/>
      <c r="P1748" s="5"/>
      <c r="Q1748" s="5"/>
      <c r="R1748" s="8"/>
      <c r="S1748" s="8"/>
      <c r="T1748" s="3"/>
    </row>
    <row r="1749" spans="14:20" x14ac:dyDescent="0.3">
      <c r="N1749" s="5"/>
      <c r="O1749" s="5"/>
      <c r="P1749" s="5"/>
      <c r="Q1749" s="5"/>
      <c r="R1749" s="8"/>
      <c r="S1749" s="8"/>
      <c r="T1749" s="3"/>
    </row>
    <row r="1750" spans="14:20" x14ac:dyDescent="0.3">
      <c r="N1750" s="5"/>
      <c r="O1750" s="5"/>
      <c r="P1750" s="5"/>
      <c r="Q1750" s="5"/>
      <c r="R1750" s="8"/>
      <c r="S1750" s="8"/>
      <c r="T1750" s="3"/>
    </row>
    <row r="1751" spans="14:20" x14ac:dyDescent="0.3">
      <c r="N1751" s="5"/>
      <c r="O1751" s="5"/>
      <c r="P1751" s="5"/>
      <c r="Q1751" s="5"/>
      <c r="R1751" s="8"/>
      <c r="S1751" s="8"/>
      <c r="T1751" s="3"/>
    </row>
    <row r="1752" spans="14:20" x14ac:dyDescent="0.3">
      <c r="N1752" s="5"/>
      <c r="O1752" s="5"/>
      <c r="P1752" s="5"/>
      <c r="Q1752" s="5"/>
      <c r="R1752" s="8"/>
      <c r="S1752" s="8"/>
      <c r="T1752" s="3"/>
    </row>
    <row r="1753" spans="14:20" x14ac:dyDescent="0.3">
      <c r="N1753" s="5"/>
      <c r="O1753" s="5"/>
      <c r="P1753" s="5"/>
      <c r="Q1753" s="5"/>
      <c r="R1753" s="8"/>
      <c r="S1753" s="8"/>
      <c r="T1753" s="3"/>
    </row>
    <row r="1754" spans="14:20" x14ac:dyDescent="0.3">
      <c r="N1754" s="5"/>
      <c r="O1754" s="5"/>
      <c r="P1754" s="5"/>
      <c r="Q1754" s="5"/>
      <c r="R1754" s="8"/>
      <c r="S1754" s="8"/>
      <c r="T1754" s="3"/>
    </row>
    <row r="1755" spans="14:20" x14ac:dyDescent="0.3">
      <c r="N1755" s="5"/>
      <c r="O1755" s="5"/>
      <c r="P1755" s="5"/>
      <c r="Q1755" s="5"/>
      <c r="R1755" s="8"/>
      <c r="S1755" s="8"/>
      <c r="T1755" s="3"/>
    </row>
    <row r="1756" spans="14:20" x14ac:dyDescent="0.3">
      <c r="N1756" s="5"/>
      <c r="O1756" s="5"/>
      <c r="P1756" s="5"/>
      <c r="Q1756" s="5"/>
      <c r="R1756" s="8"/>
      <c r="S1756" s="8"/>
      <c r="T1756" s="3"/>
    </row>
    <row r="1757" spans="14:20" x14ac:dyDescent="0.3">
      <c r="N1757" s="5"/>
      <c r="O1757" s="5"/>
      <c r="P1757" s="5"/>
      <c r="Q1757" s="5"/>
      <c r="R1757" s="8"/>
      <c r="S1757" s="8"/>
      <c r="T1757" s="3"/>
    </row>
    <row r="1758" spans="14:20" x14ac:dyDescent="0.3">
      <c r="N1758" s="5"/>
      <c r="O1758" s="5"/>
      <c r="P1758" s="5"/>
      <c r="Q1758" s="5"/>
      <c r="R1758" s="8"/>
      <c r="S1758" s="8"/>
      <c r="T1758" s="3"/>
    </row>
    <row r="1759" spans="14:20" x14ac:dyDescent="0.3">
      <c r="N1759" s="5"/>
      <c r="O1759" s="5"/>
      <c r="P1759" s="5"/>
      <c r="Q1759" s="5"/>
      <c r="R1759" s="8"/>
      <c r="S1759" s="8"/>
      <c r="T1759" s="3"/>
    </row>
    <row r="1760" spans="14:20" x14ac:dyDescent="0.3">
      <c r="N1760" s="5"/>
      <c r="O1760" s="5"/>
      <c r="P1760" s="5"/>
      <c r="Q1760" s="5"/>
      <c r="R1760" s="8"/>
      <c r="S1760" s="8"/>
      <c r="T1760" s="3"/>
    </row>
    <row r="1761" spans="14:20" x14ac:dyDescent="0.3">
      <c r="N1761" s="5"/>
      <c r="O1761" s="5"/>
      <c r="P1761" s="5"/>
      <c r="Q1761" s="5"/>
      <c r="R1761" s="8"/>
      <c r="S1761" s="8"/>
      <c r="T1761" s="3"/>
    </row>
    <row r="1762" spans="14:20" x14ac:dyDescent="0.3">
      <c r="N1762" s="5"/>
      <c r="O1762" s="5"/>
      <c r="P1762" s="5"/>
      <c r="Q1762" s="5"/>
      <c r="R1762" s="8"/>
      <c r="S1762" s="8"/>
      <c r="T1762" s="3"/>
    </row>
    <row r="1763" spans="14:20" x14ac:dyDescent="0.3">
      <c r="N1763" s="5"/>
      <c r="O1763" s="5"/>
      <c r="P1763" s="5"/>
      <c r="Q1763" s="5"/>
      <c r="R1763" s="8"/>
      <c r="S1763" s="8"/>
      <c r="T1763" s="3"/>
    </row>
    <row r="1764" spans="14:20" x14ac:dyDescent="0.3">
      <c r="N1764" s="5"/>
      <c r="O1764" s="5"/>
      <c r="P1764" s="5"/>
      <c r="Q1764" s="5"/>
      <c r="R1764" s="8"/>
      <c r="S1764" s="8"/>
      <c r="T1764" s="3"/>
    </row>
    <row r="1765" spans="14:20" x14ac:dyDescent="0.3">
      <c r="N1765" s="5"/>
      <c r="O1765" s="5"/>
      <c r="P1765" s="5"/>
      <c r="Q1765" s="5"/>
      <c r="R1765" s="8"/>
      <c r="S1765" s="8"/>
      <c r="T1765" s="3"/>
    </row>
    <row r="1766" spans="14:20" x14ac:dyDescent="0.3">
      <c r="N1766" s="5"/>
      <c r="O1766" s="5"/>
      <c r="P1766" s="5"/>
      <c r="Q1766" s="5"/>
      <c r="R1766" s="8"/>
      <c r="S1766" s="8"/>
      <c r="T1766" s="3"/>
    </row>
    <row r="1767" spans="14:20" x14ac:dyDescent="0.3">
      <c r="N1767" s="5"/>
      <c r="O1767" s="5"/>
      <c r="P1767" s="5"/>
      <c r="Q1767" s="5"/>
      <c r="R1767" s="8"/>
      <c r="S1767" s="8"/>
      <c r="T1767" s="3"/>
    </row>
    <row r="1768" spans="14:20" x14ac:dyDescent="0.3">
      <c r="N1768" s="5"/>
      <c r="O1768" s="5"/>
      <c r="P1768" s="5"/>
      <c r="Q1768" s="5"/>
      <c r="R1768" s="8"/>
      <c r="S1768" s="8"/>
      <c r="T1768" s="3"/>
    </row>
    <row r="1769" spans="14:20" x14ac:dyDescent="0.3">
      <c r="N1769" s="5"/>
      <c r="O1769" s="5"/>
      <c r="P1769" s="5"/>
      <c r="Q1769" s="5"/>
      <c r="R1769" s="8"/>
      <c r="S1769" s="8"/>
      <c r="T1769" s="3"/>
    </row>
    <row r="1770" spans="14:20" x14ac:dyDescent="0.3">
      <c r="N1770" s="5"/>
      <c r="O1770" s="5"/>
      <c r="P1770" s="5"/>
      <c r="Q1770" s="5"/>
      <c r="R1770" s="8"/>
      <c r="S1770" s="8"/>
      <c r="T1770" s="3"/>
    </row>
    <row r="1771" spans="14:20" x14ac:dyDescent="0.3">
      <c r="N1771" s="5"/>
      <c r="O1771" s="5"/>
      <c r="P1771" s="5"/>
      <c r="Q1771" s="5"/>
      <c r="R1771" s="8"/>
      <c r="S1771" s="8"/>
      <c r="T1771" s="3"/>
    </row>
    <row r="1772" spans="14:20" x14ac:dyDescent="0.3">
      <c r="N1772" s="5"/>
      <c r="O1772" s="5"/>
      <c r="P1772" s="5"/>
      <c r="Q1772" s="5"/>
      <c r="R1772" s="8"/>
      <c r="S1772" s="8"/>
      <c r="T1772" s="3"/>
    </row>
    <row r="1773" spans="14:20" x14ac:dyDescent="0.3">
      <c r="N1773" s="5"/>
      <c r="O1773" s="5"/>
      <c r="P1773" s="5"/>
      <c r="Q1773" s="5"/>
      <c r="R1773" s="8"/>
      <c r="S1773" s="8"/>
      <c r="T1773" s="3"/>
    </row>
    <row r="1774" spans="14:20" x14ac:dyDescent="0.3">
      <c r="N1774" s="5"/>
      <c r="O1774" s="5"/>
      <c r="P1774" s="5"/>
      <c r="Q1774" s="5"/>
      <c r="R1774" s="8"/>
      <c r="S1774" s="8"/>
      <c r="T1774" s="3"/>
    </row>
    <row r="1775" spans="14:20" x14ac:dyDescent="0.3">
      <c r="N1775" s="5"/>
      <c r="O1775" s="5"/>
      <c r="P1775" s="5"/>
      <c r="Q1775" s="5"/>
      <c r="R1775" s="8"/>
      <c r="S1775" s="8"/>
      <c r="T1775" s="3"/>
    </row>
    <row r="1776" spans="14:20" x14ac:dyDescent="0.3">
      <c r="N1776" s="5"/>
      <c r="O1776" s="5"/>
      <c r="P1776" s="5"/>
      <c r="Q1776" s="5"/>
      <c r="R1776" s="8"/>
      <c r="S1776" s="8"/>
      <c r="T1776" s="3"/>
    </row>
    <row r="1777" spans="14:20" x14ac:dyDescent="0.3">
      <c r="N1777" s="5"/>
      <c r="O1777" s="5"/>
      <c r="P1777" s="5"/>
      <c r="Q1777" s="5"/>
      <c r="R1777" s="8"/>
      <c r="S1777" s="8"/>
      <c r="T1777" s="3"/>
    </row>
    <row r="1778" spans="14:20" x14ac:dyDescent="0.3">
      <c r="N1778" s="5"/>
      <c r="O1778" s="5"/>
      <c r="P1778" s="5"/>
      <c r="Q1778" s="5"/>
      <c r="R1778" s="8"/>
      <c r="S1778" s="8"/>
      <c r="T1778" s="3"/>
    </row>
    <row r="1779" spans="14:20" x14ac:dyDescent="0.3">
      <c r="N1779" s="5"/>
      <c r="O1779" s="5"/>
      <c r="P1779" s="5"/>
      <c r="Q1779" s="5"/>
      <c r="R1779" s="8"/>
      <c r="S1779" s="8"/>
      <c r="T1779" s="3"/>
    </row>
    <row r="1780" spans="14:20" x14ac:dyDescent="0.3">
      <c r="N1780" s="5"/>
      <c r="O1780" s="5"/>
      <c r="P1780" s="5"/>
      <c r="Q1780" s="5"/>
      <c r="R1780" s="8"/>
      <c r="S1780" s="8"/>
      <c r="T1780" s="3"/>
    </row>
    <row r="1781" spans="14:20" x14ac:dyDescent="0.3">
      <c r="N1781" s="5"/>
      <c r="O1781" s="5"/>
      <c r="P1781" s="5"/>
      <c r="Q1781" s="5"/>
      <c r="R1781" s="8"/>
      <c r="S1781" s="8"/>
      <c r="T1781" s="3"/>
    </row>
    <row r="1782" spans="14:20" x14ac:dyDescent="0.3">
      <c r="N1782" s="5"/>
      <c r="O1782" s="5"/>
      <c r="P1782" s="5"/>
      <c r="Q1782" s="5"/>
      <c r="R1782" s="8"/>
      <c r="S1782" s="8"/>
      <c r="T1782" s="3"/>
    </row>
    <row r="1783" spans="14:20" x14ac:dyDescent="0.3">
      <c r="N1783" s="5"/>
      <c r="O1783" s="5"/>
      <c r="P1783" s="5"/>
      <c r="Q1783" s="5"/>
      <c r="R1783" s="8"/>
      <c r="S1783" s="8"/>
      <c r="T1783" s="3"/>
    </row>
    <row r="1784" spans="14:20" x14ac:dyDescent="0.3">
      <c r="N1784" s="5"/>
      <c r="O1784" s="5"/>
      <c r="P1784" s="5"/>
      <c r="Q1784" s="5"/>
      <c r="R1784" s="8"/>
      <c r="S1784" s="8"/>
      <c r="T1784" s="3"/>
    </row>
    <row r="1785" spans="14:20" x14ac:dyDescent="0.3">
      <c r="N1785" s="5"/>
      <c r="O1785" s="5"/>
      <c r="P1785" s="5"/>
      <c r="Q1785" s="5"/>
      <c r="R1785" s="8"/>
      <c r="S1785" s="8"/>
      <c r="T1785" s="3"/>
    </row>
    <row r="1786" spans="14:20" x14ac:dyDescent="0.3">
      <c r="N1786" s="5"/>
      <c r="O1786" s="5"/>
      <c r="P1786" s="5"/>
      <c r="Q1786" s="5"/>
      <c r="R1786" s="8"/>
      <c r="S1786" s="8"/>
      <c r="T1786" s="3"/>
    </row>
    <row r="1787" spans="14:20" x14ac:dyDescent="0.3">
      <c r="N1787" s="5"/>
      <c r="O1787" s="5"/>
      <c r="P1787" s="5"/>
      <c r="Q1787" s="5"/>
      <c r="R1787" s="8"/>
      <c r="S1787" s="8"/>
      <c r="T1787" s="3"/>
    </row>
    <row r="1788" spans="14:20" x14ac:dyDescent="0.3">
      <c r="N1788" s="5"/>
      <c r="O1788" s="5"/>
      <c r="P1788" s="5"/>
      <c r="Q1788" s="5"/>
      <c r="R1788" s="8"/>
      <c r="S1788" s="8"/>
      <c r="T1788" s="3"/>
    </row>
    <row r="1789" spans="14:20" x14ac:dyDescent="0.3">
      <c r="N1789" s="5"/>
      <c r="O1789" s="5"/>
      <c r="P1789" s="5"/>
      <c r="Q1789" s="5"/>
      <c r="R1789" s="8"/>
      <c r="S1789" s="8"/>
      <c r="T1789" s="3"/>
    </row>
    <row r="1790" spans="14:20" x14ac:dyDescent="0.3">
      <c r="N1790" s="5"/>
      <c r="O1790" s="5"/>
      <c r="P1790" s="5"/>
      <c r="Q1790" s="5"/>
      <c r="R1790" s="8"/>
      <c r="S1790" s="8"/>
      <c r="T1790" s="3"/>
    </row>
    <row r="1791" spans="14:20" x14ac:dyDescent="0.3">
      <c r="N1791" s="5"/>
      <c r="O1791" s="5"/>
      <c r="P1791" s="5"/>
      <c r="Q1791" s="5"/>
      <c r="R1791" s="8"/>
      <c r="S1791" s="8"/>
      <c r="T1791" s="3"/>
    </row>
    <row r="1792" spans="14:20" x14ac:dyDescent="0.3">
      <c r="N1792" s="5"/>
      <c r="O1792" s="5"/>
      <c r="P1792" s="5"/>
      <c r="Q1792" s="5"/>
      <c r="R1792" s="8"/>
      <c r="S1792" s="8"/>
      <c r="T1792" s="3"/>
    </row>
    <row r="1793" spans="14:20" x14ac:dyDescent="0.3">
      <c r="N1793" s="5"/>
      <c r="O1793" s="5"/>
      <c r="P1793" s="5"/>
      <c r="Q1793" s="5"/>
      <c r="R1793" s="8"/>
      <c r="S1793" s="8"/>
      <c r="T1793" s="3"/>
    </row>
    <row r="1794" spans="14:20" x14ac:dyDescent="0.3">
      <c r="N1794" s="5"/>
      <c r="O1794" s="5"/>
      <c r="P1794" s="5"/>
      <c r="Q1794" s="5"/>
      <c r="R1794" s="8"/>
      <c r="S1794" s="8"/>
      <c r="T1794" s="3"/>
    </row>
    <row r="1795" spans="14:20" x14ac:dyDescent="0.3">
      <c r="N1795" s="5"/>
      <c r="O1795" s="5"/>
      <c r="P1795" s="5"/>
      <c r="Q1795" s="5"/>
      <c r="R1795" s="8"/>
      <c r="S1795" s="8"/>
      <c r="T1795" s="3"/>
    </row>
    <row r="1796" spans="14:20" x14ac:dyDescent="0.3">
      <c r="N1796" s="5"/>
      <c r="O1796" s="5"/>
      <c r="P1796" s="5"/>
      <c r="Q1796" s="5"/>
      <c r="R1796" s="8"/>
      <c r="S1796" s="8"/>
      <c r="T1796" s="3"/>
    </row>
    <row r="1797" spans="14:20" x14ac:dyDescent="0.3">
      <c r="N1797" s="5"/>
      <c r="O1797" s="5"/>
      <c r="P1797" s="5"/>
      <c r="Q1797" s="5"/>
      <c r="R1797" s="8"/>
      <c r="S1797" s="8"/>
      <c r="T1797" s="3"/>
    </row>
    <row r="1798" spans="14:20" x14ac:dyDescent="0.3">
      <c r="N1798" s="5"/>
      <c r="O1798" s="5"/>
      <c r="P1798" s="5"/>
      <c r="Q1798" s="5"/>
      <c r="R1798" s="8"/>
      <c r="S1798" s="8"/>
      <c r="T1798" s="3"/>
    </row>
    <row r="1799" spans="14:20" x14ac:dyDescent="0.3">
      <c r="N1799" s="5"/>
      <c r="O1799" s="5"/>
      <c r="P1799" s="5"/>
      <c r="Q1799" s="5"/>
      <c r="R1799" s="8"/>
      <c r="S1799" s="8"/>
      <c r="T1799" s="3"/>
    </row>
    <row r="1800" spans="14:20" x14ac:dyDescent="0.3">
      <c r="N1800" s="5"/>
      <c r="O1800" s="5"/>
      <c r="P1800" s="5"/>
      <c r="Q1800" s="5"/>
      <c r="R1800" s="8"/>
      <c r="S1800" s="8"/>
      <c r="T1800" s="3"/>
    </row>
    <row r="1801" spans="14:20" x14ac:dyDescent="0.3">
      <c r="N1801" s="5"/>
      <c r="O1801" s="5"/>
      <c r="P1801" s="5"/>
      <c r="Q1801" s="5"/>
      <c r="R1801" s="8"/>
      <c r="S1801" s="8"/>
      <c r="T1801" s="3"/>
    </row>
    <row r="1802" spans="14:20" x14ac:dyDescent="0.3">
      <c r="N1802" s="5"/>
      <c r="O1802" s="5"/>
      <c r="P1802" s="5"/>
      <c r="Q1802" s="5"/>
      <c r="R1802" s="8"/>
      <c r="S1802" s="8"/>
      <c r="T1802" s="3"/>
    </row>
    <row r="1803" spans="14:20" x14ac:dyDescent="0.3">
      <c r="N1803" s="5"/>
      <c r="O1803" s="5"/>
      <c r="P1803" s="5"/>
      <c r="Q1803" s="5"/>
      <c r="R1803" s="8"/>
      <c r="S1803" s="8"/>
      <c r="T1803" s="3"/>
    </row>
    <row r="1804" spans="14:20" x14ac:dyDescent="0.3">
      <c r="N1804" s="5"/>
      <c r="O1804" s="5"/>
      <c r="P1804" s="5"/>
      <c r="Q1804" s="5"/>
      <c r="R1804" s="8"/>
      <c r="S1804" s="8"/>
      <c r="T1804" s="3"/>
    </row>
    <row r="1805" spans="14:20" x14ac:dyDescent="0.3">
      <c r="N1805" s="5"/>
      <c r="O1805" s="5"/>
      <c r="P1805" s="5"/>
      <c r="Q1805" s="5"/>
      <c r="R1805" s="8"/>
      <c r="S1805" s="8"/>
      <c r="T1805" s="3"/>
    </row>
    <row r="1806" spans="14:20" x14ac:dyDescent="0.3">
      <c r="N1806" s="5"/>
      <c r="O1806" s="5"/>
      <c r="P1806" s="5"/>
      <c r="Q1806" s="5"/>
      <c r="R1806" s="8"/>
      <c r="S1806" s="8"/>
      <c r="T1806" s="3"/>
    </row>
    <row r="1807" spans="14:20" x14ac:dyDescent="0.3">
      <c r="N1807" s="5"/>
      <c r="O1807" s="5"/>
      <c r="P1807" s="5"/>
      <c r="Q1807" s="5"/>
      <c r="R1807" s="8"/>
      <c r="S1807" s="8"/>
      <c r="T1807" s="3"/>
    </row>
    <row r="1808" spans="14:20" x14ac:dyDescent="0.3">
      <c r="N1808" s="5"/>
      <c r="O1808" s="5"/>
      <c r="P1808" s="5"/>
      <c r="Q1808" s="5"/>
      <c r="R1808" s="8"/>
      <c r="S1808" s="8"/>
      <c r="T1808" s="3"/>
    </row>
    <row r="1809" spans="14:20" x14ac:dyDescent="0.3">
      <c r="N1809" s="5"/>
      <c r="O1809" s="5"/>
      <c r="P1809" s="5"/>
      <c r="Q1809" s="5"/>
      <c r="R1809" s="8"/>
      <c r="S1809" s="8"/>
      <c r="T1809" s="3"/>
    </row>
    <row r="1810" spans="14:20" x14ac:dyDescent="0.3">
      <c r="N1810" s="5"/>
      <c r="O1810" s="5"/>
      <c r="P1810" s="5"/>
      <c r="Q1810" s="5"/>
      <c r="R1810" s="8"/>
      <c r="S1810" s="8"/>
      <c r="T1810" s="3"/>
    </row>
    <row r="1811" spans="14:20" x14ac:dyDescent="0.3">
      <c r="N1811" s="5"/>
      <c r="O1811" s="5"/>
      <c r="P1811" s="5"/>
      <c r="Q1811" s="5"/>
      <c r="R1811" s="8"/>
      <c r="S1811" s="8"/>
      <c r="T1811" s="3"/>
    </row>
    <row r="1812" spans="14:20" x14ac:dyDescent="0.3">
      <c r="N1812" s="5"/>
      <c r="O1812" s="5"/>
      <c r="P1812" s="5"/>
      <c r="Q1812" s="5"/>
      <c r="R1812" s="8"/>
      <c r="S1812" s="8"/>
      <c r="T1812" s="3"/>
    </row>
    <row r="1813" spans="14:20" x14ac:dyDescent="0.3">
      <c r="N1813" s="5"/>
      <c r="O1813" s="5"/>
      <c r="P1813" s="5"/>
      <c r="Q1813" s="5"/>
      <c r="R1813" s="8"/>
      <c r="S1813" s="8"/>
      <c r="T1813" s="3"/>
    </row>
    <row r="1814" spans="14:20" x14ac:dyDescent="0.3">
      <c r="N1814" s="5"/>
      <c r="O1814" s="5"/>
      <c r="P1814" s="5"/>
      <c r="Q1814" s="5"/>
      <c r="R1814" s="8"/>
      <c r="S1814" s="8"/>
      <c r="T1814" s="3"/>
    </row>
    <row r="1815" spans="14:20" x14ac:dyDescent="0.3">
      <c r="N1815" s="5"/>
      <c r="O1815" s="5"/>
      <c r="P1815" s="5"/>
      <c r="Q1815" s="5"/>
      <c r="R1815" s="8"/>
      <c r="S1815" s="8"/>
      <c r="T1815" s="3"/>
    </row>
    <row r="1816" spans="14:20" x14ac:dyDescent="0.3">
      <c r="N1816" s="5"/>
      <c r="O1816" s="5"/>
      <c r="P1816" s="5"/>
      <c r="Q1816" s="5"/>
      <c r="R1816" s="8"/>
      <c r="S1816" s="8"/>
      <c r="T1816" s="3"/>
    </row>
    <row r="1817" spans="14:20" x14ac:dyDescent="0.3">
      <c r="N1817" s="5"/>
      <c r="O1817" s="5"/>
      <c r="P1817" s="5"/>
      <c r="Q1817" s="5"/>
      <c r="R1817" s="8"/>
      <c r="S1817" s="8"/>
      <c r="T1817" s="3"/>
    </row>
    <row r="1818" spans="14:20" x14ac:dyDescent="0.3">
      <c r="N1818" s="5"/>
      <c r="O1818" s="5"/>
      <c r="P1818" s="5"/>
      <c r="Q1818" s="5"/>
      <c r="R1818" s="8"/>
      <c r="S1818" s="8"/>
      <c r="T1818" s="3"/>
    </row>
    <row r="1819" spans="14:20" x14ac:dyDescent="0.3">
      <c r="N1819" s="5"/>
      <c r="O1819" s="5"/>
      <c r="P1819" s="5"/>
      <c r="Q1819" s="5"/>
      <c r="R1819" s="8"/>
      <c r="S1819" s="8"/>
      <c r="T1819" s="3"/>
    </row>
    <row r="1820" spans="14:20" x14ac:dyDescent="0.3">
      <c r="N1820" s="5"/>
      <c r="O1820" s="5"/>
      <c r="P1820" s="5"/>
      <c r="Q1820" s="5"/>
      <c r="R1820" s="8"/>
      <c r="S1820" s="8"/>
      <c r="T1820" s="3"/>
    </row>
    <row r="1821" spans="14:20" x14ac:dyDescent="0.3">
      <c r="N1821" s="5"/>
      <c r="O1821" s="5"/>
      <c r="P1821" s="5"/>
      <c r="Q1821" s="5"/>
      <c r="R1821" s="8"/>
      <c r="S1821" s="8"/>
      <c r="T1821" s="3"/>
    </row>
    <row r="1822" spans="14:20" x14ac:dyDescent="0.3">
      <c r="N1822" s="5"/>
      <c r="O1822" s="5"/>
      <c r="P1822" s="5"/>
      <c r="Q1822" s="5"/>
      <c r="R1822" s="8"/>
      <c r="S1822" s="8"/>
      <c r="T1822" s="3"/>
    </row>
    <row r="1823" spans="14:20" x14ac:dyDescent="0.3">
      <c r="N1823" s="5"/>
      <c r="O1823" s="5"/>
      <c r="P1823" s="5"/>
      <c r="Q1823" s="5"/>
      <c r="R1823" s="8"/>
      <c r="S1823" s="8"/>
      <c r="T1823" s="3"/>
    </row>
    <row r="1824" spans="14:20" x14ac:dyDescent="0.3">
      <c r="N1824" s="5"/>
      <c r="O1824" s="5"/>
      <c r="P1824" s="5"/>
      <c r="Q1824" s="5"/>
      <c r="R1824" s="8"/>
      <c r="S1824" s="8"/>
      <c r="T1824" s="3"/>
    </row>
    <row r="1825" spans="14:20" x14ac:dyDescent="0.3">
      <c r="N1825" s="5"/>
      <c r="O1825" s="5"/>
      <c r="P1825" s="5"/>
      <c r="Q1825" s="5"/>
      <c r="R1825" s="8"/>
      <c r="S1825" s="8"/>
      <c r="T1825" s="3"/>
    </row>
    <row r="1826" spans="14:20" x14ac:dyDescent="0.3">
      <c r="N1826" s="5"/>
      <c r="O1826" s="5"/>
      <c r="P1826" s="5"/>
      <c r="Q1826" s="5"/>
      <c r="R1826" s="8"/>
      <c r="S1826" s="8"/>
      <c r="T1826" s="3"/>
    </row>
    <row r="1827" spans="14:20" x14ac:dyDescent="0.3">
      <c r="N1827" s="5"/>
      <c r="O1827" s="5"/>
      <c r="P1827" s="5"/>
      <c r="Q1827" s="5"/>
      <c r="R1827" s="8"/>
      <c r="S1827" s="8"/>
      <c r="T1827" s="3"/>
    </row>
    <row r="1828" spans="14:20" x14ac:dyDescent="0.3">
      <c r="N1828" s="5"/>
      <c r="O1828" s="5"/>
      <c r="P1828" s="5"/>
      <c r="Q1828" s="5"/>
      <c r="R1828" s="8"/>
      <c r="S1828" s="8"/>
      <c r="T1828" s="3"/>
    </row>
    <row r="1829" spans="14:20" x14ac:dyDescent="0.3">
      <c r="N1829" s="5"/>
      <c r="O1829" s="5"/>
      <c r="P1829" s="5"/>
      <c r="Q1829" s="5"/>
      <c r="R1829" s="8"/>
      <c r="S1829" s="8"/>
      <c r="T1829" s="3"/>
    </row>
    <row r="1830" spans="14:20" x14ac:dyDescent="0.3">
      <c r="N1830" s="5"/>
      <c r="O1830" s="5"/>
      <c r="P1830" s="5"/>
      <c r="Q1830" s="5"/>
      <c r="R1830" s="8"/>
      <c r="S1830" s="8"/>
      <c r="T1830" s="3"/>
    </row>
    <row r="1831" spans="14:20" x14ac:dyDescent="0.3">
      <c r="N1831" s="5"/>
      <c r="O1831" s="5"/>
      <c r="P1831" s="5"/>
      <c r="Q1831" s="5"/>
      <c r="R1831" s="8"/>
      <c r="S1831" s="8"/>
      <c r="T1831" s="3"/>
    </row>
    <row r="1832" spans="14:20" x14ac:dyDescent="0.3">
      <c r="N1832" s="5"/>
      <c r="O1832" s="5"/>
      <c r="P1832" s="5"/>
      <c r="Q1832" s="5"/>
      <c r="R1832" s="8"/>
      <c r="S1832" s="8"/>
      <c r="T1832" s="3"/>
    </row>
    <row r="1833" spans="14:20" x14ac:dyDescent="0.3">
      <c r="N1833" s="5"/>
      <c r="O1833" s="5"/>
      <c r="P1833" s="5"/>
      <c r="Q1833" s="5"/>
      <c r="R1833" s="8"/>
      <c r="S1833" s="8"/>
      <c r="T1833" s="3"/>
    </row>
    <row r="1834" spans="14:20" x14ac:dyDescent="0.3">
      <c r="N1834" s="5"/>
      <c r="O1834" s="5"/>
      <c r="P1834" s="5"/>
      <c r="Q1834" s="5"/>
      <c r="R1834" s="8"/>
      <c r="S1834" s="8"/>
      <c r="T1834" s="3"/>
    </row>
    <row r="1835" spans="14:20" x14ac:dyDescent="0.3">
      <c r="N1835" s="5"/>
      <c r="O1835" s="5"/>
      <c r="P1835" s="5"/>
      <c r="Q1835" s="5"/>
      <c r="R1835" s="8"/>
      <c r="S1835" s="8"/>
      <c r="T1835" s="3"/>
    </row>
    <row r="1836" spans="14:20" x14ac:dyDescent="0.3">
      <c r="N1836" s="5"/>
      <c r="O1836" s="5"/>
      <c r="P1836" s="5"/>
      <c r="Q1836" s="5"/>
      <c r="R1836" s="8"/>
      <c r="S1836" s="8"/>
      <c r="T1836" s="3"/>
    </row>
    <row r="1837" spans="14:20" x14ac:dyDescent="0.3">
      <c r="N1837" s="5"/>
      <c r="O1837" s="5"/>
      <c r="P1837" s="5"/>
      <c r="Q1837" s="5"/>
      <c r="R1837" s="8"/>
      <c r="S1837" s="8"/>
      <c r="T1837" s="3"/>
    </row>
    <row r="1838" spans="14:20" x14ac:dyDescent="0.3">
      <c r="N1838" s="5"/>
      <c r="O1838" s="5"/>
      <c r="P1838" s="5"/>
      <c r="Q1838" s="5"/>
      <c r="R1838" s="8"/>
      <c r="S1838" s="8"/>
      <c r="T1838" s="3"/>
    </row>
    <row r="1839" spans="14:20" x14ac:dyDescent="0.3">
      <c r="N1839" s="5"/>
      <c r="O1839" s="5"/>
      <c r="P1839" s="5"/>
      <c r="Q1839" s="5"/>
      <c r="R1839" s="8"/>
      <c r="S1839" s="8"/>
      <c r="T1839" s="3"/>
    </row>
    <row r="1840" spans="14:20" x14ac:dyDescent="0.3">
      <c r="N1840" s="5"/>
      <c r="O1840" s="5"/>
      <c r="P1840" s="5"/>
      <c r="Q1840" s="5"/>
      <c r="R1840" s="8"/>
      <c r="S1840" s="8"/>
      <c r="T1840" s="3"/>
    </row>
    <row r="1841" spans="14:20" x14ac:dyDescent="0.3">
      <c r="N1841" s="5"/>
      <c r="O1841" s="5"/>
      <c r="P1841" s="5"/>
      <c r="Q1841" s="5"/>
      <c r="R1841" s="8"/>
      <c r="S1841" s="8"/>
      <c r="T1841" s="3"/>
    </row>
    <row r="1842" spans="14:20" x14ac:dyDescent="0.3">
      <c r="N1842" s="5"/>
      <c r="O1842" s="5"/>
      <c r="P1842" s="5"/>
      <c r="Q1842" s="5"/>
      <c r="R1842" s="8"/>
      <c r="S1842" s="8"/>
      <c r="T1842" s="3"/>
    </row>
    <row r="1843" spans="14:20" x14ac:dyDescent="0.3">
      <c r="N1843" s="5"/>
      <c r="O1843" s="5"/>
      <c r="P1843" s="5"/>
      <c r="Q1843" s="5"/>
      <c r="R1843" s="8"/>
      <c r="S1843" s="8"/>
      <c r="T1843" s="3"/>
    </row>
    <row r="1844" spans="14:20" x14ac:dyDescent="0.3">
      <c r="N1844" s="5"/>
      <c r="O1844" s="5"/>
      <c r="P1844" s="5"/>
      <c r="Q1844" s="5"/>
      <c r="R1844" s="8"/>
      <c r="S1844" s="8"/>
      <c r="T1844" s="3"/>
    </row>
    <row r="1845" spans="14:20" x14ac:dyDescent="0.3">
      <c r="N1845" s="5"/>
      <c r="O1845" s="5"/>
      <c r="P1845" s="5"/>
      <c r="Q1845" s="5"/>
      <c r="R1845" s="8"/>
      <c r="S1845" s="8"/>
      <c r="T1845" s="3"/>
    </row>
    <row r="1846" spans="14:20" x14ac:dyDescent="0.3">
      <c r="N1846" s="5"/>
      <c r="O1846" s="5"/>
      <c r="P1846" s="5"/>
      <c r="Q1846" s="5"/>
      <c r="R1846" s="8"/>
      <c r="S1846" s="8"/>
      <c r="T1846" s="3"/>
    </row>
    <row r="1847" spans="14:20" x14ac:dyDescent="0.3">
      <c r="N1847" s="5"/>
      <c r="O1847" s="5"/>
      <c r="P1847" s="5"/>
      <c r="Q1847" s="5"/>
      <c r="R1847" s="8"/>
      <c r="S1847" s="8"/>
      <c r="T1847" s="3"/>
    </row>
    <row r="1848" spans="14:20" x14ac:dyDescent="0.3">
      <c r="N1848" s="5"/>
      <c r="O1848" s="5"/>
      <c r="P1848" s="5"/>
      <c r="Q1848" s="5"/>
      <c r="R1848" s="8"/>
      <c r="S1848" s="8"/>
      <c r="T1848" s="3"/>
    </row>
    <row r="1849" spans="14:20" x14ac:dyDescent="0.3">
      <c r="N1849" s="5"/>
      <c r="O1849" s="5"/>
      <c r="P1849" s="5"/>
      <c r="Q1849" s="5"/>
      <c r="R1849" s="8"/>
      <c r="S1849" s="8"/>
      <c r="T1849" s="3"/>
    </row>
    <row r="1850" spans="14:20" x14ac:dyDescent="0.3">
      <c r="N1850" s="5"/>
      <c r="O1850" s="5"/>
      <c r="P1850" s="5"/>
      <c r="Q1850" s="5"/>
      <c r="R1850" s="8"/>
      <c r="S1850" s="8"/>
      <c r="T1850" s="3"/>
    </row>
    <row r="1851" spans="14:20" x14ac:dyDescent="0.3">
      <c r="N1851" s="5"/>
      <c r="O1851" s="5"/>
      <c r="P1851" s="5"/>
      <c r="Q1851" s="5"/>
      <c r="R1851" s="8"/>
      <c r="S1851" s="8"/>
      <c r="T1851" s="3"/>
    </row>
    <row r="1852" spans="14:20" x14ac:dyDescent="0.3">
      <c r="N1852" s="5"/>
      <c r="O1852" s="5"/>
      <c r="P1852" s="5"/>
      <c r="Q1852" s="5"/>
      <c r="R1852" s="8"/>
      <c r="S1852" s="8"/>
      <c r="T1852" s="3"/>
    </row>
    <row r="1853" spans="14:20" x14ac:dyDescent="0.3">
      <c r="N1853" s="5"/>
      <c r="O1853" s="5"/>
      <c r="P1853" s="5"/>
      <c r="Q1853" s="5"/>
      <c r="R1853" s="8"/>
      <c r="S1853" s="8"/>
      <c r="T1853" s="3"/>
    </row>
    <row r="1854" spans="14:20" x14ac:dyDescent="0.3">
      <c r="N1854" s="5"/>
      <c r="O1854" s="5"/>
      <c r="P1854" s="5"/>
      <c r="Q1854" s="5"/>
      <c r="R1854" s="8"/>
      <c r="S1854" s="8"/>
      <c r="T1854" s="3"/>
    </row>
    <row r="1855" spans="14:20" x14ac:dyDescent="0.3">
      <c r="N1855" s="5"/>
      <c r="O1855" s="5"/>
      <c r="P1855" s="5"/>
      <c r="Q1855" s="5"/>
      <c r="R1855" s="8"/>
      <c r="S1855" s="8"/>
      <c r="T1855" s="3"/>
    </row>
    <row r="1856" spans="14:20" x14ac:dyDescent="0.3">
      <c r="N1856" s="5"/>
      <c r="O1856" s="5"/>
      <c r="P1856" s="5"/>
      <c r="Q1856" s="5"/>
      <c r="R1856" s="8"/>
      <c r="S1856" s="8"/>
      <c r="T1856" s="3"/>
    </row>
    <row r="1857" spans="14:20" x14ac:dyDescent="0.3">
      <c r="N1857" s="5"/>
      <c r="O1857" s="5"/>
      <c r="P1857" s="5"/>
      <c r="Q1857" s="5"/>
      <c r="R1857" s="8"/>
      <c r="S1857" s="8"/>
      <c r="T1857" s="3"/>
    </row>
    <row r="1858" spans="14:20" x14ac:dyDescent="0.3">
      <c r="N1858" s="5"/>
      <c r="O1858" s="5"/>
      <c r="P1858" s="5"/>
      <c r="Q1858" s="5"/>
      <c r="R1858" s="8"/>
      <c r="S1858" s="8"/>
      <c r="T1858" s="3"/>
    </row>
    <row r="1859" spans="14:20" x14ac:dyDescent="0.3">
      <c r="N1859" s="5"/>
      <c r="O1859" s="5"/>
      <c r="P1859" s="5"/>
      <c r="Q1859" s="5"/>
      <c r="R1859" s="8"/>
      <c r="S1859" s="8"/>
      <c r="T1859" s="3"/>
    </row>
    <row r="1860" spans="14:20" x14ac:dyDescent="0.3">
      <c r="N1860" s="5"/>
      <c r="O1860" s="5"/>
      <c r="P1860" s="5"/>
      <c r="Q1860" s="5"/>
      <c r="R1860" s="8"/>
      <c r="S1860" s="8"/>
      <c r="T1860" s="3"/>
    </row>
    <row r="1861" spans="14:20" x14ac:dyDescent="0.3">
      <c r="N1861" s="5"/>
      <c r="O1861" s="5"/>
      <c r="P1861" s="5"/>
      <c r="Q1861" s="5"/>
      <c r="R1861" s="8"/>
      <c r="S1861" s="8"/>
      <c r="T1861" s="3"/>
    </row>
    <row r="1862" spans="14:20" x14ac:dyDescent="0.3">
      <c r="N1862" s="5"/>
      <c r="O1862" s="5"/>
      <c r="P1862" s="5"/>
      <c r="Q1862" s="5"/>
      <c r="R1862" s="8"/>
      <c r="S1862" s="8"/>
      <c r="T1862" s="3"/>
    </row>
    <row r="1863" spans="14:20" x14ac:dyDescent="0.3">
      <c r="N1863" s="5"/>
      <c r="O1863" s="5"/>
      <c r="P1863" s="5"/>
      <c r="Q1863" s="5"/>
      <c r="R1863" s="8"/>
      <c r="S1863" s="8"/>
      <c r="T1863" s="3"/>
    </row>
    <row r="1864" spans="14:20" x14ac:dyDescent="0.3">
      <c r="N1864" s="5"/>
      <c r="O1864" s="5"/>
      <c r="P1864" s="5"/>
      <c r="Q1864" s="5"/>
      <c r="R1864" s="8"/>
      <c r="S1864" s="8"/>
      <c r="T1864" s="3"/>
    </row>
    <row r="1865" spans="14:20" x14ac:dyDescent="0.3">
      <c r="N1865" s="5"/>
      <c r="O1865" s="5"/>
      <c r="P1865" s="5"/>
      <c r="Q1865" s="5"/>
      <c r="R1865" s="8"/>
      <c r="S1865" s="8"/>
      <c r="T1865" s="3"/>
    </row>
    <row r="1866" spans="14:20" x14ac:dyDescent="0.3">
      <c r="N1866" s="5"/>
      <c r="O1866" s="5"/>
      <c r="P1866" s="5"/>
      <c r="Q1866" s="5"/>
      <c r="R1866" s="8"/>
      <c r="S1866" s="8"/>
      <c r="T1866" s="3"/>
    </row>
    <row r="1867" spans="14:20" x14ac:dyDescent="0.3">
      <c r="N1867" s="5"/>
      <c r="O1867" s="5"/>
      <c r="P1867" s="5"/>
      <c r="Q1867" s="5"/>
      <c r="R1867" s="8"/>
      <c r="S1867" s="8"/>
      <c r="T1867" s="3"/>
    </row>
    <row r="1868" spans="14:20" x14ac:dyDescent="0.3">
      <c r="N1868" s="5"/>
      <c r="O1868" s="5"/>
      <c r="P1868" s="5"/>
      <c r="Q1868" s="5"/>
      <c r="R1868" s="8"/>
      <c r="S1868" s="8"/>
      <c r="T1868" s="3"/>
    </row>
    <row r="1869" spans="14:20" x14ac:dyDescent="0.3">
      <c r="N1869" s="5"/>
      <c r="O1869" s="5"/>
      <c r="P1869" s="5"/>
      <c r="Q1869" s="5"/>
      <c r="R1869" s="8"/>
      <c r="S1869" s="8"/>
      <c r="T1869" s="3"/>
    </row>
    <row r="1870" spans="14:20" x14ac:dyDescent="0.3">
      <c r="N1870" s="5"/>
      <c r="O1870" s="5"/>
      <c r="P1870" s="5"/>
      <c r="Q1870" s="5"/>
      <c r="R1870" s="8"/>
      <c r="S1870" s="8"/>
      <c r="T1870" s="3"/>
    </row>
    <row r="1871" spans="14:20" x14ac:dyDescent="0.3">
      <c r="N1871" s="5"/>
      <c r="O1871" s="5"/>
      <c r="P1871" s="5"/>
      <c r="Q1871" s="5"/>
      <c r="R1871" s="8"/>
      <c r="S1871" s="8"/>
      <c r="T1871" s="3"/>
    </row>
    <row r="1872" spans="14:20" x14ac:dyDescent="0.3">
      <c r="N1872" s="5"/>
      <c r="O1872" s="5"/>
      <c r="P1872" s="5"/>
      <c r="Q1872" s="5"/>
      <c r="R1872" s="8"/>
      <c r="S1872" s="8"/>
      <c r="T1872" s="3"/>
    </row>
    <row r="1873" spans="14:20" x14ac:dyDescent="0.3">
      <c r="N1873" s="5"/>
      <c r="O1873" s="5"/>
      <c r="P1873" s="5"/>
      <c r="Q1873" s="5"/>
      <c r="R1873" s="8"/>
      <c r="S1873" s="8"/>
      <c r="T1873" s="3"/>
    </row>
    <row r="1874" spans="14:20" x14ac:dyDescent="0.3">
      <c r="N1874" s="5"/>
      <c r="O1874" s="5"/>
      <c r="P1874" s="5"/>
      <c r="Q1874" s="5"/>
      <c r="R1874" s="8"/>
      <c r="S1874" s="8"/>
      <c r="T1874" s="3"/>
    </row>
    <row r="1875" spans="14:20" x14ac:dyDescent="0.3">
      <c r="N1875" s="5"/>
      <c r="O1875" s="5"/>
      <c r="P1875" s="5"/>
      <c r="Q1875" s="5"/>
      <c r="R1875" s="8"/>
      <c r="S1875" s="8"/>
      <c r="T1875" s="3"/>
    </row>
    <row r="1876" spans="14:20" x14ac:dyDescent="0.3">
      <c r="N1876" s="5"/>
      <c r="O1876" s="5"/>
      <c r="P1876" s="5"/>
      <c r="Q1876" s="5"/>
      <c r="R1876" s="8"/>
      <c r="S1876" s="8"/>
      <c r="T1876" s="3"/>
    </row>
    <row r="1877" spans="14:20" x14ac:dyDescent="0.3">
      <c r="N1877" s="5"/>
      <c r="O1877" s="5"/>
      <c r="P1877" s="5"/>
      <c r="Q1877" s="5"/>
      <c r="R1877" s="8"/>
      <c r="S1877" s="8"/>
      <c r="T1877" s="3"/>
    </row>
    <row r="1878" spans="14:20" x14ac:dyDescent="0.3">
      <c r="N1878" s="5"/>
      <c r="O1878" s="5"/>
      <c r="P1878" s="5"/>
      <c r="Q1878" s="5"/>
      <c r="R1878" s="8"/>
      <c r="S1878" s="8"/>
      <c r="T1878" s="3"/>
    </row>
    <row r="1879" spans="14:20" x14ac:dyDescent="0.3">
      <c r="N1879" s="5"/>
      <c r="O1879" s="5"/>
      <c r="P1879" s="5"/>
      <c r="Q1879" s="5"/>
      <c r="R1879" s="8"/>
      <c r="S1879" s="8"/>
      <c r="T1879" s="3"/>
    </row>
    <row r="1880" spans="14:20" x14ac:dyDescent="0.3">
      <c r="N1880" s="5"/>
      <c r="O1880" s="5"/>
      <c r="P1880" s="5"/>
      <c r="Q1880" s="5"/>
      <c r="R1880" s="8"/>
      <c r="S1880" s="8"/>
      <c r="T1880" s="3"/>
    </row>
    <row r="1881" spans="14:20" x14ac:dyDescent="0.3">
      <c r="N1881" s="5"/>
      <c r="O1881" s="5"/>
      <c r="P1881" s="5"/>
      <c r="Q1881" s="5"/>
      <c r="R1881" s="8"/>
      <c r="S1881" s="8"/>
      <c r="T1881" s="3"/>
    </row>
    <row r="1882" spans="14:20" x14ac:dyDescent="0.3">
      <c r="N1882" s="5"/>
      <c r="O1882" s="5"/>
      <c r="P1882" s="5"/>
      <c r="Q1882" s="5"/>
      <c r="R1882" s="8"/>
      <c r="S1882" s="8"/>
      <c r="T1882" s="3"/>
    </row>
    <row r="1883" spans="14:20" x14ac:dyDescent="0.3">
      <c r="N1883" s="5"/>
      <c r="O1883" s="5"/>
      <c r="P1883" s="5"/>
      <c r="Q1883" s="5"/>
      <c r="R1883" s="8"/>
      <c r="S1883" s="8"/>
      <c r="T1883" s="3"/>
    </row>
    <row r="1884" spans="14:20" x14ac:dyDescent="0.3">
      <c r="N1884" s="5"/>
      <c r="O1884" s="5"/>
      <c r="P1884" s="5"/>
      <c r="Q1884" s="5"/>
      <c r="R1884" s="8"/>
      <c r="S1884" s="8"/>
      <c r="T1884" s="3"/>
    </row>
    <row r="1885" spans="14:20" x14ac:dyDescent="0.3">
      <c r="N1885" s="5"/>
      <c r="O1885" s="5"/>
      <c r="P1885" s="5"/>
      <c r="Q1885" s="5"/>
      <c r="R1885" s="8"/>
      <c r="S1885" s="8"/>
      <c r="T1885" s="3"/>
    </row>
    <row r="1886" spans="14:20" x14ac:dyDescent="0.3">
      <c r="N1886" s="5"/>
      <c r="O1886" s="5"/>
      <c r="P1886" s="5"/>
      <c r="Q1886" s="5"/>
      <c r="R1886" s="8"/>
      <c r="S1886" s="8"/>
      <c r="T1886" s="3"/>
    </row>
    <row r="1887" spans="14:20" x14ac:dyDescent="0.3">
      <c r="N1887" s="5"/>
      <c r="O1887" s="5"/>
      <c r="P1887" s="5"/>
      <c r="Q1887" s="5"/>
      <c r="R1887" s="8"/>
      <c r="S1887" s="8"/>
      <c r="T1887" s="3"/>
    </row>
    <row r="1888" spans="14:20" x14ac:dyDescent="0.3">
      <c r="N1888" s="5"/>
      <c r="O1888" s="5"/>
      <c r="P1888" s="5"/>
      <c r="Q1888" s="5"/>
      <c r="R1888" s="8"/>
      <c r="S1888" s="8"/>
      <c r="T1888" s="3"/>
    </row>
    <row r="1889" spans="14:20" x14ac:dyDescent="0.3">
      <c r="N1889" s="5"/>
      <c r="O1889" s="5"/>
      <c r="P1889" s="5"/>
      <c r="Q1889" s="5"/>
      <c r="R1889" s="8"/>
      <c r="S1889" s="8"/>
      <c r="T1889" s="3"/>
    </row>
    <row r="1890" spans="14:20" x14ac:dyDescent="0.3">
      <c r="N1890" s="5"/>
      <c r="O1890" s="5"/>
      <c r="P1890" s="5"/>
      <c r="Q1890" s="5"/>
      <c r="R1890" s="8"/>
      <c r="S1890" s="8"/>
      <c r="T1890" s="3"/>
    </row>
    <row r="1891" spans="14:20" x14ac:dyDescent="0.3">
      <c r="N1891" s="5"/>
      <c r="O1891" s="5"/>
      <c r="P1891" s="5"/>
      <c r="Q1891" s="5"/>
      <c r="R1891" s="8"/>
      <c r="S1891" s="8"/>
      <c r="T1891" s="3"/>
    </row>
    <row r="1892" spans="14:20" x14ac:dyDescent="0.3">
      <c r="N1892" s="5"/>
      <c r="O1892" s="5"/>
      <c r="P1892" s="5"/>
      <c r="Q1892" s="5"/>
      <c r="R1892" s="8"/>
      <c r="S1892" s="8"/>
      <c r="T1892" s="3"/>
    </row>
    <row r="1893" spans="14:20" x14ac:dyDescent="0.3">
      <c r="N1893" s="5"/>
      <c r="O1893" s="5"/>
      <c r="P1893" s="5"/>
      <c r="Q1893" s="5"/>
      <c r="R1893" s="8"/>
      <c r="S1893" s="8"/>
      <c r="T1893" s="3"/>
    </row>
    <row r="1894" spans="14:20" x14ac:dyDescent="0.3">
      <c r="N1894" s="5"/>
      <c r="O1894" s="5"/>
      <c r="P1894" s="5"/>
      <c r="Q1894" s="5"/>
      <c r="R1894" s="8"/>
      <c r="S1894" s="8"/>
      <c r="T1894" s="3"/>
    </row>
    <row r="1895" spans="14:20" x14ac:dyDescent="0.3">
      <c r="N1895" s="5"/>
      <c r="O1895" s="5"/>
      <c r="P1895" s="5"/>
      <c r="Q1895" s="5"/>
      <c r="R1895" s="8"/>
      <c r="S1895" s="8"/>
      <c r="T1895" s="3"/>
    </row>
    <row r="1896" spans="14:20" x14ac:dyDescent="0.3">
      <c r="N1896" s="5"/>
      <c r="O1896" s="5"/>
      <c r="P1896" s="5"/>
      <c r="Q1896" s="5"/>
      <c r="R1896" s="8"/>
      <c r="S1896" s="8"/>
      <c r="T1896" s="3"/>
    </row>
    <row r="1897" spans="14:20" x14ac:dyDescent="0.3">
      <c r="N1897" s="5"/>
      <c r="O1897" s="5"/>
      <c r="P1897" s="5"/>
      <c r="Q1897" s="5"/>
      <c r="R1897" s="8"/>
      <c r="S1897" s="8"/>
      <c r="T1897" s="3"/>
    </row>
    <row r="1898" spans="14:20" x14ac:dyDescent="0.3">
      <c r="N1898" s="5"/>
      <c r="O1898" s="5"/>
      <c r="P1898" s="5"/>
      <c r="Q1898" s="5"/>
      <c r="R1898" s="8"/>
      <c r="S1898" s="8"/>
      <c r="T1898" s="3"/>
    </row>
    <row r="1899" spans="14:20" x14ac:dyDescent="0.3">
      <c r="N1899" s="5"/>
      <c r="O1899" s="5"/>
      <c r="P1899" s="5"/>
      <c r="Q1899" s="5"/>
      <c r="R1899" s="8"/>
      <c r="S1899" s="8"/>
      <c r="T1899" s="3"/>
    </row>
    <row r="1900" spans="14:20" x14ac:dyDescent="0.3">
      <c r="N1900" s="5"/>
      <c r="O1900" s="5"/>
      <c r="P1900" s="5"/>
      <c r="Q1900" s="5"/>
      <c r="R1900" s="8"/>
      <c r="S1900" s="8"/>
      <c r="T1900" s="3"/>
    </row>
    <row r="1901" spans="14:20" x14ac:dyDescent="0.3">
      <c r="N1901" s="5"/>
      <c r="O1901" s="5"/>
      <c r="P1901" s="5"/>
      <c r="Q1901" s="5"/>
      <c r="R1901" s="8"/>
      <c r="S1901" s="8"/>
      <c r="T1901" s="3"/>
    </row>
    <row r="1902" spans="14:20" x14ac:dyDescent="0.3">
      <c r="N1902" s="5"/>
      <c r="O1902" s="5"/>
      <c r="P1902" s="5"/>
      <c r="Q1902" s="5"/>
      <c r="R1902" s="8"/>
      <c r="S1902" s="8"/>
      <c r="T1902" s="3"/>
    </row>
    <row r="1903" spans="14:20" x14ac:dyDescent="0.3">
      <c r="N1903" s="5"/>
      <c r="O1903" s="5"/>
      <c r="P1903" s="5"/>
      <c r="Q1903" s="5"/>
      <c r="R1903" s="8"/>
      <c r="S1903" s="8"/>
      <c r="T1903" s="3"/>
    </row>
    <row r="1904" spans="14:20" x14ac:dyDescent="0.3">
      <c r="N1904" s="5"/>
      <c r="O1904" s="5"/>
      <c r="P1904" s="5"/>
      <c r="Q1904" s="5"/>
      <c r="R1904" s="8"/>
      <c r="S1904" s="8"/>
      <c r="T1904" s="3"/>
    </row>
    <row r="1905" spans="14:20" x14ac:dyDescent="0.3">
      <c r="N1905" s="5"/>
      <c r="O1905" s="5"/>
      <c r="P1905" s="5"/>
      <c r="Q1905" s="5"/>
      <c r="R1905" s="8"/>
      <c r="S1905" s="8"/>
      <c r="T1905" s="3"/>
    </row>
    <row r="1906" spans="14:20" x14ac:dyDescent="0.3">
      <c r="N1906" s="5"/>
      <c r="O1906" s="5"/>
      <c r="P1906" s="5"/>
      <c r="Q1906" s="5"/>
      <c r="R1906" s="8"/>
      <c r="S1906" s="8"/>
      <c r="T1906" s="3"/>
    </row>
    <row r="1907" spans="14:20" x14ac:dyDescent="0.3">
      <c r="N1907" s="5"/>
      <c r="O1907" s="5"/>
      <c r="P1907" s="5"/>
      <c r="Q1907" s="5"/>
      <c r="R1907" s="8"/>
      <c r="S1907" s="8"/>
      <c r="T1907" s="3"/>
    </row>
    <row r="1908" spans="14:20" x14ac:dyDescent="0.3">
      <c r="N1908" s="5"/>
      <c r="O1908" s="5"/>
      <c r="P1908" s="5"/>
      <c r="Q1908" s="5"/>
      <c r="R1908" s="8"/>
      <c r="S1908" s="8"/>
      <c r="T1908" s="3"/>
    </row>
    <row r="1909" spans="14:20" x14ac:dyDescent="0.3">
      <c r="N1909" s="5"/>
      <c r="O1909" s="5"/>
      <c r="P1909" s="5"/>
      <c r="Q1909" s="5"/>
      <c r="R1909" s="8"/>
      <c r="S1909" s="8"/>
      <c r="T1909" s="3"/>
    </row>
    <row r="1910" spans="14:20" x14ac:dyDescent="0.3">
      <c r="N1910" s="5"/>
      <c r="O1910" s="5"/>
      <c r="P1910" s="5"/>
      <c r="Q1910" s="5"/>
      <c r="R1910" s="8"/>
      <c r="S1910" s="8"/>
      <c r="T1910" s="3"/>
    </row>
    <row r="1911" spans="14:20" x14ac:dyDescent="0.3">
      <c r="N1911" s="5"/>
      <c r="O1911" s="5"/>
      <c r="P1911" s="5"/>
      <c r="Q1911" s="5"/>
      <c r="R1911" s="8"/>
      <c r="S1911" s="8"/>
      <c r="T1911" s="3"/>
    </row>
    <row r="1912" spans="14:20" x14ac:dyDescent="0.3">
      <c r="N1912" s="5"/>
      <c r="O1912" s="5"/>
      <c r="P1912" s="5"/>
      <c r="Q1912" s="5"/>
      <c r="R1912" s="8"/>
      <c r="S1912" s="8"/>
      <c r="T1912" s="3"/>
    </row>
    <row r="1913" spans="14:20" x14ac:dyDescent="0.3">
      <c r="N1913" s="5"/>
      <c r="O1913" s="5"/>
      <c r="P1913" s="5"/>
      <c r="Q1913" s="5"/>
      <c r="R1913" s="8"/>
      <c r="S1913" s="8"/>
      <c r="T1913" s="3"/>
    </row>
    <row r="1914" spans="14:20" x14ac:dyDescent="0.3">
      <c r="N1914" s="5"/>
      <c r="O1914" s="5"/>
      <c r="P1914" s="5"/>
      <c r="Q1914" s="5"/>
      <c r="R1914" s="8"/>
      <c r="S1914" s="8"/>
      <c r="T1914" s="3"/>
    </row>
    <row r="1915" spans="14:20" x14ac:dyDescent="0.3">
      <c r="N1915" s="5"/>
      <c r="O1915" s="5"/>
      <c r="P1915" s="5"/>
      <c r="Q1915" s="5"/>
      <c r="R1915" s="8"/>
      <c r="S1915" s="8"/>
      <c r="T1915" s="3"/>
    </row>
    <row r="1916" spans="14:20" x14ac:dyDescent="0.3">
      <c r="N1916" s="5"/>
      <c r="O1916" s="5"/>
      <c r="P1916" s="5"/>
      <c r="Q1916" s="5"/>
      <c r="R1916" s="8"/>
      <c r="S1916" s="8"/>
      <c r="T1916" s="3"/>
    </row>
    <row r="1917" spans="14:20" x14ac:dyDescent="0.3">
      <c r="N1917" s="5"/>
      <c r="O1917" s="5"/>
      <c r="P1917" s="5"/>
      <c r="Q1917" s="5"/>
      <c r="R1917" s="8"/>
      <c r="S1917" s="8"/>
      <c r="T1917" s="3"/>
    </row>
    <row r="1918" spans="14:20" x14ac:dyDescent="0.3">
      <c r="N1918" s="5"/>
      <c r="O1918" s="5"/>
      <c r="P1918" s="5"/>
      <c r="Q1918" s="5"/>
      <c r="R1918" s="8"/>
      <c r="S1918" s="8"/>
      <c r="T1918" s="3"/>
    </row>
    <row r="1919" spans="14:20" x14ac:dyDescent="0.3">
      <c r="N1919" s="5"/>
      <c r="O1919" s="5"/>
      <c r="P1919" s="5"/>
      <c r="Q1919" s="5"/>
      <c r="R1919" s="8"/>
      <c r="S1919" s="8"/>
      <c r="T1919" s="3"/>
    </row>
    <row r="1920" spans="14:20" x14ac:dyDescent="0.3">
      <c r="N1920" s="5"/>
      <c r="O1920" s="5"/>
      <c r="P1920" s="5"/>
      <c r="Q1920" s="5"/>
      <c r="R1920" s="8"/>
      <c r="S1920" s="8"/>
      <c r="T1920" s="3"/>
    </row>
    <row r="1921" spans="14:20" x14ac:dyDescent="0.3">
      <c r="N1921" s="5"/>
      <c r="O1921" s="5"/>
      <c r="P1921" s="5"/>
      <c r="Q1921" s="5"/>
      <c r="R1921" s="8"/>
      <c r="S1921" s="8"/>
      <c r="T1921" s="3"/>
    </row>
    <row r="1922" spans="14:20" x14ac:dyDescent="0.3">
      <c r="N1922" s="5"/>
      <c r="O1922" s="5"/>
      <c r="P1922" s="5"/>
      <c r="Q1922" s="5"/>
      <c r="R1922" s="8"/>
      <c r="S1922" s="8"/>
      <c r="T1922" s="3"/>
    </row>
    <row r="1923" spans="14:20" x14ac:dyDescent="0.3">
      <c r="N1923" s="5"/>
      <c r="O1923" s="5"/>
      <c r="P1923" s="5"/>
      <c r="Q1923" s="5"/>
      <c r="R1923" s="8"/>
      <c r="S1923" s="8"/>
      <c r="T1923" s="3"/>
    </row>
    <row r="1924" spans="14:20" x14ac:dyDescent="0.3">
      <c r="N1924" s="5"/>
      <c r="O1924" s="5"/>
      <c r="P1924" s="5"/>
      <c r="Q1924" s="5"/>
      <c r="R1924" s="8"/>
      <c r="S1924" s="8"/>
      <c r="T1924" s="3"/>
    </row>
    <row r="1925" spans="14:20" x14ac:dyDescent="0.3">
      <c r="N1925" s="5"/>
      <c r="O1925" s="5"/>
      <c r="P1925" s="5"/>
      <c r="Q1925" s="5"/>
      <c r="R1925" s="8"/>
      <c r="S1925" s="8"/>
      <c r="T1925" s="3"/>
    </row>
    <row r="1926" spans="14:20" x14ac:dyDescent="0.3">
      <c r="N1926" s="5"/>
      <c r="O1926" s="5"/>
      <c r="P1926" s="5"/>
      <c r="Q1926" s="5"/>
      <c r="R1926" s="8"/>
      <c r="S1926" s="8"/>
      <c r="T1926" s="3"/>
    </row>
    <row r="1927" spans="14:20" x14ac:dyDescent="0.3">
      <c r="N1927" s="5"/>
      <c r="O1927" s="5"/>
      <c r="P1927" s="5"/>
      <c r="Q1927" s="5"/>
      <c r="R1927" s="8"/>
      <c r="S1927" s="8"/>
      <c r="T1927" s="3"/>
    </row>
    <row r="1928" spans="14:20" x14ac:dyDescent="0.3">
      <c r="N1928" s="5"/>
      <c r="O1928" s="5"/>
      <c r="P1928" s="5"/>
      <c r="Q1928" s="5"/>
      <c r="R1928" s="8"/>
      <c r="S1928" s="8"/>
      <c r="T1928" s="3"/>
    </row>
    <row r="1929" spans="14:20" x14ac:dyDescent="0.3">
      <c r="N1929" s="5"/>
      <c r="O1929" s="5"/>
      <c r="P1929" s="5"/>
      <c r="Q1929" s="5"/>
      <c r="R1929" s="8"/>
      <c r="S1929" s="8"/>
      <c r="T1929" s="3"/>
    </row>
    <row r="1930" spans="14:20" x14ac:dyDescent="0.3">
      <c r="N1930" s="5"/>
      <c r="O1930" s="5"/>
      <c r="P1930" s="5"/>
      <c r="Q1930" s="5"/>
      <c r="R1930" s="8"/>
      <c r="S1930" s="8"/>
      <c r="T1930" s="3"/>
    </row>
    <row r="1931" spans="14:20" x14ac:dyDescent="0.3">
      <c r="N1931" s="5"/>
      <c r="O1931" s="5"/>
      <c r="P1931" s="5"/>
      <c r="Q1931" s="5"/>
      <c r="R1931" s="8"/>
      <c r="S1931" s="8"/>
      <c r="T1931" s="3"/>
    </row>
    <row r="1932" spans="14:20" x14ac:dyDescent="0.3">
      <c r="N1932" s="5"/>
      <c r="O1932" s="5"/>
      <c r="P1932" s="5"/>
      <c r="Q1932" s="5"/>
      <c r="R1932" s="8"/>
      <c r="S1932" s="8"/>
      <c r="T1932" s="3"/>
    </row>
    <row r="1933" spans="14:20" x14ac:dyDescent="0.3">
      <c r="N1933" s="5"/>
      <c r="O1933" s="5"/>
      <c r="P1933" s="5"/>
      <c r="Q1933" s="5"/>
      <c r="R1933" s="8"/>
      <c r="S1933" s="8"/>
      <c r="T1933" s="3"/>
    </row>
    <row r="1934" spans="14:20" x14ac:dyDescent="0.3">
      <c r="N1934" s="5"/>
      <c r="O1934" s="5"/>
      <c r="P1934" s="5"/>
      <c r="Q1934" s="5"/>
      <c r="R1934" s="8"/>
      <c r="S1934" s="8"/>
      <c r="T1934" s="3"/>
    </row>
    <row r="1935" spans="14:20" x14ac:dyDescent="0.3">
      <c r="N1935" s="5"/>
      <c r="O1935" s="5"/>
      <c r="P1935" s="5"/>
      <c r="Q1935" s="5"/>
      <c r="R1935" s="8"/>
      <c r="S1935" s="8"/>
      <c r="T1935" s="3"/>
    </row>
    <row r="1936" spans="14:20" x14ac:dyDescent="0.3">
      <c r="N1936" s="5"/>
      <c r="O1936" s="5"/>
      <c r="P1936" s="5"/>
      <c r="Q1936" s="5"/>
      <c r="R1936" s="8"/>
      <c r="S1936" s="8"/>
      <c r="T1936" s="3"/>
    </row>
    <row r="1937" spans="14:20" x14ac:dyDescent="0.3">
      <c r="N1937" s="5"/>
      <c r="O1937" s="5"/>
      <c r="P1937" s="5"/>
      <c r="Q1937" s="5"/>
      <c r="R1937" s="8"/>
      <c r="S1937" s="8"/>
      <c r="T1937" s="3"/>
    </row>
    <row r="1938" spans="14:20" x14ac:dyDescent="0.3">
      <c r="N1938" s="5"/>
      <c r="O1938" s="5"/>
      <c r="P1938" s="5"/>
      <c r="Q1938" s="5"/>
      <c r="R1938" s="8"/>
      <c r="S1938" s="8"/>
      <c r="T1938" s="3"/>
    </row>
    <row r="1939" spans="14:20" x14ac:dyDescent="0.3">
      <c r="N1939" s="5"/>
      <c r="O1939" s="5"/>
      <c r="P1939" s="5"/>
      <c r="Q1939" s="5"/>
      <c r="R1939" s="8"/>
      <c r="S1939" s="8"/>
      <c r="T1939" s="3"/>
    </row>
    <row r="1940" spans="14:20" x14ac:dyDescent="0.3">
      <c r="N1940" s="5"/>
      <c r="O1940" s="5"/>
      <c r="P1940" s="5"/>
      <c r="Q1940" s="5"/>
      <c r="R1940" s="8"/>
      <c r="S1940" s="8"/>
      <c r="T1940" s="3"/>
    </row>
    <row r="1941" spans="14:20" x14ac:dyDescent="0.3">
      <c r="N1941" s="5"/>
      <c r="O1941" s="5"/>
      <c r="P1941" s="5"/>
      <c r="Q1941" s="5"/>
      <c r="R1941" s="8"/>
      <c r="S1941" s="8"/>
      <c r="T1941" s="3"/>
    </row>
    <row r="1942" spans="14:20" x14ac:dyDescent="0.3">
      <c r="N1942" s="5"/>
      <c r="O1942" s="5"/>
      <c r="P1942" s="5"/>
      <c r="Q1942" s="5"/>
      <c r="R1942" s="8"/>
      <c r="S1942" s="8"/>
      <c r="T1942" s="3"/>
    </row>
    <row r="1943" spans="14:20" x14ac:dyDescent="0.3">
      <c r="N1943" s="5"/>
      <c r="O1943" s="5"/>
      <c r="P1943" s="5"/>
      <c r="Q1943" s="5"/>
      <c r="R1943" s="8"/>
      <c r="S1943" s="8"/>
      <c r="T1943" s="3"/>
    </row>
    <row r="1944" spans="14:20" x14ac:dyDescent="0.3">
      <c r="N1944" s="5"/>
      <c r="O1944" s="5"/>
      <c r="P1944" s="5"/>
      <c r="Q1944" s="5"/>
      <c r="R1944" s="8"/>
      <c r="S1944" s="8"/>
      <c r="T1944" s="3"/>
    </row>
    <row r="1945" spans="14:20" x14ac:dyDescent="0.3">
      <c r="N1945" s="5"/>
      <c r="O1945" s="5"/>
      <c r="P1945" s="5"/>
      <c r="Q1945" s="5"/>
      <c r="R1945" s="8"/>
      <c r="S1945" s="8"/>
      <c r="T1945" s="3"/>
    </row>
    <row r="1946" spans="14:20" x14ac:dyDescent="0.3">
      <c r="N1946" s="5"/>
      <c r="O1946" s="5"/>
      <c r="P1946" s="5"/>
      <c r="Q1946" s="5"/>
      <c r="R1946" s="8"/>
      <c r="S1946" s="8"/>
      <c r="T1946" s="3"/>
    </row>
    <row r="1947" spans="14:20" x14ac:dyDescent="0.3">
      <c r="N1947" s="5"/>
      <c r="O1947" s="5"/>
      <c r="P1947" s="5"/>
      <c r="Q1947" s="5"/>
      <c r="R1947" s="8"/>
      <c r="S1947" s="8"/>
      <c r="T1947" s="3"/>
    </row>
    <row r="1948" spans="14:20" x14ac:dyDescent="0.3">
      <c r="N1948" s="5"/>
      <c r="O1948" s="5"/>
      <c r="P1948" s="5"/>
      <c r="Q1948" s="5"/>
      <c r="R1948" s="8"/>
      <c r="S1948" s="8"/>
      <c r="T1948" s="3"/>
    </row>
    <row r="1949" spans="14:20" x14ac:dyDescent="0.3">
      <c r="N1949" s="5"/>
      <c r="O1949" s="5"/>
      <c r="P1949" s="5"/>
      <c r="Q1949" s="5"/>
      <c r="R1949" s="8"/>
      <c r="S1949" s="8"/>
      <c r="T1949" s="3"/>
    </row>
    <row r="1950" spans="14:20" x14ac:dyDescent="0.3">
      <c r="N1950" s="5"/>
      <c r="O1950" s="5"/>
      <c r="P1950" s="5"/>
      <c r="Q1950" s="5"/>
      <c r="R1950" s="8"/>
      <c r="S1950" s="8"/>
      <c r="T1950" s="3"/>
    </row>
    <row r="1951" spans="14:20" x14ac:dyDescent="0.3">
      <c r="N1951" s="5"/>
      <c r="O1951" s="5"/>
      <c r="P1951" s="5"/>
      <c r="Q1951" s="5"/>
      <c r="R1951" s="8"/>
      <c r="S1951" s="8"/>
      <c r="T1951" s="3"/>
    </row>
    <row r="1952" spans="14:20" x14ac:dyDescent="0.3">
      <c r="N1952" s="5"/>
      <c r="O1952" s="5"/>
      <c r="P1952" s="5"/>
      <c r="Q1952" s="5"/>
      <c r="R1952" s="8"/>
      <c r="S1952" s="8"/>
      <c r="T1952" s="3"/>
    </row>
    <row r="1953" spans="14:20" x14ac:dyDescent="0.3">
      <c r="N1953" s="5"/>
      <c r="O1953" s="5"/>
      <c r="P1953" s="5"/>
      <c r="Q1953" s="5"/>
      <c r="R1953" s="8"/>
      <c r="S1953" s="8"/>
      <c r="T1953" s="3"/>
    </row>
    <row r="1954" spans="14:20" x14ac:dyDescent="0.3">
      <c r="N1954" s="5"/>
      <c r="O1954" s="5"/>
      <c r="P1954" s="5"/>
      <c r="Q1954" s="5"/>
      <c r="R1954" s="8"/>
      <c r="S1954" s="8"/>
      <c r="T1954" s="3"/>
    </row>
    <row r="1955" spans="14:20" x14ac:dyDescent="0.3">
      <c r="N1955" s="5"/>
      <c r="O1955" s="5"/>
      <c r="P1955" s="5"/>
      <c r="Q1955" s="5"/>
      <c r="R1955" s="8"/>
      <c r="S1955" s="8"/>
      <c r="T1955" s="3"/>
    </row>
    <row r="1956" spans="14:20" x14ac:dyDescent="0.3">
      <c r="N1956" s="5"/>
      <c r="O1956" s="5"/>
      <c r="P1956" s="5"/>
      <c r="Q1956" s="5"/>
      <c r="R1956" s="8"/>
      <c r="S1956" s="8"/>
      <c r="T1956" s="3"/>
    </row>
    <row r="1957" spans="14:20" x14ac:dyDescent="0.3">
      <c r="N1957" s="5"/>
      <c r="O1957" s="5"/>
      <c r="P1957" s="5"/>
      <c r="Q1957" s="5"/>
      <c r="R1957" s="8"/>
      <c r="S1957" s="8"/>
      <c r="T1957" s="3"/>
    </row>
    <row r="1958" spans="14:20" x14ac:dyDescent="0.3">
      <c r="N1958" s="5"/>
      <c r="O1958" s="5"/>
      <c r="P1958" s="5"/>
      <c r="Q1958" s="5"/>
      <c r="R1958" s="8"/>
      <c r="S1958" s="8"/>
      <c r="T1958" s="3"/>
    </row>
    <row r="1959" spans="14:20" x14ac:dyDescent="0.3">
      <c r="N1959" s="5"/>
      <c r="O1959" s="5"/>
      <c r="P1959" s="5"/>
      <c r="Q1959" s="5"/>
      <c r="R1959" s="8"/>
      <c r="S1959" s="8"/>
      <c r="T1959" s="3"/>
    </row>
    <row r="1960" spans="14:20" x14ac:dyDescent="0.3">
      <c r="N1960" s="5"/>
      <c r="O1960" s="5"/>
      <c r="P1960" s="5"/>
      <c r="Q1960" s="5"/>
      <c r="R1960" s="8"/>
      <c r="S1960" s="8"/>
      <c r="T1960" s="3"/>
    </row>
    <row r="1961" spans="14:20" x14ac:dyDescent="0.3">
      <c r="N1961" s="5"/>
      <c r="O1961" s="5"/>
      <c r="P1961" s="5"/>
      <c r="Q1961" s="5"/>
      <c r="R1961" s="8"/>
      <c r="S1961" s="8"/>
      <c r="T1961" s="3"/>
    </row>
    <row r="1962" spans="14:20" x14ac:dyDescent="0.3">
      <c r="N1962" s="5"/>
      <c r="O1962" s="5"/>
      <c r="P1962" s="5"/>
      <c r="Q1962" s="5"/>
      <c r="R1962" s="8"/>
      <c r="S1962" s="8"/>
      <c r="T1962" s="3"/>
    </row>
    <row r="1963" spans="14:20" x14ac:dyDescent="0.3">
      <c r="N1963" s="5"/>
      <c r="O1963" s="5"/>
      <c r="P1963" s="5"/>
      <c r="Q1963" s="5"/>
      <c r="R1963" s="8"/>
      <c r="S1963" s="8"/>
      <c r="T1963" s="3"/>
    </row>
    <row r="1964" spans="14:20" x14ac:dyDescent="0.3">
      <c r="N1964" s="5"/>
      <c r="O1964" s="5"/>
      <c r="P1964" s="5"/>
      <c r="Q1964" s="5"/>
      <c r="R1964" s="8"/>
      <c r="S1964" s="8"/>
      <c r="T1964" s="3"/>
    </row>
    <row r="1965" spans="14:20" x14ac:dyDescent="0.3">
      <c r="N1965" s="5"/>
      <c r="O1965" s="5"/>
      <c r="P1965" s="5"/>
      <c r="Q1965" s="5"/>
      <c r="R1965" s="8"/>
      <c r="S1965" s="8"/>
      <c r="T1965" s="3"/>
    </row>
    <row r="1966" spans="14:20" x14ac:dyDescent="0.3">
      <c r="N1966" s="5"/>
      <c r="O1966" s="5"/>
      <c r="P1966" s="5"/>
      <c r="Q1966" s="5"/>
      <c r="R1966" s="8"/>
      <c r="S1966" s="8"/>
      <c r="T1966" s="3"/>
    </row>
    <row r="1967" spans="14:20" x14ac:dyDescent="0.3">
      <c r="N1967" s="5"/>
      <c r="O1967" s="5"/>
      <c r="P1967" s="5"/>
      <c r="Q1967" s="5"/>
      <c r="R1967" s="8"/>
      <c r="S1967" s="8"/>
      <c r="T1967" s="3"/>
    </row>
    <row r="1968" spans="14:20" x14ac:dyDescent="0.3">
      <c r="N1968" s="5"/>
      <c r="O1968" s="5"/>
      <c r="P1968" s="5"/>
      <c r="Q1968" s="5"/>
      <c r="R1968" s="8"/>
      <c r="S1968" s="8"/>
      <c r="T1968" s="3"/>
    </row>
    <row r="1969" spans="14:20" x14ac:dyDescent="0.3">
      <c r="N1969" s="5"/>
      <c r="O1969" s="5"/>
      <c r="P1969" s="5"/>
      <c r="Q1969" s="5"/>
      <c r="R1969" s="8"/>
      <c r="S1969" s="8"/>
      <c r="T1969" s="3"/>
    </row>
    <row r="1970" spans="14:20" x14ac:dyDescent="0.3">
      <c r="N1970" s="5"/>
      <c r="O1970" s="5"/>
      <c r="P1970" s="5"/>
      <c r="Q1970" s="5"/>
      <c r="R1970" s="8"/>
      <c r="S1970" s="8"/>
      <c r="T1970" s="3"/>
    </row>
    <row r="1971" spans="14:20" x14ac:dyDescent="0.3">
      <c r="N1971" s="5"/>
      <c r="O1971" s="5"/>
      <c r="P1971" s="5"/>
      <c r="Q1971" s="5"/>
      <c r="R1971" s="8"/>
      <c r="S1971" s="8"/>
      <c r="T1971" s="3"/>
    </row>
    <row r="1972" spans="14:20" x14ac:dyDescent="0.3">
      <c r="N1972" s="5"/>
      <c r="O1972" s="5"/>
      <c r="P1972" s="5"/>
      <c r="Q1972" s="5"/>
      <c r="R1972" s="8"/>
      <c r="S1972" s="8"/>
      <c r="T1972" s="3"/>
    </row>
    <row r="1973" spans="14:20" x14ac:dyDescent="0.3">
      <c r="N1973" s="5"/>
      <c r="O1973" s="5"/>
      <c r="P1973" s="5"/>
      <c r="Q1973" s="5"/>
      <c r="R1973" s="8"/>
      <c r="S1973" s="8"/>
      <c r="T1973" s="3"/>
    </row>
    <row r="1974" spans="14:20" x14ac:dyDescent="0.3">
      <c r="N1974" s="5"/>
      <c r="O1974" s="5"/>
      <c r="P1974" s="5"/>
      <c r="Q1974" s="5"/>
      <c r="R1974" s="8"/>
      <c r="S1974" s="8"/>
      <c r="T1974" s="3"/>
    </row>
    <row r="1975" spans="14:20" x14ac:dyDescent="0.3">
      <c r="N1975" s="5"/>
      <c r="O1975" s="5"/>
      <c r="P1975" s="5"/>
      <c r="Q1975" s="5"/>
      <c r="R1975" s="8"/>
      <c r="S1975" s="8"/>
      <c r="T1975" s="3"/>
    </row>
    <row r="1976" spans="14:20" x14ac:dyDescent="0.3">
      <c r="N1976" s="5"/>
      <c r="O1976" s="5"/>
      <c r="P1976" s="5"/>
      <c r="Q1976" s="5"/>
      <c r="R1976" s="8"/>
      <c r="S1976" s="8"/>
      <c r="T1976" s="3"/>
    </row>
    <row r="1977" spans="14:20" x14ac:dyDescent="0.3">
      <c r="N1977" s="5"/>
      <c r="O1977" s="5"/>
      <c r="P1977" s="5"/>
      <c r="Q1977" s="5"/>
      <c r="R1977" s="8"/>
      <c r="S1977" s="8"/>
      <c r="T1977" s="3"/>
    </row>
    <row r="1978" spans="14:20" x14ac:dyDescent="0.3">
      <c r="N1978" s="5"/>
      <c r="O1978" s="5"/>
      <c r="P1978" s="5"/>
      <c r="Q1978" s="5"/>
      <c r="R1978" s="8"/>
      <c r="S1978" s="8"/>
      <c r="T1978" s="3"/>
    </row>
    <row r="1979" spans="14:20" x14ac:dyDescent="0.3">
      <c r="N1979" s="5"/>
      <c r="O1979" s="5"/>
      <c r="P1979" s="5"/>
      <c r="Q1979" s="5"/>
      <c r="R1979" s="8"/>
      <c r="S1979" s="8"/>
      <c r="T1979" s="3"/>
    </row>
    <row r="1980" spans="14:20" x14ac:dyDescent="0.3">
      <c r="N1980" s="5"/>
      <c r="O1980" s="5"/>
      <c r="P1980" s="5"/>
      <c r="Q1980" s="5"/>
      <c r="R1980" s="8"/>
      <c r="S1980" s="8"/>
      <c r="T1980" s="3"/>
    </row>
    <row r="1981" spans="14:20" x14ac:dyDescent="0.3">
      <c r="N1981" s="5"/>
      <c r="O1981" s="5"/>
      <c r="P1981" s="5"/>
      <c r="Q1981" s="5"/>
      <c r="R1981" s="8"/>
      <c r="S1981" s="8"/>
      <c r="T1981" s="3"/>
    </row>
    <row r="1982" spans="14:20" x14ac:dyDescent="0.3">
      <c r="N1982" s="5"/>
      <c r="O1982" s="5"/>
      <c r="P1982" s="5"/>
      <c r="Q1982" s="5"/>
      <c r="R1982" s="8"/>
      <c r="S1982" s="8"/>
      <c r="T1982" s="3"/>
    </row>
    <row r="1983" spans="14:20" x14ac:dyDescent="0.3">
      <c r="N1983" s="5"/>
      <c r="O1983" s="5"/>
      <c r="P1983" s="5"/>
      <c r="Q1983" s="5"/>
      <c r="R1983" s="8"/>
      <c r="S1983" s="8"/>
      <c r="T1983" s="3"/>
    </row>
    <row r="1984" spans="14:20" x14ac:dyDescent="0.3">
      <c r="N1984" s="5"/>
      <c r="O1984" s="5"/>
      <c r="P1984" s="5"/>
      <c r="Q1984" s="5"/>
      <c r="R1984" s="8"/>
      <c r="S1984" s="8"/>
      <c r="T1984" s="3"/>
    </row>
    <row r="1985" spans="14:20" x14ac:dyDescent="0.3">
      <c r="N1985" s="5"/>
      <c r="O1985" s="5"/>
      <c r="P1985" s="5"/>
      <c r="Q1985" s="5"/>
      <c r="R1985" s="8"/>
      <c r="S1985" s="8"/>
      <c r="T1985" s="3"/>
    </row>
    <row r="1986" spans="14:20" x14ac:dyDescent="0.3">
      <c r="N1986" s="5"/>
      <c r="O1986" s="5"/>
      <c r="P1986" s="5"/>
      <c r="Q1986" s="5"/>
      <c r="R1986" s="8"/>
      <c r="S1986" s="8"/>
      <c r="T1986" s="3"/>
    </row>
    <row r="1987" spans="14:20" x14ac:dyDescent="0.3">
      <c r="N1987" s="5"/>
      <c r="O1987" s="5"/>
      <c r="P1987" s="5"/>
      <c r="Q1987" s="5"/>
      <c r="R1987" s="8"/>
      <c r="S1987" s="8"/>
      <c r="T1987" s="3"/>
    </row>
    <row r="1988" spans="14:20" x14ac:dyDescent="0.3">
      <c r="N1988" s="5"/>
      <c r="O1988" s="5"/>
      <c r="P1988" s="5"/>
      <c r="Q1988" s="5"/>
      <c r="R1988" s="8"/>
      <c r="S1988" s="8"/>
      <c r="T1988" s="3"/>
    </row>
    <row r="1989" spans="14:20" x14ac:dyDescent="0.3">
      <c r="N1989" s="5"/>
      <c r="O1989" s="5"/>
      <c r="P1989" s="5"/>
      <c r="Q1989" s="5"/>
      <c r="R1989" s="8"/>
      <c r="S1989" s="8"/>
      <c r="T1989" s="3"/>
    </row>
    <row r="1990" spans="14:20" x14ac:dyDescent="0.3">
      <c r="N1990" s="5"/>
      <c r="O1990" s="5"/>
      <c r="P1990" s="5"/>
      <c r="Q1990" s="5"/>
      <c r="R1990" s="8"/>
      <c r="S1990" s="8"/>
      <c r="T1990" s="3"/>
    </row>
    <row r="1991" spans="14:20" x14ac:dyDescent="0.3">
      <c r="N1991" s="5"/>
      <c r="O1991" s="5"/>
      <c r="P1991" s="5"/>
      <c r="Q1991" s="5"/>
      <c r="R1991" s="8"/>
      <c r="S1991" s="8"/>
      <c r="T1991" s="3"/>
    </row>
    <row r="1992" spans="14:20" x14ac:dyDescent="0.3">
      <c r="N1992" s="5"/>
      <c r="O1992" s="5"/>
      <c r="P1992" s="5"/>
      <c r="Q1992" s="5"/>
      <c r="R1992" s="8"/>
      <c r="S1992" s="8"/>
      <c r="T1992" s="3"/>
    </row>
    <row r="1993" spans="14:20" x14ac:dyDescent="0.3">
      <c r="N1993" s="5"/>
      <c r="O1993" s="5"/>
      <c r="P1993" s="5"/>
      <c r="Q1993" s="5"/>
      <c r="R1993" s="8"/>
      <c r="S1993" s="8"/>
      <c r="T1993" s="3"/>
    </row>
    <row r="1994" spans="14:20" x14ac:dyDescent="0.3">
      <c r="N1994" s="5"/>
      <c r="O1994" s="5"/>
      <c r="P1994" s="5"/>
      <c r="Q1994" s="5"/>
      <c r="R1994" s="8"/>
      <c r="S1994" s="8"/>
      <c r="T1994" s="3"/>
    </row>
    <row r="1995" spans="14:20" x14ac:dyDescent="0.3">
      <c r="N1995" s="5"/>
      <c r="O1995" s="5"/>
      <c r="P1995" s="5"/>
      <c r="Q1995" s="5"/>
      <c r="R1995" s="8"/>
      <c r="S1995" s="8"/>
      <c r="T1995" s="3"/>
    </row>
    <row r="1996" spans="14:20" x14ac:dyDescent="0.3">
      <c r="N1996" s="5"/>
      <c r="O1996" s="5"/>
      <c r="P1996" s="5"/>
      <c r="Q1996" s="5"/>
      <c r="R1996" s="8"/>
      <c r="S1996" s="8"/>
      <c r="T1996" s="3"/>
    </row>
    <row r="1997" spans="14:20" x14ac:dyDescent="0.3">
      <c r="N1997" s="5"/>
      <c r="O1997" s="5"/>
      <c r="P1997" s="5"/>
      <c r="Q1997" s="5"/>
      <c r="R1997" s="8"/>
      <c r="S1997" s="8"/>
      <c r="T1997" s="3"/>
    </row>
    <row r="1998" spans="14:20" x14ac:dyDescent="0.3">
      <c r="N1998" s="5"/>
      <c r="O1998" s="5"/>
      <c r="P1998" s="5"/>
      <c r="Q1998" s="5"/>
      <c r="R1998" s="8"/>
      <c r="S1998" s="8"/>
      <c r="T1998" s="3"/>
    </row>
    <row r="1999" spans="14:20" x14ac:dyDescent="0.3">
      <c r="N1999" s="5"/>
      <c r="O1999" s="5"/>
      <c r="P1999" s="5"/>
      <c r="Q1999" s="5"/>
      <c r="R1999" s="8"/>
      <c r="S1999" s="8"/>
      <c r="T1999" s="3"/>
    </row>
    <row r="2000" spans="14:20" x14ac:dyDescent="0.3">
      <c r="N2000" s="5"/>
      <c r="O2000" s="5"/>
      <c r="P2000" s="5"/>
      <c r="Q2000" s="5"/>
      <c r="R2000" s="8"/>
      <c r="S2000" s="8"/>
      <c r="T2000" s="3"/>
    </row>
    <row r="2001" spans="14:20" x14ac:dyDescent="0.3">
      <c r="N2001" s="5"/>
      <c r="O2001" s="5"/>
      <c r="P2001" s="5"/>
      <c r="Q2001" s="5"/>
      <c r="R2001" s="8"/>
      <c r="S2001" s="8"/>
      <c r="T2001" s="3"/>
    </row>
    <row r="2002" spans="14:20" x14ac:dyDescent="0.3">
      <c r="N2002" s="5"/>
      <c r="O2002" s="5"/>
      <c r="P2002" s="5"/>
      <c r="Q2002" s="5"/>
      <c r="R2002" s="8"/>
      <c r="S2002" s="8"/>
      <c r="T2002" s="3"/>
    </row>
    <row r="2003" spans="14:20" x14ac:dyDescent="0.3">
      <c r="N2003" s="5"/>
      <c r="O2003" s="5"/>
      <c r="P2003" s="5"/>
      <c r="Q2003" s="5"/>
      <c r="R2003" s="8"/>
      <c r="S2003" s="8"/>
      <c r="T2003" s="3"/>
    </row>
    <row r="2004" spans="14:20" x14ac:dyDescent="0.3">
      <c r="N2004" s="5"/>
      <c r="O2004" s="5"/>
      <c r="P2004" s="5"/>
      <c r="Q2004" s="5"/>
      <c r="R2004" s="8"/>
      <c r="S2004" s="8"/>
      <c r="T2004" s="3"/>
    </row>
    <row r="2005" spans="14:20" x14ac:dyDescent="0.3">
      <c r="N2005" s="5"/>
      <c r="O2005" s="5"/>
      <c r="P2005" s="5"/>
      <c r="Q2005" s="5"/>
      <c r="R2005" s="8"/>
      <c r="S2005" s="8"/>
      <c r="T2005" s="3"/>
    </row>
    <row r="2006" spans="14:20" x14ac:dyDescent="0.3">
      <c r="N2006" s="5"/>
      <c r="O2006" s="5"/>
      <c r="P2006" s="5"/>
      <c r="Q2006" s="5"/>
      <c r="R2006" s="8"/>
      <c r="S2006" s="8"/>
      <c r="T2006" s="3"/>
    </row>
    <row r="2007" spans="14:20" x14ac:dyDescent="0.3">
      <c r="N2007" s="5"/>
      <c r="O2007" s="5"/>
      <c r="P2007" s="5"/>
      <c r="Q2007" s="5"/>
      <c r="R2007" s="8"/>
      <c r="S2007" s="8"/>
      <c r="T2007" s="3"/>
    </row>
    <row r="2008" spans="14:20" x14ac:dyDescent="0.3">
      <c r="N2008" s="5"/>
      <c r="O2008" s="5"/>
      <c r="P2008" s="5"/>
      <c r="Q2008" s="5"/>
      <c r="R2008" s="8"/>
      <c r="S2008" s="8"/>
      <c r="T2008" s="3"/>
    </row>
    <row r="2009" spans="14:20" x14ac:dyDescent="0.3">
      <c r="N2009" s="5"/>
      <c r="O2009" s="5"/>
      <c r="P2009" s="5"/>
      <c r="Q2009" s="5"/>
      <c r="R2009" s="8"/>
      <c r="S2009" s="8"/>
      <c r="T2009" s="3"/>
    </row>
    <row r="2010" spans="14:20" x14ac:dyDescent="0.3">
      <c r="N2010" s="5"/>
      <c r="O2010" s="5"/>
      <c r="P2010" s="5"/>
      <c r="Q2010" s="5"/>
      <c r="R2010" s="8"/>
      <c r="S2010" s="8"/>
      <c r="T2010" s="3"/>
    </row>
    <row r="2011" spans="14:20" x14ac:dyDescent="0.3">
      <c r="N2011" s="5"/>
      <c r="O2011" s="5"/>
      <c r="P2011" s="5"/>
      <c r="Q2011" s="5"/>
      <c r="R2011" s="8"/>
      <c r="S2011" s="8"/>
      <c r="T2011" s="3"/>
    </row>
    <row r="2012" spans="14:20" x14ac:dyDescent="0.3">
      <c r="N2012" s="5"/>
      <c r="O2012" s="5"/>
      <c r="P2012" s="5"/>
      <c r="Q2012" s="5"/>
      <c r="R2012" s="8"/>
      <c r="S2012" s="8"/>
      <c r="T2012" s="3"/>
    </row>
    <row r="2013" spans="14:20" x14ac:dyDescent="0.3">
      <c r="N2013" s="5"/>
      <c r="O2013" s="5"/>
      <c r="P2013" s="5"/>
      <c r="Q2013" s="5"/>
      <c r="R2013" s="8"/>
      <c r="S2013" s="8"/>
      <c r="T2013" s="3"/>
    </row>
    <row r="2014" spans="14:20" x14ac:dyDescent="0.3">
      <c r="N2014" s="5"/>
      <c r="O2014" s="5"/>
      <c r="P2014" s="5"/>
      <c r="Q2014" s="5"/>
      <c r="R2014" s="8"/>
      <c r="S2014" s="8"/>
      <c r="T2014" s="3"/>
    </row>
    <row r="2015" spans="14:20" x14ac:dyDescent="0.3">
      <c r="N2015" s="5"/>
      <c r="O2015" s="5"/>
      <c r="P2015" s="5"/>
      <c r="Q2015" s="5"/>
      <c r="R2015" s="8"/>
      <c r="S2015" s="8"/>
      <c r="T2015" s="3"/>
    </row>
    <row r="2016" spans="14:20" x14ac:dyDescent="0.3">
      <c r="N2016" s="5"/>
      <c r="O2016" s="5"/>
      <c r="P2016" s="5"/>
      <c r="Q2016" s="5"/>
      <c r="R2016" s="8"/>
      <c r="S2016" s="8"/>
      <c r="T2016" s="3"/>
    </row>
    <row r="2017" spans="14:20" x14ac:dyDescent="0.3">
      <c r="N2017" s="5"/>
      <c r="O2017" s="5"/>
      <c r="P2017" s="5"/>
      <c r="Q2017" s="5"/>
      <c r="R2017" s="8"/>
      <c r="S2017" s="8"/>
      <c r="T2017" s="3"/>
    </row>
    <row r="2018" spans="14:20" x14ac:dyDescent="0.3">
      <c r="N2018" s="5"/>
      <c r="O2018" s="5"/>
      <c r="P2018" s="5"/>
      <c r="Q2018" s="5"/>
      <c r="R2018" s="8"/>
      <c r="S2018" s="8"/>
      <c r="T2018" s="3"/>
    </row>
    <row r="2019" spans="14:20" x14ac:dyDescent="0.3">
      <c r="N2019" s="5"/>
      <c r="O2019" s="5"/>
      <c r="P2019" s="5"/>
      <c r="Q2019" s="5"/>
      <c r="R2019" s="8"/>
      <c r="S2019" s="8"/>
      <c r="T2019" s="3"/>
    </row>
    <row r="2020" spans="14:20" x14ac:dyDescent="0.3">
      <c r="N2020" s="5"/>
      <c r="O2020" s="5"/>
      <c r="P2020" s="5"/>
      <c r="Q2020" s="5"/>
      <c r="R2020" s="8"/>
      <c r="S2020" s="8"/>
      <c r="T2020" s="3"/>
    </row>
    <row r="2021" spans="14:20" x14ac:dyDescent="0.3">
      <c r="N2021" s="5"/>
      <c r="O2021" s="5"/>
      <c r="P2021" s="5"/>
      <c r="Q2021" s="5"/>
      <c r="R2021" s="8"/>
      <c r="S2021" s="8"/>
      <c r="T2021" s="3"/>
    </row>
    <row r="2022" spans="14:20" x14ac:dyDescent="0.3">
      <c r="N2022" s="5"/>
      <c r="O2022" s="5"/>
      <c r="P2022" s="5"/>
      <c r="Q2022" s="5"/>
      <c r="R2022" s="8"/>
      <c r="S2022" s="8"/>
      <c r="T2022" s="3"/>
    </row>
    <row r="2023" spans="14:20" x14ac:dyDescent="0.3">
      <c r="N2023" s="5"/>
      <c r="O2023" s="5"/>
      <c r="P2023" s="5"/>
      <c r="Q2023" s="5"/>
      <c r="R2023" s="8"/>
      <c r="S2023" s="8"/>
      <c r="T2023" s="3"/>
    </row>
    <row r="2024" spans="14:20" x14ac:dyDescent="0.3">
      <c r="N2024" s="5"/>
      <c r="O2024" s="5"/>
      <c r="P2024" s="5"/>
      <c r="Q2024" s="5"/>
      <c r="R2024" s="8"/>
      <c r="S2024" s="8"/>
      <c r="T2024" s="3"/>
    </row>
    <row r="2025" spans="14:20" x14ac:dyDescent="0.3">
      <c r="N2025" s="5"/>
      <c r="O2025" s="5"/>
      <c r="P2025" s="5"/>
      <c r="Q2025" s="5"/>
      <c r="R2025" s="8"/>
      <c r="S2025" s="8"/>
      <c r="T2025" s="3"/>
    </row>
    <row r="2026" spans="14:20" x14ac:dyDescent="0.3">
      <c r="N2026" s="5"/>
      <c r="O2026" s="5"/>
      <c r="P2026" s="5"/>
      <c r="Q2026" s="5"/>
      <c r="R2026" s="8"/>
      <c r="S2026" s="8"/>
      <c r="T2026" s="3"/>
    </row>
    <row r="2027" spans="14:20" x14ac:dyDescent="0.3">
      <c r="N2027" s="5"/>
      <c r="O2027" s="5"/>
      <c r="P2027" s="5"/>
      <c r="Q2027" s="5"/>
      <c r="R2027" s="8"/>
      <c r="S2027" s="8"/>
      <c r="T2027" s="3"/>
    </row>
    <row r="2028" spans="14:20" x14ac:dyDescent="0.3">
      <c r="N2028" s="5"/>
      <c r="O2028" s="5"/>
      <c r="P2028" s="5"/>
      <c r="Q2028" s="5"/>
      <c r="R2028" s="8"/>
      <c r="S2028" s="8"/>
      <c r="T2028" s="3"/>
    </row>
    <row r="2029" spans="14:20" x14ac:dyDescent="0.3">
      <c r="N2029" s="5"/>
      <c r="O2029" s="5"/>
      <c r="P2029" s="5"/>
      <c r="Q2029" s="5"/>
      <c r="R2029" s="8"/>
      <c r="S2029" s="8"/>
      <c r="T2029" s="3"/>
    </row>
    <row r="2030" spans="14:20" x14ac:dyDescent="0.3">
      <c r="N2030" s="5"/>
      <c r="O2030" s="5"/>
      <c r="P2030" s="5"/>
      <c r="Q2030" s="5"/>
      <c r="R2030" s="8"/>
      <c r="S2030" s="8"/>
      <c r="T2030" s="3"/>
    </row>
    <row r="2031" spans="14:20" x14ac:dyDescent="0.3">
      <c r="N2031" s="5"/>
      <c r="O2031" s="5"/>
      <c r="P2031" s="5"/>
      <c r="Q2031" s="5"/>
      <c r="R2031" s="8"/>
      <c r="S2031" s="8"/>
      <c r="T2031" s="3"/>
    </row>
    <row r="2032" spans="14:20" x14ac:dyDescent="0.3">
      <c r="N2032" s="5"/>
      <c r="O2032" s="5"/>
      <c r="P2032" s="5"/>
      <c r="Q2032" s="5"/>
      <c r="R2032" s="8"/>
      <c r="S2032" s="8"/>
      <c r="T2032" s="3"/>
    </row>
    <row r="2033" spans="14:20" x14ac:dyDescent="0.3">
      <c r="N2033" s="5"/>
      <c r="O2033" s="5"/>
      <c r="P2033" s="5"/>
      <c r="Q2033" s="5"/>
      <c r="R2033" s="8"/>
      <c r="S2033" s="8"/>
      <c r="T2033" s="3"/>
    </row>
    <row r="2034" spans="14:20" x14ac:dyDescent="0.3">
      <c r="N2034" s="5"/>
      <c r="O2034" s="5"/>
      <c r="P2034" s="5"/>
      <c r="Q2034" s="5"/>
      <c r="R2034" s="8"/>
      <c r="S2034" s="8"/>
      <c r="T2034" s="3"/>
    </row>
    <row r="2035" spans="14:20" x14ac:dyDescent="0.3">
      <c r="N2035" s="5"/>
      <c r="O2035" s="5"/>
      <c r="P2035" s="5"/>
      <c r="Q2035" s="5"/>
      <c r="R2035" s="8"/>
      <c r="S2035" s="8"/>
      <c r="T2035" s="3"/>
    </row>
    <row r="2036" spans="14:20" x14ac:dyDescent="0.3">
      <c r="N2036" s="5"/>
      <c r="O2036" s="5"/>
      <c r="P2036" s="5"/>
      <c r="Q2036" s="5"/>
      <c r="R2036" s="8"/>
      <c r="S2036" s="8"/>
      <c r="T2036" s="3"/>
    </row>
    <row r="2037" spans="14:20" x14ac:dyDescent="0.3">
      <c r="N2037" s="5"/>
      <c r="O2037" s="5"/>
      <c r="P2037" s="5"/>
      <c r="Q2037" s="5"/>
      <c r="R2037" s="8"/>
      <c r="S2037" s="8"/>
      <c r="T2037" s="3"/>
    </row>
    <row r="2038" spans="14:20" x14ac:dyDescent="0.3">
      <c r="N2038" s="5"/>
      <c r="O2038" s="5"/>
      <c r="P2038" s="5"/>
      <c r="Q2038" s="5"/>
      <c r="R2038" s="8"/>
      <c r="S2038" s="8"/>
      <c r="T2038" s="3"/>
    </row>
    <row r="2039" spans="14:20" x14ac:dyDescent="0.3">
      <c r="N2039" s="5"/>
      <c r="O2039" s="5"/>
      <c r="P2039" s="5"/>
      <c r="Q2039" s="5"/>
      <c r="R2039" s="8"/>
      <c r="S2039" s="8"/>
      <c r="T2039" s="3"/>
    </row>
    <row r="2040" spans="14:20" x14ac:dyDescent="0.3">
      <c r="N2040" s="5"/>
      <c r="O2040" s="5"/>
      <c r="P2040" s="5"/>
      <c r="Q2040" s="5"/>
      <c r="R2040" s="8"/>
      <c r="S2040" s="8"/>
      <c r="T2040" s="3"/>
    </row>
    <row r="2041" spans="14:20" x14ac:dyDescent="0.3">
      <c r="N2041" s="5"/>
      <c r="O2041" s="5"/>
      <c r="P2041" s="5"/>
      <c r="Q2041" s="5"/>
      <c r="R2041" s="8"/>
      <c r="S2041" s="8"/>
      <c r="T2041" s="3"/>
    </row>
    <row r="2042" spans="14:20" x14ac:dyDescent="0.3">
      <c r="N2042" s="5"/>
      <c r="O2042" s="5"/>
      <c r="P2042" s="5"/>
      <c r="Q2042" s="5"/>
      <c r="R2042" s="8"/>
      <c r="S2042" s="8"/>
      <c r="T2042" s="3"/>
    </row>
    <row r="2043" spans="14:20" x14ac:dyDescent="0.3">
      <c r="N2043" s="5"/>
      <c r="O2043" s="5"/>
      <c r="P2043" s="5"/>
      <c r="Q2043" s="5"/>
      <c r="R2043" s="8"/>
      <c r="S2043" s="8"/>
      <c r="T2043" s="3"/>
    </row>
    <row r="2044" spans="14:20" x14ac:dyDescent="0.3">
      <c r="N2044" s="5"/>
      <c r="O2044" s="5"/>
      <c r="P2044" s="5"/>
      <c r="Q2044" s="5"/>
      <c r="R2044" s="8"/>
      <c r="S2044" s="8"/>
      <c r="T2044" s="3"/>
    </row>
    <row r="2045" spans="14:20" x14ac:dyDescent="0.3">
      <c r="N2045" s="5"/>
      <c r="O2045" s="5"/>
      <c r="P2045" s="5"/>
      <c r="Q2045" s="5"/>
      <c r="R2045" s="8"/>
      <c r="S2045" s="8"/>
      <c r="T2045" s="3"/>
    </row>
    <row r="2046" spans="14:20" x14ac:dyDescent="0.3">
      <c r="N2046" s="5"/>
      <c r="O2046" s="5"/>
      <c r="P2046" s="5"/>
      <c r="Q2046" s="5"/>
      <c r="R2046" s="8"/>
      <c r="S2046" s="8"/>
      <c r="T2046" s="3"/>
    </row>
    <row r="2047" spans="14:20" x14ac:dyDescent="0.3">
      <c r="N2047" s="5"/>
      <c r="O2047" s="5"/>
      <c r="P2047" s="5"/>
      <c r="Q2047" s="5"/>
      <c r="R2047" s="8"/>
      <c r="S2047" s="8"/>
      <c r="T2047" s="3"/>
    </row>
    <row r="2048" spans="14:20" x14ac:dyDescent="0.3">
      <c r="N2048" s="5"/>
      <c r="O2048" s="5"/>
      <c r="P2048" s="5"/>
      <c r="Q2048" s="5"/>
      <c r="R2048" s="8"/>
      <c r="S2048" s="8"/>
      <c r="T2048" s="3"/>
    </row>
    <row r="2049" spans="14:20" x14ac:dyDescent="0.3">
      <c r="N2049" s="5"/>
      <c r="O2049" s="5"/>
      <c r="P2049" s="5"/>
      <c r="Q2049" s="5"/>
      <c r="R2049" s="8"/>
      <c r="S2049" s="8"/>
      <c r="T2049" s="3"/>
    </row>
    <row r="2050" spans="14:20" x14ac:dyDescent="0.3">
      <c r="N2050" s="5"/>
      <c r="O2050" s="5"/>
      <c r="P2050" s="5"/>
      <c r="Q2050" s="5"/>
      <c r="R2050" s="8"/>
      <c r="S2050" s="8"/>
      <c r="T2050" s="3"/>
    </row>
    <row r="2051" spans="14:20" x14ac:dyDescent="0.3">
      <c r="N2051" s="5"/>
      <c r="O2051" s="5"/>
      <c r="P2051" s="5"/>
      <c r="Q2051" s="5"/>
      <c r="R2051" s="8"/>
      <c r="S2051" s="8"/>
      <c r="T2051" s="3"/>
    </row>
    <row r="2052" spans="14:20" x14ac:dyDescent="0.3">
      <c r="N2052" s="5"/>
      <c r="O2052" s="5"/>
      <c r="P2052" s="5"/>
      <c r="Q2052" s="5"/>
      <c r="R2052" s="8"/>
      <c r="S2052" s="8"/>
      <c r="T2052" s="3"/>
    </row>
    <row r="2053" spans="14:20" x14ac:dyDescent="0.3">
      <c r="N2053" s="5"/>
      <c r="O2053" s="5"/>
      <c r="P2053" s="5"/>
      <c r="Q2053" s="5"/>
      <c r="R2053" s="8"/>
      <c r="S2053" s="8"/>
      <c r="T2053" s="3"/>
    </row>
    <row r="2054" spans="14:20" x14ac:dyDescent="0.3">
      <c r="N2054" s="5"/>
      <c r="O2054" s="5"/>
      <c r="P2054" s="5"/>
      <c r="Q2054" s="5"/>
      <c r="R2054" s="8"/>
      <c r="S2054" s="8"/>
      <c r="T2054" s="3"/>
    </row>
    <row r="2055" spans="14:20" x14ac:dyDescent="0.3">
      <c r="N2055" s="5"/>
      <c r="O2055" s="5"/>
      <c r="P2055" s="5"/>
      <c r="Q2055" s="5"/>
      <c r="R2055" s="8"/>
      <c r="S2055" s="8"/>
      <c r="T2055" s="3"/>
    </row>
    <row r="2056" spans="14:20" x14ac:dyDescent="0.3">
      <c r="N2056" s="5"/>
      <c r="O2056" s="5"/>
      <c r="P2056" s="5"/>
      <c r="Q2056" s="5"/>
      <c r="R2056" s="8"/>
      <c r="S2056" s="8"/>
      <c r="T2056" s="3"/>
    </row>
    <row r="2057" spans="14:20" x14ac:dyDescent="0.3">
      <c r="N2057" s="5"/>
      <c r="O2057" s="5"/>
      <c r="P2057" s="5"/>
      <c r="Q2057" s="5"/>
      <c r="R2057" s="8"/>
      <c r="S2057" s="8"/>
      <c r="T2057" s="3"/>
    </row>
    <row r="2058" spans="14:20" x14ac:dyDescent="0.3">
      <c r="N2058" s="5"/>
      <c r="O2058" s="5"/>
      <c r="P2058" s="5"/>
      <c r="Q2058" s="5"/>
      <c r="R2058" s="8"/>
      <c r="S2058" s="8"/>
      <c r="T2058" s="3"/>
    </row>
    <row r="2059" spans="14:20" x14ac:dyDescent="0.3">
      <c r="N2059" s="5"/>
      <c r="O2059" s="5"/>
      <c r="P2059" s="5"/>
      <c r="Q2059" s="5"/>
      <c r="R2059" s="8"/>
      <c r="S2059" s="8"/>
      <c r="T2059" s="3"/>
    </row>
    <row r="2060" spans="14:20" x14ac:dyDescent="0.3">
      <c r="N2060" s="5"/>
      <c r="O2060" s="5"/>
      <c r="P2060" s="5"/>
      <c r="Q2060" s="5"/>
      <c r="R2060" s="8"/>
      <c r="S2060" s="8"/>
      <c r="T2060" s="3"/>
    </row>
    <row r="2061" spans="14:20" x14ac:dyDescent="0.3">
      <c r="N2061" s="5"/>
      <c r="O2061" s="5"/>
      <c r="P2061" s="5"/>
      <c r="Q2061" s="5"/>
      <c r="R2061" s="8"/>
      <c r="S2061" s="8"/>
      <c r="T2061" s="3"/>
    </row>
    <row r="2062" spans="14:20" x14ac:dyDescent="0.3">
      <c r="N2062" s="5"/>
      <c r="O2062" s="5"/>
      <c r="P2062" s="5"/>
      <c r="Q2062" s="5"/>
      <c r="R2062" s="8"/>
      <c r="S2062" s="8"/>
      <c r="T2062" s="3"/>
    </row>
    <row r="2063" spans="14:20" x14ac:dyDescent="0.3">
      <c r="N2063" s="5"/>
      <c r="O2063" s="5"/>
      <c r="P2063" s="5"/>
      <c r="Q2063" s="5"/>
      <c r="R2063" s="8"/>
      <c r="S2063" s="8"/>
      <c r="T2063" s="3"/>
    </row>
    <row r="2064" spans="14:20" x14ac:dyDescent="0.3">
      <c r="N2064" s="5"/>
      <c r="O2064" s="5"/>
      <c r="P2064" s="5"/>
      <c r="Q2064" s="5"/>
      <c r="R2064" s="8"/>
      <c r="S2064" s="8"/>
      <c r="T2064" s="3"/>
    </row>
    <row r="2065" spans="14:20" x14ac:dyDescent="0.3">
      <c r="N2065" s="5"/>
      <c r="O2065" s="5"/>
      <c r="P2065" s="5"/>
      <c r="Q2065" s="5"/>
      <c r="R2065" s="8"/>
      <c r="S2065" s="8"/>
      <c r="T2065" s="3"/>
    </row>
    <row r="2066" spans="14:20" x14ac:dyDescent="0.3">
      <c r="N2066" s="5"/>
      <c r="O2066" s="5"/>
      <c r="P2066" s="5"/>
      <c r="Q2066" s="5"/>
      <c r="R2066" s="8"/>
      <c r="S2066" s="8"/>
      <c r="T2066" s="3"/>
    </row>
    <row r="2067" spans="14:20" x14ac:dyDescent="0.3">
      <c r="N2067" s="5"/>
      <c r="O2067" s="5"/>
      <c r="P2067" s="5"/>
      <c r="Q2067" s="5"/>
      <c r="R2067" s="8"/>
      <c r="S2067" s="8"/>
      <c r="T2067" s="3"/>
    </row>
    <row r="2068" spans="14:20" x14ac:dyDescent="0.3">
      <c r="N2068" s="5"/>
      <c r="O2068" s="5"/>
      <c r="P2068" s="5"/>
      <c r="Q2068" s="5"/>
      <c r="R2068" s="8"/>
      <c r="S2068" s="8"/>
      <c r="T2068" s="3"/>
    </row>
    <row r="2069" spans="14:20" x14ac:dyDescent="0.3">
      <c r="N2069" s="5"/>
      <c r="O2069" s="5"/>
      <c r="P2069" s="5"/>
      <c r="Q2069" s="5"/>
      <c r="R2069" s="8"/>
      <c r="S2069" s="8"/>
      <c r="T2069" s="3"/>
    </row>
    <row r="2070" spans="14:20" x14ac:dyDescent="0.3">
      <c r="N2070" s="5"/>
      <c r="O2070" s="5"/>
      <c r="P2070" s="5"/>
      <c r="Q2070" s="5"/>
      <c r="R2070" s="8"/>
      <c r="S2070" s="8"/>
      <c r="T2070" s="3"/>
    </row>
    <row r="2071" spans="14:20" x14ac:dyDescent="0.3">
      <c r="N2071" s="5"/>
      <c r="O2071" s="5"/>
      <c r="P2071" s="5"/>
      <c r="Q2071" s="5"/>
      <c r="R2071" s="8"/>
      <c r="S2071" s="8"/>
      <c r="T2071" s="3"/>
    </row>
    <row r="2072" spans="14:20" x14ac:dyDescent="0.3">
      <c r="N2072" s="5"/>
      <c r="O2072" s="5"/>
      <c r="P2072" s="5"/>
      <c r="Q2072" s="5"/>
      <c r="R2072" s="8"/>
      <c r="S2072" s="8"/>
      <c r="T2072" s="3"/>
    </row>
    <row r="2073" spans="14:20" x14ac:dyDescent="0.3">
      <c r="N2073" s="5"/>
      <c r="O2073" s="5"/>
      <c r="P2073" s="5"/>
      <c r="Q2073" s="5"/>
      <c r="R2073" s="8"/>
      <c r="S2073" s="8"/>
      <c r="T2073" s="3"/>
    </row>
    <row r="2074" spans="14:20" x14ac:dyDescent="0.3">
      <c r="N2074" s="5"/>
      <c r="O2074" s="5"/>
      <c r="P2074" s="5"/>
      <c r="Q2074" s="5"/>
      <c r="R2074" s="8"/>
      <c r="S2074" s="8"/>
      <c r="T2074" s="3"/>
    </row>
    <row r="2075" spans="14:20" x14ac:dyDescent="0.3">
      <c r="N2075" s="5"/>
      <c r="O2075" s="5"/>
      <c r="P2075" s="5"/>
      <c r="Q2075" s="5"/>
      <c r="R2075" s="8"/>
      <c r="S2075" s="8"/>
      <c r="T2075" s="3"/>
    </row>
    <row r="2076" spans="14:20" x14ac:dyDescent="0.3">
      <c r="N2076" s="5"/>
      <c r="O2076" s="5"/>
      <c r="P2076" s="5"/>
      <c r="Q2076" s="5"/>
      <c r="R2076" s="8"/>
      <c r="S2076" s="8"/>
      <c r="T2076" s="3"/>
    </row>
    <row r="2077" spans="14:20" x14ac:dyDescent="0.3">
      <c r="N2077" s="5"/>
      <c r="O2077" s="5"/>
      <c r="P2077" s="5"/>
      <c r="Q2077" s="5"/>
      <c r="R2077" s="8"/>
      <c r="S2077" s="8"/>
      <c r="T2077" s="3"/>
    </row>
    <row r="2078" spans="14:20" x14ac:dyDescent="0.3">
      <c r="N2078" s="5"/>
      <c r="O2078" s="5"/>
      <c r="P2078" s="5"/>
      <c r="Q2078" s="5"/>
      <c r="R2078" s="8"/>
      <c r="S2078" s="8"/>
      <c r="T2078" s="3"/>
    </row>
    <row r="2079" spans="14:20" x14ac:dyDescent="0.3">
      <c r="N2079" s="5"/>
      <c r="O2079" s="5"/>
      <c r="P2079" s="5"/>
      <c r="Q2079" s="5"/>
      <c r="R2079" s="8"/>
      <c r="S2079" s="8"/>
      <c r="T2079" s="3"/>
    </row>
    <row r="2080" spans="14:20" x14ac:dyDescent="0.3">
      <c r="N2080" s="5"/>
      <c r="O2080" s="5"/>
      <c r="P2080" s="5"/>
      <c r="Q2080" s="5"/>
      <c r="R2080" s="8"/>
      <c r="S2080" s="8"/>
      <c r="T2080" s="3"/>
    </row>
    <row r="2081" spans="14:20" x14ac:dyDescent="0.3">
      <c r="N2081" s="5"/>
      <c r="O2081" s="5"/>
      <c r="P2081" s="5"/>
      <c r="Q2081" s="5"/>
      <c r="R2081" s="8"/>
      <c r="S2081" s="8"/>
      <c r="T2081" s="3"/>
    </row>
    <row r="2082" spans="14:20" x14ac:dyDescent="0.3">
      <c r="N2082" s="5"/>
      <c r="O2082" s="5"/>
      <c r="P2082" s="5"/>
      <c r="Q2082" s="5"/>
      <c r="R2082" s="8"/>
      <c r="S2082" s="8"/>
      <c r="T2082" s="3"/>
    </row>
    <row r="2083" spans="14:20" x14ac:dyDescent="0.3">
      <c r="N2083" s="5"/>
      <c r="O2083" s="5"/>
      <c r="P2083" s="5"/>
      <c r="Q2083" s="5"/>
      <c r="R2083" s="8"/>
      <c r="S2083" s="8"/>
      <c r="T2083" s="3"/>
    </row>
    <row r="2084" spans="14:20" x14ac:dyDescent="0.3">
      <c r="N2084" s="5"/>
      <c r="O2084" s="5"/>
      <c r="P2084" s="5"/>
      <c r="Q2084" s="5"/>
      <c r="R2084" s="8"/>
      <c r="S2084" s="8"/>
      <c r="T2084" s="3"/>
    </row>
    <row r="2085" spans="14:20" x14ac:dyDescent="0.3">
      <c r="N2085" s="5"/>
      <c r="O2085" s="5"/>
      <c r="P2085" s="5"/>
      <c r="Q2085" s="5"/>
      <c r="R2085" s="8"/>
      <c r="S2085" s="8"/>
      <c r="T2085" s="3"/>
    </row>
    <row r="2086" spans="14:20" x14ac:dyDescent="0.3">
      <c r="N2086" s="5"/>
      <c r="O2086" s="5"/>
      <c r="P2086" s="5"/>
      <c r="Q2086" s="5"/>
      <c r="R2086" s="8"/>
      <c r="S2086" s="8"/>
      <c r="T2086" s="3"/>
    </row>
    <row r="2087" spans="14:20" x14ac:dyDescent="0.3">
      <c r="N2087" s="5"/>
      <c r="O2087" s="5"/>
      <c r="P2087" s="5"/>
      <c r="Q2087" s="5"/>
      <c r="R2087" s="8"/>
      <c r="S2087" s="8"/>
      <c r="T2087" s="3"/>
    </row>
    <row r="2088" spans="14:20" x14ac:dyDescent="0.3">
      <c r="N2088" s="5"/>
      <c r="O2088" s="5"/>
      <c r="P2088" s="5"/>
      <c r="Q2088" s="5"/>
      <c r="R2088" s="8"/>
      <c r="S2088" s="8"/>
      <c r="T2088" s="3"/>
    </row>
    <row r="2089" spans="14:20" x14ac:dyDescent="0.3">
      <c r="N2089" s="5"/>
      <c r="O2089" s="5"/>
      <c r="P2089" s="5"/>
      <c r="Q2089" s="5"/>
      <c r="R2089" s="8"/>
      <c r="S2089" s="8"/>
      <c r="T2089" s="3"/>
    </row>
    <row r="2090" spans="14:20" x14ac:dyDescent="0.3">
      <c r="N2090" s="5"/>
      <c r="O2090" s="5"/>
      <c r="P2090" s="5"/>
      <c r="Q2090" s="5"/>
      <c r="R2090" s="8"/>
      <c r="S2090" s="8"/>
      <c r="T2090" s="3"/>
    </row>
    <row r="2091" spans="14:20" x14ac:dyDescent="0.3">
      <c r="N2091" s="5"/>
      <c r="O2091" s="5"/>
      <c r="P2091" s="5"/>
      <c r="Q2091" s="5"/>
      <c r="R2091" s="8"/>
      <c r="S2091" s="8"/>
      <c r="T2091" s="3"/>
    </row>
    <row r="2092" spans="14:20" x14ac:dyDescent="0.3">
      <c r="N2092" s="5"/>
      <c r="O2092" s="5"/>
      <c r="P2092" s="5"/>
      <c r="Q2092" s="5"/>
      <c r="R2092" s="8"/>
      <c r="S2092" s="8"/>
      <c r="T2092" s="3"/>
    </row>
    <row r="2093" spans="14:20" x14ac:dyDescent="0.3">
      <c r="N2093" s="5"/>
      <c r="O2093" s="5"/>
      <c r="P2093" s="5"/>
      <c r="Q2093" s="5"/>
      <c r="R2093" s="8"/>
      <c r="S2093" s="8"/>
      <c r="T2093" s="3"/>
    </row>
    <row r="2094" spans="14:20" x14ac:dyDescent="0.3">
      <c r="N2094" s="5"/>
      <c r="O2094" s="5"/>
      <c r="P2094" s="5"/>
      <c r="Q2094" s="5"/>
      <c r="R2094" s="8"/>
      <c r="S2094" s="8"/>
      <c r="T2094" s="3"/>
    </row>
    <row r="2095" spans="14:20" x14ac:dyDescent="0.3">
      <c r="N2095" s="5"/>
      <c r="O2095" s="5"/>
      <c r="P2095" s="5"/>
      <c r="Q2095" s="5"/>
      <c r="R2095" s="8"/>
      <c r="S2095" s="8"/>
      <c r="T2095" s="3"/>
    </row>
    <row r="2096" spans="14:20" x14ac:dyDescent="0.3">
      <c r="N2096" s="5"/>
      <c r="O2096" s="5"/>
      <c r="P2096" s="5"/>
      <c r="Q2096" s="5"/>
      <c r="R2096" s="8"/>
      <c r="S2096" s="8"/>
      <c r="T2096" s="3"/>
    </row>
    <row r="2097" spans="14:20" x14ac:dyDescent="0.3">
      <c r="N2097" s="5"/>
      <c r="O2097" s="5"/>
      <c r="P2097" s="5"/>
      <c r="Q2097" s="5"/>
      <c r="R2097" s="8"/>
      <c r="S2097" s="8"/>
      <c r="T2097" s="3"/>
    </row>
    <row r="2098" spans="14:20" x14ac:dyDescent="0.3">
      <c r="N2098" s="5"/>
      <c r="O2098" s="5"/>
      <c r="P2098" s="5"/>
      <c r="Q2098" s="5"/>
      <c r="R2098" s="8"/>
      <c r="S2098" s="8"/>
      <c r="T2098" s="3"/>
    </row>
    <row r="2099" spans="14:20" x14ac:dyDescent="0.3">
      <c r="N2099" s="5"/>
      <c r="O2099" s="5"/>
      <c r="P2099" s="5"/>
      <c r="Q2099" s="5"/>
      <c r="R2099" s="8"/>
      <c r="S2099" s="8"/>
      <c r="T2099" s="3"/>
    </row>
    <row r="2100" spans="14:20" x14ac:dyDescent="0.3">
      <c r="N2100" s="5"/>
      <c r="O2100" s="5"/>
      <c r="P2100" s="5"/>
      <c r="Q2100" s="5"/>
      <c r="R2100" s="8"/>
      <c r="S2100" s="8"/>
      <c r="T2100" s="3"/>
    </row>
    <row r="2101" spans="14:20" x14ac:dyDescent="0.3">
      <c r="N2101" s="5"/>
      <c r="O2101" s="5"/>
      <c r="P2101" s="5"/>
      <c r="Q2101" s="5"/>
      <c r="R2101" s="8"/>
      <c r="S2101" s="8"/>
      <c r="T2101" s="3"/>
    </row>
    <row r="2102" spans="14:20" x14ac:dyDescent="0.3">
      <c r="N2102" s="5"/>
      <c r="O2102" s="5"/>
      <c r="P2102" s="5"/>
      <c r="Q2102" s="5"/>
      <c r="R2102" s="8"/>
      <c r="S2102" s="8"/>
      <c r="T2102" s="3"/>
    </row>
    <row r="2103" spans="14:20" x14ac:dyDescent="0.3">
      <c r="N2103" s="5"/>
      <c r="O2103" s="5"/>
      <c r="P2103" s="5"/>
      <c r="Q2103" s="5"/>
      <c r="R2103" s="8"/>
      <c r="S2103" s="8"/>
      <c r="T2103" s="3"/>
    </row>
    <row r="2104" spans="14:20" x14ac:dyDescent="0.3">
      <c r="N2104" s="5"/>
      <c r="O2104" s="5"/>
      <c r="P2104" s="5"/>
      <c r="Q2104" s="5"/>
      <c r="R2104" s="8"/>
      <c r="S2104" s="8"/>
      <c r="T2104" s="3"/>
    </row>
    <row r="2105" spans="14:20" x14ac:dyDescent="0.3">
      <c r="N2105" s="5"/>
      <c r="O2105" s="5"/>
      <c r="P2105" s="5"/>
      <c r="Q2105" s="5"/>
      <c r="R2105" s="8"/>
      <c r="S2105" s="8"/>
      <c r="T2105" s="3"/>
    </row>
    <row r="2106" spans="14:20" x14ac:dyDescent="0.3">
      <c r="N2106" s="5"/>
      <c r="O2106" s="5"/>
      <c r="P2106" s="5"/>
      <c r="Q2106" s="5"/>
      <c r="R2106" s="8"/>
      <c r="S2106" s="8"/>
      <c r="T2106" s="3"/>
    </row>
    <row r="2107" spans="14:20" x14ac:dyDescent="0.3">
      <c r="N2107" s="5"/>
      <c r="O2107" s="5"/>
      <c r="P2107" s="5"/>
      <c r="Q2107" s="5"/>
      <c r="R2107" s="8"/>
      <c r="S2107" s="8"/>
      <c r="T2107" s="3"/>
    </row>
    <row r="2108" spans="14:20" x14ac:dyDescent="0.3">
      <c r="N2108" s="5"/>
      <c r="O2108" s="5"/>
      <c r="P2108" s="5"/>
      <c r="Q2108" s="5"/>
      <c r="R2108" s="8"/>
      <c r="S2108" s="8"/>
      <c r="T2108" s="3"/>
    </row>
    <row r="2109" spans="14:20" x14ac:dyDescent="0.3">
      <c r="N2109" s="5"/>
      <c r="O2109" s="5"/>
      <c r="P2109" s="5"/>
      <c r="Q2109" s="5"/>
      <c r="R2109" s="8"/>
      <c r="S2109" s="8"/>
      <c r="T2109" s="3"/>
    </row>
    <row r="2110" spans="14:20" x14ac:dyDescent="0.3">
      <c r="N2110" s="5"/>
      <c r="O2110" s="5"/>
      <c r="P2110" s="5"/>
      <c r="Q2110" s="5"/>
      <c r="R2110" s="8"/>
      <c r="S2110" s="8"/>
      <c r="T2110" s="3"/>
    </row>
    <row r="2111" spans="14:20" x14ac:dyDescent="0.3">
      <c r="N2111" s="5"/>
      <c r="O2111" s="5"/>
      <c r="P2111" s="5"/>
      <c r="Q2111" s="5"/>
      <c r="R2111" s="8"/>
      <c r="S2111" s="8"/>
      <c r="T2111" s="3"/>
    </row>
    <row r="2112" spans="14:20" x14ac:dyDescent="0.3">
      <c r="N2112" s="5"/>
      <c r="O2112" s="5"/>
      <c r="P2112" s="5"/>
      <c r="Q2112" s="5"/>
      <c r="R2112" s="8"/>
      <c r="S2112" s="8"/>
      <c r="T2112" s="3"/>
    </row>
    <row r="2113" spans="14:20" x14ac:dyDescent="0.3">
      <c r="N2113" s="5"/>
      <c r="O2113" s="5"/>
      <c r="P2113" s="5"/>
      <c r="Q2113" s="5"/>
      <c r="R2113" s="8"/>
      <c r="S2113" s="8"/>
      <c r="T2113" s="3"/>
    </row>
    <row r="2114" spans="14:20" x14ac:dyDescent="0.3">
      <c r="N2114" s="5"/>
      <c r="O2114" s="5"/>
      <c r="P2114" s="5"/>
      <c r="Q2114" s="5"/>
      <c r="R2114" s="8"/>
      <c r="S2114" s="8"/>
      <c r="T2114" s="3"/>
    </row>
    <row r="2115" spans="14:20" x14ac:dyDescent="0.3">
      <c r="N2115" s="5"/>
      <c r="O2115" s="5"/>
      <c r="P2115" s="5"/>
      <c r="Q2115" s="5"/>
      <c r="R2115" s="8"/>
      <c r="S2115" s="8"/>
      <c r="T2115" s="3"/>
    </row>
    <row r="2116" spans="14:20" x14ac:dyDescent="0.3">
      <c r="N2116" s="5"/>
      <c r="O2116" s="5"/>
      <c r="P2116" s="5"/>
      <c r="Q2116" s="5"/>
      <c r="R2116" s="8"/>
      <c r="S2116" s="8"/>
      <c r="T2116" s="3"/>
    </row>
    <row r="2117" spans="14:20" x14ac:dyDescent="0.3">
      <c r="N2117" s="5"/>
      <c r="O2117" s="5"/>
      <c r="P2117" s="5"/>
      <c r="Q2117" s="5"/>
      <c r="R2117" s="8"/>
      <c r="S2117" s="8"/>
      <c r="T2117" s="3"/>
    </row>
    <row r="2118" spans="14:20" x14ac:dyDescent="0.3">
      <c r="N2118" s="5"/>
      <c r="O2118" s="5"/>
      <c r="P2118" s="5"/>
      <c r="Q2118" s="5"/>
      <c r="R2118" s="8"/>
      <c r="S2118" s="8"/>
      <c r="T2118" s="3"/>
    </row>
    <row r="2119" spans="14:20" x14ac:dyDescent="0.3">
      <c r="N2119" s="5"/>
      <c r="O2119" s="5"/>
      <c r="P2119" s="5"/>
      <c r="Q2119" s="5"/>
      <c r="R2119" s="8"/>
      <c r="S2119" s="8"/>
      <c r="T2119" s="3"/>
    </row>
    <row r="2120" spans="14:20" x14ac:dyDescent="0.3">
      <c r="N2120" s="5"/>
      <c r="O2120" s="5"/>
      <c r="P2120" s="5"/>
      <c r="Q2120" s="5"/>
      <c r="R2120" s="8"/>
      <c r="S2120" s="8"/>
      <c r="T2120" s="3"/>
    </row>
    <row r="2121" spans="14:20" x14ac:dyDescent="0.3">
      <c r="N2121" s="5"/>
      <c r="O2121" s="5"/>
      <c r="P2121" s="5"/>
      <c r="Q2121" s="5"/>
      <c r="R2121" s="8"/>
      <c r="S2121" s="8"/>
      <c r="T2121" s="3"/>
    </row>
    <row r="2122" spans="14:20" x14ac:dyDescent="0.3">
      <c r="N2122" s="5"/>
      <c r="O2122" s="5"/>
      <c r="P2122" s="5"/>
      <c r="Q2122" s="5"/>
      <c r="R2122" s="8"/>
      <c r="S2122" s="8"/>
      <c r="T2122" s="3"/>
    </row>
    <row r="2123" spans="14:20" x14ac:dyDescent="0.3">
      <c r="N2123" s="5"/>
      <c r="O2123" s="5"/>
      <c r="P2123" s="5"/>
      <c r="Q2123" s="5"/>
      <c r="R2123" s="8"/>
      <c r="S2123" s="8"/>
      <c r="T2123" s="3"/>
    </row>
    <row r="2124" spans="14:20" x14ac:dyDescent="0.3">
      <c r="N2124" s="5"/>
      <c r="O2124" s="5"/>
      <c r="P2124" s="5"/>
      <c r="Q2124" s="5"/>
      <c r="R2124" s="8"/>
      <c r="S2124" s="8"/>
      <c r="T2124" s="3"/>
    </row>
    <row r="2125" spans="14:20" x14ac:dyDescent="0.3">
      <c r="N2125" s="5"/>
      <c r="O2125" s="5"/>
      <c r="P2125" s="5"/>
      <c r="Q2125" s="5"/>
      <c r="R2125" s="8"/>
      <c r="S2125" s="8"/>
      <c r="T2125" s="3"/>
    </row>
    <row r="2126" spans="14:20" x14ac:dyDescent="0.3">
      <c r="N2126" s="5"/>
      <c r="O2126" s="5"/>
      <c r="P2126" s="5"/>
      <c r="Q2126" s="5"/>
      <c r="R2126" s="8"/>
      <c r="S2126" s="8"/>
      <c r="T2126" s="3"/>
    </row>
    <row r="2127" spans="14:20" x14ac:dyDescent="0.3">
      <c r="N2127" s="5"/>
      <c r="O2127" s="5"/>
      <c r="P2127" s="5"/>
      <c r="Q2127" s="5"/>
      <c r="R2127" s="8"/>
      <c r="S2127" s="8"/>
      <c r="T2127" s="3"/>
    </row>
    <row r="2128" spans="14:20" x14ac:dyDescent="0.3">
      <c r="N2128" s="5"/>
      <c r="O2128" s="5"/>
      <c r="P2128" s="5"/>
      <c r="Q2128" s="5"/>
      <c r="R2128" s="8"/>
      <c r="S2128" s="8"/>
      <c r="T2128" s="3"/>
    </row>
    <row r="2129" spans="14:20" x14ac:dyDescent="0.3">
      <c r="N2129" s="5"/>
      <c r="O2129" s="5"/>
      <c r="P2129" s="5"/>
      <c r="Q2129" s="5"/>
      <c r="R2129" s="8"/>
      <c r="S2129" s="8"/>
      <c r="T2129" s="3"/>
    </row>
    <row r="2130" spans="14:20" x14ac:dyDescent="0.3">
      <c r="N2130" s="5"/>
      <c r="O2130" s="5"/>
      <c r="P2130" s="5"/>
      <c r="Q2130" s="5"/>
      <c r="R2130" s="8"/>
      <c r="S2130" s="8"/>
      <c r="T2130" s="3"/>
    </row>
    <row r="2131" spans="14:20" x14ac:dyDescent="0.3">
      <c r="N2131" s="5"/>
      <c r="O2131" s="5"/>
      <c r="P2131" s="5"/>
      <c r="Q2131" s="5"/>
      <c r="R2131" s="8"/>
      <c r="S2131" s="8"/>
      <c r="T2131" s="3"/>
    </row>
    <row r="2132" spans="14:20" x14ac:dyDescent="0.3">
      <c r="N2132" s="5"/>
      <c r="O2132" s="5"/>
      <c r="P2132" s="5"/>
      <c r="Q2132" s="5"/>
      <c r="R2132" s="8"/>
      <c r="S2132" s="8"/>
      <c r="T2132" s="3"/>
    </row>
    <row r="2133" spans="14:20" x14ac:dyDescent="0.3">
      <c r="N2133" s="5"/>
      <c r="O2133" s="5"/>
      <c r="P2133" s="5"/>
      <c r="Q2133" s="5"/>
      <c r="R2133" s="8"/>
      <c r="S2133" s="8"/>
      <c r="T2133" s="3"/>
    </row>
    <row r="2134" spans="14:20" x14ac:dyDescent="0.3">
      <c r="N2134" s="5"/>
      <c r="O2134" s="5"/>
      <c r="P2134" s="5"/>
      <c r="Q2134" s="5"/>
      <c r="R2134" s="8"/>
      <c r="S2134" s="8"/>
      <c r="T2134" s="3"/>
    </row>
    <row r="2135" spans="14:20" x14ac:dyDescent="0.3">
      <c r="N2135" s="5"/>
      <c r="O2135" s="5"/>
      <c r="P2135" s="5"/>
      <c r="Q2135" s="5"/>
      <c r="R2135" s="8"/>
      <c r="S2135" s="8"/>
      <c r="T2135" s="3"/>
    </row>
    <row r="2136" spans="14:20" x14ac:dyDescent="0.3">
      <c r="N2136" s="5"/>
      <c r="O2136" s="5"/>
      <c r="P2136" s="5"/>
      <c r="Q2136" s="5"/>
      <c r="R2136" s="8"/>
      <c r="S2136" s="8"/>
      <c r="T2136" s="3"/>
    </row>
    <row r="2137" spans="14:20" x14ac:dyDescent="0.3">
      <c r="N2137" s="5"/>
      <c r="O2137" s="5"/>
      <c r="P2137" s="5"/>
      <c r="Q2137" s="5"/>
      <c r="R2137" s="8"/>
      <c r="S2137" s="8"/>
      <c r="T2137" s="3"/>
    </row>
    <row r="2138" spans="14:20" x14ac:dyDescent="0.3">
      <c r="N2138" s="5"/>
      <c r="O2138" s="5"/>
      <c r="P2138" s="5"/>
      <c r="Q2138" s="5"/>
      <c r="R2138" s="8"/>
      <c r="S2138" s="8"/>
      <c r="T2138" s="3"/>
    </row>
    <row r="2139" spans="14:20" x14ac:dyDescent="0.3">
      <c r="N2139" s="5"/>
      <c r="O2139" s="5"/>
      <c r="P2139" s="5"/>
      <c r="Q2139" s="5"/>
      <c r="R2139" s="8"/>
      <c r="S2139" s="8"/>
      <c r="T2139" s="3"/>
    </row>
    <row r="2140" spans="14:20" x14ac:dyDescent="0.3">
      <c r="N2140" s="5"/>
      <c r="O2140" s="5"/>
      <c r="P2140" s="5"/>
      <c r="Q2140" s="5"/>
      <c r="R2140" s="8"/>
      <c r="S2140" s="8"/>
      <c r="T2140" s="3"/>
    </row>
    <row r="2141" spans="14:20" x14ac:dyDescent="0.3">
      <c r="N2141" s="5"/>
      <c r="O2141" s="5"/>
      <c r="P2141" s="5"/>
      <c r="Q2141" s="5"/>
      <c r="R2141" s="8"/>
      <c r="S2141" s="8"/>
      <c r="T2141" s="3"/>
    </row>
    <row r="2142" spans="14:20" x14ac:dyDescent="0.3">
      <c r="N2142" s="5"/>
      <c r="O2142" s="5"/>
      <c r="P2142" s="5"/>
      <c r="Q2142" s="5"/>
      <c r="R2142" s="8"/>
      <c r="S2142" s="8"/>
      <c r="T2142" s="3"/>
    </row>
    <row r="2143" spans="14:20" x14ac:dyDescent="0.3">
      <c r="N2143" s="5"/>
      <c r="O2143" s="5"/>
      <c r="P2143" s="5"/>
      <c r="Q2143" s="5"/>
      <c r="R2143" s="8"/>
      <c r="S2143" s="8"/>
      <c r="T2143" s="3"/>
    </row>
    <row r="2144" spans="14:20" x14ac:dyDescent="0.3">
      <c r="N2144" s="5"/>
      <c r="O2144" s="5"/>
      <c r="P2144" s="5"/>
      <c r="Q2144" s="5"/>
      <c r="R2144" s="8"/>
      <c r="S2144" s="8"/>
      <c r="T2144" s="3"/>
    </row>
    <row r="2145" spans="14:20" x14ac:dyDescent="0.3">
      <c r="N2145" s="5"/>
      <c r="O2145" s="5"/>
      <c r="P2145" s="5"/>
      <c r="Q2145" s="5"/>
      <c r="R2145" s="8"/>
      <c r="S2145" s="8"/>
      <c r="T2145" s="3"/>
    </row>
    <row r="2146" spans="14:20" x14ac:dyDescent="0.3">
      <c r="N2146" s="5"/>
      <c r="O2146" s="5"/>
      <c r="P2146" s="5"/>
      <c r="Q2146" s="5"/>
      <c r="R2146" s="8"/>
      <c r="S2146" s="8"/>
      <c r="T2146" s="3"/>
    </row>
    <row r="2147" spans="14:20" x14ac:dyDescent="0.3">
      <c r="N2147" s="5"/>
      <c r="O2147" s="5"/>
      <c r="P2147" s="5"/>
      <c r="Q2147" s="5"/>
      <c r="R2147" s="8"/>
      <c r="S2147" s="8"/>
      <c r="T2147" s="3"/>
    </row>
    <row r="2148" spans="14:20" x14ac:dyDescent="0.3">
      <c r="N2148" s="5"/>
      <c r="O2148" s="5"/>
      <c r="P2148" s="5"/>
      <c r="Q2148" s="5"/>
      <c r="R2148" s="8"/>
      <c r="S2148" s="8"/>
      <c r="T2148" s="3"/>
    </row>
    <row r="2149" spans="14:20" x14ac:dyDescent="0.3">
      <c r="N2149" s="5"/>
      <c r="O2149" s="5"/>
      <c r="P2149" s="5"/>
      <c r="Q2149" s="5"/>
      <c r="R2149" s="8"/>
      <c r="S2149" s="8"/>
      <c r="T2149" s="3"/>
    </row>
    <row r="2150" spans="14:20" x14ac:dyDescent="0.3">
      <c r="N2150" s="5"/>
      <c r="O2150" s="5"/>
      <c r="P2150" s="5"/>
      <c r="Q2150" s="5"/>
      <c r="R2150" s="8"/>
      <c r="S2150" s="8"/>
      <c r="T2150" s="3"/>
    </row>
    <row r="2151" spans="14:20" x14ac:dyDescent="0.3">
      <c r="N2151" s="5"/>
      <c r="O2151" s="5"/>
      <c r="P2151" s="5"/>
      <c r="Q2151" s="5"/>
      <c r="R2151" s="8"/>
      <c r="S2151" s="8"/>
      <c r="T2151" s="3"/>
    </row>
    <row r="2152" spans="14:20" x14ac:dyDescent="0.3">
      <c r="N2152" s="5"/>
      <c r="O2152" s="5"/>
      <c r="P2152" s="5"/>
      <c r="Q2152" s="5"/>
      <c r="R2152" s="8"/>
      <c r="S2152" s="8"/>
      <c r="T2152" s="3"/>
    </row>
    <row r="2153" spans="14:20" x14ac:dyDescent="0.3">
      <c r="N2153" s="5"/>
      <c r="O2153" s="5"/>
      <c r="P2153" s="5"/>
      <c r="Q2153" s="5"/>
      <c r="R2153" s="8"/>
      <c r="S2153" s="8"/>
      <c r="T2153" s="3"/>
    </row>
    <row r="2154" spans="14:20" x14ac:dyDescent="0.3">
      <c r="N2154" s="5"/>
      <c r="O2154" s="5"/>
      <c r="P2154" s="5"/>
      <c r="Q2154" s="5"/>
      <c r="R2154" s="8"/>
      <c r="S2154" s="8"/>
      <c r="T2154" s="3"/>
    </row>
    <row r="2155" spans="14:20" x14ac:dyDescent="0.3">
      <c r="N2155" s="5"/>
      <c r="O2155" s="5"/>
      <c r="P2155" s="5"/>
      <c r="Q2155" s="5"/>
      <c r="R2155" s="8"/>
      <c r="S2155" s="8"/>
      <c r="T2155" s="3"/>
    </row>
    <row r="2156" spans="14:20" x14ac:dyDescent="0.3">
      <c r="N2156" s="5"/>
      <c r="O2156" s="5"/>
      <c r="P2156" s="5"/>
      <c r="Q2156" s="5"/>
      <c r="R2156" s="8"/>
      <c r="S2156" s="8"/>
      <c r="T2156" s="3"/>
    </row>
    <row r="2157" spans="14:20" x14ac:dyDescent="0.3">
      <c r="N2157" s="5"/>
      <c r="O2157" s="5"/>
      <c r="P2157" s="5"/>
      <c r="Q2157" s="5"/>
      <c r="R2157" s="8"/>
      <c r="S2157" s="8"/>
      <c r="T2157" s="3"/>
    </row>
    <row r="2158" spans="14:20" x14ac:dyDescent="0.3">
      <c r="N2158" s="5"/>
      <c r="O2158" s="5"/>
      <c r="P2158" s="5"/>
      <c r="Q2158" s="5"/>
      <c r="R2158" s="8"/>
      <c r="S2158" s="8"/>
      <c r="T2158" s="3"/>
    </row>
    <row r="2159" spans="14:20" x14ac:dyDescent="0.3">
      <c r="N2159" s="5"/>
      <c r="O2159" s="5"/>
      <c r="P2159" s="5"/>
      <c r="Q2159" s="5"/>
      <c r="R2159" s="8"/>
      <c r="S2159" s="8"/>
      <c r="T2159" s="3"/>
    </row>
    <row r="2160" spans="14:20" x14ac:dyDescent="0.3">
      <c r="N2160" s="5"/>
      <c r="O2160" s="5"/>
      <c r="P2160" s="5"/>
      <c r="Q2160" s="5"/>
      <c r="R2160" s="8"/>
      <c r="S2160" s="8"/>
      <c r="T2160" s="3"/>
    </row>
    <row r="2161" spans="14:20" x14ac:dyDescent="0.3">
      <c r="N2161" s="5"/>
      <c r="O2161" s="5"/>
      <c r="P2161" s="5"/>
      <c r="Q2161" s="5"/>
      <c r="R2161" s="8"/>
      <c r="S2161" s="8"/>
      <c r="T2161" s="3"/>
    </row>
    <row r="2162" spans="14:20" x14ac:dyDescent="0.3">
      <c r="N2162" s="5"/>
      <c r="O2162" s="5"/>
      <c r="P2162" s="5"/>
      <c r="Q2162" s="5"/>
      <c r="R2162" s="8"/>
      <c r="S2162" s="8"/>
      <c r="T2162" s="3"/>
    </row>
    <row r="2163" spans="14:20" x14ac:dyDescent="0.3">
      <c r="N2163" s="5"/>
      <c r="O2163" s="5"/>
      <c r="P2163" s="5"/>
      <c r="Q2163" s="5"/>
      <c r="R2163" s="8"/>
      <c r="S2163" s="8"/>
      <c r="T2163" s="3"/>
    </row>
    <row r="2164" spans="14:20" x14ac:dyDescent="0.3">
      <c r="N2164" s="5"/>
      <c r="O2164" s="5"/>
      <c r="P2164" s="5"/>
      <c r="Q2164" s="5"/>
      <c r="R2164" s="8"/>
      <c r="S2164" s="8"/>
      <c r="T2164" s="3"/>
    </row>
    <row r="2165" spans="14:20" x14ac:dyDescent="0.3">
      <c r="N2165" s="5"/>
      <c r="O2165" s="5"/>
      <c r="P2165" s="5"/>
      <c r="Q2165" s="5"/>
      <c r="R2165" s="8"/>
      <c r="S2165" s="8"/>
      <c r="T2165" s="3"/>
    </row>
    <row r="2166" spans="14:20" x14ac:dyDescent="0.3">
      <c r="N2166" s="5"/>
      <c r="O2166" s="5"/>
      <c r="P2166" s="5"/>
      <c r="Q2166" s="5"/>
      <c r="R2166" s="8"/>
      <c r="S2166" s="8"/>
      <c r="T2166" s="3"/>
    </row>
    <row r="2167" spans="14:20" x14ac:dyDescent="0.3">
      <c r="N2167" s="5"/>
      <c r="O2167" s="5"/>
      <c r="P2167" s="5"/>
      <c r="Q2167" s="5"/>
      <c r="R2167" s="8"/>
      <c r="S2167" s="8"/>
      <c r="T2167" s="3"/>
    </row>
    <row r="2168" spans="14:20" x14ac:dyDescent="0.3">
      <c r="N2168" s="5"/>
      <c r="O2168" s="5"/>
      <c r="P2168" s="5"/>
      <c r="Q2168" s="5"/>
      <c r="R2168" s="8"/>
      <c r="S2168" s="8"/>
      <c r="T2168" s="3"/>
    </row>
    <row r="2169" spans="14:20" x14ac:dyDescent="0.3">
      <c r="N2169" s="5"/>
      <c r="O2169" s="5"/>
      <c r="P2169" s="5"/>
      <c r="Q2169" s="5"/>
      <c r="R2169" s="8"/>
      <c r="S2169" s="8"/>
      <c r="T2169" s="3"/>
    </row>
    <row r="2170" spans="14:20" x14ac:dyDescent="0.3">
      <c r="N2170" s="5"/>
      <c r="O2170" s="5"/>
      <c r="P2170" s="5"/>
      <c r="Q2170" s="5"/>
      <c r="R2170" s="8"/>
      <c r="S2170" s="8"/>
      <c r="T2170" s="3"/>
    </row>
    <row r="2171" spans="14:20" x14ac:dyDescent="0.3">
      <c r="N2171" s="5"/>
      <c r="O2171" s="5"/>
      <c r="P2171" s="5"/>
      <c r="Q2171" s="5"/>
      <c r="R2171" s="8"/>
      <c r="S2171" s="8"/>
      <c r="T2171" s="3"/>
    </row>
    <row r="2172" spans="14:20" x14ac:dyDescent="0.3">
      <c r="N2172" s="5"/>
      <c r="O2172" s="5"/>
      <c r="P2172" s="5"/>
      <c r="Q2172" s="5"/>
      <c r="R2172" s="8"/>
      <c r="S2172" s="8"/>
      <c r="T2172" s="3"/>
    </row>
    <row r="2173" spans="14:20" x14ac:dyDescent="0.3">
      <c r="N2173" s="5"/>
      <c r="O2173" s="5"/>
      <c r="P2173" s="5"/>
      <c r="Q2173" s="5"/>
      <c r="R2173" s="8"/>
      <c r="S2173" s="8"/>
      <c r="T2173" s="3"/>
    </row>
    <row r="2174" spans="14:20" x14ac:dyDescent="0.3">
      <c r="N2174" s="5"/>
      <c r="O2174" s="5"/>
      <c r="P2174" s="5"/>
      <c r="Q2174" s="5"/>
      <c r="R2174" s="8"/>
      <c r="S2174" s="8"/>
      <c r="T2174" s="3"/>
    </row>
    <row r="2175" spans="14:20" x14ac:dyDescent="0.3">
      <c r="N2175" s="5"/>
      <c r="O2175" s="5"/>
      <c r="P2175" s="5"/>
      <c r="Q2175" s="5"/>
      <c r="R2175" s="8"/>
      <c r="S2175" s="8"/>
      <c r="T2175" s="3"/>
    </row>
    <row r="2176" spans="14:20" x14ac:dyDescent="0.3">
      <c r="N2176" s="5"/>
      <c r="O2176" s="5"/>
      <c r="P2176" s="5"/>
      <c r="Q2176" s="5"/>
      <c r="R2176" s="8"/>
      <c r="S2176" s="8"/>
      <c r="T2176" s="3"/>
    </row>
    <row r="2177" spans="14:20" x14ac:dyDescent="0.3">
      <c r="N2177" s="5"/>
      <c r="O2177" s="5"/>
      <c r="P2177" s="5"/>
      <c r="Q2177" s="5"/>
      <c r="R2177" s="8"/>
      <c r="S2177" s="8"/>
      <c r="T2177" s="3"/>
    </row>
    <row r="2178" spans="14:20" x14ac:dyDescent="0.3">
      <c r="N2178" s="5"/>
      <c r="O2178" s="5"/>
      <c r="P2178" s="5"/>
      <c r="Q2178" s="5"/>
      <c r="R2178" s="8"/>
      <c r="S2178" s="8"/>
      <c r="T2178" s="3"/>
    </row>
    <row r="2179" spans="14:20" x14ac:dyDescent="0.3">
      <c r="N2179" s="5"/>
      <c r="O2179" s="5"/>
      <c r="P2179" s="5"/>
      <c r="Q2179" s="5"/>
      <c r="R2179" s="8"/>
      <c r="S2179" s="8"/>
      <c r="T2179" s="3"/>
    </row>
    <row r="2180" spans="14:20" x14ac:dyDescent="0.3">
      <c r="N2180" s="5"/>
      <c r="O2180" s="5"/>
      <c r="P2180" s="5"/>
      <c r="Q2180" s="5"/>
      <c r="R2180" s="8"/>
      <c r="S2180" s="8"/>
      <c r="T2180" s="3"/>
    </row>
    <row r="2181" spans="14:20" x14ac:dyDescent="0.3">
      <c r="N2181" s="5"/>
      <c r="O2181" s="5"/>
      <c r="P2181" s="5"/>
      <c r="Q2181" s="5"/>
      <c r="R2181" s="8"/>
      <c r="S2181" s="8"/>
      <c r="T2181" s="3"/>
    </row>
    <row r="2182" spans="14:20" x14ac:dyDescent="0.3">
      <c r="N2182" s="5"/>
      <c r="O2182" s="5"/>
      <c r="P2182" s="5"/>
      <c r="Q2182" s="5"/>
      <c r="R2182" s="8"/>
      <c r="S2182" s="8"/>
      <c r="T2182" s="3"/>
    </row>
    <row r="2183" spans="14:20" x14ac:dyDescent="0.3">
      <c r="N2183" s="5"/>
      <c r="O2183" s="5"/>
      <c r="P2183" s="5"/>
      <c r="Q2183" s="5"/>
      <c r="R2183" s="8"/>
      <c r="S2183" s="8"/>
      <c r="T2183" s="3"/>
    </row>
    <row r="2184" spans="14:20" x14ac:dyDescent="0.3">
      <c r="N2184" s="5"/>
      <c r="O2184" s="5"/>
      <c r="P2184" s="5"/>
      <c r="Q2184" s="5"/>
      <c r="R2184" s="8"/>
      <c r="S2184" s="8"/>
      <c r="T2184" s="3"/>
    </row>
    <row r="2185" spans="14:20" x14ac:dyDescent="0.3">
      <c r="N2185" s="5"/>
      <c r="O2185" s="5"/>
      <c r="P2185" s="5"/>
      <c r="Q2185" s="5"/>
      <c r="R2185" s="8"/>
      <c r="S2185" s="8"/>
      <c r="T2185" s="3"/>
    </row>
    <row r="2186" spans="14:20" x14ac:dyDescent="0.3">
      <c r="N2186" s="5"/>
      <c r="O2186" s="5"/>
      <c r="P2186" s="5"/>
      <c r="Q2186" s="5"/>
      <c r="R2186" s="8"/>
      <c r="S2186" s="8"/>
      <c r="T2186" s="3"/>
    </row>
    <row r="2187" spans="14:20" x14ac:dyDescent="0.3">
      <c r="N2187" s="5"/>
      <c r="O2187" s="5"/>
      <c r="P2187" s="5"/>
      <c r="Q2187" s="5"/>
      <c r="R2187" s="8"/>
      <c r="S2187" s="8"/>
      <c r="T2187" s="3"/>
    </row>
    <row r="2188" spans="14:20" x14ac:dyDescent="0.3">
      <c r="N2188" s="5"/>
      <c r="O2188" s="5"/>
      <c r="P2188" s="5"/>
      <c r="Q2188" s="5"/>
      <c r="R2188" s="8"/>
      <c r="S2188" s="8"/>
      <c r="T2188" s="3"/>
    </row>
    <row r="2189" spans="14:20" x14ac:dyDescent="0.3">
      <c r="N2189" s="5"/>
      <c r="O2189" s="5"/>
      <c r="P2189" s="5"/>
      <c r="Q2189" s="5"/>
      <c r="R2189" s="8"/>
      <c r="S2189" s="8"/>
      <c r="T2189" s="3"/>
    </row>
    <row r="2190" spans="14:20" x14ac:dyDescent="0.3">
      <c r="N2190" s="5"/>
      <c r="O2190" s="5"/>
      <c r="P2190" s="5"/>
      <c r="Q2190" s="5"/>
      <c r="R2190" s="8"/>
      <c r="S2190" s="8"/>
      <c r="T2190" s="3"/>
    </row>
    <row r="2191" spans="14:20" x14ac:dyDescent="0.3">
      <c r="N2191" s="5"/>
      <c r="O2191" s="5"/>
      <c r="P2191" s="5"/>
      <c r="Q2191" s="5"/>
      <c r="R2191" s="8"/>
      <c r="S2191" s="8"/>
      <c r="T2191" s="3"/>
    </row>
    <row r="2192" spans="14:20" x14ac:dyDescent="0.3">
      <c r="N2192" s="5"/>
      <c r="O2192" s="5"/>
      <c r="P2192" s="5"/>
      <c r="Q2192" s="5"/>
      <c r="R2192" s="8"/>
      <c r="S2192" s="8"/>
      <c r="T2192" s="3"/>
    </row>
    <row r="2193" spans="14:20" x14ac:dyDescent="0.3">
      <c r="N2193" s="5"/>
      <c r="O2193" s="5"/>
      <c r="P2193" s="5"/>
      <c r="Q2193" s="5"/>
      <c r="R2193" s="8"/>
      <c r="S2193" s="8"/>
      <c r="T2193" s="3"/>
    </row>
    <row r="2194" spans="14:20" x14ac:dyDescent="0.3">
      <c r="N2194" s="5"/>
      <c r="O2194" s="5"/>
      <c r="P2194" s="5"/>
      <c r="Q2194" s="5"/>
      <c r="R2194" s="8"/>
      <c r="S2194" s="8"/>
      <c r="T2194" s="3"/>
    </row>
    <row r="2195" spans="14:20" x14ac:dyDescent="0.3">
      <c r="N2195" s="5"/>
      <c r="O2195" s="5"/>
      <c r="P2195" s="5"/>
      <c r="Q2195" s="5"/>
      <c r="R2195" s="8"/>
      <c r="S2195" s="8"/>
      <c r="T2195" s="3"/>
    </row>
    <row r="2196" spans="14:20" x14ac:dyDescent="0.3">
      <c r="N2196" s="5"/>
      <c r="O2196" s="5"/>
      <c r="P2196" s="5"/>
      <c r="Q2196" s="5"/>
      <c r="R2196" s="8"/>
      <c r="S2196" s="8"/>
      <c r="T2196" s="3"/>
    </row>
    <row r="2197" spans="14:20" x14ac:dyDescent="0.3">
      <c r="N2197" s="5"/>
      <c r="O2197" s="5"/>
      <c r="P2197" s="5"/>
      <c r="Q2197" s="5"/>
      <c r="R2197" s="8"/>
      <c r="S2197" s="8"/>
      <c r="T2197" s="3"/>
    </row>
    <row r="2198" spans="14:20" x14ac:dyDescent="0.3">
      <c r="N2198" s="5"/>
      <c r="O2198" s="5"/>
      <c r="P2198" s="5"/>
      <c r="Q2198" s="5"/>
      <c r="R2198" s="8"/>
      <c r="S2198" s="8"/>
      <c r="T2198" s="3"/>
    </row>
    <row r="2199" spans="14:20" x14ac:dyDescent="0.3">
      <c r="N2199" s="5"/>
      <c r="O2199" s="5"/>
      <c r="P2199" s="5"/>
      <c r="Q2199" s="5"/>
      <c r="R2199" s="8"/>
      <c r="S2199" s="8"/>
      <c r="T2199" s="3"/>
    </row>
    <row r="2200" spans="14:20" x14ac:dyDescent="0.3">
      <c r="N2200" s="5"/>
      <c r="O2200" s="5"/>
      <c r="P2200" s="5"/>
      <c r="Q2200" s="5"/>
      <c r="R2200" s="8"/>
      <c r="S2200" s="8"/>
      <c r="T2200" s="3"/>
    </row>
    <row r="2201" spans="14:20" x14ac:dyDescent="0.3">
      <c r="N2201" s="5"/>
      <c r="O2201" s="5"/>
      <c r="P2201" s="5"/>
      <c r="Q2201" s="5"/>
      <c r="R2201" s="8"/>
      <c r="S2201" s="8"/>
      <c r="T2201" s="3"/>
    </row>
    <row r="2202" spans="14:20" x14ac:dyDescent="0.3">
      <c r="N2202" s="5"/>
      <c r="O2202" s="5"/>
      <c r="P2202" s="5"/>
      <c r="Q2202" s="5"/>
      <c r="R2202" s="8"/>
      <c r="S2202" s="8"/>
      <c r="T2202" s="3"/>
    </row>
    <row r="2203" spans="14:20" x14ac:dyDescent="0.3">
      <c r="N2203" s="5"/>
      <c r="O2203" s="5"/>
      <c r="P2203" s="5"/>
      <c r="Q2203" s="5"/>
      <c r="R2203" s="8"/>
      <c r="S2203" s="8"/>
      <c r="T2203" s="3"/>
    </row>
    <row r="2204" spans="14:20" x14ac:dyDescent="0.3">
      <c r="N2204" s="5"/>
      <c r="O2204" s="5"/>
      <c r="P2204" s="5"/>
      <c r="Q2204" s="5"/>
      <c r="R2204" s="8"/>
      <c r="S2204" s="8"/>
      <c r="T2204" s="3"/>
    </row>
    <row r="2205" spans="14:20" x14ac:dyDescent="0.3">
      <c r="N2205" s="5"/>
      <c r="O2205" s="5"/>
      <c r="P2205" s="5"/>
      <c r="Q2205" s="5"/>
      <c r="R2205" s="8"/>
      <c r="S2205" s="8"/>
      <c r="T2205" s="3"/>
    </row>
    <row r="2206" spans="14:20" x14ac:dyDescent="0.3">
      <c r="N2206" s="5"/>
      <c r="O2206" s="5"/>
      <c r="P2206" s="5"/>
      <c r="Q2206" s="5"/>
      <c r="R2206" s="8"/>
      <c r="S2206" s="8"/>
      <c r="T2206" s="3"/>
    </row>
    <row r="2207" spans="14:20" x14ac:dyDescent="0.3">
      <c r="N2207" s="5"/>
      <c r="O2207" s="5"/>
      <c r="P2207" s="5"/>
      <c r="Q2207" s="5"/>
      <c r="R2207" s="8"/>
      <c r="S2207" s="8"/>
      <c r="T2207" s="3"/>
    </row>
    <row r="2208" spans="14:20" x14ac:dyDescent="0.3">
      <c r="N2208" s="5"/>
      <c r="O2208" s="5"/>
      <c r="P2208" s="5"/>
      <c r="Q2208" s="5"/>
      <c r="R2208" s="8"/>
      <c r="S2208" s="8"/>
      <c r="T2208" s="3"/>
    </row>
    <row r="2209" spans="14:20" x14ac:dyDescent="0.3">
      <c r="N2209" s="5"/>
      <c r="O2209" s="5"/>
      <c r="P2209" s="5"/>
      <c r="Q2209" s="5"/>
      <c r="R2209" s="8"/>
      <c r="S2209" s="8"/>
      <c r="T2209" s="3"/>
    </row>
    <row r="2210" spans="14:20" x14ac:dyDescent="0.3">
      <c r="N2210" s="5"/>
      <c r="O2210" s="5"/>
      <c r="P2210" s="5"/>
      <c r="Q2210" s="5"/>
      <c r="R2210" s="8"/>
      <c r="S2210" s="8"/>
      <c r="T2210" s="3"/>
    </row>
    <row r="2211" spans="14:20" x14ac:dyDescent="0.3">
      <c r="N2211" s="5"/>
      <c r="O2211" s="5"/>
      <c r="P2211" s="5"/>
      <c r="Q2211" s="5"/>
      <c r="R2211" s="8"/>
      <c r="S2211" s="8"/>
      <c r="T2211" s="3"/>
    </row>
    <row r="2212" spans="14:20" x14ac:dyDescent="0.3">
      <c r="N2212" s="5"/>
      <c r="O2212" s="5"/>
      <c r="P2212" s="5"/>
      <c r="Q2212" s="5"/>
      <c r="R2212" s="8"/>
      <c r="S2212" s="8"/>
      <c r="T2212" s="3"/>
    </row>
    <row r="2213" spans="14:20" x14ac:dyDescent="0.3">
      <c r="N2213" s="5"/>
      <c r="O2213" s="5"/>
      <c r="P2213" s="5"/>
      <c r="Q2213" s="5"/>
      <c r="R2213" s="8"/>
      <c r="S2213" s="8"/>
      <c r="T2213" s="3"/>
    </row>
    <row r="2214" spans="14:20" x14ac:dyDescent="0.3">
      <c r="N2214" s="5"/>
      <c r="O2214" s="5"/>
      <c r="P2214" s="5"/>
      <c r="Q2214" s="5"/>
      <c r="R2214" s="8"/>
      <c r="S2214" s="8"/>
      <c r="T2214" s="3"/>
    </row>
    <row r="2215" spans="14:20" x14ac:dyDescent="0.3">
      <c r="N2215" s="5"/>
      <c r="O2215" s="5"/>
      <c r="P2215" s="5"/>
      <c r="Q2215" s="5"/>
      <c r="R2215" s="8"/>
      <c r="S2215" s="8"/>
      <c r="T2215" s="3"/>
    </row>
    <row r="2216" spans="14:20" x14ac:dyDescent="0.3">
      <c r="N2216" s="5"/>
      <c r="O2216" s="5"/>
      <c r="P2216" s="5"/>
      <c r="Q2216" s="5"/>
      <c r="R2216" s="8"/>
      <c r="S2216" s="8"/>
      <c r="T2216" s="3"/>
    </row>
    <row r="2217" spans="14:20" x14ac:dyDescent="0.3">
      <c r="N2217" s="5"/>
      <c r="O2217" s="5"/>
      <c r="P2217" s="5"/>
      <c r="Q2217" s="5"/>
      <c r="R2217" s="8"/>
      <c r="S2217" s="8"/>
      <c r="T2217" s="3"/>
    </row>
    <row r="2218" spans="14:20" x14ac:dyDescent="0.3">
      <c r="N2218" s="5"/>
      <c r="O2218" s="5"/>
      <c r="P2218" s="5"/>
      <c r="Q2218" s="5"/>
      <c r="R2218" s="8"/>
      <c r="S2218" s="8"/>
      <c r="T2218" s="3"/>
    </row>
    <row r="2219" spans="14:20" x14ac:dyDescent="0.3">
      <c r="N2219" s="5"/>
      <c r="O2219" s="5"/>
      <c r="P2219" s="5"/>
      <c r="Q2219" s="5"/>
      <c r="R2219" s="8"/>
      <c r="S2219" s="8"/>
      <c r="T2219" s="3"/>
    </row>
    <row r="2220" spans="14:20" x14ac:dyDescent="0.3">
      <c r="N2220" s="5"/>
      <c r="O2220" s="5"/>
      <c r="P2220" s="5"/>
      <c r="Q2220" s="5"/>
      <c r="R2220" s="8"/>
      <c r="S2220" s="8"/>
      <c r="T2220" s="3"/>
    </row>
    <row r="2221" spans="14:20" x14ac:dyDescent="0.3">
      <c r="N2221" s="5"/>
      <c r="O2221" s="5"/>
      <c r="P2221" s="5"/>
      <c r="Q2221" s="5"/>
      <c r="R2221" s="8"/>
      <c r="S2221" s="8"/>
      <c r="T2221" s="3"/>
    </row>
    <row r="2222" spans="14:20" x14ac:dyDescent="0.3">
      <c r="N2222" s="5"/>
      <c r="O2222" s="5"/>
      <c r="P2222" s="5"/>
      <c r="Q2222" s="5"/>
      <c r="R2222" s="8"/>
      <c r="S2222" s="8"/>
      <c r="T2222" s="3"/>
    </row>
    <row r="2223" spans="14:20" x14ac:dyDescent="0.3">
      <c r="N2223" s="5"/>
      <c r="O2223" s="5"/>
      <c r="P2223" s="5"/>
      <c r="Q2223" s="5"/>
      <c r="R2223" s="8"/>
      <c r="S2223" s="8"/>
      <c r="T2223" s="3"/>
    </row>
    <row r="2224" spans="14:20" x14ac:dyDescent="0.3">
      <c r="N2224" s="5"/>
      <c r="O2224" s="5"/>
      <c r="P2224" s="5"/>
      <c r="Q2224" s="5"/>
      <c r="R2224" s="8"/>
      <c r="S2224" s="8"/>
      <c r="T2224" s="3"/>
    </row>
    <row r="2225" spans="14:20" x14ac:dyDescent="0.3">
      <c r="N2225" s="5"/>
      <c r="O2225" s="5"/>
      <c r="P2225" s="5"/>
      <c r="Q2225" s="5"/>
      <c r="R2225" s="8"/>
      <c r="S2225" s="8"/>
      <c r="T2225" s="3"/>
    </row>
    <row r="2226" spans="14:20" x14ac:dyDescent="0.3">
      <c r="N2226" s="5"/>
      <c r="O2226" s="5"/>
      <c r="P2226" s="5"/>
      <c r="Q2226" s="5"/>
      <c r="R2226" s="8"/>
      <c r="S2226" s="8"/>
      <c r="T2226" s="3"/>
    </row>
    <row r="2227" spans="14:20" x14ac:dyDescent="0.3">
      <c r="N2227" s="5"/>
      <c r="O2227" s="5"/>
      <c r="P2227" s="5"/>
      <c r="Q2227" s="5"/>
      <c r="R2227" s="8"/>
      <c r="S2227" s="8"/>
      <c r="T2227" s="3"/>
    </row>
    <row r="2228" spans="14:20" x14ac:dyDescent="0.3">
      <c r="N2228" s="5"/>
      <c r="O2228" s="5"/>
      <c r="P2228" s="5"/>
      <c r="Q2228" s="5"/>
      <c r="R2228" s="8"/>
      <c r="S2228" s="8"/>
      <c r="T2228" s="3"/>
    </row>
    <row r="2229" spans="14:20" x14ac:dyDescent="0.3">
      <c r="N2229" s="5"/>
      <c r="O2229" s="5"/>
      <c r="P2229" s="5"/>
      <c r="Q2229" s="5"/>
      <c r="R2229" s="8"/>
      <c r="S2229" s="8"/>
      <c r="T2229" s="3"/>
    </row>
    <row r="2230" spans="14:20" x14ac:dyDescent="0.3">
      <c r="N2230" s="5"/>
      <c r="O2230" s="5"/>
      <c r="P2230" s="5"/>
      <c r="Q2230" s="5"/>
      <c r="R2230" s="8"/>
      <c r="S2230" s="8"/>
      <c r="T2230" s="3"/>
    </row>
    <row r="2231" spans="14:20" x14ac:dyDescent="0.3">
      <c r="N2231" s="5"/>
      <c r="O2231" s="5"/>
      <c r="P2231" s="5"/>
      <c r="Q2231" s="5"/>
      <c r="R2231" s="8"/>
      <c r="S2231" s="8"/>
      <c r="T2231" s="3"/>
    </row>
    <row r="2232" spans="14:20" x14ac:dyDescent="0.3">
      <c r="N2232" s="5"/>
      <c r="O2232" s="5"/>
      <c r="P2232" s="5"/>
      <c r="Q2232" s="5"/>
      <c r="R2232" s="8"/>
      <c r="S2232" s="8"/>
      <c r="T2232" s="3"/>
    </row>
    <row r="2233" spans="14:20" x14ac:dyDescent="0.3">
      <c r="N2233" s="5"/>
      <c r="O2233" s="5"/>
      <c r="P2233" s="5"/>
      <c r="Q2233" s="5"/>
      <c r="R2233" s="8"/>
      <c r="S2233" s="8"/>
      <c r="T2233" s="3"/>
    </row>
    <row r="2234" spans="14:20" x14ac:dyDescent="0.3">
      <c r="N2234" s="5"/>
      <c r="O2234" s="5"/>
      <c r="P2234" s="5"/>
      <c r="Q2234" s="5"/>
      <c r="R2234" s="8"/>
      <c r="S2234" s="8"/>
      <c r="T2234" s="3"/>
    </row>
    <row r="2235" spans="14:20" x14ac:dyDescent="0.3">
      <c r="N2235" s="5"/>
      <c r="O2235" s="5"/>
      <c r="P2235" s="5"/>
      <c r="Q2235" s="5"/>
      <c r="R2235" s="8"/>
      <c r="S2235" s="8"/>
      <c r="T2235" s="3"/>
    </row>
    <row r="2236" spans="14:20" x14ac:dyDescent="0.3">
      <c r="N2236" s="5"/>
      <c r="O2236" s="5"/>
      <c r="P2236" s="5"/>
      <c r="Q2236" s="5"/>
      <c r="R2236" s="8"/>
      <c r="S2236" s="8"/>
      <c r="T2236" s="3"/>
    </row>
    <row r="2237" spans="14:20" x14ac:dyDescent="0.3">
      <c r="N2237" s="5"/>
      <c r="O2237" s="5"/>
      <c r="P2237" s="5"/>
      <c r="Q2237" s="5"/>
      <c r="R2237" s="8"/>
      <c r="S2237" s="8"/>
      <c r="T2237" s="3"/>
    </row>
    <row r="2238" spans="14:20" x14ac:dyDescent="0.3">
      <c r="N2238" s="5"/>
      <c r="O2238" s="5"/>
      <c r="P2238" s="5"/>
      <c r="Q2238" s="5"/>
      <c r="R2238" s="8"/>
      <c r="S2238" s="8"/>
      <c r="T2238" s="3"/>
    </row>
    <row r="2239" spans="14:20" x14ac:dyDescent="0.3">
      <c r="N2239" s="5"/>
      <c r="O2239" s="5"/>
      <c r="P2239" s="5"/>
      <c r="Q2239" s="5"/>
      <c r="R2239" s="8"/>
      <c r="S2239" s="8"/>
      <c r="T2239" s="3"/>
    </row>
    <row r="2240" spans="14:20" x14ac:dyDescent="0.3">
      <c r="N2240" s="5"/>
      <c r="O2240" s="5"/>
      <c r="P2240" s="5"/>
      <c r="Q2240" s="5"/>
      <c r="R2240" s="8"/>
      <c r="S2240" s="8"/>
      <c r="T2240" s="3"/>
    </row>
    <row r="2241" spans="14:20" x14ac:dyDescent="0.3">
      <c r="N2241" s="5"/>
      <c r="O2241" s="5"/>
      <c r="P2241" s="5"/>
      <c r="Q2241" s="5"/>
      <c r="R2241" s="8"/>
      <c r="S2241" s="8"/>
      <c r="T2241" s="3"/>
    </row>
    <row r="2242" spans="14:20" x14ac:dyDescent="0.3">
      <c r="N2242" s="5"/>
      <c r="O2242" s="5"/>
      <c r="P2242" s="5"/>
      <c r="Q2242" s="5"/>
      <c r="R2242" s="8"/>
      <c r="S2242" s="8"/>
      <c r="T2242" s="3"/>
    </row>
    <row r="2243" spans="14:20" x14ac:dyDescent="0.3">
      <c r="N2243" s="5"/>
      <c r="O2243" s="5"/>
      <c r="P2243" s="5"/>
      <c r="Q2243" s="5"/>
      <c r="R2243" s="8"/>
      <c r="S2243" s="8"/>
      <c r="T2243" s="3"/>
    </row>
    <row r="2244" spans="14:20" x14ac:dyDescent="0.3">
      <c r="N2244" s="5"/>
      <c r="O2244" s="5"/>
      <c r="P2244" s="5"/>
      <c r="Q2244" s="5"/>
      <c r="R2244" s="8"/>
      <c r="S2244" s="8"/>
      <c r="T2244" s="3"/>
    </row>
    <row r="2245" spans="14:20" x14ac:dyDescent="0.3">
      <c r="N2245" s="5"/>
      <c r="O2245" s="5"/>
      <c r="P2245" s="5"/>
      <c r="Q2245" s="5"/>
      <c r="R2245" s="8"/>
      <c r="S2245" s="8"/>
      <c r="T2245" s="3"/>
    </row>
    <row r="2246" spans="14:20" x14ac:dyDescent="0.3">
      <c r="N2246" s="5"/>
      <c r="O2246" s="5"/>
      <c r="P2246" s="5"/>
      <c r="Q2246" s="5"/>
      <c r="R2246" s="8"/>
      <c r="S2246" s="8"/>
      <c r="T2246" s="3"/>
    </row>
    <row r="2247" spans="14:20" x14ac:dyDescent="0.3">
      <c r="N2247" s="5"/>
      <c r="O2247" s="5"/>
      <c r="P2247" s="5"/>
      <c r="Q2247" s="5"/>
      <c r="R2247" s="8"/>
      <c r="S2247" s="8"/>
      <c r="T2247" s="3"/>
    </row>
    <row r="2248" spans="14:20" x14ac:dyDescent="0.3">
      <c r="N2248" s="5"/>
      <c r="O2248" s="5"/>
      <c r="P2248" s="5"/>
      <c r="Q2248" s="5"/>
      <c r="R2248" s="8"/>
      <c r="S2248" s="8"/>
      <c r="T2248" s="3"/>
    </row>
    <row r="2249" spans="14:20" x14ac:dyDescent="0.3">
      <c r="N2249" s="5"/>
      <c r="O2249" s="5"/>
      <c r="P2249" s="5"/>
      <c r="Q2249" s="5"/>
      <c r="R2249" s="8"/>
      <c r="S2249" s="8"/>
      <c r="T2249" s="3"/>
    </row>
    <row r="2250" spans="14:20" x14ac:dyDescent="0.3">
      <c r="N2250" s="5"/>
      <c r="O2250" s="5"/>
      <c r="P2250" s="5"/>
      <c r="Q2250" s="5"/>
      <c r="R2250" s="8"/>
      <c r="S2250" s="8"/>
      <c r="T2250" s="3"/>
    </row>
    <row r="2251" spans="14:20" x14ac:dyDescent="0.3">
      <c r="N2251" s="5"/>
      <c r="O2251" s="5"/>
      <c r="P2251" s="5"/>
      <c r="Q2251" s="5"/>
      <c r="R2251" s="8"/>
      <c r="S2251" s="8"/>
      <c r="T2251" s="3"/>
    </row>
    <row r="2252" spans="14:20" x14ac:dyDescent="0.3">
      <c r="N2252" s="5"/>
      <c r="O2252" s="5"/>
      <c r="P2252" s="5"/>
      <c r="Q2252" s="5"/>
      <c r="R2252" s="8"/>
      <c r="S2252" s="8"/>
      <c r="T2252" s="3"/>
    </row>
    <row r="2253" spans="14:20" x14ac:dyDescent="0.3">
      <c r="N2253" s="5"/>
      <c r="O2253" s="5"/>
      <c r="P2253" s="5"/>
      <c r="Q2253" s="5"/>
      <c r="R2253" s="8"/>
      <c r="S2253" s="8"/>
      <c r="T2253" s="3"/>
    </row>
    <row r="2254" spans="14:20" x14ac:dyDescent="0.3">
      <c r="N2254" s="5"/>
      <c r="O2254" s="5"/>
      <c r="P2254" s="5"/>
      <c r="Q2254" s="5"/>
      <c r="R2254" s="8"/>
      <c r="S2254" s="8"/>
      <c r="T2254" s="3"/>
    </row>
    <row r="2255" spans="14:20" x14ac:dyDescent="0.3">
      <c r="N2255" s="5"/>
      <c r="O2255" s="5"/>
      <c r="P2255" s="5"/>
      <c r="Q2255" s="5"/>
      <c r="R2255" s="8"/>
      <c r="S2255" s="8"/>
      <c r="T2255" s="3"/>
    </row>
    <row r="2256" spans="14:20" x14ac:dyDescent="0.3">
      <c r="N2256" s="5"/>
      <c r="O2256" s="5"/>
      <c r="P2256" s="5"/>
      <c r="Q2256" s="5"/>
      <c r="R2256" s="8"/>
      <c r="S2256" s="8"/>
      <c r="T2256" s="3"/>
    </row>
    <row r="2257" spans="14:20" x14ac:dyDescent="0.3">
      <c r="N2257" s="5"/>
      <c r="O2257" s="5"/>
      <c r="P2257" s="5"/>
      <c r="Q2257" s="5"/>
      <c r="R2257" s="8"/>
      <c r="S2257" s="8"/>
      <c r="T2257" s="3"/>
    </row>
    <row r="2258" spans="14:20" x14ac:dyDescent="0.3">
      <c r="N2258" s="5"/>
      <c r="O2258" s="5"/>
      <c r="P2258" s="5"/>
      <c r="Q2258" s="5"/>
      <c r="R2258" s="8"/>
      <c r="S2258" s="8"/>
      <c r="T2258" s="3"/>
    </row>
    <row r="2259" spans="14:20" x14ac:dyDescent="0.3">
      <c r="N2259" s="5"/>
      <c r="O2259" s="5"/>
      <c r="P2259" s="5"/>
      <c r="Q2259" s="5"/>
      <c r="R2259" s="8"/>
      <c r="S2259" s="8"/>
      <c r="T2259" s="3"/>
    </row>
    <row r="2260" spans="14:20" x14ac:dyDescent="0.3">
      <c r="N2260" s="5"/>
      <c r="O2260" s="5"/>
      <c r="P2260" s="5"/>
      <c r="Q2260" s="5"/>
      <c r="R2260" s="8"/>
      <c r="S2260" s="8"/>
      <c r="T2260" s="3"/>
    </row>
    <row r="2261" spans="14:20" x14ac:dyDescent="0.3">
      <c r="N2261" s="5"/>
      <c r="O2261" s="5"/>
      <c r="P2261" s="5"/>
      <c r="Q2261" s="5"/>
      <c r="R2261" s="8"/>
      <c r="S2261" s="8"/>
      <c r="T2261" s="3"/>
    </row>
    <row r="2262" spans="14:20" x14ac:dyDescent="0.3">
      <c r="N2262" s="5"/>
      <c r="O2262" s="5"/>
      <c r="P2262" s="5"/>
      <c r="Q2262" s="5"/>
      <c r="R2262" s="8"/>
      <c r="S2262" s="8"/>
      <c r="T2262" s="3"/>
    </row>
    <row r="2263" spans="14:20" x14ac:dyDescent="0.3">
      <c r="N2263" s="5"/>
      <c r="O2263" s="5"/>
      <c r="P2263" s="5"/>
      <c r="Q2263" s="5"/>
      <c r="R2263" s="8"/>
      <c r="S2263" s="8"/>
      <c r="T2263" s="3"/>
    </row>
    <row r="2264" spans="14:20" x14ac:dyDescent="0.3">
      <c r="N2264" s="5"/>
      <c r="O2264" s="5"/>
      <c r="P2264" s="5"/>
      <c r="Q2264" s="5"/>
      <c r="R2264" s="8"/>
      <c r="S2264" s="8"/>
      <c r="T2264" s="3"/>
    </row>
    <row r="2265" spans="14:20" x14ac:dyDescent="0.3">
      <c r="N2265" s="5"/>
      <c r="O2265" s="5"/>
      <c r="P2265" s="5"/>
      <c r="Q2265" s="5"/>
      <c r="R2265" s="8"/>
      <c r="S2265" s="8"/>
      <c r="T2265" s="3"/>
    </row>
    <row r="2266" spans="14:20" x14ac:dyDescent="0.3">
      <c r="N2266" s="5"/>
      <c r="O2266" s="5"/>
      <c r="P2266" s="5"/>
      <c r="Q2266" s="5"/>
      <c r="R2266" s="8"/>
      <c r="S2266" s="8"/>
      <c r="T2266" s="3"/>
    </row>
    <row r="2267" spans="14:20" x14ac:dyDescent="0.3">
      <c r="N2267" s="5"/>
      <c r="O2267" s="5"/>
      <c r="P2267" s="5"/>
      <c r="Q2267" s="5"/>
      <c r="R2267" s="8"/>
      <c r="S2267" s="8"/>
      <c r="T2267" s="3"/>
    </row>
    <row r="2268" spans="14:20" x14ac:dyDescent="0.3">
      <c r="N2268" s="5"/>
      <c r="O2268" s="5"/>
      <c r="P2268" s="5"/>
      <c r="Q2268" s="5"/>
      <c r="R2268" s="8"/>
      <c r="S2268" s="8"/>
      <c r="T2268" s="3"/>
    </row>
    <row r="2269" spans="14:20" x14ac:dyDescent="0.3">
      <c r="N2269" s="5"/>
      <c r="O2269" s="5"/>
      <c r="P2269" s="5"/>
      <c r="Q2269" s="5"/>
      <c r="R2269" s="8"/>
      <c r="S2269" s="8"/>
      <c r="T2269" s="3"/>
    </row>
    <row r="2270" spans="14:20" x14ac:dyDescent="0.3">
      <c r="N2270" s="5"/>
      <c r="O2270" s="5"/>
      <c r="P2270" s="5"/>
      <c r="Q2270" s="5"/>
      <c r="R2270" s="8"/>
      <c r="S2270" s="8"/>
      <c r="T2270" s="3"/>
    </row>
    <row r="2271" spans="14:20" x14ac:dyDescent="0.3">
      <c r="N2271" s="5"/>
      <c r="O2271" s="5"/>
      <c r="P2271" s="5"/>
      <c r="Q2271" s="5"/>
      <c r="R2271" s="8"/>
      <c r="S2271" s="8"/>
      <c r="T2271" s="3"/>
    </row>
    <row r="2272" spans="14:20" x14ac:dyDescent="0.3">
      <c r="N2272" s="5"/>
      <c r="O2272" s="5"/>
      <c r="P2272" s="5"/>
      <c r="Q2272" s="5"/>
      <c r="R2272" s="8"/>
      <c r="S2272" s="8"/>
      <c r="T2272" s="3"/>
    </row>
    <row r="2273" spans="14:20" x14ac:dyDescent="0.3">
      <c r="N2273" s="5"/>
      <c r="O2273" s="5"/>
      <c r="P2273" s="5"/>
      <c r="Q2273" s="5"/>
      <c r="R2273" s="8"/>
      <c r="S2273" s="8"/>
      <c r="T2273" s="3"/>
    </row>
    <row r="2274" spans="14:20" x14ac:dyDescent="0.3">
      <c r="N2274" s="5"/>
      <c r="O2274" s="5"/>
      <c r="P2274" s="5"/>
      <c r="Q2274" s="5"/>
      <c r="R2274" s="8"/>
      <c r="S2274" s="8"/>
      <c r="T2274" s="3"/>
    </row>
    <row r="2275" spans="14:20" x14ac:dyDescent="0.3">
      <c r="N2275" s="5"/>
      <c r="O2275" s="5"/>
      <c r="P2275" s="5"/>
      <c r="Q2275" s="5"/>
      <c r="R2275" s="8"/>
      <c r="S2275" s="8"/>
      <c r="T2275" s="3"/>
    </row>
    <row r="2276" spans="14:20" x14ac:dyDescent="0.3">
      <c r="N2276" s="5"/>
      <c r="O2276" s="5"/>
      <c r="P2276" s="5"/>
      <c r="Q2276" s="5"/>
      <c r="R2276" s="8"/>
      <c r="S2276" s="8"/>
      <c r="T2276" s="3"/>
    </row>
    <row r="2277" spans="14:20" x14ac:dyDescent="0.3">
      <c r="N2277" s="5"/>
      <c r="O2277" s="5"/>
      <c r="P2277" s="5"/>
      <c r="Q2277" s="5"/>
      <c r="R2277" s="8"/>
      <c r="S2277" s="8"/>
      <c r="T2277" s="3"/>
    </row>
    <row r="2278" spans="14:20" x14ac:dyDescent="0.3">
      <c r="N2278" s="5"/>
      <c r="O2278" s="5"/>
      <c r="P2278" s="5"/>
      <c r="Q2278" s="5"/>
      <c r="R2278" s="8"/>
      <c r="S2278" s="8"/>
      <c r="T2278" s="3"/>
    </row>
    <row r="2279" spans="14:20" x14ac:dyDescent="0.3">
      <c r="N2279" s="5"/>
      <c r="O2279" s="5"/>
      <c r="P2279" s="5"/>
      <c r="Q2279" s="5"/>
      <c r="R2279" s="8"/>
      <c r="S2279" s="8"/>
      <c r="T2279" s="3"/>
    </row>
    <row r="2280" spans="14:20" x14ac:dyDescent="0.3">
      <c r="N2280" s="5"/>
      <c r="O2280" s="5"/>
      <c r="P2280" s="5"/>
      <c r="Q2280" s="5"/>
      <c r="R2280" s="8"/>
      <c r="S2280" s="8"/>
      <c r="T2280" s="3"/>
    </row>
    <row r="2281" spans="14:20" x14ac:dyDescent="0.3">
      <c r="N2281" s="5"/>
      <c r="O2281" s="5"/>
      <c r="P2281" s="5"/>
      <c r="Q2281" s="5"/>
      <c r="R2281" s="8"/>
      <c r="S2281" s="8"/>
      <c r="T2281" s="3"/>
    </row>
    <row r="2282" spans="14:20" x14ac:dyDescent="0.3">
      <c r="N2282" s="5"/>
      <c r="O2282" s="5"/>
      <c r="P2282" s="5"/>
      <c r="Q2282" s="5"/>
      <c r="R2282" s="8"/>
      <c r="S2282" s="8"/>
      <c r="T2282" s="3"/>
    </row>
    <row r="2283" spans="14:20" x14ac:dyDescent="0.3">
      <c r="N2283" s="5"/>
      <c r="O2283" s="5"/>
      <c r="P2283" s="5"/>
      <c r="Q2283" s="5"/>
      <c r="R2283" s="8"/>
      <c r="S2283" s="8"/>
      <c r="T2283" s="3"/>
    </row>
    <row r="2284" spans="14:20" x14ac:dyDescent="0.3">
      <c r="N2284" s="5"/>
      <c r="O2284" s="5"/>
      <c r="P2284" s="5"/>
      <c r="Q2284" s="5"/>
      <c r="R2284" s="8"/>
      <c r="S2284" s="8"/>
      <c r="T2284" s="3"/>
    </row>
    <row r="2285" spans="14:20" x14ac:dyDescent="0.3">
      <c r="N2285" s="5"/>
      <c r="O2285" s="5"/>
      <c r="P2285" s="5"/>
      <c r="Q2285" s="5"/>
      <c r="R2285" s="8"/>
      <c r="S2285" s="8"/>
      <c r="T2285" s="3"/>
    </row>
    <row r="2286" spans="14:20" x14ac:dyDescent="0.3">
      <c r="N2286" s="5"/>
      <c r="O2286" s="5"/>
      <c r="P2286" s="5"/>
      <c r="Q2286" s="5"/>
      <c r="R2286" s="8"/>
      <c r="S2286" s="8"/>
      <c r="T2286" s="3"/>
    </row>
    <row r="2287" spans="14:20" x14ac:dyDescent="0.3">
      <c r="N2287" s="5"/>
      <c r="O2287" s="5"/>
      <c r="P2287" s="5"/>
      <c r="Q2287" s="5"/>
      <c r="R2287" s="8"/>
      <c r="S2287" s="8"/>
      <c r="T2287" s="3"/>
    </row>
    <row r="2288" spans="14:20" x14ac:dyDescent="0.3">
      <c r="N2288" s="5"/>
      <c r="O2288" s="5"/>
      <c r="P2288" s="5"/>
      <c r="Q2288" s="5"/>
      <c r="R2288" s="8"/>
      <c r="S2288" s="8"/>
      <c r="T2288" s="3"/>
    </row>
    <row r="2289" spans="14:20" x14ac:dyDescent="0.3">
      <c r="N2289" s="5"/>
      <c r="O2289" s="5"/>
      <c r="P2289" s="5"/>
      <c r="Q2289" s="5"/>
      <c r="R2289" s="8"/>
      <c r="S2289" s="8"/>
      <c r="T2289" s="3"/>
    </row>
    <row r="2290" spans="14:20" x14ac:dyDescent="0.3">
      <c r="N2290" s="5"/>
      <c r="O2290" s="5"/>
      <c r="P2290" s="5"/>
      <c r="Q2290" s="5"/>
      <c r="R2290" s="8"/>
      <c r="S2290" s="8"/>
      <c r="T2290" s="3"/>
    </row>
    <row r="2291" spans="14:20" x14ac:dyDescent="0.3">
      <c r="N2291" s="5"/>
      <c r="O2291" s="5"/>
      <c r="P2291" s="5"/>
      <c r="Q2291" s="5"/>
      <c r="R2291" s="8"/>
      <c r="S2291" s="8"/>
      <c r="T2291" s="3"/>
    </row>
    <row r="2292" spans="14:20" x14ac:dyDescent="0.3">
      <c r="N2292" s="5"/>
      <c r="O2292" s="5"/>
      <c r="P2292" s="5"/>
      <c r="Q2292" s="5"/>
      <c r="R2292" s="8"/>
      <c r="S2292" s="8"/>
      <c r="T2292" s="3"/>
    </row>
    <row r="2293" spans="14:20" x14ac:dyDescent="0.3">
      <c r="N2293" s="5"/>
      <c r="O2293" s="5"/>
      <c r="P2293" s="5"/>
      <c r="Q2293" s="5"/>
      <c r="R2293" s="8"/>
      <c r="S2293" s="8"/>
      <c r="T2293" s="3"/>
    </row>
    <row r="2294" spans="14:20" x14ac:dyDescent="0.3">
      <c r="N2294" s="5"/>
      <c r="O2294" s="5"/>
      <c r="P2294" s="5"/>
      <c r="Q2294" s="5"/>
      <c r="R2294" s="8"/>
      <c r="S2294" s="8"/>
      <c r="T2294" s="3"/>
    </row>
    <row r="2295" spans="14:20" x14ac:dyDescent="0.3">
      <c r="N2295" s="5"/>
      <c r="O2295" s="5"/>
      <c r="P2295" s="5"/>
      <c r="Q2295" s="5"/>
      <c r="R2295" s="8"/>
      <c r="S2295" s="8"/>
      <c r="T2295" s="3"/>
    </row>
    <row r="2296" spans="14:20" x14ac:dyDescent="0.3">
      <c r="N2296" s="5"/>
      <c r="O2296" s="5"/>
      <c r="P2296" s="5"/>
      <c r="Q2296" s="5"/>
      <c r="R2296" s="8"/>
      <c r="S2296" s="8"/>
      <c r="T2296" s="3"/>
    </row>
    <row r="2297" spans="14:20" x14ac:dyDescent="0.3">
      <c r="N2297" s="5"/>
      <c r="O2297" s="5"/>
      <c r="P2297" s="5"/>
      <c r="Q2297" s="5"/>
      <c r="R2297" s="8"/>
      <c r="S2297" s="8"/>
      <c r="T2297" s="3"/>
    </row>
    <row r="2298" spans="14:20" x14ac:dyDescent="0.3">
      <c r="N2298" s="5"/>
      <c r="O2298" s="5"/>
      <c r="P2298" s="5"/>
      <c r="Q2298" s="5"/>
      <c r="R2298" s="8"/>
      <c r="S2298" s="8"/>
      <c r="T2298" s="3"/>
    </row>
    <row r="2299" spans="14:20" x14ac:dyDescent="0.3">
      <c r="N2299" s="5"/>
      <c r="O2299" s="5"/>
      <c r="P2299" s="5"/>
      <c r="Q2299" s="5"/>
      <c r="R2299" s="8"/>
      <c r="S2299" s="8"/>
      <c r="T2299" s="3"/>
    </row>
    <row r="2300" spans="14:20" x14ac:dyDescent="0.3">
      <c r="N2300" s="5"/>
      <c r="O2300" s="5"/>
      <c r="P2300" s="5"/>
      <c r="Q2300" s="5"/>
      <c r="R2300" s="8"/>
      <c r="S2300" s="8"/>
      <c r="T2300" s="3"/>
    </row>
    <row r="2301" spans="14:20" x14ac:dyDescent="0.3">
      <c r="N2301" s="5"/>
      <c r="O2301" s="5"/>
      <c r="P2301" s="5"/>
      <c r="Q2301" s="5"/>
      <c r="R2301" s="8"/>
      <c r="S2301" s="8"/>
      <c r="T2301" s="3"/>
    </row>
    <row r="2302" spans="14:20" x14ac:dyDescent="0.3">
      <c r="N2302" s="5"/>
      <c r="O2302" s="5"/>
      <c r="P2302" s="5"/>
      <c r="Q2302" s="5"/>
      <c r="R2302" s="8"/>
      <c r="S2302" s="8"/>
      <c r="T2302" s="3"/>
    </row>
    <row r="2303" spans="14:20" x14ac:dyDescent="0.3">
      <c r="N2303" s="5"/>
      <c r="O2303" s="5"/>
      <c r="P2303" s="5"/>
      <c r="Q2303" s="5"/>
      <c r="R2303" s="8"/>
      <c r="S2303" s="8"/>
      <c r="T2303" s="3"/>
    </row>
    <row r="2304" spans="14:20" x14ac:dyDescent="0.3">
      <c r="N2304" s="5"/>
      <c r="O2304" s="5"/>
      <c r="P2304" s="5"/>
      <c r="Q2304" s="5"/>
      <c r="R2304" s="8"/>
      <c r="S2304" s="8"/>
      <c r="T2304" s="3"/>
    </row>
    <row r="2305" spans="14:20" x14ac:dyDescent="0.3">
      <c r="N2305" s="5"/>
      <c r="O2305" s="5"/>
      <c r="P2305" s="5"/>
      <c r="Q2305" s="5"/>
      <c r="R2305" s="8"/>
      <c r="S2305" s="8"/>
      <c r="T2305" s="3"/>
    </row>
    <row r="2306" spans="14:20" x14ac:dyDescent="0.3">
      <c r="N2306" s="5"/>
      <c r="O2306" s="5"/>
      <c r="P2306" s="5"/>
      <c r="Q2306" s="5"/>
      <c r="R2306" s="8"/>
      <c r="S2306" s="8"/>
      <c r="T2306" s="3"/>
    </row>
    <row r="2307" spans="14:20" x14ac:dyDescent="0.3">
      <c r="N2307" s="5"/>
      <c r="O2307" s="5"/>
      <c r="P2307" s="5"/>
      <c r="Q2307" s="5"/>
      <c r="R2307" s="8"/>
      <c r="S2307" s="8"/>
      <c r="T2307" s="3"/>
    </row>
    <row r="2308" spans="14:20" x14ac:dyDescent="0.3">
      <c r="N2308" s="5"/>
      <c r="O2308" s="5"/>
      <c r="P2308" s="5"/>
      <c r="Q2308" s="5"/>
      <c r="R2308" s="8"/>
      <c r="S2308" s="8"/>
      <c r="T2308" s="3"/>
    </row>
    <row r="2309" spans="14:20" x14ac:dyDescent="0.3">
      <c r="N2309" s="5"/>
      <c r="O2309" s="5"/>
      <c r="P2309" s="5"/>
      <c r="Q2309" s="5"/>
      <c r="R2309" s="8"/>
      <c r="S2309" s="8"/>
      <c r="T2309" s="3"/>
    </row>
    <row r="2310" spans="14:20" x14ac:dyDescent="0.3">
      <c r="N2310" s="5"/>
      <c r="O2310" s="5"/>
      <c r="P2310" s="5"/>
      <c r="Q2310" s="5"/>
      <c r="R2310" s="8"/>
      <c r="S2310" s="8"/>
      <c r="T2310" s="3"/>
    </row>
    <row r="2311" spans="14:20" x14ac:dyDescent="0.3">
      <c r="N2311" s="5"/>
      <c r="O2311" s="5"/>
      <c r="P2311" s="5"/>
      <c r="Q2311" s="5"/>
      <c r="R2311" s="8"/>
      <c r="S2311" s="8"/>
      <c r="T2311" s="3"/>
    </row>
    <row r="2312" spans="14:20" x14ac:dyDescent="0.3">
      <c r="N2312" s="5"/>
      <c r="O2312" s="5"/>
      <c r="P2312" s="5"/>
      <c r="Q2312" s="5"/>
      <c r="R2312" s="8"/>
      <c r="S2312" s="8"/>
      <c r="T2312" s="3"/>
    </row>
    <row r="2313" spans="14:20" x14ac:dyDescent="0.3">
      <c r="N2313" s="5"/>
      <c r="O2313" s="5"/>
      <c r="P2313" s="5"/>
      <c r="Q2313" s="5"/>
      <c r="R2313" s="8"/>
      <c r="S2313" s="8"/>
      <c r="T2313" s="3"/>
    </row>
    <row r="2314" spans="14:20" x14ac:dyDescent="0.3">
      <c r="N2314" s="5"/>
      <c r="O2314" s="5"/>
      <c r="P2314" s="5"/>
      <c r="Q2314" s="5"/>
      <c r="R2314" s="8"/>
      <c r="S2314" s="8"/>
      <c r="T2314" s="3"/>
    </row>
    <row r="2315" spans="14:20" x14ac:dyDescent="0.3">
      <c r="N2315" s="5"/>
      <c r="O2315" s="5"/>
      <c r="P2315" s="5"/>
      <c r="Q2315" s="5"/>
      <c r="R2315" s="8"/>
      <c r="S2315" s="8"/>
      <c r="T2315" s="3"/>
    </row>
    <row r="2316" spans="14:20" x14ac:dyDescent="0.3">
      <c r="N2316" s="5"/>
      <c r="O2316" s="5"/>
      <c r="P2316" s="5"/>
      <c r="Q2316" s="5"/>
      <c r="R2316" s="8"/>
      <c r="S2316" s="8"/>
      <c r="T2316" s="3"/>
    </row>
    <row r="2317" spans="14:20" x14ac:dyDescent="0.3">
      <c r="N2317" s="5"/>
      <c r="O2317" s="5"/>
      <c r="P2317" s="5"/>
      <c r="Q2317" s="5"/>
      <c r="R2317" s="8"/>
      <c r="S2317" s="8"/>
      <c r="T2317" s="3"/>
    </row>
    <row r="2318" spans="14:20" x14ac:dyDescent="0.3">
      <c r="N2318" s="5"/>
      <c r="O2318" s="5"/>
      <c r="P2318" s="5"/>
      <c r="Q2318" s="5"/>
      <c r="R2318" s="8"/>
      <c r="S2318" s="8"/>
      <c r="T2318" s="3"/>
    </row>
    <row r="2319" spans="14:20" x14ac:dyDescent="0.3">
      <c r="N2319" s="5"/>
      <c r="O2319" s="5"/>
      <c r="P2319" s="5"/>
      <c r="Q2319" s="5"/>
      <c r="R2319" s="8"/>
      <c r="S2319" s="8"/>
      <c r="T2319" s="3"/>
    </row>
    <row r="2320" spans="14:20" x14ac:dyDescent="0.3">
      <c r="N2320" s="5"/>
      <c r="O2320" s="5"/>
      <c r="P2320" s="5"/>
      <c r="Q2320" s="5"/>
      <c r="R2320" s="8"/>
      <c r="S2320" s="8"/>
      <c r="T2320" s="3"/>
    </row>
    <row r="2321" spans="14:20" x14ac:dyDescent="0.3">
      <c r="N2321" s="5"/>
      <c r="O2321" s="5"/>
      <c r="P2321" s="5"/>
      <c r="Q2321" s="5"/>
      <c r="R2321" s="8"/>
      <c r="S2321" s="8"/>
      <c r="T2321" s="3"/>
    </row>
    <row r="2322" spans="14:20" x14ac:dyDescent="0.3">
      <c r="N2322" s="5"/>
      <c r="O2322" s="5"/>
      <c r="P2322" s="5"/>
      <c r="Q2322" s="5"/>
      <c r="R2322" s="8"/>
      <c r="S2322" s="8"/>
      <c r="T2322" s="3"/>
    </row>
    <row r="2323" spans="14:20" x14ac:dyDescent="0.3">
      <c r="N2323" s="5"/>
      <c r="O2323" s="5"/>
      <c r="P2323" s="5"/>
      <c r="Q2323" s="5"/>
      <c r="R2323" s="8"/>
      <c r="S2323" s="8"/>
      <c r="T2323" s="3"/>
    </row>
    <row r="2324" spans="14:20" x14ac:dyDescent="0.3">
      <c r="N2324" s="5"/>
      <c r="O2324" s="5"/>
      <c r="P2324" s="5"/>
      <c r="Q2324" s="5"/>
      <c r="R2324" s="8"/>
      <c r="S2324" s="8"/>
      <c r="T2324" s="3"/>
    </row>
    <row r="2325" spans="14:20" x14ac:dyDescent="0.3">
      <c r="N2325" s="5"/>
      <c r="O2325" s="5"/>
      <c r="P2325" s="5"/>
      <c r="Q2325" s="5"/>
      <c r="R2325" s="8"/>
      <c r="S2325" s="8"/>
      <c r="T2325" s="3"/>
    </row>
    <row r="2326" spans="14:20" x14ac:dyDescent="0.3">
      <c r="N2326" s="5"/>
      <c r="O2326" s="5"/>
      <c r="P2326" s="5"/>
      <c r="Q2326" s="5"/>
      <c r="R2326" s="8"/>
      <c r="S2326" s="8"/>
      <c r="T2326" s="3"/>
    </row>
    <row r="2327" spans="14:20" x14ac:dyDescent="0.3">
      <c r="N2327" s="5"/>
      <c r="O2327" s="5"/>
      <c r="P2327" s="5"/>
      <c r="Q2327" s="5"/>
      <c r="R2327" s="8"/>
      <c r="S2327" s="8"/>
      <c r="T2327" s="3"/>
    </row>
    <row r="2328" spans="14:20" x14ac:dyDescent="0.3">
      <c r="N2328" s="5"/>
      <c r="O2328" s="5"/>
      <c r="P2328" s="5"/>
      <c r="Q2328" s="5"/>
      <c r="R2328" s="8"/>
      <c r="S2328" s="8"/>
      <c r="T2328" s="3"/>
    </row>
    <row r="2329" spans="14:20" x14ac:dyDescent="0.3">
      <c r="N2329" s="5"/>
      <c r="O2329" s="5"/>
      <c r="P2329" s="5"/>
      <c r="Q2329" s="5"/>
      <c r="R2329" s="8"/>
      <c r="S2329" s="8"/>
      <c r="T2329" s="3"/>
    </row>
    <row r="2330" spans="14:20" x14ac:dyDescent="0.3">
      <c r="N2330" s="5"/>
      <c r="O2330" s="5"/>
      <c r="P2330" s="5"/>
      <c r="Q2330" s="5"/>
      <c r="R2330" s="8"/>
      <c r="S2330" s="8"/>
      <c r="T2330" s="3"/>
    </row>
    <row r="2331" spans="14:20" x14ac:dyDescent="0.3">
      <c r="N2331" s="5"/>
      <c r="O2331" s="5"/>
      <c r="P2331" s="5"/>
      <c r="Q2331" s="5"/>
      <c r="R2331" s="8"/>
      <c r="S2331" s="8"/>
      <c r="T2331" s="3"/>
    </row>
    <row r="2332" spans="14:20" x14ac:dyDescent="0.3">
      <c r="N2332" s="5"/>
      <c r="O2332" s="5"/>
      <c r="P2332" s="5"/>
      <c r="Q2332" s="5"/>
      <c r="R2332" s="8"/>
      <c r="S2332" s="8"/>
      <c r="T2332" s="3"/>
    </row>
    <row r="2333" spans="14:20" x14ac:dyDescent="0.3">
      <c r="N2333" s="5"/>
      <c r="O2333" s="5"/>
      <c r="P2333" s="5"/>
      <c r="Q2333" s="5"/>
      <c r="R2333" s="8"/>
      <c r="S2333" s="8"/>
      <c r="T2333" s="3"/>
    </row>
    <row r="2334" spans="14:20" x14ac:dyDescent="0.3">
      <c r="N2334" s="5"/>
      <c r="O2334" s="5"/>
      <c r="P2334" s="5"/>
      <c r="Q2334" s="5"/>
      <c r="R2334" s="8"/>
      <c r="S2334" s="8"/>
      <c r="T2334" s="3"/>
    </row>
    <row r="2335" spans="14:20" x14ac:dyDescent="0.3">
      <c r="N2335" s="5"/>
      <c r="O2335" s="5"/>
      <c r="P2335" s="5"/>
      <c r="Q2335" s="5"/>
      <c r="R2335" s="8"/>
      <c r="S2335" s="8"/>
      <c r="T2335" s="3"/>
    </row>
    <row r="2336" spans="14:20" x14ac:dyDescent="0.3">
      <c r="N2336" s="5"/>
      <c r="O2336" s="5"/>
      <c r="P2336" s="5"/>
      <c r="Q2336" s="5"/>
      <c r="R2336" s="8"/>
      <c r="S2336" s="8"/>
      <c r="T2336" s="3"/>
    </row>
    <row r="2337" spans="14:20" x14ac:dyDescent="0.3">
      <c r="N2337" s="5"/>
      <c r="O2337" s="5"/>
      <c r="P2337" s="5"/>
      <c r="Q2337" s="5"/>
      <c r="R2337" s="8"/>
      <c r="S2337" s="8"/>
      <c r="T2337" s="3"/>
    </row>
    <row r="2338" spans="14:20" x14ac:dyDescent="0.3">
      <c r="N2338" s="5"/>
      <c r="O2338" s="5"/>
      <c r="P2338" s="5"/>
      <c r="Q2338" s="5"/>
      <c r="R2338" s="8"/>
      <c r="S2338" s="8"/>
      <c r="T2338" s="3"/>
    </row>
    <row r="2339" spans="14:20" x14ac:dyDescent="0.3">
      <c r="N2339" s="5"/>
      <c r="O2339" s="5"/>
      <c r="P2339" s="5"/>
      <c r="Q2339" s="5"/>
      <c r="R2339" s="8"/>
      <c r="S2339" s="8"/>
      <c r="T2339" s="3"/>
    </row>
    <row r="2340" spans="14:20" x14ac:dyDescent="0.3">
      <c r="N2340" s="5"/>
      <c r="O2340" s="5"/>
      <c r="P2340" s="5"/>
      <c r="Q2340" s="5"/>
      <c r="R2340" s="8"/>
      <c r="S2340" s="8"/>
      <c r="T2340" s="3"/>
    </row>
    <row r="2341" spans="14:20" x14ac:dyDescent="0.3">
      <c r="N2341" s="5"/>
      <c r="O2341" s="5"/>
      <c r="P2341" s="5"/>
      <c r="Q2341" s="5"/>
      <c r="R2341" s="8"/>
      <c r="S2341" s="8"/>
      <c r="T2341" s="3"/>
    </row>
    <row r="2342" spans="14:20" x14ac:dyDescent="0.3">
      <c r="N2342" s="5"/>
      <c r="O2342" s="5"/>
      <c r="P2342" s="5"/>
      <c r="Q2342" s="5"/>
      <c r="R2342" s="8"/>
      <c r="S2342" s="8"/>
      <c r="T2342" s="3"/>
    </row>
    <row r="2343" spans="14:20" x14ac:dyDescent="0.3">
      <c r="N2343" s="5"/>
      <c r="O2343" s="5"/>
      <c r="P2343" s="5"/>
      <c r="Q2343" s="5"/>
      <c r="R2343" s="8"/>
      <c r="S2343" s="8"/>
      <c r="T2343" s="3"/>
    </row>
    <row r="2344" spans="14:20" x14ac:dyDescent="0.3">
      <c r="N2344" s="5"/>
      <c r="O2344" s="5"/>
      <c r="P2344" s="5"/>
      <c r="Q2344" s="5"/>
      <c r="R2344" s="8"/>
      <c r="S2344" s="8"/>
      <c r="T2344" s="3"/>
    </row>
    <row r="2345" spans="14:20" x14ac:dyDescent="0.3">
      <c r="N2345" s="5"/>
      <c r="O2345" s="5"/>
      <c r="P2345" s="5"/>
      <c r="Q2345" s="5"/>
      <c r="R2345" s="8"/>
      <c r="S2345" s="8"/>
      <c r="T2345" s="3"/>
    </row>
    <row r="2346" spans="14:20" x14ac:dyDescent="0.3">
      <c r="N2346" s="5"/>
      <c r="O2346" s="5"/>
      <c r="P2346" s="5"/>
      <c r="Q2346" s="5"/>
      <c r="R2346" s="8"/>
      <c r="S2346" s="8"/>
      <c r="T2346" s="3"/>
    </row>
    <row r="2347" spans="14:20" x14ac:dyDescent="0.3">
      <c r="N2347" s="5"/>
      <c r="O2347" s="5"/>
      <c r="P2347" s="5"/>
      <c r="Q2347" s="5"/>
      <c r="R2347" s="8"/>
      <c r="S2347" s="8"/>
      <c r="T2347" s="3"/>
    </row>
    <row r="2348" spans="14:20" x14ac:dyDescent="0.3">
      <c r="N2348" s="5"/>
      <c r="O2348" s="5"/>
      <c r="P2348" s="5"/>
      <c r="Q2348" s="5"/>
      <c r="R2348" s="8"/>
      <c r="S2348" s="8"/>
      <c r="T2348" s="3"/>
    </row>
    <row r="2349" spans="14:20" x14ac:dyDescent="0.3">
      <c r="N2349" s="5"/>
      <c r="O2349" s="5"/>
      <c r="P2349" s="5"/>
      <c r="Q2349" s="5"/>
      <c r="R2349" s="8"/>
      <c r="S2349" s="8"/>
      <c r="T2349" s="3"/>
    </row>
    <row r="2350" spans="14:20" x14ac:dyDescent="0.3">
      <c r="N2350" s="5"/>
      <c r="O2350" s="5"/>
      <c r="P2350" s="5"/>
      <c r="Q2350" s="5"/>
      <c r="R2350" s="8"/>
      <c r="S2350" s="8"/>
      <c r="T2350" s="3"/>
    </row>
    <row r="2351" spans="14:20" x14ac:dyDescent="0.3">
      <c r="N2351" s="5"/>
      <c r="O2351" s="5"/>
      <c r="P2351" s="5"/>
      <c r="Q2351" s="5"/>
      <c r="R2351" s="8"/>
      <c r="S2351" s="8"/>
      <c r="T2351" s="3"/>
    </row>
    <row r="2352" spans="14:20" x14ac:dyDescent="0.3">
      <c r="N2352" s="5"/>
      <c r="O2352" s="5"/>
      <c r="P2352" s="5"/>
      <c r="Q2352" s="5"/>
      <c r="R2352" s="8"/>
      <c r="S2352" s="8"/>
      <c r="T2352" s="3"/>
    </row>
    <row r="2353" spans="14:20" x14ac:dyDescent="0.3">
      <c r="N2353" s="5"/>
      <c r="O2353" s="5"/>
      <c r="P2353" s="5"/>
      <c r="Q2353" s="5"/>
      <c r="R2353" s="8"/>
      <c r="S2353" s="8"/>
      <c r="T2353" s="3"/>
    </row>
    <row r="2354" spans="14:20" x14ac:dyDescent="0.3">
      <c r="N2354" s="5"/>
      <c r="O2354" s="5"/>
      <c r="P2354" s="5"/>
      <c r="Q2354" s="5"/>
      <c r="R2354" s="8"/>
      <c r="S2354" s="8"/>
      <c r="T2354" s="3"/>
    </row>
    <row r="2355" spans="14:20" x14ac:dyDescent="0.3">
      <c r="N2355" s="5"/>
      <c r="O2355" s="5"/>
      <c r="P2355" s="5"/>
      <c r="Q2355" s="5"/>
      <c r="R2355" s="8"/>
      <c r="S2355" s="8"/>
      <c r="T2355" s="3"/>
    </row>
    <row r="2356" spans="14:20" x14ac:dyDescent="0.3">
      <c r="N2356" s="5"/>
      <c r="O2356" s="5"/>
      <c r="P2356" s="5"/>
      <c r="Q2356" s="5"/>
      <c r="R2356" s="8"/>
      <c r="S2356" s="8"/>
      <c r="T2356" s="3"/>
    </row>
    <row r="2357" spans="14:20" x14ac:dyDescent="0.3">
      <c r="N2357" s="5"/>
      <c r="O2357" s="5"/>
      <c r="P2357" s="5"/>
      <c r="Q2357" s="5"/>
      <c r="R2357" s="8"/>
      <c r="S2357" s="8"/>
      <c r="T2357" s="3"/>
    </row>
    <row r="2358" spans="14:20" x14ac:dyDescent="0.3">
      <c r="N2358" s="5"/>
      <c r="O2358" s="5"/>
      <c r="P2358" s="5"/>
      <c r="Q2358" s="5"/>
      <c r="R2358" s="8"/>
      <c r="S2358" s="8"/>
      <c r="T2358" s="3"/>
    </row>
    <row r="2359" spans="14:20" x14ac:dyDescent="0.3">
      <c r="N2359" s="5"/>
      <c r="O2359" s="5"/>
      <c r="P2359" s="5"/>
      <c r="Q2359" s="5"/>
      <c r="R2359" s="8"/>
      <c r="S2359" s="8"/>
      <c r="T2359" s="3"/>
    </row>
    <row r="2360" spans="14:20" x14ac:dyDescent="0.3">
      <c r="N2360" s="5"/>
      <c r="O2360" s="5"/>
      <c r="P2360" s="5"/>
      <c r="Q2360" s="5"/>
      <c r="R2360" s="8"/>
      <c r="S2360" s="8"/>
      <c r="T2360" s="3"/>
    </row>
    <row r="2361" spans="14:20" x14ac:dyDescent="0.3">
      <c r="N2361" s="5"/>
      <c r="O2361" s="5"/>
      <c r="P2361" s="5"/>
      <c r="Q2361" s="5"/>
      <c r="R2361" s="8"/>
      <c r="S2361" s="8"/>
      <c r="T2361" s="3"/>
    </row>
    <row r="2362" spans="14:20" x14ac:dyDescent="0.3">
      <c r="N2362" s="5"/>
      <c r="O2362" s="5"/>
      <c r="P2362" s="5"/>
      <c r="Q2362" s="5"/>
      <c r="R2362" s="8"/>
      <c r="S2362" s="8"/>
      <c r="T2362" s="3"/>
    </row>
    <row r="2363" spans="14:20" x14ac:dyDescent="0.3">
      <c r="N2363" s="5"/>
      <c r="O2363" s="5"/>
      <c r="P2363" s="5"/>
      <c r="Q2363" s="5"/>
      <c r="R2363" s="8"/>
      <c r="S2363" s="8"/>
      <c r="T2363" s="3"/>
    </row>
    <row r="2364" spans="14:20" x14ac:dyDescent="0.3">
      <c r="N2364" s="5"/>
      <c r="O2364" s="5"/>
      <c r="P2364" s="5"/>
      <c r="Q2364" s="5"/>
      <c r="R2364" s="8"/>
      <c r="S2364" s="8"/>
      <c r="T2364" s="3"/>
    </row>
    <row r="2365" spans="14:20" x14ac:dyDescent="0.3">
      <c r="N2365" s="5"/>
      <c r="O2365" s="5"/>
      <c r="P2365" s="5"/>
      <c r="Q2365" s="5"/>
      <c r="R2365" s="8"/>
      <c r="S2365" s="8"/>
      <c r="T2365" s="3"/>
    </row>
    <row r="2366" spans="14:20" x14ac:dyDescent="0.3">
      <c r="N2366" s="5"/>
      <c r="O2366" s="5"/>
      <c r="P2366" s="5"/>
      <c r="Q2366" s="5"/>
      <c r="R2366" s="8"/>
      <c r="S2366" s="8"/>
      <c r="T2366" s="3"/>
    </row>
    <row r="2367" spans="14:20" x14ac:dyDescent="0.3">
      <c r="N2367" s="5"/>
      <c r="O2367" s="5"/>
      <c r="P2367" s="5"/>
      <c r="Q2367" s="5"/>
      <c r="R2367" s="8"/>
      <c r="S2367" s="8"/>
      <c r="T2367" s="3"/>
    </row>
    <row r="2368" spans="14:20" x14ac:dyDescent="0.3">
      <c r="N2368" s="5"/>
      <c r="O2368" s="5"/>
      <c r="P2368" s="5"/>
      <c r="Q2368" s="5"/>
      <c r="R2368" s="8"/>
      <c r="S2368" s="8"/>
      <c r="T2368" s="3"/>
    </row>
    <row r="2369" spans="14:20" x14ac:dyDescent="0.3">
      <c r="N2369" s="5"/>
      <c r="O2369" s="5"/>
      <c r="P2369" s="5"/>
      <c r="Q2369" s="5"/>
      <c r="R2369" s="8"/>
      <c r="S2369" s="8"/>
      <c r="T2369" s="3"/>
    </row>
    <row r="2370" spans="14:20" x14ac:dyDescent="0.3">
      <c r="N2370" s="5"/>
      <c r="O2370" s="5"/>
      <c r="P2370" s="5"/>
      <c r="Q2370" s="5"/>
      <c r="R2370" s="8"/>
      <c r="S2370" s="8"/>
      <c r="T2370" s="3"/>
    </row>
    <row r="2371" spans="14:20" x14ac:dyDescent="0.3">
      <c r="N2371" s="5"/>
      <c r="O2371" s="5"/>
      <c r="P2371" s="5"/>
      <c r="Q2371" s="5"/>
      <c r="R2371" s="8"/>
      <c r="S2371" s="8"/>
      <c r="T2371" s="3"/>
    </row>
    <row r="2372" spans="14:20" x14ac:dyDescent="0.3">
      <c r="N2372" s="5"/>
      <c r="O2372" s="5"/>
      <c r="P2372" s="5"/>
      <c r="Q2372" s="5"/>
      <c r="R2372" s="8"/>
      <c r="S2372" s="8"/>
      <c r="T2372" s="3"/>
    </row>
    <row r="2373" spans="14:20" x14ac:dyDescent="0.3">
      <c r="N2373" s="5"/>
      <c r="O2373" s="5"/>
      <c r="P2373" s="5"/>
      <c r="Q2373" s="5"/>
      <c r="R2373" s="8"/>
      <c r="S2373" s="8"/>
      <c r="T2373" s="3"/>
    </row>
    <row r="2374" spans="14:20" x14ac:dyDescent="0.3">
      <c r="N2374" s="5"/>
      <c r="O2374" s="5"/>
      <c r="P2374" s="5"/>
      <c r="Q2374" s="5"/>
      <c r="R2374" s="8"/>
      <c r="S2374" s="8"/>
      <c r="T2374" s="3"/>
    </row>
    <row r="2375" spans="14:20" x14ac:dyDescent="0.3">
      <c r="N2375" s="5"/>
      <c r="O2375" s="5"/>
      <c r="P2375" s="5"/>
      <c r="Q2375" s="5"/>
      <c r="R2375" s="8"/>
      <c r="S2375" s="8"/>
      <c r="T2375" s="3"/>
    </row>
    <row r="2376" spans="14:20" x14ac:dyDescent="0.3">
      <c r="N2376" s="5"/>
      <c r="O2376" s="5"/>
      <c r="P2376" s="5"/>
      <c r="Q2376" s="5"/>
      <c r="R2376" s="8"/>
      <c r="S2376" s="8"/>
      <c r="T2376" s="3"/>
    </row>
    <row r="2377" spans="14:20" x14ac:dyDescent="0.3">
      <c r="N2377" s="5"/>
      <c r="O2377" s="5"/>
      <c r="P2377" s="5"/>
      <c r="Q2377" s="5"/>
      <c r="R2377" s="8"/>
      <c r="S2377" s="8"/>
      <c r="T2377" s="3"/>
    </row>
    <row r="2378" spans="14:20" x14ac:dyDescent="0.3">
      <c r="N2378" s="5"/>
      <c r="O2378" s="5"/>
      <c r="P2378" s="5"/>
      <c r="Q2378" s="5"/>
      <c r="R2378" s="8"/>
      <c r="S2378" s="8"/>
      <c r="T2378" s="3"/>
    </row>
    <row r="2379" spans="14:20" x14ac:dyDescent="0.3">
      <c r="N2379" s="5"/>
      <c r="O2379" s="5"/>
      <c r="P2379" s="5"/>
      <c r="Q2379" s="5"/>
      <c r="R2379" s="8"/>
      <c r="S2379" s="8"/>
      <c r="T2379" s="3"/>
    </row>
    <row r="2380" spans="14:20" x14ac:dyDescent="0.3">
      <c r="N2380" s="5"/>
      <c r="O2380" s="5"/>
      <c r="P2380" s="5"/>
      <c r="Q2380" s="5"/>
      <c r="R2380" s="8"/>
      <c r="S2380" s="8"/>
      <c r="T2380" s="3"/>
    </row>
    <row r="2381" spans="14:20" x14ac:dyDescent="0.3">
      <c r="N2381" s="5"/>
      <c r="O2381" s="5"/>
      <c r="P2381" s="5"/>
      <c r="Q2381" s="5"/>
      <c r="R2381" s="8"/>
      <c r="S2381" s="8"/>
      <c r="T2381" s="3"/>
    </row>
    <row r="2382" spans="14:20" x14ac:dyDescent="0.3">
      <c r="N2382" s="5"/>
      <c r="O2382" s="5"/>
      <c r="P2382" s="5"/>
      <c r="Q2382" s="5"/>
      <c r="R2382" s="8"/>
      <c r="S2382" s="8"/>
      <c r="T2382" s="3"/>
    </row>
    <row r="2383" spans="14:20" x14ac:dyDescent="0.3">
      <c r="N2383" s="5"/>
      <c r="O2383" s="5"/>
      <c r="P2383" s="5"/>
      <c r="Q2383" s="5"/>
      <c r="R2383" s="8"/>
      <c r="S2383" s="8"/>
      <c r="T2383" s="3"/>
    </row>
    <row r="2384" spans="14:20" x14ac:dyDescent="0.3">
      <c r="N2384" s="5"/>
      <c r="O2384" s="5"/>
      <c r="P2384" s="5"/>
      <c r="Q2384" s="5"/>
      <c r="R2384" s="8"/>
      <c r="S2384" s="8"/>
      <c r="T2384" s="3"/>
    </row>
    <row r="2385" spans="14:20" x14ac:dyDescent="0.3">
      <c r="N2385" s="5"/>
      <c r="O2385" s="5"/>
      <c r="P2385" s="5"/>
      <c r="Q2385" s="5"/>
      <c r="R2385" s="8"/>
      <c r="S2385" s="8"/>
      <c r="T2385" s="3"/>
    </row>
    <row r="2386" spans="14:20" x14ac:dyDescent="0.3">
      <c r="N2386" s="5"/>
      <c r="O2386" s="5"/>
      <c r="P2386" s="5"/>
      <c r="Q2386" s="5"/>
      <c r="R2386" s="8"/>
      <c r="S2386" s="8"/>
      <c r="T2386" s="3"/>
    </row>
    <row r="2387" spans="14:20" x14ac:dyDescent="0.3">
      <c r="N2387" s="5"/>
      <c r="O2387" s="5"/>
      <c r="P2387" s="5"/>
      <c r="Q2387" s="5"/>
      <c r="R2387" s="8"/>
      <c r="S2387" s="8"/>
      <c r="T2387" s="3"/>
    </row>
    <row r="2388" spans="14:20" x14ac:dyDescent="0.3">
      <c r="N2388" s="5"/>
      <c r="O2388" s="5"/>
      <c r="P2388" s="5"/>
      <c r="Q2388" s="5"/>
      <c r="R2388" s="8"/>
      <c r="S2388" s="8"/>
      <c r="T2388" s="3"/>
    </row>
    <row r="2389" spans="14:20" x14ac:dyDescent="0.3">
      <c r="N2389" s="5"/>
      <c r="O2389" s="5"/>
      <c r="P2389" s="5"/>
      <c r="Q2389" s="5"/>
      <c r="R2389" s="8"/>
      <c r="S2389" s="8"/>
      <c r="T2389" s="3"/>
    </row>
    <row r="2390" spans="14:20" x14ac:dyDescent="0.3">
      <c r="N2390" s="5"/>
      <c r="O2390" s="5"/>
      <c r="P2390" s="5"/>
      <c r="Q2390" s="5"/>
      <c r="R2390" s="8"/>
      <c r="S2390" s="8"/>
      <c r="T2390" s="3"/>
    </row>
    <row r="2391" spans="14:20" x14ac:dyDescent="0.3">
      <c r="N2391" s="5"/>
      <c r="O2391" s="5"/>
      <c r="P2391" s="5"/>
      <c r="Q2391" s="5"/>
      <c r="R2391" s="8"/>
      <c r="S2391" s="8"/>
      <c r="T2391" s="3"/>
    </row>
    <row r="2392" spans="14:20" x14ac:dyDescent="0.3">
      <c r="N2392" s="5"/>
      <c r="O2392" s="5"/>
      <c r="P2392" s="5"/>
      <c r="Q2392" s="5"/>
      <c r="R2392" s="8"/>
      <c r="S2392" s="8"/>
      <c r="T2392" s="3"/>
    </row>
    <row r="2393" spans="14:20" x14ac:dyDescent="0.3">
      <c r="N2393" s="5"/>
      <c r="O2393" s="5"/>
      <c r="P2393" s="5"/>
      <c r="Q2393" s="5"/>
      <c r="R2393" s="8"/>
      <c r="S2393" s="8"/>
      <c r="T2393" s="3"/>
    </row>
    <row r="2394" spans="14:20" x14ac:dyDescent="0.3">
      <c r="N2394" s="5"/>
      <c r="O2394" s="5"/>
      <c r="P2394" s="5"/>
      <c r="Q2394" s="5"/>
      <c r="R2394" s="8"/>
      <c r="S2394" s="8"/>
      <c r="T2394" s="3"/>
    </row>
    <row r="2395" spans="14:20" x14ac:dyDescent="0.3">
      <c r="N2395" s="5"/>
      <c r="O2395" s="5"/>
      <c r="P2395" s="5"/>
      <c r="Q2395" s="5"/>
      <c r="R2395" s="8"/>
      <c r="S2395" s="8"/>
      <c r="T2395" s="3"/>
    </row>
    <row r="2396" spans="14:20" x14ac:dyDescent="0.3">
      <c r="N2396" s="5"/>
      <c r="O2396" s="5"/>
      <c r="P2396" s="5"/>
      <c r="Q2396" s="5"/>
      <c r="R2396" s="8"/>
      <c r="S2396" s="8"/>
      <c r="T2396" s="3"/>
    </row>
    <row r="2397" spans="14:20" x14ac:dyDescent="0.3">
      <c r="N2397" s="5"/>
      <c r="O2397" s="5"/>
      <c r="P2397" s="5"/>
      <c r="Q2397" s="5"/>
      <c r="R2397" s="8"/>
      <c r="S2397" s="8"/>
      <c r="T2397" s="3"/>
    </row>
    <row r="2398" spans="14:20" x14ac:dyDescent="0.3">
      <c r="N2398" s="5"/>
      <c r="O2398" s="5"/>
      <c r="P2398" s="5"/>
      <c r="Q2398" s="5"/>
      <c r="R2398" s="8"/>
      <c r="S2398" s="8"/>
      <c r="T2398" s="3"/>
    </row>
    <row r="2399" spans="14:20" x14ac:dyDescent="0.3">
      <c r="N2399" s="5"/>
      <c r="O2399" s="5"/>
      <c r="P2399" s="5"/>
      <c r="Q2399" s="5"/>
      <c r="R2399" s="8"/>
      <c r="S2399" s="8"/>
      <c r="T2399" s="3"/>
    </row>
    <row r="2400" spans="14:20" x14ac:dyDescent="0.3">
      <c r="N2400" s="5"/>
      <c r="O2400" s="5"/>
      <c r="P2400" s="5"/>
      <c r="Q2400" s="5"/>
      <c r="R2400" s="8"/>
      <c r="S2400" s="8"/>
      <c r="T2400" s="3"/>
    </row>
    <row r="2401" spans="14:20" x14ac:dyDescent="0.3">
      <c r="N2401" s="5"/>
      <c r="O2401" s="5"/>
      <c r="P2401" s="5"/>
      <c r="Q2401" s="5"/>
      <c r="R2401" s="8"/>
      <c r="S2401" s="8"/>
      <c r="T2401" s="3"/>
    </row>
    <row r="2402" spans="14:20" x14ac:dyDescent="0.3">
      <c r="N2402" s="5"/>
      <c r="O2402" s="5"/>
      <c r="P2402" s="5"/>
      <c r="Q2402" s="5"/>
      <c r="R2402" s="8"/>
      <c r="S2402" s="8"/>
      <c r="T2402" s="3"/>
    </row>
    <row r="2403" spans="14:20" x14ac:dyDescent="0.3">
      <c r="N2403" s="5"/>
      <c r="O2403" s="5"/>
      <c r="P2403" s="5"/>
      <c r="Q2403" s="5"/>
      <c r="R2403" s="8"/>
      <c r="S2403" s="8"/>
      <c r="T2403" s="3"/>
    </row>
    <row r="2404" spans="14:20" x14ac:dyDescent="0.3">
      <c r="N2404" s="5"/>
      <c r="O2404" s="5"/>
      <c r="P2404" s="5"/>
      <c r="Q2404" s="5"/>
      <c r="R2404" s="8"/>
      <c r="S2404" s="8"/>
      <c r="T2404" s="3"/>
    </row>
    <row r="2405" spans="14:20" x14ac:dyDescent="0.3">
      <c r="N2405" s="5"/>
      <c r="O2405" s="5"/>
      <c r="P2405" s="5"/>
      <c r="Q2405" s="5"/>
      <c r="R2405" s="8"/>
      <c r="S2405" s="8"/>
      <c r="T2405" s="3"/>
    </row>
    <row r="2406" spans="14:20" x14ac:dyDescent="0.3">
      <c r="N2406" s="5"/>
      <c r="O2406" s="5"/>
      <c r="P2406" s="5"/>
      <c r="Q2406" s="5"/>
      <c r="R2406" s="8"/>
      <c r="S2406" s="8"/>
      <c r="T2406" s="3"/>
    </row>
    <row r="2407" spans="14:20" x14ac:dyDescent="0.3">
      <c r="N2407" s="5"/>
      <c r="O2407" s="5"/>
      <c r="P2407" s="5"/>
      <c r="Q2407" s="5"/>
      <c r="R2407" s="8"/>
      <c r="S2407" s="8"/>
      <c r="T2407" s="3"/>
    </row>
    <row r="2408" spans="14:20" x14ac:dyDescent="0.3">
      <c r="N2408" s="5"/>
      <c r="O2408" s="5"/>
      <c r="P2408" s="5"/>
      <c r="Q2408" s="5"/>
      <c r="R2408" s="8"/>
      <c r="S2408" s="8"/>
      <c r="T2408" s="3"/>
    </row>
    <row r="2409" spans="14:20" x14ac:dyDescent="0.3">
      <c r="N2409" s="5"/>
      <c r="O2409" s="5"/>
      <c r="P2409" s="5"/>
      <c r="Q2409" s="5"/>
      <c r="R2409" s="8"/>
      <c r="S2409" s="8"/>
      <c r="T2409" s="3"/>
    </row>
    <row r="2410" spans="14:20" x14ac:dyDescent="0.3">
      <c r="N2410" s="5"/>
      <c r="O2410" s="5"/>
      <c r="P2410" s="5"/>
      <c r="Q2410" s="5"/>
      <c r="R2410" s="8"/>
      <c r="S2410" s="8"/>
      <c r="T2410" s="3"/>
    </row>
    <row r="2411" spans="14:20" x14ac:dyDescent="0.3">
      <c r="N2411" s="5"/>
      <c r="O2411" s="5"/>
      <c r="P2411" s="5"/>
      <c r="Q2411" s="5"/>
      <c r="R2411" s="8"/>
      <c r="S2411" s="8"/>
      <c r="T2411" s="3"/>
    </row>
    <row r="2412" spans="14:20" x14ac:dyDescent="0.3">
      <c r="N2412" s="5"/>
      <c r="O2412" s="5"/>
      <c r="P2412" s="5"/>
      <c r="Q2412" s="5"/>
      <c r="R2412" s="8"/>
      <c r="S2412" s="8"/>
      <c r="T2412" s="3"/>
    </row>
    <row r="2413" spans="14:20" x14ac:dyDescent="0.3">
      <c r="N2413" s="5"/>
      <c r="O2413" s="5"/>
      <c r="P2413" s="5"/>
      <c r="Q2413" s="5"/>
      <c r="R2413" s="8"/>
      <c r="S2413" s="8"/>
      <c r="T2413" s="3"/>
    </row>
    <row r="2414" spans="14:20" x14ac:dyDescent="0.3">
      <c r="N2414" s="5"/>
      <c r="O2414" s="5"/>
      <c r="P2414" s="5"/>
      <c r="Q2414" s="5"/>
      <c r="R2414" s="8"/>
      <c r="S2414" s="8"/>
      <c r="T2414" s="3"/>
    </row>
    <row r="2415" spans="14:20" x14ac:dyDescent="0.3">
      <c r="N2415" s="5"/>
      <c r="O2415" s="5"/>
      <c r="P2415" s="5"/>
      <c r="Q2415" s="5"/>
      <c r="R2415" s="8"/>
      <c r="S2415" s="8"/>
      <c r="T2415" s="3"/>
    </row>
    <row r="2416" spans="14:20" x14ac:dyDescent="0.3">
      <c r="N2416" s="5"/>
      <c r="O2416" s="5"/>
      <c r="P2416" s="5"/>
      <c r="Q2416" s="5"/>
      <c r="R2416" s="8"/>
      <c r="S2416" s="8"/>
      <c r="T2416" s="3"/>
    </row>
    <row r="2417" spans="14:20" x14ac:dyDescent="0.3">
      <c r="N2417" s="5"/>
      <c r="O2417" s="5"/>
      <c r="P2417" s="5"/>
      <c r="Q2417" s="5"/>
      <c r="R2417" s="8"/>
      <c r="S2417" s="8"/>
      <c r="T2417" s="3"/>
    </row>
    <row r="2418" spans="14:20" x14ac:dyDescent="0.3">
      <c r="N2418" s="5"/>
      <c r="O2418" s="5"/>
      <c r="P2418" s="5"/>
      <c r="Q2418" s="5"/>
      <c r="R2418" s="8"/>
      <c r="S2418" s="8"/>
      <c r="T2418" s="3"/>
    </row>
    <row r="2419" spans="14:20" x14ac:dyDescent="0.3">
      <c r="N2419" s="5"/>
      <c r="O2419" s="5"/>
      <c r="P2419" s="5"/>
      <c r="Q2419" s="5"/>
      <c r="R2419" s="8"/>
      <c r="S2419" s="8"/>
      <c r="T2419" s="3"/>
    </row>
    <row r="2420" spans="14:20" x14ac:dyDescent="0.3">
      <c r="N2420" s="5"/>
      <c r="O2420" s="5"/>
      <c r="P2420" s="5"/>
      <c r="Q2420" s="5"/>
      <c r="R2420" s="8"/>
      <c r="S2420" s="8"/>
      <c r="T2420" s="3"/>
    </row>
    <row r="2421" spans="14:20" x14ac:dyDescent="0.3">
      <c r="N2421" s="5"/>
      <c r="O2421" s="5"/>
      <c r="P2421" s="5"/>
      <c r="Q2421" s="5"/>
      <c r="R2421" s="8"/>
      <c r="S2421" s="8"/>
      <c r="T2421" s="3"/>
    </row>
    <row r="2422" spans="14:20" x14ac:dyDescent="0.3">
      <c r="N2422" s="5"/>
      <c r="O2422" s="5"/>
      <c r="P2422" s="5"/>
      <c r="Q2422" s="5"/>
      <c r="R2422" s="8"/>
      <c r="S2422" s="8"/>
      <c r="T2422" s="3"/>
    </row>
    <row r="2423" spans="14:20" x14ac:dyDescent="0.3">
      <c r="N2423" s="5"/>
      <c r="O2423" s="5"/>
      <c r="P2423" s="5"/>
      <c r="Q2423" s="5"/>
      <c r="R2423" s="8"/>
      <c r="S2423" s="8"/>
      <c r="T2423" s="3"/>
    </row>
    <row r="2424" spans="14:20" x14ac:dyDescent="0.3">
      <c r="N2424" s="5"/>
      <c r="O2424" s="5"/>
      <c r="P2424" s="5"/>
      <c r="Q2424" s="5"/>
      <c r="R2424" s="8"/>
      <c r="S2424" s="8"/>
      <c r="T2424" s="3"/>
    </row>
    <row r="2425" spans="14:20" x14ac:dyDescent="0.3">
      <c r="N2425" s="5"/>
      <c r="O2425" s="5"/>
      <c r="P2425" s="5"/>
      <c r="Q2425" s="5"/>
      <c r="R2425" s="8"/>
      <c r="S2425" s="8"/>
      <c r="T2425" s="3"/>
    </row>
    <row r="2426" spans="14:20" x14ac:dyDescent="0.3">
      <c r="N2426" s="5"/>
      <c r="O2426" s="5"/>
      <c r="P2426" s="5"/>
      <c r="Q2426" s="5"/>
      <c r="R2426" s="8"/>
      <c r="S2426" s="8"/>
      <c r="T2426" s="3"/>
    </row>
    <row r="2427" spans="14:20" x14ac:dyDescent="0.3">
      <c r="N2427" s="5"/>
      <c r="O2427" s="5"/>
      <c r="P2427" s="5"/>
      <c r="Q2427" s="5"/>
      <c r="R2427" s="8"/>
      <c r="S2427" s="8"/>
      <c r="T2427" s="3"/>
    </row>
    <row r="2428" spans="14:20" x14ac:dyDescent="0.3">
      <c r="N2428" s="5"/>
      <c r="O2428" s="5"/>
      <c r="P2428" s="5"/>
      <c r="Q2428" s="5"/>
      <c r="R2428" s="8"/>
      <c r="S2428" s="8"/>
      <c r="T2428" s="3"/>
    </row>
    <row r="2429" spans="14:20" x14ac:dyDescent="0.3">
      <c r="N2429" s="5"/>
      <c r="O2429" s="5"/>
      <c r="P2429" s="5"/>
      <c r="Q2429" s="5"/>
      <c r="R2429" s="8"/>
      <c r="S2429" s="8"/>
      <c r="T2429" s="3"/>
    </row>
    <row r="2430" spans="14:20" x14ac:dyDescent="0.3">
      <c r="N2430" s="5"/>
      <c r="O2430" s="5"/>
      <c r="P2430" s="5"/>
      <c r="Q2430" s="5"/>
      <c r="R2430" s="8"/>
      <c r="S2430" s="8"/>
      <c r="T2430" s="3"/>
    </row>
    <row r="2431" spans="14:20" x14ac:dyDescent="0.3">
      <c r="N2431" s="5"/>
      <c r="O2431" s="5"/>
      <c r="P2431" s="5"/>
      <c r="Q2431" s="5"/>
      <c r="R2431" s="8"/>
      <c r="S2431" s="8"/>
      <c r="T2431" s="3"/>
    </row>
    <row r="2432" spans="14:20" x14ac:dyDescent="0.3">
      <c r="N2432" s="5"/>
      <c r="O2432" s="5"/>
      <c r="P2432" s="5"/>
      <c r="Q2432" s="5"/>
      <c r="R2432" s="8"/>
      <c r="S2432" s="8"/>
      <c r="T2432" s="3"/>
    </row>
    <row r="2433" spans="14:20" x14ac:dyDescent="0.3">
      <c r="N2433" s="5"/>
      <c r="O2433" s="5"/>
      <c r="P2433" s="5"/>
      <c r="Q2433" s="5"/>
      <c r="R2433" s="8"/>
      <c r="S2433" s="8"/>
      <c r="T2433" s="3"/>
    </row>
    <row r="2434" spans="14:20" x14ac:dyDescent="0.3">
      <c r="N2434" s="5"/>
      <c r="O2434" s="5"/>
      <c r="P2434" s="5"/>
      <c r="Q2434" s="5"/>
      <c r="R2434" s="8"/>
      <c r="S2434" s="8"/>
      <c r="T2434" s="3"/>
    </row>
    <row r="2435" spans="14:20" x14ac:dyDescent="0.3">
      <c r="N2435" s="5"/>
      <c r="O2435" s="5"/>
      <c r="P2435" s="5"/>
      <c r="Q2435" s="5"/>
      <c r="R2435" s="8"/>
      <c r="S2435" s="8"/>
      <c r="T2435" s="3"/>
    </row>
    <row r="2436" spans="14:20" x14ac:dyDescent="0.3">
      <c r="N2436" s="5"/>
      <c r="O2436" s="5"/>
      <c r="P2436" s="5"/>
      <c r="Q2436" s="5"/>
      <c r="R2436" s="8"/>
      <c r="S2436" s="8"/>
      <c r="T2436" s="3"/>
    </row>
    <row r="2437" spans="14:20" x14ac:dyDescent="0.3">
      <c r="N2437" s="5"/>
      <c r="O2437" s="5"/>
      <c r="P2437" s="5"/>
      <c r="Q2437" s="5"/>
      <c r="R2437" s="8"/>
      <c r="S2437" s="8"/>
      <c r="T2437" s="3"/>
    </row>
    <row r="2438" spans="14:20" x14ac:dyDescent="0.3">
      <c r="N2438" s="5"/>
      <c r="O2438" s="5"/>
      <c r="P2438" s="5"/>
      <c r="Q2438" s="5"/>
      <c r="R2438" s="8"/>
      <c r="S2438" s="8"/>
      <c r="T2438" s="3"/>
    </row>
    <row r="2439" spans="14:20" x14ac:dyDescent="0.3">
      <c r="N2439" s="5"/>
      <c r="O2439" s="5"/>
      <c r="P2439" s="5"/>
      <c r="Q2439" s="5"/>
      <c r="R2439" s="8"/>
      <c r="S2439" s="8"/>
      <c r="T2439" s="3"/>
    </row>
    <row r="2440" spans="14:20" x14ac:dyDescent="0.3">
      <c r="N2440" s="5"/>
      <c r="O2440" s="5"/>
      <c r="P2440" s="5"/>
      <c r="Q2440" s="5"/>
      <c r="R2440" s="8"/>
      <c r="S2440" s="8"/>
      <c r="T2440" s="3"/>
    </row>
    <row r="2441" spans="14:20" x14ac:dyDescent="0.3">
      <c r="N2441" s="5"/>
      <c r="O2441" s="5"/>
      <c r="P2441" s="5"/>
      <c r="Q2441" s="5"/>
      <c r="R2441" s="8"/>
      <c r="S2441" s="8"/>
      <c r="T2441" s="3"/>
    </row>
    <row r="2442" spans="14:20" x14ac:dyDescent="0.3">
      <c r="N2442" s="5"/>
      <c r="O2442" s="5"/>
      <c r="P2442" s="5"/>
      <c r="Q2442" s="5"/>
      <c r="R2442" s="8"/>
      <c r="S2442" s="8"/>
      <c r="T2442" s="3"/>
    </row>
    <row r="2443" spans="14:20" x14ac:dyDescent="0.3">
      <c r="N2443" s="5"/>
      <c r="O2443" s="5"/>
      <c r="P2443" s="5"/>
      <c r="Q2443" s="5"/>
      <c r="R2443" s="8"/>
      <c r="S2443" s="8"/>
      <c r="T2443" s="3"/>
    </row>
    <row r="2444" spans="14:20" x14ac:dyDescent="0.3">
      <c r="N2444" s="5"/>
      <c r="O2444" s="5"/>
      <c r="P2444" s="5"/>
      <c r="Q2444" s="5"/>
      <c r="R2444" s="8"/>
      <c r="S2444" s="8"/>
      <c r="T2444" s="3"/>
    </row>
    <row r="2445" spans="14:20" x14ac:dyDescent="0.3">
      <c r="N2445" s="5"/>
      <c r="O2445" s="5"/>
      <c r="P2445" s="5"/>
      <c r="Q2445" s="5"/>
      <c r="R2445" s="8"/>
      <c r="S2445" s="8"/>
      <c r="T2445" s="3"/>
    </row>
    <row r="2446" spans="14:20" x14ac:dyDescent="0.3">
      <c r="N2446" s="5"/>
      <c r="O2446" s="5"/>
      <c r="P2446" s="5"/>
      <c r="Q2446" s="5"/>
      <c r="R2446" s="8"/>
      <c r="S2446" s="8"/>
      <c r="T2446" s="3"/>
    </row>
    <row r="2447" spans="14:20" x14ac:dyDescent="0.3">
      <c r="N2447" s="5"/>
      <c r="O2447" s="5"/>
      <c r="P2447" s="5"/>
      <c r="Q2447" s="5"/>
      <c r="R2447" s="8"/>
      <c r="S2447" s="8"/>
      <c r="T2447" s="3"/>
    </row>
    <row r="2448" spans="14:20" x14ac:dyDescent="0.3">
      <c r="N2448" s="5"/>
      <c r="O2448" s="5"/>
      <c r="P2448" s="5"/>
      <c r="Q2448" s="5"/>
      <c r="R2448" s="8"/>
      <c r="S2448" s="8"/>
      <c r="T2448" s="3"/>
    </row>
    <row r="2449" spans="14:20" x14ac:dyDescent="0.3">
      <c r="N2449" s="5"/>
      <c r="O2449" s="5"/>
      <c r="P2449" s="5"/>
      <c r="Q2449" s="5"/>
      <c r="R2449" s="8"/>
      <c r="S2449" s="8"/>
      <c r="T2449" s="3"/>
    </row>
    <row r="2450" spans="14:20" x14ac:dyDescent="0.3">
      <c r="N2450" s="5"/>
      <c r="O2450" s="5"/>
      <c r="P2450" s="5"/>
      <c r="Q2450" s="5"/>
      <c r="R2450" s="8"/>
      <c r="S2450" s="8"/>
      <c r="T2450" s="3"/>
    </row>
    <row r="2451" spans="14:20" x14ac:dyDescent="0.3">
      <c r="N2451" s="5"/>
      <c r="O2451" s="5"/>
      <c r="P2451" s="5"/>
      <c r="Q2451" s="5"/>
      <c r="R2451" s="8"/>
      <c r="S2451" s="8"/>
      <c r="T2451" s="3"/>
    </row>
    <row r="2452" spans="14:20" x14ac:dyDescent="0.3">
      <c r="N2452" s="5"/>
      <c r="O2452" s="5"/>
      <c r="P2452" s="5"/>
      <c r="Q2452" s="5"/>
      <c r="R2452" s="8"/>
      <c r="S2452" s="8"/>
      <c r="T2452" s="3"/>
    </row>
    <row r="2453" spans="14:20" x14ac:dyDescent="0.3">
      <c r="N2453" s="5"/>
      <c r="O2453" s="5"/>
      <c r="P2453" s="5"/>
      <c r="Q2453" s="5"/>
      <c r="R2453" s="8"/>
      <c r="S2453" s="8"/>
      <c r="T2453" s="3"/>
    </row>
    <row r="2454" spans="14:20" x14ac:dyDescent="0.3">
      <c r="N2454" s="5"/>
      <c r="O2454" s="5"/>
      <c r="P2454" s="5"/>
      <c r="Q2454" s="5"/>
      <c r="R2454" s="8"/>
      <c r="S2454" s="8"/>
      <c r="T2454" s="3"/>
    </row>
    <row r="2455" spans="14:20" x14ac:dyDescent="0.3">
      <c r="N2455" s="5"/>
      <c r="O2455" s="5"/>
      <c r="P2455" s="5"/>
      <c r="Q2455" s="5"/>
      <c r="R2455" s="8"/>
      <c r="S2455" s="8"/>
      <c r="T2455" s="3"/>
    </row>
    <row r="2456" spans="14:20" x14ac:dyDescent="0.3">
      <c r="N2456" s="5"/>
      <c r="O2456" s="5"/>
      <c r="P2456" s="5"/>
      <c r="Q2456" s="5"/>
      <c r="R2456" s="8"/>
      <c r="S2456" s="8"/>
      <c r="T2456" s="3"/>
    </row>
    <row r="2457" spans="14:20" x14ac:dyDescent="0.3">
      <c r="N2457" s="5"/>
      <c r="O2457" s="5"/>
      <c r="P2457" s="5"/>
      <c r="Q2457" s="5"/>
      <c r="R2457" s="8"/>
      <c r="S2457" s="8"/>
      <c r="T2457" s="3"/>
    </row>
    <row r="2458" spans="14:20" x14ac:dyDescent="0.3">
      <c r="N2458" s="5"/>
      <c r="O2458" s="5"/>
      <c r="P2458" s="5"/>
      <c r="Q2458" s="5"/>
      <c r="R2458" s="8"/>
      <c r="S2458" s="8"/>
      <c r="T2458" s="3"/>
    </row>
    <row r="2459" spans="14:20" x14ac:dyDescent="0.3">
      <c r="N2459" s="5"/>
      <c r="O2459" s="5"/>
      <c r="P2459" s="5"/>
      <c r="Q2459" s="5"/>
      <c r="R2459" s="8"/>
      <c r="S2459" s="8"/>
      <c r="T2459" s="3"/>
    </row>
    <row r="2460" spans="14:20" x14ac:dyDescent="0.3">
      <c r="N2460" s="5"/>
      <c r="O2460" s="5"/>
      <c r="P2460" s="5"/>
      <c r="Q2460" s="5"/>
      <c r="R2460" s="8"/>
      <c r="S2460" s="8"/>
      <c r="T2460" s="3"/>
    </row>
    <row r="2461" spans="14:20" x14ac:dyDescent="0.3">
      <c r="N2461" s="5"/>
      <c r="O2461" s="5"/>
      <c r="P2461" s="5"/>
      <c r="Q2461" s="5"/>
      <c r="R2461" s="8"/>
      <c r="S2461" s="8"/>
      <c r="T2461" s="3"/>
    </row>
    <row r="2462" spans="14:20" x14ac:dyDescent="0.3">
      <c r="N2462" s="5"/>
      <c r="O2462" s="5"/>
      <c r="P2462" s="5"/>
      <c r="Q2462" s="5"/>
      <c r="R2462" s="8"/>
      <c r="S2462" s="8"/>
      <c r="T2462" s="3"/>
    </row>
    <row r="2463" spans="14:20" x14ac:dyDescent="0.3">
      <c r="N2463" s="5"/>
      <c r="O2463" s="5"/>
      <c r="P2463" s="5"/>
      <c r="Q2463" s="5"/>
      <c r="R2463" s="8"/>
      <c r="S2463" s="8"/>
      <c r="T2463" s="3"/>
    </row>
    <row r="2464" spans="14:20" x14ac:dyDescent="0.3">
      <c r="N2464" s="5"/>
      <c r="O2464" s="5"/>
      <c r="P2464" s="5"/>
      <c r="Q2464" s="5"/>
      <c r="R2464" s="8"/>
      <c r="S2464" s="8"/>
      <c r="T2464" s="3"/>
    </row>
    <row r="2465" spans="14:20" x14ac:dyDescent="0.3">
      <c r="N2465" s="5"/>
      <c r="O2465" s="5"/>
      <c r="P2465" s="5"/>
      <c r="Q2465" s="5"/>
      <c r="R2465" s="8"/>
      <c r="S2465" s="8"/>
      <c r="T2465" s="3"/>
    </row>
    <row r="2466" spans="14:20" x14ac:dyDescent="0.3">
      <c r="N2466" s="5"/>
      <c r="O2466" s="5"/>
      <c r="P2466" s="5"/>
      <c r="Q2466" s="5"/>
      <c r="R2466" s="8"/>
      <c r="S2466" s="8"/>
      <c r="T2466" s="3"/>
    </row>
    <row r="2467" spans="14:20" x14ac:dyDescent="0.3">
      <c r="N2467" s="5"/>
      <c r="O2467" s="5"/>
      <c r="P2467" s="5"/>
      <c r="Q2467" s="5"/>
      <c r="R2467" s="8"/>
      <c r="S2467" s="8"/>
      <c r="T2467" s="3"/>
    </row>
    <row r="2468" spans="14:20" x14ac:dyDescent="0.3">
      <c r="N2468" s="5"/>
      <c r="O2468" s="5"/>
      <c r="P2468" s="5"/>
      <c r="Q2468" s="5"/>
      <c r="R2468" s="8"/>
      <c r="S2468" s="8"/>
      <c r="T2468" s="3"/>
    </row>
    <row r="2469" spans="14:20" x14ac:dyDescent="0.3">
      <c r="N2469" s="5"/>
      <c r="O2469" s="5"/>
      <c r="P2469" s="5"/>
      <c r="Q2469" s="5"/>
      <c r="R2469" s="8"/>
      <c r="S2469" s="8"/>
      <c r="T2469" s="3"/>
    </row>
    <row r="2470" spans="14:20" x14ac:dyDescent="0.3">
      <c r="N2470" s="5"/>
      <c r="O2470" s="5"/>
      <c r="P2470" s="5"/>
      <c r="Q2470" s="5"/>
      <c r="R2470" s="8"/>
      <c r="S2470" s="8"/>
      <c r="T2470" s="3"/>
    </row>
    <row r="2471" spans="14:20" x14ac:dyDescent="0.3">
      <c r="N2471" s="5"/>
      <c r="O2471" s="5"/>
      <c r="P2471" s="5"/>
      <c r="Q2471" s="5"/>
      <c r="R2471" s="8"/>
      <c r="S2471" s="8"/>
      <c r="T2471" s="3"/>
    </row>
    <row r="2472" spans="14:20" x14ac:dyDescent="0.3">
      <c r="N2472" s="5"/>
      <c r="O2472" s="5"/>
      <c r="P2472" s="5"/>
      <c r="Q2472" s="5"/>
      <c r="R2472" s="8"/>
      <c r="S2472" s="8"/>
      <c r="T2472" s="3"/>
    </row>
    <row r="2473" spans="14:20" x14ac:dyDescent="0.3">
      <c r="N2473" s="5"/>
      <c r="O2473" s="5"/>
      <c r="P2473" s="5"/>
      <c r="Q2473" s="5"/>
      <c r="R2473" s="8"/>
      <c r="S2473" s="8"/>
      <c r="T2473" s="3"/>
    </row>
    <row r="2474" spans="14:20" x14ac:dyDescent="0.3">
      <c r="N2474" s="5"/>
      <c r="O2474" s="5"/>
      <c r="P2474" s="5"/>
      <c r="Q2474" s="5"/>
      <c r="R2474" s="8"/>
      <c r="S2474" s="8"/>
      <c r="T2474" s="3"/>
    </row>
    <row r="2475" spans="14:20" x14ac:dyDescent="0.3">
      <c r="N2475" s="5"/>
      <c r="O2475" s="5"/>
      <c r="P2475" s="5"/>
      <c r="Q2475" s="5"/>
      <c r="R2475" s="8"/>
      <c r="S2475" s="8"/>
      <c r="T2475" s="3"/>
    </row>
    <row r="2476" spans="14:20" x14ac:dyDescent="0.3">
      <c r="N2476" s="5"/>
      <c r="O2476" s="5"/>
      <c r="P2476" s="5"/>
      <c r="Q2476" s="5"/>
      <c r="R2476" s="8"/>
      <c r="S2476" s="8"/>
      <c r="T2476" s="3"/>
    </row>
    <row r="2477" spans="14:20" x14ac:dyDescent="0.3">
      <c r="N2477" s="5"/>
      <c r="O2477" s="5"/>
      <c r="P2477" s="5"/>
      <c r="Q2477" s="5"/>
      <c r="R2477" s="8"/>
      <c r="S2477" s="8"/>
      <c r="T2477" s="3"/>
    </row>
    <row r="2478" spans="14:20" x14ac:dyDescent="0.3">
      <c r="N2478" s="5"/>
      <c r="O2478" s="5"/>
      <c r="P2478" s="5"/>
      <c r="Q2478" s="5"/>
      <c r="R2478" s="8"/>
      <c r="S2478" s="8"/>
      <c r="T2478" s="3"/>
    </row>
    <row r="2479" spans="14:20" x14ac:dyDescent="0.3">
      <c r="N2479" s="5"/>
      <c r="O2479" s="5"/>
      <c r="P2479" s="5"/>
      <c r="Q2479" s="5"/>
      <c r="R2479" s="8"/>
      <c r="S2479" s="8"/>
      <c r="T2479" s="3"/>
    </row>
    <row r="2480" spans="14:20" x14ac:dyDescent="0.3">
      <c r="N2480" s="5"/>
      <c r="O2480" s="5"/>
      <c r="P2480" s="5"/>
      <c r="Q2480" s="5"/>
      <c r="R2480" s="8"/>
      <c r="S2480" s="8"/>
      <c r="T2480" s="3"/>
    </row>
    <row r="2481" spans="14:20" x14ac:dyDescent="0.3">
      <c r="N2481" s="5"/>
      <c r="O2481" s="5"/>
      <c r="P2481" s="5"/>
      <c r="Q2481" s="5"/>
      <c r="R2481" s="8"/>
      <c r="S2481" s="8"/>
      <c r="T2481" s="3"/>
    </row>
    <row r="2482" spans="14:20" x14ac:dyDescent="0.3">
      <c r="N2482" s="5"/>
      <c r="O2482" s="5"/>
      <c r="P2482" s="5"/>
      <c r="Q2482" s="5"/>
      <c r="R2482" s="8"/>
      <c r="S2482" s="8"/>
      <c r="T2482" s="3"/>
    </row>
    <row r="2483" spans="14:20" x14ac:dyDescent="0.3">
      <c r="N2483" s="5"/>
      <c r="O2483" s="5"/>
      <c r="P2483" s="5"/>
      <c r="Q2483" s="5"/>
      <c r="R2483" s="8"/>
      <c r="S2483" s="8"/>
      <c r="T2483" s="3"/>
    </row>
    <row r="2484" spans="14:20" x14ac:dyDescent="0.3">
      <c r="N2484" s="5"/>
      <c r="O2484" s="5"/>
      <c r="P2484" s="5"/>
      <c r="Q2484" s="5"/>
      <c r="R2484" s="8"/>
      <c r="S2484" s="8"/>
      <c r="T2484" s="3"/>
    </row>
    <row r="2485" spans="14:20" x14ac:dyDescent="0.3">
      <c r="N2485" s="5"/>
      <c r="O2485" s="5"/>
      <c r="P2485" s="5"/>
      <c r="Q2485" s="5"/>
      <c r="R2485" s="8"/>
      <c r="S2485" s="8"/>
      <c r="T2485" s="3"/>
    </row>
    <row r="2486" spans="14:20" x14ac:dyDescent="0.3">
      <c r="N2486" s="5"/>
      <c r="O2486" s="5"/>
      <c r="P2486" s="5"/>
      <c r="Q2486" s="5"/>
      <c r="R2486" s="8"/>
      <c r="S2486" s="8"/>
      <c r="T2486" s="3"/>
    </row>
    <row r="2487" spans="14:20" x14ac:dyDescent="0.3">
      <c r="N2487" s="5"/>
      <c r="O2487" s="5"/>
      <c r="P2487" s="5"/>
      <c r="Q2487" s="5"/>
      <c r="R2487" s="8"/>
      <c r="S2487" s="8"/>
      <c r="T2487" s="3"/>
    </row>
    <row r="2488" spans="14:20" x14ac:dyDescent="0.3">
      <c r="N2488" s="5"/>
      <c r="O2488" s="5"/>
      <c r="P2488" s="5"/>
      <c r="Q2488" s="5"/>
      <c r="R2488" s="8"/>
      <c r="S2488" s="8"/>
      <c r="T2488" s="3"/>
    </row>
    <row r="2489" spans="14:20" x14ac:dyDescent="0.3">
      <c r="N2489" s="5"/>
      <c r="O2489" s="5"/>
      <c r="P2489" s="5"/>
      <c r="Q2489" s="5"/>
      <c r="R2489" s="8"/>
      <c r="S2489" s="8"/>
      <c r="T2489" s="3"/>
    </row>
    <row r="2490" spans="14:20" x14ac:dyDescent="0.3">
      <c r="N2490" s="5"/>
      <c r="O2490" s="5"/>
      <c r="P2490" s="5"/>
      <c r="Q2490" s="5"/>
      <c r="R2490" s="8"/>
      <c r="S2490" s="8"/>
      <c r="T2490" s="3"/>
    </row>
    <row r="2491" spans="14:20" x14ac:dyDescent="0.3">
      <c r="N2491" s="5"/>
      <c r="O2491" s="5"/>
      <c r="P2491" s="5"/>
      <c r="Q2491" s="5"/>
      <c r="R2491" s="8"/>
      <c r="S2491" s="8"/>
      <c r="T2491" s="3"/>
    </row>
    <row r="2492" spans="14:20" x14ac:dyDescent="0.3">
      <c r="N2492" s="5"/>
      <c r="O2492" s="5"/>
      <c r="P2492" s="5"/>
      <c r="Q2492" s="5"/>
      <c r="R2492" s="8"/>
      <c r="S2492" s="8"/>
      <c r="T2492" s="3"/>
    </row>
    <row r="2493" spans="14:20" x14ac:dyDescent="0.3">
      <c r="N2493" s="5"/>
      <c r="O2493" s="5"/>
      <c r="P2493" s="5"/>
      <c r="Q2493" s="5"/>
      <c r="R2493" s="8"/>
      <c r="S2493" s="8"/>
      <c r="T2493" s="3"/>
    </row>
    <row r="2494" spans="14:20" x14ac:dyDescent="0.3">
      <c r="N2494" s="5"/>
      <c r="O2494" s="5"/>
      <c r="P2494" s="5"/>
      <c r="Q2494" s="5"/>
      <c r="R2494" s="8"/>
      <c r="S2494" s="8"/>
      <c r="T2494" s="3"/>
    </row>
    <row r="2495" spans="14:20" x14ac:dyDescent="0.3">
      <c r="N2495" s="5"/>
      <c r="O2495" s="5"/>
      <c r="P2495" s="5"/>
      <c r="Q2495" s="5"/>
      <c r="R2495" s="8"/>
      <c r="S2495" s="8"/>
      <c r="T2495" s="3"/>
    </row>
    <row r="2496" spans="14:20" x14ac:dyDescent="0.3">
      <c r="N2496" s="5"/>
      <c r="O2496" s="5"/>
      <c r="P2496" s="5"/>
      <c r="Q2496" s="5"/>
      <c r="R2496" s="8"/>
      <c r="S2496" s="8"/>
      <c r="T2496" s="3"/>
    </row>
    <row r="2497" spans="14:20" x14ac:dyDescent="0.3">
      <c r="N2497" s="5"/>
      <c r="O2497" s="5"/>
      <c r="P2497" s="5"/>
      <c r="Q2497" s="5"/>
      <c r="R2497" s="8"/>
      <c r="S2497" s="8"/>
      <c r="T2497" s="3"/>
    </row>
    <row r="2498" spans="14:20" x14ac:dyDescent="0.3">
      <c r="N2498" s="5"/>
      <c r="O2498" s="5"/>
      <c r="P2498" s="5"/>
      <c r="Q2498" s="5"/>
      <c r="R2498" s="8"/>
      <c r="S2498" s="8"/>
      <c r="T2498" s="3"/>
    </row>
    <row r="2499" spans="14:20" x14ac:dyDescent="0.3">
      <c r="N2499" s="5"/>
      <c r="O2499" s="5"/>
      <c r="P2499" s="5"/>
      <c r="Q2499" s="5"/>
      <c r="R2499" s="8"/>
      <c r="S2499" s="8"/>
      <c r="T2499" s="3"/>
    </row>
    <row r="2500" spans="14:20" x14ac:dyDescent="0.3">
      <c r="N2500" s="5"/>
      <c r="O2500" s="5"/>
      <c r="P2500" s="5"/>
      <c r="Q2500" s="5"/>
      <c r="R2500" s="8"/>
      <c r="S2500" s="8"/>
      <c r="T2500" s="3"/>
    </row>
    <row r="2501" spans="14:20" x14ac:dyDescent="0.3">
      <c r="N2501" s="5"/>
      <c r="O2501" s="5"/>
      <c r="P2501" s="5"/>
      <c r="Q2501" s="5"/>
      <c r="R2501" s="8"/>
      <c r="S2501" s="8"/>
      <c r="T2501" s="3"/>
    </row>
    <row r="2502" spans="14:20" x14ac:dyDescent="0.3">
      <c r="N2502" s="5"/>
      <c r="O2502" s="5"/>
      <c r="P2502" s="5"/>
      <c r="Q2502" s="5"/>
      <c r="R2502" s="8"/>
      <c r="S2502" s="8"/>
      <c r="T2502" s="3"/>
    </row>
    <row r="2503" spans="14:20" x14ac:dyDescent="0.3">
      <c r="N2503" s="5"/>
      <c r="O2503" s="5"/>
      <c r="P2503" s="5"/>
      <c r="Q2503" s="5"/>
      <c r="R2503" s="8"/>
      <c r="S2503" s="8"/>
      <c r="T2503" s="3"/>
    </row>
    <row r="2504" spans="14:20" x14ac:dyDescent="0.3">
      <c r="N2504" s="5"/>
      <c r="O2504" s="5"/>
      <c r="P2504" s="5"/>
      <c r="Q2504" s="5"/>
      <c r="R2504" s="8"/>
      <c r="S2504" s="8"/>
      <c r="T2504" s="3"/>
    </row>
    <row r="2505" spans="14:20" x14ac:dyDescent="0.3">
      <c r="N2505" s="5"/>
      <c r="O2505" s="5"/>
      <c r="P2505" s="5"/>
      <c r="Q2505" s="5"/>
      <c r="R2505" s="8"/>
      <c r="S2505" s="8"/>
      <c r="T2505" s="3"/>
    </row>
    <row r="2506" spans="14:20" x14ac:dyDescent="0.3">
      <c r="N2506" s="5"/>
      <c r="O2506" s="5"/>
      <c r="P2506" s="5"/>
      <c r="Q2506" s="5"/>
      <c r="R2506" s="8"/>
      <c r="S2506" s="8"/>
      <c r="T2506" s="3"/>
    </row>
    <row r="2507" spans="14:20" x14ac:dyDescent="0.3">
      <c r="N2507" s="5"/>
      <c r="O2507" s="5"/>
      <c r="P2507" s="5"/>
      <c r="Q2507" s="5"/>
      <c r="R2507" s="8"/>
      <c r="S2507" s="8"/>
      <c r="T2507" s="3"/>
    </row>
    <row r="2508" spans="14:20" x14ac:dyDescent="0.3">
      <c r="N2508" s="5"/>
      <c r="O2508" s="5"/>
      <c r="P2508" s="5"/>
      <c r="Q2508" s="5"/>
      <c r="R2508" s="8"/>
      <c r="S2508" s="8"/>
      <c r="T2508" s="3"/>
    </row>
    <row r="2509" spans="14:20" x14ac:dyDescent="0.3">
      <c r="N2509" s="5"/>
      <c r="O2509" s="5"/>
      <c r="P2509" s="5"/>
      <c r="Q2509" s="5"/>
      <c r="R2509" s="8"/>
      <c r="S2509" s="8"/>
      <c r="T2509" s="3"/>
    </row>
    <row r="2510" spans="14:20" x14ac:dyDescent="0.3">
      <c r="N2510" s="5"/>
      <c r="O2510" s="5"/>
      <c r="P2510" s="5"/>
      <c r="Q2510" s="5"/>
      <c r="R2510" s="8"/>
      <c r="S2510" s="8"/>
      <c r="T2510" s="3"/>
    </row>
    <row r="2511" spans="14:20" x14ac:dyDescent="0.3">
      <c r="N2511" s="5"/>
      <c r="O2511" s="5"/>
      <c r="P2511" s="5"/>
      <c r="Q2511" s="5"/>
      <c r="R2511" s="8"/>
      <c r="S2511" s="8"/>
      <c r="T2511" s="3"/>
    </row>
    <row r="2512" spans="14:20" x14ac:dyDescent="0.3">
      <c r="N2512" s="5"/>
      <c r="O2512" s="5"/>
      <c r="P2512" s="5"/>
      <c r="Q2512" s="5"/>
      <c r="R2512" s="8"/>
      <c r="S2512" s="8"/>
      <c r="T2512" s="3"/>
    </row>
    <row r="2513" spans="14:20" x14ac:dyDescent="0.3">
      <c r="N2513" s="5"/>
      <c r="O2513" s="5"/>
      <c r="P2513" s="5"/>
      <c r="Q2513" s="5"/>
      <c r="R2513" s="8"/>
      <c r="S2513" s="8"/>
      <c r="T2513" s="3"/>
    </row>
    <row r="2514" spans="14:20" x14ac:dyDescent="0.3">
      <c r="N2514" s="5"/>
      <c r="O2514" s="5"/>
      <c r="P2514" s="5"/>
      <c r="Q2514" s="5"/>
      <c r="R2514" s="8"/>
      <c r="S2514" s="8"/>
      <c r="T2514" s="3"/>
    </row>
    <row r="2515" spans="14:20" x14ac:dyDescent="0.3">
      <c r="N2515" s="5"/>
      <c r="O2515" s="5"/>
      <c r="P2515" s="5"/>
      <c r="Q2515" s="5"/>
      <c r="R2515" s="8"/>
      <c r="S2515" s="8"/>
      <c r="T2515" s="3"/>
    </row>
    <row r="2516" spans="14:20" x14ac:dyDescent="0.3">
      <c r="N2516" s="5"/>
      <c r="O2516" s="5"/>
      <c r="P2516" s="5"/>
      <c r="Q2516" s="5"/>
      <c r="R2516" s="8"/>
      <c r="S2516" s="8"/>
      <c r="T2516" s="3"/>
    </row>
    <row r="2517" spans="14:20" x14ac:dyDescent="0.3">
      <c r="N2517" s="5"/>
      <c r="O2517" s="5"/>
      <c r="P2517" s="5"/>
      <c r="Q2517" s="5"/>
      <c r="R2517" s="8"/>
      <c r="S2517" s="8"/>
      <c r="T2517" s="3"/>
    </row>
    <row r="2518" spans="14:20" x14ac:dyDescent="0.3">
      <c r="N2518" s="5"/>
      <c r="O2518" s="5"/>
      <c r="P2518" s="5"/>
      <c r="Q2518" s="5"/>
      <c r="R2518" s="8"/>
      <c r="S2518" s="8"/>
      <c r="T2518" s="3"/>
    </row>
    <row r="2519" spans="14:20" x14ac:dyDescent="0.3">
      <c r="N2519" s="5"/>
      <c r="O2519" s="5"/>
      <c r="P2519" s="5"/>
      <c r="Q2519" s="5"/>
      <c r="R2519" s="8"/>
      <c r="S2519" s="8"/>
      <c r="T2519" s="3"/>
    </row>
    <row r="2520" spans="14:20" x14ac:dyDescent="0.3">
      <c r="N2520" s="5"/>
      <c r="O2520" s="5"/>
      <c r="P2520" s="5"/>
      <c r="Q2520" s="5"/>
      <c r="R2520" s="8"/>
      <c r="S2520" s="8"/>
      <c r="T2520" s="3"/>
    </row>
    <row r="2521" spans="14:20" x14ac:dyDescent="0.3">
      <c r="N2521" s="5"/>
      <c r="O2521" s="5"/>
      <c r="P2521" s="5"/>
      <c r="Q2521" s="5"/>
      <c r="R2521" s="8"/>
      <c r="S2521" s="8"/>
      <c r="T2521" s="3"/>
    </row>
    <row r="2522" spans="14:20" x14ac:dyDescent="0.3">
      <c r="N2522" s="5"/>
      <c r="O2522" s="5"/>
      <c r="P2522" s="5"/>
      <c r="Q2522" s="5"/>
      <c r="R2522" s="8"/>
      <c r="S2522" s="8"/>
      <c r="T2522" s="3"/>
    </row>
    <row r="2523" spans="14:20" x14ac:dyDescent="0.3">
      <c r="N2523" s="5"/>
      <c r="O2523" s="5"/>
      <c r="P2523" s="5"/>
      <c r="Q2523" s="5"/>
      <c r="R2523" s="8"/>
      <c r="S2523" s="8"/>
      <c r="T2523" s="3"/>
    </row>
    <row r="2524" spans="14:20" x14ac:dyDescent="0.3">
      <c r="N2524" s="5"/>
      <c r="O2524" s="5"/>
      <c r="P2524" s="5"/>
      <c r="Q2524" s="5"/>
      <c r="R2524" s="8"/>
      <c r="S2524" s="8"/>
      <c r="T2524" s="3"/>
    </row>
    <row r="2525" spans="14:20" x14ac:dyDescent="0.3">
      <c r="N2525" s="5"/>
      <c r="O2525" s="5"/>
      <c r="P2525" s="5"/>
      <c r="Q2525" s="5"/>
      <c r="R2525" s="8"/>
      <c r="S2525" s="8"/>
      <c r="T2525" s="3"/>
    </row>
    <row r="2526" spans="14:20" x14ac:dyDescent="0.3">
      <c r="N2526" s="5"/>
      <c r="O2526" s="5"/>
      <c r="P2526" s="5"/>
      <c r="Q2526" s="5"/>
      <c r="R2526" s="8"/>
      <c r="S2526" s="8"/>
      <c r="T2526" s="3"/>
    </row>
    <row r="2527" spans="14:20" x14ac:dyDescent="0.3">
      <c r="N2527" s="5"/>
      <c r="O2527" s="5"/>
      <c r="P2527" s="5"/>
      <c r="Q2527" s="5"/>
      <c r="R2527" s="8"/>
      <c r="S2527" s="8"/>
      <c r="T2527" s="3"/>
    </row>
    <row r="2528" spans="14:20" x14ac:dyDescent="0.3">
      <c r="N2528" s="5"/>
      <c r="O2528" s="5"/>
      <c r="P2528" s="5"/>
      <c r="Q2528" s="5"/>
      <c r="R2528" s="8"/>
      <c r="S2528" s="8"/>
      <c r="T2528" s="3"/>
    </row>
    <row r="2529" spans="14:20" x14ac:dyDescent="0.3">
      <c r="N2529" s="5"/>
      <c r="O2529" s="5"/>
      <c r="P2529" s="5"/>
      <c r="Q2529" s="5"/>
      <c r="R2529" s="8"/>
      <c r="S2529" s="8"/>
      <c r="T2529" s="3"/>
    </row>
    <row r="2530" spans="14:20" x14ac:dyDescent="0.3">
      <c r="N2530" s="5"/>
      <c r="O2530" s="5"/>
      <c r="P2530" s="5"/>
      <c r="Q2530" s="5"/>
      <c r="R2530" s="8"/>
      <c r="S2530" s="8"/>
      <c r="T2530" s="3"/>
    </row>
    <row r="2531" spans="14:20" x14ac:dyDescent="0.3">
      <c r="N2531" s="5"/>
      <c r="O2531" s="5"/>
      <c r="P2531" s="5"/>
      <c r="Q2531" s="5"/>
      <c r="R2531" s="8"/>
      <c r="S2531" s="8"/>
      <c r="T2531" s="3"/>
    </row>
    <row r="2532" spans="14:20" x14ac:dyDescent="0.3">
      <c r="N2532" s="5"/>
      <c r="O2532" s="5"/>
      <c r="P2532" s="5"/>
      <c r="Q2532" s="5"/>
      <c r="R2532" s="8"/>
      <c r="S2532" s="8"/>
      <c r="T2532" s="3"/>
    </row>
    <row r="2533" spans="14:20" x14ac:dyDescent="0.3">
      <c r="N2533" s="5"/>
      <c r="O2533" s="5"/>
      <c r="P2533" s="5"/>
      <c r="Q2533" s="5"/>
      <c r="R2533" s="8"/>
      <c r="S2533" s="8"/>
      <c r="T2533" s="3"/>
    </row>
    <row r="2534" spans="14:20" x14ac:dyDescent="0.3">
      <c r="N2534" s="5"/>
      <c r="O2534" s="5"/>
      <c r="P2534" s="5"/>
      <c r="Q2534" s="5"/>
      <c r="R2534" s="8"/>
      <c r="S2534" s="8"/>
      <c r="T2534" s="3"/>
    </row>
    <row r="2535" spans="14:20" x14ac:dyDescent="0.3">
      <c r="N2535" s="5"/>
      <c r="O2535" s="5"/>
      <c r="P2535" s="5"/>
      <c r="Q2535" s="5"/>
      <c r="R2535" s="8"/>
      <c r="S2535" s="8"/>
      <c r="T2535" s="3"/>
    </row>
    <row r="2536" spans="14:20" x14ac:dyDescent="0.3">
      <c r="N2536" s="5"/>
      <c r="O2536" s="5"/>
      <c r="P2536" s="5"/>
      <c r="Q2536" s="5"/>
      <c r="R2536" s="8"/>
      <c r="S2536" s="8"/>
      <c r="T2536" s="3"/>
    </row>
    <row r="2537" spans="14:20" x14ac:dyDescent="0.3">
      <c r="N2537" s="5"/>
      <c r="O2537" s="5"/>
      <c r="P2537" s="5"/>
      <c r="Q2537" s="5"/>
      <c r="R2537" s="8"/>
      <c r="S2537" s="8"/>
      <c r="T2537" s="3"/>
    </row>
    <row r="2538" spans="14:20" x14ac:dyDescent="0.3">
      <c r="N2538" s="5"/>
      <c r="O2538" s="5"/>
      <c r="P2538" s="5"/>
      <c r="Q2538" s="5"/>
      <c r="R2538" s="8"/>
      <c r="S2538" s="8"/>
      <c r="T2538" s="3"/>
    </row>
    <row r="2539" spans="14:20" x14ac:dyDescent="0.3">
      <c r="N2539" s="5"/>
      <c r="O2539" s="5"/>
      <c r="P2539" s="5"/>
      <c r="Q2539" s="5"/>
      <c r="R2539" s="8"/>
      <c r="S2539" s="8"/>
      <c r="T2539" s="3"/>
    </row>
    <row r="2540" spans="14:20" x14ac:dyDescent="0.3">
      <c r="N2540" s="5"/>
      <c r="O2540" s="5"/>
      <c r="P2540" s="5"/>
      <c r="Q2540" s="5"/>
      <c r="R2540" s="8"/>
      <c r="S2540" s="8"/>
      <c r="T2540" s="3"/>
    </row>
    <row r="2541" spans="14:20" x14ac:dyDescent="0.3">
      <c r="N2541" s="5"/>
      <c r="O2541" s="5"/>
      <c r="P2541" s="5"/>
      <c r="Q2541" s="5"/>
      <c r="R2541" s="8"/>
      <c r="S2541" s="8"/>
      <c r="T2541" s="3"/>
    </row>
    <row r="2542" spans="14:20" x14ac:dyDescent="0.3">
      <c r="N2542" s="5"/>
      <c r="O2542" s="5"/>
      <c r="P2542" s="5"/>
      <c r="Q2542" s="5"/>
      <c r="R2542" s="8"/>
      <c r="S2542" s="8"/>
      <c r="T2542" s="3"/>
    </row>
    <row r="2543" spans="14:20" x14ac:dyDescent="0.3">
      <c r="N2543" s="5"/>
      <c r="O2543" s="5"/>
      <c r="P2543" s="5"/>
      <c r="Q2543" s="5"/>
      <c r="R2543" s="8"/>
      <c r="S2543" s="8"/>
      <c r="T2543" s="3"/>
    </row>
    <row r="2544" spans="14:20" x14ac:dyDescent="0.3">
      <c r="N2544" s="5"/>
      <c r="O2544" s="5"/>
      <c r="P2544" s="5"/>
      <c r="Q2544" s="5"/>
      <c r="R2544" s="8"/>
      <c r="S2544" s="8"/>
      <c r="T2544" s="3"/>
    </row>
    <row r="2545" spans="14:20" x14ac:dyDescent="0.3">
      <c r="N2545" s="5"/>
      <c r="O2545" s="5"/>
      <c r="P2545" s="5"/>
      <c r="Q2545" s="5"/>
      <c r="R2545" s="8"/>
      <c r="S2545" s="8"/>
      <c r="T2545" s="3"/>
    </row>
    <row r="2546" spans="14:20" x14ac:dyDescent="0.3">
      <c r="N2546" s="5"/>
      <c r="O2546" s="5"/>
      <c r="P2546" s="5"/>
      <c r="Q2546" s="5"/>
      <c r="R2546" s="8"/>
      <c r="S2546" s="8"/>
      <c r="T2546" s="3"/>
    </row>
    <row r="2547" spans="14:20" x14ac:dyDescent="0.3">
      <c r="N2547" s="5"/>
      <c r="O2547" s="5"/>
      <c r="P2547" s="5"/>
      <c r="Q2547" s="5"/>
      <c r="R2547" s="8"/>
      <c r="S2547" s="8"/>
      <c r="T2547" s="3"/>
    </row>
    <row r="2548" spans="14:20" x14ac:dyDescent="0.3">
      <c r="N2548" s="5"/>
      <c r="O2548" s="5"/>
      <c r="P2548" s="5"/>
      <c r="Q2548" s="5"/>
      <c r="R2548" s="8"/>
      <c r="S2548" s="8"/>
      <c r="T2548" s="3"/>
    </row>
    <row r="2549" spans="14:20" x14ac:dyDescent="0.3">
      <c r="N2549" s="5"/>
      <c r="O2549" s="5"/>
      <c r="P2549" s="5"/>
      <c r="Q2549" s="5"/>
      <c r="R2549" s="8"/>
      <c r="S2549" s="8"/>
      <c r="T2549" s="3"/>
    </row>
    <row r="2550" spans="14:20" x14ac:dyDescent="0.3">
      <c r="N2550" s="5"/>
      <c r="O2550" s="5"/>
      <c r="P2550" s="5"/>
      <c r="Q2550" s="5"/>
      <c r="R2550" s="8"/>
      <c r="S2550" s="8"/>
      <c r="T2550" s="3"/>
    </row>
    <row r="2551" spans="14:20" x14ac:dyDescent="0.3">
      <c r="N2551" s="5"/>
      <c r="O2551" s="5"/>
      <c r="P2551" s="5"/>
      <c r="Q2551" s="5"/>
      <c r="R2551" s="8"/>
      <c r="S2551" s="8"/>
      <c r="T2551" s="3"/>
    </row>
    <row r="2552" spans="14:20" x14ac:dyDescent="0.3">
      <c r="N2552" s="5"/>
      <c r="O2552" s="5"/>
      <c r="P2552" s="5"/>
      <c r="Q2552" s="5"/>
      <c r="R2552" s="8"/>
      <c r="S2552" s="8"/>
      <c r="T2552" s="3"/>
    </row>
    <row r="2553" spans="14:20" x14ac:dyDescent="0.3">
      <c r="N2553" s="5"/>
      <c r="O2553" s="5"/>
      <c r="P2553" s="5"/>
      <c r="Q2553" s="5"/>
      <c r="R2553" s="8"/>
      <c r="S2553" s="8"/>
      <c r="T2553" s="3"/>
    </row>
    <row r="2554" spans="14:20" x14ac:dyDescent="0.3">
      <c r="N2554" s="5"/>
      <c r="O2554" s="5"/>
      <c r="P2554" s="5"/>
      <c r="Q2554" s="5"/>
      <c r="R2554" s="8"/>
      <c r="S2554" s="8"/>
      <c r="T2554" s="3"/>
    </row>
    <row r="2555" spans="14:20" x14ac:dyDescent="0.3">
      <c r="N2555" s="5"/>
      <c r="O2555" s="5"/>
      <c r="P2555" s="5"/>
      <c r="Q2555" s="5"/>
      <c r="R2555" s="8"/>
      <c r="S2555" s="8"/>
      <c r="T2555" s="3"/>
    </row>
    <row r="2556" spans="14:20" x14ac:dyDescent="0.3">
      <c r="N2556" s="5"/>
      <c r="O2556" s="5"/>
      <c r="P2556" s="5"/>
      <c r="Q2556" s="5"/>
      <c r="R2556" s="8"/>
      <c r="S2556" s="8"/>
      <c r="T2556" s="3"/>
    </row>
    <row r="2557" spans="14:20" x14ac:dyDescent="0.3">
      <c r="N2557" s="5"/>
      <c r="O2557" s="5"/>
      <c r="P2557" s="5"/>
      <c r="Q2557" s="5"/>
      <c r="R2557" s="8"/>
      <c r="S2557" s="8"/>
      <c r="T2557" s="3"/>
    </row>
    <row r="2558" spans="14:20" x14ac:dyDescent="0.3">
      <c r="N2558" s="5"/>
      <c r="O2558" s="5"/>
      <c r="P2558" s="5"/>
      <c r="Q2558" s="5"/>
      <c r="R2558" s="8"/>
      <c r="S2558" s="8"/>
      <c r="T2558" s="3"/>
    </row>
    <row r="2559" spans="14:20" x14ac:dyDescent="0.3">
      <c r="N2559" s="5"/>
      <c r="O2559" s="5"/>
      <c r="P2559" s="5"/>
      <c r="Q2559" s="5"/>
      <c r="R2559" s="8"/>
      <c r="S2559" s="8"/>
      <c r="T2559" s="3"/>
    </row>
    <row r="2560" spans="14:20" x14ac:dyDescent="0.3">
      <c r="N2560" s="5"/>
      <c r="O2560" s="5"/>
      <c r="P2560" s="5"/>
      <c r="Q2560" s="5"/>
      <c r="R2560" s="8"/>
      <c r="S2560" s="8"/>
      <c r="T2560" s="3"/>
    </row>
    <row r="2561" spans="14:20" x14ac:dyDescent="0.3">
      <c r="N2561" s="5"/>
      <c r="O2561" s="5"/>
      <c r="P2561" s="5"/>
      <c r="Q2561" s="5"/>
      <c r="R2561" s="8"/>
      <c r="S2561" s="8"/>
      <c r="T2561" s="3"/>
    </row>
    <row r="2562" spans="14:20" x14ac:dyDescent="0.3">
      <c r="N2562" s="5"/>
      <c r="O2562" s="5"/>
      <c r="P2562" s="5"/>
      <c r="Q2562" s="5"/>
      <c r="R2562" s="8"/>
      <c r="S2562" s="8"/>
      <c r="T2562" s="3"/>
    </row>
    <row r="2563" spans="14:20" x14ac:dyDescent="0.3">
      <c r="N2563" s="5"/>
      <c r="O2563" s="5"/>
      <c r="P2563" s="5"/>
      <c r="Q2563" s="5"/>
      <c r="R2563" s="8"/>
      <c r="S2563" s="8"/>
      <c r="T2563" s="3"/>
    </row>
    <row r="2564" spans="14:20" x14ac:dyDescent="0.3">
      <c r="N2564" s="5"/>
      <c r="O2564" s="5"/>
      <c r="P2564" s="5"/>
      <c r="Q2564" s="5"/>
      <c r="R2564" s="8"/>
      <c r="S2564" s="8"/>
      <c r="T2564" s="3"/>
    </row>
    <row r="2565" spans="14:20" x14ac:dyDescent="0.3">
      <c r="N2565" s="5"/>
      <c r="O2565" s="5"/>
      <c r="P2565" s="5"/>
      <c r="Q2565" s="5"/>
      <c r="R2565" s="8"/>
      <c r="S2565" s="8"/>
      <c r="T2565" s="3"/>
    </row>
    <row r="2566" spans="14:20" x14ac:dyDescent="0.3">
      <c r="N2566" s="5"/>
      <c r="O2566" s="5"/>
      <c r="P2566" s="5"/>
      <c r="Q2566" s="5"/>
      <c r="R2566" s="8"/>
      <c r="S2566" s="8"/>
      <c r="T2566" s="3"/>
    </row>
    <row r="2567" spans="14:20" x14ac:dyDescent="0.3">
      <c r="N2567" s="5"/>
      <c r="O2567" s="5"/>
      <c r="P2567" s="5"/>
      <c r="Q2567" s="5"/>
      <c r="R2567" s="8"/>
      <c r="S2567" s="8"/>
      <c r="T2567" s="3"/>
    </row>
    <row r="2568" spans="14:20" x14ac:dyDescent="0.3">
      <c r="N2568" s="5"/>
      <c r="O2568" s="5"/>
      <c r="P2568" s="5"/>
      <c r="Q2568" s="5"/>
      <c r="R2568" s="8"/>
      <c r="S2568" s="8"/>
      <c r="T2568" s="3"/>
    </row>
    <row r="2569" spans="14:20" x14ac:dyDescent="0.3">
      <c r="N2569" s="5"/>
      <c r="O2569" s="5"/>
      <c r="P2569" s="5"/>
      <c r="Q2569" s="5"/>
      <c r="R2569" s="8"/>
      <c r="S2569" s="8"/>
      <c r="T2569" s="3"/>
    </row>
    <row r="2570" spans="14:20" x14ac:dyDescent="0.3">
      <c r="N2570" s="5"/>
      <c r="O2570" s="5"/>
      <c r="P2570" s="5"/>
      <c r="Q2570" s="5"/>
      <c r="R2570" s="8"/>
      <c r="S2570" s="8"/>
      <c r="T2570" s="3"/>
    </row>
    <row r="2571" spans="14:20" x14ac:dyDescent="0.3">
      <c r="N2571" s="5"/>
      <c r="O2571" s="5"/>
      <c r="P2571" s="5"/>
      <c r="Q2571" s="5"/>
      <c r="R2571" s="8"/>
      <c r="S2571" s="8"/>
      <c r="T2571" s="3"/>
    </row>
    <row r="2572" spans="14:20" x14ac:dyDescent="0.3">
      <c r="N2572" s="5"/>
      <c r="O2572" s="5"/>
      <c r="P2572" s="5"/>
      <c r="Q2572" s="5"/>
      <c r="R2572" s="8"/>
      <c r="S2572" s="8"/>
      <c r="T2572" s="3"/>
    </row>
    <row r="2573" spans="14:20" x14ac:dyDescent="0.3">
      <c r="N2573" s="5"/>
      <c r="O2573" s="5"/>
      <c r="P2573" s="5"/>
      <c r="Q2573" s="5"/>
      <c r="R2573" s="8"/>
      <c r="S2573" s="8"/>
      <c r="T2573" s="3"/>
    </row>
    <row r="2574" spans="14:20" x14ac:dyDescent="0.3">
      <c r="N2574" s="5"/>
      <c r="O2574" s="5"/>
      <c r="P2574" s="5"/>
      <c r="Q2574" s="5"/>
      <c r="R2574" s="8"/>
      <c r="S2574" s="8"/>
      <c r="T2574" s="3"/>
    </row>
    <row r="2575" spans="14:20" x14ac:dyDescent="0.3">
      <c r="N2575" s="5"/>
      <c r="O2575" s="5"/>
      <c r="P2575" s="5"/>
      <c r="Q2575" s="5"/>
      <c r="R2575" s="8"/>
      <c r="S2575" s="8"/>
      <c r="T2575" s="3"/>
    </row>
    <row r="2576" spans="14:20" x14ac:dyDescent="0.3">
      <c r="N2576" s="5"/>
      <c r="O2576" s="5"/>
      <c r="P2576" s="5"/>
      <c r="Q2576" s="5"/>
      <c r="R2576" s="8"/>
      <c r="S2576" s="8"/>
      <c r="T2576" s="3"/>
    </row>
    <row r="2577" spans="14:20" x14ac:dyDescent="0.3">
      <c r="N2577" s="5"/>
      <c r="O2577" s="5"/>
      <c r="P2577" s="5"/>
      <c r="Q2577" s="5"/>
      <c r="R2577" s="8"/>
      <c r="S2577" s="8"/>
      <c r="T2577" s="3"/>
    </row>
    <row r="2578" spans="14:20" x14ac:dyDescent="0.3">
      <c r="N2578" s="5"/>
      <c r="O2578" s="5"/>
      <c r="P2578" s="5"/>
      <c r="Q2578" s="5"/>
      <c r="R2578" s="8"/>
      <c r="S2578" s="8"/>
      <c r="T2578" s="3"/>
    </row>
    <row r="2579" spans="14:20" x14ac:dyDescent="0.3">
      <c r="N2579" s="5"/>
      <c r="O2579" s="5"/>
      <c r="P2579" s="5"/>
      <c r="Q2579" s="5"/>
      <c r="R2579" s="8"/>
      <c r="S2579" s="8"/>
      <c r="T2579" s="3"/>
    </row>
    <row r="2580" spans="14:20" x14ac:dyDescent="0.3">
      <c r="N2580" s="5"/>
      <c r="O2580" s="5"/>
      <c r="P2580" s="5"/>
      <c r="Q2580" s="5"/>
      <c r="R2580" s="8"/>
      <c r="S2580" s="8"/>
      <c r="T2580" s="3"/>
    </row>
    <row r="2581" spans="14:20" x14ac:dyDescent="0.3">
      <c r="N2581" s="5"/>
      <c r="O2581" s="5"/>
      <c r="P2581" s="5"/>
      <c r="Q2581" s="5"/>
      <c r="R2581" s="8"/>
      <c r="S2581" s="8"/>
      <c r="T2581" s="3"/>
    </row>
    <row r="2582" spans="14:20" x14ac:dyDescent="0.3">
      <c r="N2582" s="5"/>
      <c r="O2582" s="5"/>
      <c r="P2582" s="5"/>
      <c r="Q2582" s="5"/>
      <c r="R2582" s="8"/>
      <c r="S2582" s="8"/>
      <c r="T2582" s="3"/>
    </row>
    <row r="2583" spans="14:20" x14ac:dyDescent="0.3">
      <c r="N2583" s="5"/>
      <c r="O2583" s="5"/>
      <c r="P2583" s="5"/>
      <c r="Q2583" s="5"/>
      <c r="R2583" s="8"/>
      <c r="S2583" s="8"/>
      <c r="T2583" s="3"/>
    </row>
    <row r="2584" spans="14:20" x14ac:dyDescent="0.3">
      <c r="N2584" s="5"/>
      <c r="O2584" s="5"/>
      <c r="P2584" s="5"/>
      <c r="Q2584" s="5"/>
      <c r="R2584" s="8"/>
      <c r="S2584" s="8"/>
      <c r="T2584" s="3"/>
    </row>
    <row r="2585" spans="14:20" x14ac:dyDescent="0.3">
      <c r="N2585" s="5"/>
      <c r="O2585" s="5"/>
      <c r="P2585" s="5"/>
      <c r="Q2585" s="5"/>
      <c r="R2585" s="8"/>
      <c r="S2585" s="8"/>
      <c r="T2585" s="3"/>
    </row>
    <row r="2586" spans="14:20" x14ac:dyDescent="0.3">
      <c r="N2586" s="5"/>
      <c r="O2586" s="5"/>
      <c r="P2586" s="5"/>
      <c r="Q2586" s="5"/>
      <c r="R2586" s="8"/>
      <c r="S2586" s="8"/>
      <c r="T2586" s="3"/>
    </row>
    <row r="2587" spans="14:20" x14ac:dyDescent="0.3">
      <c r="N2587" s="5"/>
      <c r="O2587" s="5"/>
      <c r="P2587" s="5"/>
      <c r="Q2587" s="5"/>
      <c r="R2587" s="8"/>
      <c r="S2587" s="8"/>
      <c r="T2587" s="3"/>
    </row>
    <row r="2588" spans="14:20" x14ac:dyDescent="0.3">
      <c r="N2588" s="5"/>
      <c r="O2588" s="5"/>
      <c r="P2588" s="5"/>
      <c r="Q2588" s="5"/>
      <c r="R2588" s="8"/>
      <c r="S2588" s="8"/>
      <c r="T2588" s="3"/>
    </row>
    <row r="2589" spans="14:20" x14ac:dyDescent="0.3">
      <c r="N2589" s="5"/>
      <c r="O2589" s="5"/>
      <c r="P2589" s="5"/>
      <c r="Q2589" s="5"/>
      <c r="R2589" s="8"/>
      <c r="S2589" s="8"/>
      <c r="T2589" s="3"/>
    </row>
    <row r="2590" spans="14:20" x14ac:dyDescent="0.3">
      <c r="N2590" s="5"/>
      <c r="O2590" s="5"/>
      <c r="P2590" s="5"/>
      <c r="Q2590" s="5"/>
      <c r="R2590" s="8"/>
      <c r="S2590" s="8"/>
      <c r="T2590" s="3"/>
    </row>
    <row r="2591" spans="14:20" x14ac:dyDescent="0.3">
      <c r="N2591" s="5"/>
      <c r="O2591" s="5"/>
      <c r="P2591" s="5"/>
      <c r="Q2591" s="5"/>
      <c r="R2591" s="8"/>
      <c r="S2591" s="8"/>
      <c r="T2591" s="3"/>
    </row>
    <row r="2592" spans="14:20" x14ac:dyDescent="0.3">
      <c r="N2592" s="5"/>
      <c r="O2592" s="5"/>
      <c r="P2592" s="5"/>
      <c r="Q2592" s="5"/>
      <c r="R2592" s="8"/>
      <c r="S2592" s="8"/>
      <c r="T2592" s="3"/>
    </row>
    <row r="2593" spans="14:20" x14ac:dyDescent="0.3">
      <c r="N2593" s="5"/>
      <c r="O2593" s="5"/>
      <c r="P2593" s="5"/>
      <c r="Q2593" s="5"/>
      <c r="R2593" s="8"/>
      <c r="S2593" s="8"/>
      <c r="T2593" s="3"/>
    </row>
    <row r="2594" spans="14:20" x14ac:dyDescent="0.3">
      <c r="N2594" s="5"/>
      <c r="O2594" s="5"/>
      <c r="P2594" s="5"/>
      <c r="Q2594" s="5"/>
      <c r="R2594" s="8"/>
      <c r="S2594" s="8"/>
      <c r="T2594" s="3"/>
    </row>
    <row r="2595" spans="14:20" x14ac:dyDescent="0.3">
      <c r="N2595" s="5"/>
      <c r="O2595" s="5"/>
      <c r="P2595" s="5"/>
      <c r="Q2595" s="5"/>
      <c r="R2595" s="8"/>
      <c r="S2595" s="8"/>
      <c r="T2595" s="3"/>
    </row>
    <row r="2596" spans="14:20" x14ac:dyDescent="0.3">
      <c r="N2596" s="5"/>
      <c r="O2596" s="5"/>
      <c r="P2596" s="5"/>
      <c r="Q2596" s="5"/>
      <c r="R2596" s="8"/>
      <c r="S2596" s="8"/>
      <c r="T2596" s="3"/>
    </row>
    <row r="2597" spans="14:20" x14ac:dyDescent="0.3">
      <c r="N2597" s="5"/>
      <c r="O2597" s="5"/>
      <c r="P2597" s="5"/>
      <c r="Q2597" s="5"/>
      <c r="R2597" s="8"/>
      <c r="S2597" s="8"/>
      <c r="T2597" s="3"/>
    </row>
    <row r="2598" spans="14:20" x14ac:dyDescent="0.3">
      <c r="N2598" s="5"/>
      <c r="O2598" s="5"/>
      <c r="P2598" s="5"/>
      <c r="Q2598" s="5"/>
      <c r="R2598" s="8"/>
      <c r="S2598" s="8"/>
      <c r="T2598" s="3"/>
    </row>
    <row r="2599" spans="14:20" x14ac:dyDescent="0.3">
      <c r="N2599" s="5"/>
      <c r="O2599" s="5"/>
      <c r="P2599" s="5"/>
      <c r="Q2599" s="5"/>
      <c r="R2599" s="8"/>
      <c r="S2599" s="8"/>
      <c r="T2599" s="3"/>
    </row>
    <row r="2600" spans="14:20" x14ac:dyDescent="0.3">
      <c r="N2600" s="5"/>
      <c r="O2600" s="5"/>
      <c r="P2600" s="5"/>
      <c r="Q2600" s="5"/>
      <c r="R2600" s="8"/>
      <c r="S2600" s="8"/>
      <c r="T2600" s="3"/>
    </row>
    <row r="2601" spans="14:20" x14ac:dyDescent="0.3">
      <c r="N2601" s="5"/>
      <c r="O2601" s="5"/>
      <c r="P2601" s="5"/>
      <c r="Q2601" s="5"/>
      <c r="R2601" s="8"/>
      <c r="S2601" s="8"/>
      <c r="T2601" s="3"/>
    </row>
    <row r="2602" spans="14:20" x14ac:dyDescent="0.3">
      <c r="N2602" s="5"/>
      <c r="O2602" s="5"/>
      <c r="P2602" s="5"/>
      <c r="Q2602" s="5"/>
      <c r="R2602" s="8"/>
      <c r="S2602" s="8"/>
      <c r="T2602" s="3"/>
    </row>
    <row r="2603" spans="14:20" x14ac:dyDescent="0.3">
      <c r="N2603" s="5"/>
      <c r="O2603" s="5"/>
      <c r="P2603" s="5"/>
      <c r="Q2603" s="5"/>
      <c r="R2603" s="8"/>
      <c r="S2603" s="8"/>
      <c r="T2603" s="3"/>
    </row>
    <row r="2604" spans="14:20" x14ac:dyDescent="0.3">
      <c r="N2604" s="5"/>
      <c r="O2604" s="5"/>
      <c r="P2604" s="5"/>
      <c r="Q2604" s="5"/>
      <c r="R2604" s="8"/>
      <c r="S2604" s="8"/>
      <c r="T2604" s="3"/>
    </row>
    <row r="2605" spans="14:20" x14ac:dyDescent="0.3">
      <c r="N2605" s="5"/>
      <c r="O2605" s="5"/>
      <c r="P2605" s="5"/>
      <c r="Q2605" s="5"/>
      <c r="R2605" s="8"/>
      <c r="S2605" s="8"/>
      <c r="T2605" s="3"/>
    </row>
    <row r="2606" spans="14:20" x14ac:dyDescent="0.3">
      <c r="N2606" s="5"/>
      <c r="O2606" s="5"/>
      <c r="P2606" s="5"/>
      <c r="Q2606" s="5"/>
      <c r="R2606" s="8"/>
      <c r="S2606" s="8"/>
      <c r="T2606" s="3"/>
    </row>
    <row r="2607" spans="14:20" x14ac:dyDescent="0.3">
      <c r="N2607" s="5"/>
      <c r="O2607" s="5"/>
      <c r="P2607" s="5"/>
      <c r="Q2607" s="5"/>
      <c r="R2607" s="8"/>
      <c r="S2607" s="8"/>
      <c r="T2607" s="3"/>
    </row>
    <row r="2608" spans="14:20" x14ac:dyDescent="0.3">
      <c r="N2608" s="5"/>
      <c r="O2608" s="5"/>
      <c r="P2608" s="5"/>
      <c r="Q2608" s="5"/>
      <c r="R2608" s="8"/>
      <c r="S2608" s="8"/>
      <c r="T2608" s="3"/>
    </row>
    <row r="2609" spans="14:20" x14ac:dyDescent="0.3">
      <c r="N2609" s="5"/>
      <c r="O2609" s="5"/>
      <c r="P2609" s="5"/>
      <c r="Q2609" s="5"/>
      <c r="R2609" s="8"/>
      <c r="S2609" s="8"/>
      <c r="T2609" s="3"/>
    </row>
    <row r="2610" spans="14:20" x14ac:dyDescent="0.3">
      <c r="N2610" s="5"/>
      <c r="O2610" s="5"/>
      <c r="P2610" s="5"/>
      <c r="Q2610" s="5"/>
      <c r="R2610" s="8"/>
      <c r="S2610" s="8"/>
      <c r="T2610" s="3"/>
    </row>
    <row r="2611" spans="14:20" x14ac:dyDescent="0.3">
      <c r="N2611" s="5"/>
      <c r="O2611" s="5"/>
      <c r="P2611" s="5"/>
      <c r="Q2611" s="5"/>
      <c r="R2611" s="8"/>
      <c r="S2611" s="8"/>
      <c r="T2611" s="3"/>
    </row>
    <row r="2612" spans="14:20" x14ac:dyDescent="0.3">
      <c r="N2612" s="5"/>
      <c r="O2612" s="5"/>
      <c r="P2612" s="5"/>
      <c r="Q2612" s="5"/>
      <c r="R2612" s="8"/>
      <c r="S2612" s="8"/>
      <c r="T2612" s="3"/>
    </row>
    <row r="2613" spans="14:20" x14ac:dyDescent="0.3">
      <c r="N2613" s="5"/>
      <c r="O2613" s="5"/>
      <c r="P2613" s="5"/>
      <c r="Q2613" s="5"/>
      <c r="R2613" s="8"/>
      <c r="S2613" s="8"/>
      <c r="T2613" s="3"/>
    </row>
    <row r="2614" spans="14:20" x14ac:dyDescent="0.3">
      <c r="N2614" s="5"/>
      <c r="O2614" s="5"/>
      <c r="P2614" s="5"/>
      <c r="Q2614" s="5"/>
      <c r="R2614" s="8"/>
      <c r="S2614" s="8"/>
      <c r="T2614" s="3"/>
    </row>
    <row r="2615" spans="14:20" x14ac:dyDescent="0.3">
      <c r="N2615" s="5"/>
      <c r="O2615" s="5"/>
      <c r="P2615" s="5"/>
      <c r="Q2615" s="5"/>
      <c r="R2615" s="8"/>
      <c r="S2615" s="8"/>
      <c r="T2615" s="3"/>
    </row>
    <row r="2616" spans="14:20" x14ac:dyDescent="0.3">
      <c r="N2616" s="5"/>
      <c r="O2616" s="5"/>
      <c r="P2616" s="5"/>
      <c r="Q2616" s="5"/>
      <c r="R2616" s="8"/>
      <c r="S2616" s="8"/>
      <c r="T2616" s="3"/>
    </row>
    <row r="2617" spans="14:20" x14ac:dyDescent="0.3">
      <c r="N2617" s="5"/>
      <c r="O2617" s="5"/>
      <c r="P2617" s="5"/>
      <c r="Q2617" s="5"/>
      <c r="R2617" s="8"/>
      <c r="S2617" s="8"/>
      <c r="T2617" s="3"/>
    </row>
    <row r="2618" spans="14:20" x14ac:dyDescent="0.3">
      <c r="N2618" s="5"/>
      <c r="O2618" s="5"/>
      <c r="P2618" s="5"/>
      <c r="Q2618" s="5"/>
      <c r="R2618" s="8"/>
      <c r="S2618" s="8"/>
      <c r="T2618" s="3"/>
    </row>
    <row r="2619" spans="14:20" x14ac:dyDescent="0.3">
      <c r="N2619" s="5"/>
      <c r="O2619" s="5"/>
      <c r="P2619" s="5"/>
      <c r="Q2619" s="5"/>
      <c r="R2619" s="8"/>
      <c r="S2619" s="8"/>
      <c r="T2619" s="3"/>
    </row>
    <row r="2620" spans="14:20" x14ac:dyDescent="0.3">
      <c r="N2620" s="5"/>
      <c r="O2620" s="5"/>
      <c r="P2620" s="5"/>
      <c r="Q2620" s="5"/>
      <c r="R2620" s="8"/>
      <c r="S2620" s="8"/>
      <c r="T2620" s="3"/>
    </row>
    <row r="2621" spans="14:20" x14ac:dyDescent="0.3">
      <c r="N2621" s="5"/>
      <c r="O2621" s="5"/>
      <c r="P2621" s="5"/>
      <c r="Q2621" s="5"/>
      <c r="R2621" s="8"/>
      <c r="S2621" s="8"/>
      <c r="T2621" s="3"/>
    </row>
    <row r="2622" spans="14:20" x14ac:dyDescent="0.3">
      <c r="N2622" s="5"/>
      <c r="O2622" s="5"/>
      <c r="P2622" s="5"/>
      <c r="Q2622" s="5"/>
      <c r="R2622" s="8"/>
      <c r="S2622" s="8"/>
      <c r="T2622" s="3"/>
    </row>
    <row r="2623" spans="14:20" x14ac:dyDescent="0.3">
      <c r="N2623" s="5"/>
      <c r="O2623" s="5"/>
      <c r="P2623" s="5"/>
      <c r="Q2623" s="5"/>
      <c r="R2623" s="8"/>
      <c r="S2623" s="8"/>
      <c r="T2623" s="3"/>
    </row>
    <row r="2624" spans="14:20" x14ac:dyDescent="0.3">
      <c r="N2624" s="5"/>
      <c r="O2624" s="5"/>
      <c r="P2624" s="5"/>
      <c r="Q2624" s="5"/>
      <c r="R2624" s="8"/>
      <c r="S2624" s="8"/>
      <c r="T2624" s="3"/>
    </row>
    <row r="2625" spans="14:20" x14ac:dyDescent="0.3">
      <c r="N2625" s="5"/>
      <c r="O2625" s="5"/>
      <c r="P2625" s="5"/>
      <c r="Q2625" s="5"/>
      <c r="R2625" s="8"/>
      <c r="S2625" s="8"/>
      <c r="T2625" s="3"/>
    </row>
    <row r="2626" spans="14:20" x14ac:dyDescent="0.3">
      <c r="N2626" s="5"/>
      <c r="O2626" s="5"/>
      <c r="P2626" s="5"/>
      <c r="Q2626" s="5"/>
      <c r="R2626" s="8"/>
      <c r="S2626" s="8"/>
      <c r="T2626" s="3"/>
    </row>
    <row r="2627" spans="14:20" x14ac:dyDescent="0.3">
      <c r="N2627" s="5"/>
      <c r="O2627" s="5"/>
      <c r="P2627" s="5"/>
      <c r="Q2627" s="5"/>
      <c r="R2627" s="8"/>
      <c r="S2627" s="8"/>
      <c r="T2627" s="3"/>
    </row>
    <row r="2628" spans="14:20" x14ac:dyDescent="0.3">
      <c r="N2628" s="5"/>
      <c r="O2628" s="5"/>
      <c r="P2628" s="5"/>
      <c r="Q2628" s="5"/>
      <c r="R2628" s="8"/>
      <c r="S2628" s="8"/>
      <c r="T2628" s="3"/>
    </row>
    <row r="2629" spans="14:20" x14ac:dyDescent="0.3">
      <c r="N2629" s="5"/>
      <c r="O2629" s="5"/>
      <c r="P2629" s="5"/>
      <c r="Q2629" s="5"/>
      <c r="R2629" s="8"/>
      <c r="S2629" s="8"/>
      <c r="T2629" s="3"/>
    </row>
    <row r="2630" spans="14:20" x14ac:dyDescent="0.3">
      <c r="N2630" s="5"/>
      <c r="O2630" s="5"/>
      <c r="P2630" s="5"/>
      <c r="Q2630" s="5"/>
      <c r="R2630" s="8"/>
      <c r="S2630" s="8"/>
      <c r="T2630" s="3"/>
    </row>
    <row r="2631" spans="14:20" x14ac:dyDescent="0.3">
      <c r="N2631" s="5"/>
      <c r="O2631" s="5"/>
      <c r="P2631" s="5"/>
      <c r="Q2631" s="5"/>
      <c r="R2631" s="8"/>
      <c r="S2631" s="8"/>
      <c r="T2631" s="3"/>
    </row>
    <row r="2632" spans="14:20" x14ac:dyDescent="0.3">
      <c r="N2632" s="5"/>
      <c r="O2632" s="5"/>
      <c r="P2632" s="5"/>
      <c r="Q2632" s="5"/>
      <c r="R2632" s="8"/>
      <c r="S2632" s="8"/>
      <c r="T2632" s="3"/>
    </row>
    <row r="2633" spans="14:20" x14ac:dyDescent="0.3">
      <c r="N2633" s="5"/>
      <c r="O2633" s="5"/>
      <c r="P2633" s="5"/>
      <c r="Q2633" s="5"/>
      <c r="R2633" s="8"/>
      <c r="S2633" s="8"/>
      <c r="T2633" s="3"/>
    </row>
    <row r="2634" spans="14:20" x14ac:dyDescent="0.3">
      <c r="N2634" s="5"/>
      <c r="O2634" s="5"/>
      <c r="P2634" s="5"/>
      <c r="Q2634" s="5"/>
      <c r="R2634" s="8"/>
      <c r="S2634" s="8"/>
      <c r="T2634" s="3"/>
    </row>
    <row r="2635" spans="14:20" x14ac:dyDescent="0.3">
      <c r="N2635" s="5"/>
      <c r="O2635" s="5"/>
      <c r="P2635" s="5"/>
      <c r="Q2635" s="5"/>
      <c r="R2635" s="8"/>
      <c r="S2635" s="8"/>
      <c r="T2635" s="3"/>
    </row>
    <row r="2636" spans="14:20" x14ac:dyDescent="0.3">
      <c r="N2636" s="5"/>
      <c r="O2636" s="5"/>
      <c r="P2636" s="5"/>
      <c r="Q2636" s="5"/>
      <c r="R2636" s="8"/>
      <c r="S2636" s="8"/>
      <c r="T2636" s="3"/>
    </row>
    <row r="2637" spans="14:20" x14ac:dyDescent="0.3">
      <c r="N2637" s="5"/>
      <c r="O2637" s="5"/>
      <c r="P2637" s="5"/>
      <c r="Q2637" s="5"/>
      <c r="R2637" s="8"/>
      <c r="S2637" s="8"/>
      <c r="T2637" s="3"/>
    </row>
    <row r="2638" spans="14:20" x14ac:dyDescent="0.3">
      <c r="N2638" s="5"/>
      <c r="O2638" s="5"/>
      <c r="P2638" s="5"/>
      <c r="Q2638" s="5"/>
      <c r="R2638" s="8"/>
      <c r="S2638" s="8"/>
      <c r="T2638" s="3"/>
    </row>
    <row r="2639" spans="14:20" x14ac:dyDescent="0.3">
      <c r="N2639" s="5"/>
      <c r="O2639" s="5"/>
      <c r="P2639" s="5"/>
      <c r="Q2639" s="5"/>
      <c r="R2639" s="8"/>
      <c r="S2639" s="8"/>
      <c r="T2639" s="3"/>
    </row>
    <row r="2640" spans="14:20" x14ac:dyDescent="0.3">
      <c r="N2640" s="5"/>
      <c r="O2640" s="5"/>
      <c r="P2640" s="5"/>
      <c r="Q2640" s="5"/>
      <c r="R2640" s="8"/>
      <c r="S2640" s="8"/>
      <c r="T2640" s="3"/>
    </row>
    <row r="2641" spans="14:20" x14ac:dyDescent="0.3">
      <c r="N2641" s="5"/>
      <c r="O2641" s="5"/>
      <c r="P2641" s="5"/>
      <c r="Q2641" s="5"/>
      <c r="R2641" s="8"/>
      <c r="S2641" s="8"/>
      <c r="T2641" s="3"/>
    </row>
    <row r="2642" spans="14:20" x14ac:dyDescent="0.3">
      <c r="N2642" s="5"/>
      <c r="O2642" s="5"/>
      <c r="P2642" s="5"/>
      <c r="Q2642" s="5"/>
      <c r="R2642" s="8"/>
      <c r="S2642" s="8"/>
      <c r="T2642" s="3"/>
    </row>
    <row r="2643" spans="14:20" x14ac:dyDescent="0.3">
      <c r="N2643" s="5"/>
      <c r="O2643" s="5"/>
      <c r="P2643" s="5"/>
      <c r="Q2643" s="5"/>
      <c r="R2643" s="8"/>
      <c r="S2643" s="8"/>
      <c r="T2643" s="3"/>
    </row>
    <row r="2644" spans="14:20" x14ac:dyDescent="0.3">
      <c r="N2644" s="5"/>
      <c r="O2644" s="5"/>
      <c r="P2644" s="5"/>
      <c r="Q2644" s="5"/>
      <c r="R2644" s="8"/>
      <c r="S2644" s="8"/>
      <c r="T2644" s="3"/>
    </row>
    <row r="2645" spans="14:20" x14ac:dyDescent="0.3">
      <c r="N2645" s="5"/>
      <c r="O2645" s="5"/>
      <c r="P2645" s="5"/>
      <c r="Q2645" s="5"/>
      <c r="R2645" s="8"/>
      <c r="S2645" s="8"/>
      <c r="T2645" s="3"/>
    </row>
    <row r="2646" spans="14:20" x14ac:dyDescent="0.3">
      <c r="N2646" s="5"/>
      <c r="O2646" s="5"/>
      <c r="P2646" s="5"/>
      <c r="Q2646" s="5"/>
      <c r="R2646" s="8"/>
      <c r="S2646" s="8"/>
      <c r="T2646" s="3"/>
    </row>
    <row r="2647" spans="14:20" x14ac:dyDescent="0.3">
      <c r="N2647" s="5"/>
      <c r="O2647" s="5"/>
      <c r="P2647" s="5"/>
      <c r="Q2647" s="5"/>
      <c r="R2647" s="8"/>
      <c r="S2647" s="8"/>
      <c r="T2647" s="3"/>
    </row>
    <row r="2648" spans="14:20" x14ac:dyDescent="0.3">
      <c r="N2648" s="5"/>
      <c r="O2648" s="5"/>
      <c r="P2648" s="5"/>
      <c r="Q2648" s="5"/>
      <c r="R2648" s="8"/>
      <c r="S2648" s="8"/>
      <c r="T2648" s="3"/>
    </row>
    <row r="2649" spans="14:20" x14ac:dyDescent="0.3">
      <c r="N2649" s="5"/>
      <c r="O2649" s="5"/>
      <c r="P2649" s="5"/>
      <c r="Q2649" s="5"/>
      <c r="R2649" s="8"/>
      <c r="S2649" s="8"/>
      <c r="T2649" s="3"/>
    </row>
    <row r="2650" spans="14:20" x14ac:dyDescent="0.3">
      <c r="N2650" s="5"/>
      <c r="O2650" s="5"/>
      <c r="P2650" s="5"/>
      <c r="Q2650" s="5"/>
      <c r="R2650" s="8"/>
      <c r="S2650" s="8"/>
      <c r="T2650" s="3"/>
    </row>
    <row r="2651" spans="14:20" x14ac:dyDescent="0.3">
      <c r="N2651" s="5"/>
      <c r="O2651" s="5"/>
      <c r="P2651" s="5"/>
      <c r="Q2651" s="5"/>
      <c r="R2651" s="8"/>
      <c r="S2651" s="8"/>
      <c r="T2651" s="3"/>
    </row>
    <row r="2652" spans="14:20" x14ac:dyDescent="0.3">
      <c r="N2652" s="5"/>
      <c r="O2652" s="5"/>
      <c r="P2652" s="5"/>
      <c r="Q2652" s="5"/>
      <c r="R2652" s="8"/>
      <c r="S2652" s="8"/>
      <c r="T2652" s="3"/>
    </row>
    <row r="2653" spans="14:20" x14ac:dyDescent="0.3">
      <c r="N2653" s="5"/>
      <c r="O2653" s="5"/>
      <c r="P2653" s="5"/>
      <c r="Q2653" s="5"/>
      <c r="R2653" s="8"/>
      <c r="S2653" s="8"/>
      <c r="T2653" s="3"/>
    </row>
    <row r="2654" spans="14:20" x14ac:dyDescent="0.3">
      <c r="N2654" s="5"/>
      <c r="O2654" s="5"/>
      <c r="P2654" s="5"/>
      <c r="Q2654" s="5"/>
      <c r="R2654" s="8"/>
      <c r="S2654" s="8"/>
      <c r="T2654" s="3"/>
    </row>
    <row r="2655" spans="14:20" x14ac:dyDescent="0.3">
      <c r="N2655" s="5"/>
      <c r="O2655" s="5"/>
      <c r="P2655" s="5"/>
      <c r="Q2655" s="5"/>
      <c r="R2655" s="8"/>
      <c r="S2655" s="8"/>
      <c r="T2655" s="3"/>
    </row>
    <row r="2656" spans="14:20" x14ac:dyDescent="0.3">
      <c r="N2656" s="5"/>
      <c r="O2656" s="5"/>
      <c r="P2656" s="5"/>
      <c r="Q2656" s="5"/>
      <c r="R2656" s="8"/>
      <c r="S2656" s="8"/>
      <c r="T2656" s="3"/>
    </row>
    <row r="2657" spans="14:20" x14ac:dyDescent="0.3">
      <c r="N2657" s="5"/>
      <c r="O2657" s="5"/>
      <c r="P2657" s="5"/>
      <c r="Q2657" s="5"/>
      <c r="R2657" s="8"/>
      <c r="S2657" s="8"/>
      <c r="T2657" s="3"/>
    </row>
    <row r="2658" spans="14:20" x14ac:dyDescent="0.3">
      <c r="N2658" s="5"/>
      <c r="O2658" s="5"/>
      <c r="P2658" s="5"/>
      <c r="Q2658" s="5"/>
      <c r="R2658" s="8"/>
      <c r="S2658" s="8"/>
      <c r="T2658" s="3"/>
    </row>
    <row r="2659" spans="14:20" x14ac:dyDescent="0.3">
      <c r="N2659" s="5"/>
      <c r="O2659" s="5"/>
      <c r="P2659" s="5"/>
      <c r="Q2659" s="5"/>
      <c r="R2659" s="8"/>
      <c r="S2659" s="8"/>
      <c r="T2659" s="3"/>
    </row>
    <row r="2660" spans="14:20" x14ac:dyDescent="0.3">
      <c r="N2660" s="5"/>
      <c r="O2660" s="5"/>
      <c r="P2660" s="5"/>
      <c r="Q2660" s="5"/>
      <c r="R2660" s="8"/>
      <c r="S2660" s="8"/>
      <c r="T2660" s="3"/>
    </row>
    <row r="2661" spans="14:20" x14ac:dyDescent="0.3">
      <c r="N2661" s="5"/>
      <c r="O2661" s="5"/>
      <c r="P2661" s="5"/>
      <c r="Q2661" s="5"/>
      <c r="R2661" s="8"/>
      <c r="S2661" s="8"/>
      <c r="T2661" s="3"/>
    </row>
    <row r="2662" spans="14:20" x14ac:dyDescent="0.3">
      <c r="N2662" s="5"/>
      <c r="O2662" s="5"/>
      <c r="P2662" s="5"/>
      <c r="Q2662" s="5"/>
      <c r="R2662" s="8"/>
      <c r="S2662" s="8"/>
      <c r="T2662" s="3"/>
    </row>
    <row r="2663" spans="14:20" x14ac:dyDescent="0.3">
      <c r="N2663" s="5"/>
      <c r="O2663" s="5"/>
      <c r="P2663" s="5"/>
      <c r="Q2663" s="5"/>
      <c r="R2663" s="8"/>
      <c r="S2663" s="8"/>
      <c r="T2663" s="3"/>
    </row>
    <row r="2664" spans="14:20" x14ac:dyDescent="0.3">
      <c r="N2664" s="5"/>
      <c r="O2664" s="5"/>
      <c r="P2664" s="5"/>
      <c r="Q2664" s="5"/>
      <c r="R2664" s="8"/>
      <c r="S2664" s="8"/>
      <c r="T2664" s="3"/>
    </row>
    <row r="2665" spans="14:20" x14ac:dyDescent="0.3">
      <c r="N2665" s="5"/>
      <c r="O2665" s="5"/>
      <c r="P2665" s="5"/>
      <c r="Q2665" s="5"/>
      <c r="R2665" s="8"/>
      <c r="S2665" s="8"/>
      <c r="T2665" s="3"/>
    </row>
    <row r="2666" spans="14:20" x14ac:dyDescent="0.3">
      <c r="N2666" s="5"/>
      <c r="O2666" s="5"/>
      <c r="P2666" s="5"/>
      <c r="Q2666" s="5"/>
      <c r="R2666" s="8"/>
      <c r="S2666" s="8"/>
      <c r="T2666" s="3"/>
    </row>
    <row r="2667" spans="14:20" x14ac:dyDescent="0.3">
      <c r="N2667" s="5"/>
      <c r="O2667" s="5"/>
      <c r="P2667" s="5"/>
      <c r="Q2667" s="5"/>
      <c r="R2667" s="8"/>
      <c r="S2667" s="8"/>
      <c r="T2667" s="3"/>
    </row>
    <row r="2668" spans="14:20" x14ac:dyDescent="0.3">
      <c r="N2668" s="5"/>
      <c r="O2668" s="5"/>
      <c r="P2668" s="5"/>
      <c r="Q2668" s="5"/>
      <c r="R2668" s="8"/>
      <c r="S2668" s="8"/>
      <c r="T2668" s="3"/>
    </row>
    <row r="2669" spans="14:20" x14ac:dyDescent="0.3">
      <c r="N2669" s="5"/>
      <c r="O2669" s="5"/>
      <c r="P2669" s="5"/>
      <c r="Q2669" s="5"/>
      <c r="R2669" s="8"/>
      <c r="S2669" s="8"/>
      <c r="T2669" s="3"/>
    </row>
    <row r="2670" spans="14:20" x14ac:dyDescent="0.3">
      <c r="N2670" s="5"/>
      <c r="O2670" s="5"/>
      <c r="P2670" s="5"/>
      <c r="Q2670" s="5"/>
      <c r="R2670" s="8"/>
      <c r="S2670" s="8"/>
      <c r="T2670" s="3"/>
    </row>
    <row r="2671" spans="14:20" x14ac:dyDescent="0.3">
      <c r="N2671" s="5"/>
      <c r="O2671" s="5"/>
      <c r="P2671" s="5"/>
      <c r="Q2671" s="5"/>
      <c r="R2671" s="8"/>
      <c r="S2671" s="8"/>
      <c r="T2671" s="3"/>
    </row>
    <row r="2672" spans="14:20" x14ac:dyDescent="0.3">
      <c r="N2672" s="5"/>
      <c r="O2672" s="5"/>
      <c r="P2672" s="5"/>
      <c r="Q2672" s="5"/>
      <c r="R2672" s="8"/>
      <c r="S2672" s="8"/>
      <c r="T2672" s="3"/>
    </row>
    <row r="2673" spans="14:20" x14ac:dyDescent="0.3">
      <c r="N2673" s="5"/>
      <c r="O2673" s="5"/>
      <c r="P2673" s="5"/>
      <c r="Q2673" s="5"/>
      <c r="R2673" s="8"/>
      <c r="S2673" s="8"/>
      <c r="T2673" s="3"/>
    </row>
    <row r="2674" spans="14:20" x14ac:dyDescent="0.3">
      <c r="N2674" s="5"/>
      <c r="O2674" s="5"/>
      <c r="P2674" s="5"/>
      <c r="Q2674" s="5"/>
      <c r="R2674" s="8"/>
      <c r="S2674" s="8"/>
      <c r="T2674" s="3"/>
    </row>
    <row r="2675" spans="14:20" x14ac:dyDescent="0.3">
      <c r="N2675" s="5"/>
      <c r="O2675" s="5"/>
      <c r="P2675" s="5"/>
      <c r="Q2675" s="5"/>
      <c r="R2675" s="8"/>
      <c r="S2675" s="8"/>
      <c r="T2675" s="3"/>
    </row>
    <row r="2676" spans="14:20" x14ac:dyDescent="0.3">
      <c r="N2676" s="5"/>
      <c r="O2676" s="5"/>
      <c r="P2676" s="5"/>
      <c r="Q2676" s="5"/>
      <c r="R2676" s="8"/>
      <c r="S2676" s="8"/>
      <c r="T2676" s="3"/>
    </row>
    <row r="2677" spans="14:20" x14ac:dyDescent="0.3">
      <c r="N2677" s="5"/>
      <c r="O2677" s="5"/>
      <c r="P2677" s="5"/>
      <c r="Q2677" s="5"/>
      <c r="R2677" s="8"/>
      <c r="S2677" s="8"/>
      <c r="T2677" s="3"/>
    </row>
    <row r="2678" spans="14:20" x14ac:dyDescent="0.3">
      <c r="N2678" s="5"/>
      <c r="O2678" s="5"/>
      <c r="P2678" s="5"/>
      <c r="Q2678" s="5"/>
      <c r="R2678" s="8"/>
      <c r="S2678" s="8"/>
      <c r="T2678" s="3"/>
    </row>
    <row r="2679" spans="14:20" x14ac:dyDescent="0.3">
      <c r="N2679" s="5"/>
      <c r="O2679" s="5"/>
      <c r="P2679" s="5"/>
      <c r="Q2679" s="5"/>
      <c r="R2679" s="8"/>
      <c r="S2679" s="8"/>
      <c r="T2679" s="3"/>
    </row>
    <row r="2680" spans="14:20" x14ac:dyDescent="0.3">
      <c r="N2680" s="5"/>
      <c r="O2680" s="5"/>
      <c r="P2680" s="5"/>
      <c r="Q2680" s="5"/>
      <c r="R2680" s="8"/>
      <c r="S2680" s="8"/>
      <c r="T2680" s="3"/>
    </row>
    <row r="2681" spans="14:20" x14ac:dyDescent="0.3">
      <c r="N2681" s="5"/>
      <c r="O2681" s="5"/>
      <c r="P2681" s="5"/>
      <c r="Q2681" s="5"/>
      <c r="R2681" s="8"/>
      <c r="S2681" s="8"/>
      <c r="T2681" s="3"/>
    </row>
    <row r="2682" spans="14:20" x14ac:dyDescent="0.3">
      <c r="N2682" s="5"/>
      <c r="O2682" s="5"/>
      <c r="P2682" s="5"/>
      <c r="Q2682" s="5"/>
      <c r="R2682" s="8"/>
      <c r="S2682" s="8"/>
      <c r="T2682" s="3"/>
    </row>
    <row r="2683" spans="14:20" x14ac:dyDescent="0.3">
      <c r="N2683" s="5"/>
      <c r="O2683" s="5"/>
      <c r="P2683" s="5"/>
      <c r="Q2683" s="5"/>
      <c r="R2683" s="8"/>
      <c r="S2683" s="8"/>
      <c r="T2683" s="3"/>
    </row>
    <row r="2684" spans="14:20" x14ac:dyDescent="0.3">
      <c r="N2684" s="5"/>
      <c r="O2684" s="5"/>
      <c r="P2684" s="5"/>
      <c r="Q2684" s="5"/>
      <c r="R2684" s="8"/>
      <c r="S2684" s="8"/>
      <c r="T2684" s="3"/>
    </row>
    <row r="2685" spans="14:20" x14ac:dyDescent="0.3">
      <c r="N2685" s="5"/>
      <c r="O2685" s="5"/>
      <c r="P2685" s="5"/>
      <c r="Q2685" s="5"/>
      <c r="R2685" s="8"/>
      <c r="S2685" s="8"/>
      <c r="T2685" s="3"/>
    </row>
    <row r="2686" spans="14:20" x14ac:dyDescent="0.3">
      <c r="N2686" s="5"/>
      <c r="O2686" s="5"/>
      <c r="P2686" s="5"/>
      <c r="Q2686" s="5"/>
      <c r="R2686" s="8"/>
      <c r="S2686" s="8"/>
      <c r="T2686" s="3"/>
    </row>
    <row r="2687" spans="14:20" x14ac:dyDescent="0.3">
      <c r="N2687" s="5"/>
      <c r="O2687" s="5"/>
      <c r="P2687" s="5"/>
      <c r="Q2687" s="5"/>
      <c r="R2687" s="8"/>
      <c r="S2687" s="8"/>
      <c r="T2687" s="3"/>
    </row>
    <row r="2688" spans="14:20" x14ac:dyDescent="0.3">
      <c r="N2688" s="5"/>
      <c r="O2688" s="5"/>
      <c r="P2688" s="5"/>
      <c r="Q2688" s="5"/>
      <c r="R2688" s="8"/>
      <c r="S2688" s="8"/>
      <c r="T2688" s="3"/>
    </row>
    <row r="2689" spans="14:20" x14ac:dyDescent="0.3">
      <c r="N2689" s="5"/>
      <c r="O2689" s="5"/>
      <c r="P2689" s="5"/>
      <c r="Q2689" s="5"/>
      <c r="R2689" s="8"/>
      <c r="S2689" s="8"/>
      <c r="T2689" s="3"/>
    </row>
    <row r="2690" spans="14:20" x14ac:dyDescent="0.3">
      <c r="N2690" s="5"/>
      <c r="O2690" s="5"/>
      <c r="P2690" s="5"/>
      <c r="Q2690" s="5"/>
      <c r="R2690" s="8"/>
      <c r="S2690" s="8"/>
      <c r="T2690" s="3"/>
    </row>
    <row r="2691" spans="14:20" x14ac:dyDescent="0.3">
      <c r="N2691" s="5"/>
      <c r="O2691" s="5"/>
      <c r="P2691" s="5"/>
      <c r="Q2691" s="5"/>
      <c r="R2691" s="8"/>
      <c r="S2691" s="8"/>
      <c r="T2691" s="3"/>
    </row>
    <row r="2692" spans="14:20" x14ac:dyDescent="0.3">
      <c r="N2692" s="5"/>
      <c r="O2692" s="5"/>
      <c r="P2692" s="5"/>
      <c r="Q2692" s="5"/>
      <c r="R2692" s="8"/>
      <c r="S2692" s="8"/>
      <c r="T2692" s="3"/>
    </row>
    <row r="2693" spans="14:20" x14ac:dyDescent="0.3">
      <c r="N2693" s="5"/>
      <c r="O2693" s="5"/>
      <c r="P2693" s="5"/>
      <c r="Q2693" s="5"/>
      <c r="R2693" s="8"/>
      <c r="S2693" s="8"/>
      <c r="T2693" s="3"/>
    </row>
    <row r="2694" spans="14:20" x14ac:dyDescent="0.3">
      <c r="N2694" s="5"/>
      <c r="O2694" s="5"/>
      <c r="P2694" s="5"/>
      <c r="Q2694" s="5"/>
      <c r="R2694" s="8"/>
      <c r="S2694" s="8"/>
      <c r="T2694" s="3"/>
    </row>
    <row r="2695" spans="14:20" x14ac:dyDescent="0.3">
      <c r="N2695" s="5"/>
      <c r="O2695" s="5"/>
      <c r="P2695" s="5"/>
      <c r="Q2695" s="5"/>
      <c r="R2695" s="8"/>
      <c r="S2695" s="8"/>
      <c r="T2695" s="3"/>
    </row>
    <row r="2696" spans="14:20" x14ac:dyDescent="0.3">
      <c r="N2696" s="5"/>
      <c r="O2696" s="5"/>
      <c r="P2696" s="5"/>
      <c r="Q2696" s="5"/>
      <c r="R2696" s="8"/>
      <c r="S2696" s="8"/>
      <c r="T2696" s="3"/>
    </row>
    <row r="2697" spans="14:20" x14ac:dyDescent="0.3">
      <c r="N2697" s="5"/>
      <c r="O2697" s="5"/>
      <c r="P2697" s="5"/>
      <c r="Q2697" s="5"/>
      <c r="R2697" s="8"/>
      <c r="S2697" s="8"/>
      <c r="T2697" s="3"/>
    </row>
    <row r="2698" spans="14:20" x14ac:dyDescent="0.3">
      <c r="N2698" s="5"/>
      <c r="O2698" s="5"/>
      <c r="P2698" s="5"/>
      <c r="Q2698" s="5"/>
      <c r="R2698" s="8"/>
      <c r="S2698" s="8"/>
      <c r="T2698" s="3"/>
    </row>
    <row r="2699" spans="14:20" x14ac:dyDescent="0.3">
      <c r="N2699" s="5"/>
      <c r="O2699" s="5"/>
      <c r="P2699" s="5"/>
      <c r="Q2699" s="5"/>
      <c r="R2699" s="8"/>
      <c r="S2699" s="8"/>
      <c r="T2699" s="3"/>
    </row>
    <row r="2700" spans="14:20" x14ac:dyDescent="0.3">
      <c r="N2700" s="5"/>
      <c r="O2700" s="5"/>
      <c r="P2700" s="5"/>
      <c r="Q2700" s="5"/>
      <c r="R2700" s="8"/>
      <c r="S2700" s="8"/>
      <c r="T2700" s="3"/>
    </row>
    <row r="2701" spans="14:20" x14ac:dyDescent="0.3">
      <c r="N2701" s="5"/>
      <c r="O2701" s="5"/>
      <c r="P2701" s="5"/>
      <c r="Q2701" s="5"/>
      <c r="R2701" s="8"/>
      <c r="S2701" s="8"/>
      <c r="T2701" s="3"/>
    </row>
    <row r="2702" spans="14:20" x14ac:dyDescent="0.3">
      <c r="N2702" s="5"/>
      <c r="O2702" s="5"/>
      <c r="P2702" s="5"/>
      <c r="Q2702" s="5"/>
      <c r="R2702" s="8"/>
      <c r="S2702" s="8"/>
      <c r="T2702" s="3"/>
    </row>
    <row r="2703" spans="14:20" x14ac:dyDescent="0.3">
      <c r="N2703" s="5"/>
      <c r="O2703" s="5"/>
      <c r="P2703" s="5"/>
      <c r="Q2703" s="5"/>
      <c r="R2703" s="8"/>
      <c r="S2703" s="8"/>
      <c r="T2703" s="3"/>
    </row>
    <row r="2704" spans="14:20" x14ac:dyDescent="0.3">
      <c r="N2704" s="5"/>
      <c r="O2704" s="5"/>
      <c r="P2704" s="5"/>
      <c r="Q2704" s="5"/>
      <c r="R2704" s="8"/>
      <c r="S2704" s="8"/>
      <c r="T2704" s="3"/>
    </row>
    <row r="2705" spans="14:20" x14ac:dyDescent="0.3">
      <c r="N2705" s="5"/>
      <c r="O2705" s="5"/>
      <c r="P2705" s="5"/>
      <c r="Q2705" s="5"/>
      <c r="R2705" s="8"/>
      <c r="S2705" s="8"/>
      <c r="T2705" s="3"/>
    </row>
    <row r="2706" spans="14:20" x14ac:dyDescent="0.3">
      <c r="N2706" s="5"/>
      <c r="O2706" s="5"/>
      <c r="P2706" s="5"/>
      <c r="Q2706" s="5"/>
      <c r="R2706" s="8"/>
      <c r="S2706" s="8"/>
      <c r="T2706" s="3"/>
    </row>
    <row r="2707" spans="14:20" x14ac:dyDescent="0.3">
      <c r="N2707" s="5"/>
      <c r="O2707" s="5"/>
      <c r="P2707" s="5"/>
      <c r="Q2707" s="5"/>
      <c r="R2707" s="8"/>
      <c r="S2707" s="8"/>
      <c r="T2707" s="3"/>
    </row>
    <row r="2708" spans="14:20" x14ac:dyDescent="0.3">
      <c r="N2708" s="5"/>
      <c r="O2708" s="5"/>
      <c r="P2708" s="5"/>
      <c r="Q2708" s="5"/>
      <c r="R2708" s="8"/>
      <c r="S2708" s="8"/>
      <c r="T2708" s="3"/>
    </row>
    <row r="2709" spans="14:20" x14ac:dyDescent="0.3">
      <c r="N2709" s="5"/>
      <c r="O2709" s="5"/>
      <c r="P2709" s="5"/>
      <c r="Q2709" s="5"/>
      <c r="R2709" s="8"/>
      <c r="S2709" s="8"/>
      <c r="T2709" s="3"/>
    </row>
    <row r="2710" spans="14:20" x14ac:dyDescent="0.3">
      <c r="N2710" s="5"/>
      <c r="O2710" s="5"/>
      <c r="P2710" s="5"/>
      <c r="Q2710" s="5"/>
      <c r="R2710" s="8"/>
      <c r="S2710" s="8"/>
      <c r="T2710" s="3"/>
    </row>
    <row r="2711" spans="14:20" x14ac:dyDescent="0.3">
      <c r="N2711" s="5"/>
      <c r="O2711" s="5"/>
      <c r="P2711" s="5"/>
      <c r="Q2711" s="5"/>
      <c r="R2711" s="8"/>
      <c r="S2711" s="8"/>
      <c r="T2711" s="3"/>
    </row>
    <row r="2712" spans="14:20" x14ac:dyDescent="0.3">
      <c r="N2712" s="5"/>
      <c r="O2712" s="5"/>
      <c r="P2712" s="5"/>
      <c r="Q2712" s="5"/>
      <c r="R2712" s="8"/>
      <c r="S2712" s="8"/>
      <c r="T2712" s="3"/>
    </row>
    <row r="2713" spans="14:20" x14ac:dyDescent="0.3">
      <c r="N2713" s="5"/>
      <c r="O2713" s="5"/>
      <c r="P2713" s="5"/>
      <c r="Q2713" s="5"/>
      <c r="R2713" s="8"/>
      <c r="S2713" s="8"/>
      <c r="T2713" s="3"/>
    </row>
    <row r="2714" spans="14:20" x14ac:dyDescent="0.3">
      <c r="N2714" s="5"/>
      <c r="O2714" s="5"/>
      <c r="P2714" s="5"/>
      <c r="Q2714" s="5"/>
      <c r="R2714" s="8"/>
      <c r="S2714" s="8"/>
      <c r="T2714" s="3"/>
    </row>
    <row r="2715" spans="14:20" x14ac:dyDescent="0.3">
      <c r="N2715" s="5"/>
      <c r="O2715" s="5"/>
      <c r="P2715" s="5"/>
      <c r="Q2715" s="5"/>
      <c r="R2715" s="8"/>
      <c r="S2715" s="8"/>
      <c r="T2715" s="3"/>
    </row>
    <row r="2716" spans="14:20" x14ac:dyDescent="0.3">
      <c r="N2716" s="5"/>
      <c r="O2716" s="5"/>
      <c r="P2716" s="5"/>
      <c r="Q2716" s="5"/>
      <c r="R2716" s="8"/>
      <c r="S2716" s="8"/>
      <c r="T2716" s="3"/>
    </row>
    <row r="2717" spans="14:20" x14ac:dyDescent="0.3">
      <c r="N2717" s="5"/>
      <c r="O2717" s="5"/>
      <c r="P2717" s="5"/>
      <c r="Q2717" s="5"/>
      <c r="R2717" s="8"/>
      <c r="S2717" s="8"/>
      <c r="T2717" s="3"/>
    </row>
    <row r="2718" spans="14:20" x14ac:dyDescent="0.3">
      <c r="N2718" s="5"/>
      <c r="O2718" s="5"/>
      <c r="P2718" s="5"/>
      <c r="Q2718" s="5"/>
      <c r="R2718" s="8"/>
      <c r="S2718" s="8"/>
      <c r="T2718" s="3"/>
    </row>
    <row r="2719" spans="14:20" x14ac:dyDescent="0.3">
      <c r="N2719" s="5"/>
      <c r="O2719" s="5"/>
      <c r="P2719" s="5"/>
      <c r="Q2719" s="5"/>
      <c r="R2719" s="8"/>
      <c r="S2719" s="8"/>
      <c r="T2719" s="3"/>
    </row>
    <row r="2720" spans="14:20" x14ac:dyDescent="0.3">
      <c r="N2720" s="5"/>
      <c r="O2720" s="5"/>
      <c r="P2720" s="5"/>
      <c r="Q2720" s="5"/>
      <c r="R2720" s="8"/>
      <c r="S2720" s="8"/>
      <c r="T2720" s="3"/>
    </row>
    <row r="2721" spans="14:20" x14ac:dyDescent="0.3">
      <c r="N2721" s="5"/>
      <c r="O2721" s="5"/>
      <c r="P2721" s="5"/>
      <c r="Q2721" s="5"/>
      <c r="R2721" s="8"/>
      <c r="S2721" s="8"/>
      <c r="T2721" s="3"/>
    </row>
    <row r="2722" spans="14:20" x14ac:dyDescent="0.3">
      <c r="N2722" s="5"/>
      <c r="O2722" s="5"/>
      <c r="P2722" s="5"/>
      <c r="Q2722" s="5"/>
      <c r="R2722" s="8"/>
      <c r="S2722" s="8"/>
      <c r="T2722" s="3"/>
    </row>
    <row r="2723" spans="14:20" x14ac:dyDescent="0.3">
      <c r="N2723" s="5"/>
      <c r="O2723" s="5"/>
      <c r="P2723" s="5"/>
      <c r="Q2723" s="5"/>
      <c r="R2723" s="8"/>
      <c r="S2723" s="8"/>
      <c r="T2723" s="3"/>
    </row>
    <row r="2724" spans="14:20" x14ac:dyDescent="0.3">
      <c r="N2724" s="5"/>
      <c r="O2724" s="5"/>
      <c r="P2724" s="5"/>
      <c r="Q2724" s="5"/>
      <c r="R2724" s="8"/>
      <c r="S2724" s="8"/>
      <c r="T2724" s="3"/>
    </row>
    <row r="2725" spans="14:20" x14ac:dyDescent="0.3">
      <c r="N2725" s="5"/>
      <c r="O2725" s="5"/>
      <c r="P2725" s="5"/>
      <c r="Q2725" s="5"/>
      <c r="R2725" s="8"/>
      <c r="S2725" s="8"/>
      <c r="T2725" s="3"/>
    </row>
    <row r="2726" spans="14:20" x14ac:dyDescent="0.3">
      <c r="N2726" s="5"/>
      <c r="O2726" s="5"/>
      <c r="P2726" s="5"/>
      <c r="Q2726" s="5"/>
      <c r="R2726" s="8"/>
      <c r="S2726" s="8"/>
      <c r="T2726" s="3"/>
    </row>
    <row r="2727" spans="14:20" x14ac:dyDescent="0.3">
      <c r="N2727" s="5"/>
      <c r="O2727" s="5"/>
      <c r="P2727" s="5"/>
      <c r="Q2727" s="5"/>
      <c r="R2727" s="8"/>
      <c r="S2727" s="8"/>
      <c r="T2727" s="3"/>
    </row>
    <row r="2728" spans="14:20" x14ac:dyDescent="0.3">
      <c r="N2728" s="5"/>
      <c r="O2728" s="5"/>
      <c r="P2728" s="5"/>
      <c r="Q2728" s="5"/>
      <c r="R2728" s="8"/>
      <c r="S2728" s="8"/>
      <c r="T2728" s="3"/>
    </row>
    <row r="2729" spans="14:20" x14ac:dyDescent="0.3">
      <c r="N2729" s="5"/>
      <c r="O2729" s="5"/>
      <c r="P2729" s="5"/>
      <c r="Q2729" s="5"/>
      <c r="R2729" s="8"/>
      <c r="S2729" s="8"/>
      <c r="T2729" s="3"/>
    </row>
    <row r="2730" spans="14:20" x14ac:dyDescent="0.3">
      <c r="N2730" s="5"/>
      <c r="O2730" s="5"/>
      <c r="P2730" s="5"/>
      <c r="Q2730" s="5"/>
      <c r="R2730" s="8"/>
      <c r="S2730" s="8"/>
      <c r="T2730" s="3"/>
    </row>
    <row r="2731" spans="14:20" x14ac:dyDescent="0.3">
      <c r="N2731" s="5"/>
      <c r="O2731" s="5"/>
      <c r="P2731" s="5"/>
      <c r="Q2731" s="5"/>
      <c r="R2731" s="8"/>
      <c r="S2731" s="8"/>
      <c r="T2731" s="3"/>
    </row>
    <row r="2732" spans="14:20" x14ac:dyDescent="0.3">
      <c r="N2732" s="5"/>
      <c r="O2732" s="5"/>
      <c r="P2732" s="5"/>
      <c r="Q2732" s="5"/>
      <c r="R2732" s="8"/>
      <c r="S2732" s="8"/>
      <c r="T2732" s="3"/>
    </row>
    <row r="2733" spans="14:20" x14ac:dyDescent="0.3">
      <c r="N2733" s="5"/>
      <c r="O2733" s="5"/>
      <c r="P2733" s="5"/>
      <c r="Q2733" s="5"/>
      <c r="R2733" s="8"/>
      <c r="S2733" s="8"/>
      <c r="T2733" s="3"/>
    </row>
    <row r="2734" spans="14:20" x14ac:dyDescent="0.3">
      <c r="N2734" s="5"/>
      <c r="O2734" s="5"/>
      <c r="P2734" s="5"/>
      <c r="Q2734" s="5"/>
      <c r="R2734" s="8"/>
      <c r="S2734" s="8"/>
      <c r="T2734" s="3"/>
    </row>
    <row r="2735" spans="14:20" x14ac:dyDescent="0.3">
      <c r="N2735" s="5"/>
      <c r="O2735" s="5"/>
      <c r="P2735" s="5"/>
      <c r="Q2735" s="5"/>
      <c r="R2735" s="8"/>
      <c r="S2735" s="8"/>
      <c r="T2735" s="3"/>
    </row>
    <row r="2736" spans="14:20" x14ac:dyDescent="0.3">
      <c r="N2736" s="5"/>
      <c r="O2736" s="5"/>
      <c r="P2736" s="5"/>
      <c r="Q2736" s="5"/>
      <c r="R2736" s="8"/>
      <c r="S2736" s="8"/>
      <c r="T2736" s="3"/>
    </row>
    <row r="2737" spans="14:20" x14ac:dyDescent="0.3">
      <c r="N2737" s="5"/>
      <c r="O2737" s="5"/>
      <c r="P2737" s="5"/>
      <c r="Q2737" s="5"/>
      <c r="R2737" s="8"/>
      <c r="S2737" s="8"/>
      <c r="T2737" s="3"/>
    </row>
    <row r="2738" spans="14:20" x14ac:dyDescent="0.3">
      <c r="N2738" s="5"/>
      <c r="O2738" s="5"/>
      <c r="P2738" s="5"/>
      <c r="Q2738" s="5"/>
      <c r="R2738" s="8"/>
      <c r="S2738" s="8"/>
      <c r="T2738" s="3"/>
    </row>
    <row r="2739" spans="14:20" x14ac:dyDescent="0.3">
      <c r="N2739" s="5"/>
      <c r="O2739" s="5"/>
      <c r="P2739" s="5"/>
      <c r="Q2739" s="5"/>
      <c r="R2739" s="8"/>
      <c r="S2739" s="8"/>
      <c r="T2739" s="3"/>
    </row>
    <row r="2740" spans="14:20" x14ac:dyDescent="0.3">
      <c r="N2740" s="5"/>
      <c r="O2740" s="5"/>
      <c r="P2740" s="5"/>
      <c r="Q2740" s="5"/>
      <c r="R2740" s="8"/>
      <c r="S2740" s="8"/>
      <c r="T2740" s="3"/>
    </row>
    <row r="2741" spans="14:20" x14ac:dyDescent="0.3">
      <c r="N2741" s="5"/>
      <c r="O2741" s="5"/>
      <c r="P2741" s="5"/>
      <c r="Q2741" s="5"/>
      <c r="R2741" s="8"/>
      <c r="S2741" s="8"/>
      <c r="T2741" s="3"/>
    </row>
    <row r="2742" spans="14:20" x14ac:dyDescent="0.3">
      <c r="N2742" s="5"/>
      <c r="O2742" s="5"/>
      <c r="P2742" s="5"/>
      <c r="Q2742" s="5"/>
      <c r="R2742" s="8"/>
      <c r="S2742" s="8"/>
      <c r="T2742" s="3"/>
    </row>
    <row r="2743" spans="14:20" x14ac:dyDescent="0.3">
      <c r="N2743" s="5"/>
      <c r="O2743" s="5"/>
      <c r="P2743" s="5"/>
      <c r="Q2743" s="5"/>
      <c r="R2743" s="8"/>
      <c r="S2743" s="8"/>
      <c r="T2743" s="3"/>
    </row>
    <row r="2744" spans="14:20" x14ac:dyDescent="0.3">
      <c r="N2744" s="5"/>
      <c r="O2744" s="5"/>
      <c r="P2744" s="5"/>
      <c r="Q2744" s="5"/>
      <c r="R2744" s="8"/>
      <c r="S2744" s="8"/>
      <c r="T2744" s="3"/>
    </row>
    <row r="2745" spans="14:20" x14ac:dyDescent="0.3">
      <c r="N2745" s="5"/>
      <c r="O2745" s="5"/>
      <c r="P2745" s="5"/>
      <c r="Q2745" s="5"/>
      <c r="R2745" s="8"/>
      <c r="S2745" s="8"/>
      <c r="T2745" s="3"/>
    </row>
    <row r="2746" spans="14:20" x14ac:dyDescent="0.3">
      <c r="N2746" s="5"/>
      <c r="O2746" s="5"/>
      <c r="P2746" s="5"/>
      <c r="Q2746" s="5"/>
      <c r="R2746" s="8"/>
      <c r="S2746" s="8"/>
      <c r="T2746" s="3"/>
    </row>
    <row r="2747" spans="14:20" x14ac:dyDescent="0.3">
      <c r="N2747" s="5"/>
      <c r="O2747" s="5"/>
      <c r="P2747" s="5"/>
      <c r="Q2747" s="5"/>
      <c r="R2747" s="8"/>
      <c r="S2747" s="8"/>
      <c r="T2747" s="3"/>
    </row>
    <row r="2748" spans="14:20" x14ac:dyDescent="0.3">
      <c r="N2748" s="5"/>
      <c r="O2748" s="5"/>
      <c r="P2748" s="5"/>
      <c r="Q2748" s="5"/>
      <c r="R2748" s="8"/>
      <c r="S2748" s="8"/>
      <c r="T2748" s="3"/>
    </row>
    <row r="2749" spans="14:20" x14ac:dyDescent="0.3">
      <c r="N2749" s="5"/>
      <c r="O2749" s="5"/>
      <c r="P2749" s="5"/>
      <c r="Q2749" s="5"/>
      <c r="R2749" s="8"/>
      <c r="S2749" s="8"/>
      <c r="T2749" s="3"/>
    </row>
    <row r="2750" spans="14:20" x14ac:dyDescent="0.3">
      <c r="N2750" s="5"/>
      <c r="O2750" s="5"/>
      <c r="P2750" s="5"/>
      <c r="Q2750" s="5"/>
      <c r="R2750" s="8"/>
      <c r="S2750" s="8"/>
      <c r="T2750" s="3"/>
    </row>
    <row r="2751" spans="14:20" x14ac:dyDescent="0.3">
      <c r="N2751" s="5"/>
      <c r="O2751" s="5"/>
      <c r="P2751" s="5"/>
      <c r="Q2751" s="5"/>
      <c r="R2751" s="8"/>
      <c r="S2751" s="8"/>
      <c r="T2751" s="3"/>
    </row>
    <row r="2752" spans="14:20" x14ac:dyDescent="0.3">
      <c r="N2752" s="5"/>
      <c r="O2752" s="5"/>
      <c r="P2752" s="5"/>
      <c r="Q2752" s="5"/>
      <c r="R2752" s="8"/>
      <c r="S2752" s="8"/>
      <c r="T2752" s="3"/>
    </row>
    <row r="2753" spans="14:20" x14ac:dyDescent="0.3">
      <c r="N2753" s="5"/>
      <c r="O2753" s="5"/>
      <c r="P2753" s="5"/>
      <c r="Q2753" s="5"/>
      <c r="R2753" s="8"/>
      <c r="S2753" s="8"/>
      <c r="T2753" s="3"/>
    </row>
    <row r="2754" spans="14:20" x14ac:dyDescent="0.3">
      <c r="N2754" s="5"/>
      <c r="O2754" s="5"/>
      <c r="P2754" s="5"/>
      <c r="Q2754" s="5"/>
      <c r="R2754" s="8"/>
      <c r="S2754" s="8"/>
      <c r="T2754" s="3"/>
    </row>
    <row r="2755" spans="14:20" x14ac:dyDescent="0.3">
      <c r="N2755" s="5"/>
      <c r="O2755" s="5"/>
      <c r="P2755" s="5"/>
      <c r="Q2755" s="5"/>
      <c r="R2755" s="8"/>
      <c r="S2755" s="8"/>
      <c r="T2755" s="3"/>
    </row>
    <row r="2756" spans="14:20" x14ac:dyDescent="0.3">
      <c r="N2756" s="5"/>
      <c r="O2756" s="5"/>
      <c r="P2756" s="5"/>
      <c r="Q2756" s="5"/>
      <c r="R2756" s="8"/>
      <c r="S2756" s="8"/>
      <c r="T2756" s="3"/>
    </row>
    <row r="2757" spans="14:20" x14ac:dyDescent="0.3">
      <c r="N2757" s="5"/>
      <c r="O2757" s="5"/>
      <c r="P2757" s="5"/>
      <c r="Q2757" s="5"/>
      <c r="R2757" s="8"/>
      <c r="S2757" s="8"/>
      <c r="T2757" s="3"/>
    </row>
    <row r="2758" spans="14:20" x14ac:dyDescent="0.3">
      <c r="N2758" s="5"/>
      <c r="O2758" s="5"/>
      <c r="P2758" s="5"/>
      <c r="Q2758" s="5"/>
      <c r="R2758" s="8"/>
      <c r="S2758" s="8"/>
      <c r="T2758" s="3"/>
    </row>
    <row r="2759" spans="14:20" x14ac:dyDescent="0.3">
      <c r="N2759" s="5"/>
      <c r="O2759" s="5"/>
      <c r="P2759" s="5"/>
      <c r="Q2759" s="5"/>
      <c r="R2759" s="8"/>
      <c r="S2759" s="8"/>
      <c r="T2759" s="3"/>
    </row>
    <row r="2760" spans="14:20" x14ac:dyDescent="0.3">
      <c r="N2760" s="5"/>
      <c r="O2760" s="5"/>
      <c r="P2760" s="5"/>
      <c r="Q2760" s="5"/>
      <c r="R2760" s="8"/>
      <c r="S2760" s="8"/>
      <c r="T2760" s="3"/>
    </row>
    <row r="2761" spans="14:20" x14ac:dyDescent="0.3">
      <c r="N2761" s="5"/>
      <c r="O2761" s="5"/>
      <c r="P2761" s="5"/>
      <c r="Q2761" s="5"/>
      <c r="R2761" s="8"/>
      <c r="S2761" s="8"/>
      <c r="T2761" s="3"/>
    </row>
    <row r="2762" spans="14:20" x14ac:dyDescent="0.3">
      <c r="N2762" s="5"/>
      <c r="O2762" s="5"/>
      <c r="P2762" s="5"/>
      <c r="Q2762" s="5"/>
      <c r="R2762" s="8"/>
      <c r="S2762" s="8"/>
      <c r="T2762" s="3"/>
    </row>
    <row r="2763" spans="14:20" x14ac:dyDescent="0.3">
      <c r="N2763" s="5"/>
      <c r="O2763" s="5"/>
      <c r="P2763" s="5"/>
      <c r="Q2763" s="5"/>
      <c r="R2763" s="8"/>
      <c r="S2763" s="8"/>
      <c r="T2763" s="3"/>
    </row>
    <row r="2764" spans="14:20" x14ac:dyDescent="0.3">
      <c r="N2764" s="5"/>
      <c r="O2764" s="5"/>
      <c r="P2764" s="5"/>
      <c r="Q2764" s="5"/>
      <c r="R2764" s="8"/>
      <c r="S2764" s="8"/>
      <c r="T2764" s="3"/>
    </row>
    <row r="2765" spans="14:20" x14ac:dyDescent="0.3">
      <c r="N2765" s="5"/>
      <c r="O2765" s="5"/>
      <c r="P2765" s="5"/>
      <c r="Q2765" s="5"/>
      <c r="R2765" s="8"/>
      <c r="S2765" s="8"/>
      <c r="T2765" s="3"/>
    </row>
    <row r="2766" spans="14:20" x14ac:dyDescent="0.3">
      <c r="N2766" s="5"/>
      <c r="O2766" s="5"/>
      <c r="P2766" s="5"/>
      <c r="Q2766" s="5"/>
      <c r="R2766" s="8"/>
      <c r="S2766" s="8"/>
      <c r="T2766" s="3"/>
    </row>
    <row r="2767" spans="14:20" x14ac:dyDescent="0.3">
      <c r="N2767" s="5"/>
      <c r="O2767" s="5"/>
      <c r="P2767" s="5"/>
      <c r="Q2767" s="5"/>
      <c r="R2767" s="8"/>
      <c r="S2767" s="8"/>
      <c r="T2767" s="3"/>
    </row>
    <row r="2768" spans="14:20" x14ac:dyDescent="0.3">
      <c r="N2768" s="5"/>
      <c r="O2768" s="5"/>
      <c r="P2768" s="5"/>
      <c r="Q2768" s="5"/>
      <c r="R2768" s="8"/>
      <c r="S2768" s="8"/>
      <c r="T2768" s="3"/>
    </row>
    <row r="2769" spans="14:20" x14ac:dyDescent="0.3">
      <c r="N2769" s="5"/>
      <c r="O2769" s="5"/>
      <c r="P2769" s="5"/>
      <c r="Q2769" s="5"/>
      <c r="R2769" s="8"/>
      <c r="S2769" s="8"/>
      <c r="T2769" s="3"/>
    </row>
    <row r="2770" spans="14:20" x14ac:dyDescent="0.3">
      <c r="N2770" s="5"/>
      <c r="O2770" s="5"/>
      <c r="P2770" s="5"/>
      <c r="Q2770" s="5"/>
      <c r="R2770" s="8"/>
      <c r="S2770" s="8"/>
      <c r="T2770" s="3"/>
    </row>
    <row r="2771" spans="14:20" x14ac:dyDescent="0.3">
      <c r="N2771" s="5"/>
      <c r="O2771" s="5"/>
      <c r="P2771" s="5"/>
      <c r="Q2771" s="5"/>
      <c r="R2771" s="8"/>
      <c r="S2771" s="8"/>
      <c r="T2771" s="3"/>
    </row>
    <row r="2772" spans="14:20" x14ac:dyDescent="0.3">
      <c r="N2772" s="5"/>
      <c r="O2772" s="5"/>
      <c r="P2772" s="5"/>
      <c r="Q2772" s="5"/>
      <c r="R2772" s="8"/>
      <c r="S2772" s="8"/>
      <c r="T2772" s="3"/>
    </row>
    <row r="2773" spans="14:20" x14ac:dyDescent="0.3">
      <c r="N2773" s="5"/>
      <c r="O2773" s="5"/>
      <c r="P2773" s="5"/>
      <c r="Q2773" s="5"/>
      <c r="R2773" s="8"/>
      <c r="S2773" s="8"/>
      <c r="T2773" s="3"/>
    </row>
    <row r="2774" spans="14:20" x14ac:dyDescent="0.3">
      <c r="N2774" s="5"/>
      <c r="O2774" s="5"/>
      <c r="P2774" s="5"/>
      <c r="Q2774" s="5"/>
      <c r="R2774" s="8"/>
      <c r="S2774" s="8"/>
      <c r="T2774" s="3"/>
    </row>
    <row r="2775" spans="14:20" x14ac:dyDescent="0.3">
      <c r="N2775" s="5"/>
      <c r="O2775" s="5"/>
      <c r="P2775" s="5"/>
      <c r="Q2775" s="5"/>
      <c r="R2775" s="8"/>
      <c r="S2775" s="8"/>
      <c r="T2775" s="3"/>
    </row>
    <row r="2776" spans="14:20" x14ac:dyDescent="0.3">
      <c r="N2776" s="5"/>
      <c r="O2776" s="5"/>
      <c r="P2776" s="5"/>
      <c r="Q2776" s="5"/>
      <c r="R2776" s="8"/>
      <c r="S2776" s="8"/>
      <c r="T2776" s="3"/>
    </row>
    <row r="2777" spans="14:20" x14ac:dyDescent="0.3">
      <c r="N2777" s="5"/>
      <c r="O2777" s="5"/>
      <c r="P2777" s="5"/>
      <c r="Q2777" s="5"/>
      <c r="R2777" s="8"/>
      <c r="S2777" s="8"/>
      <c r="T2777" s="3"/>
    </row>
    <row r="2778" spans="14:20" x14ac:dyDescent="0.3">
      <c r="N2778" s="5"/>
      <c r="O2778" s="5"/>
      <c r="P2778" s="5"/>
      <c r="Q2778" s="5"/>
      <c r="R2778" s="8"/>
      <c r="S2778" s="8"/>
      <c r="T2778" s="3"/>
    </row>
    <row r="2779" spans="14:20" x14ac:dyDescent="0.3">
      <c r="N2779" s="5"/>
      <c r="O2779" s="5"/>
      <c r="P2779" s="5"/>
      <c r="Q2779" s="5"/>
      <c r="R2779" s="8"/>
      <c r="S2779" s="8"/>
      <c r="T2779" s="3"/>
    </row>
    <row r="2780" spans="14:20" x14ac:dyDescent="0.3">
      <c r="N2780" s="5"/>
      <c r="O2780" s="5"/>
      <c r="P2780" s="5"/>
      <c r="Q2780" s="5"/>
      <c r="R2780" s="8"/>
      <c r="S2780" s="8"/>
      <c r="T2780" s="3"/>
    </row>
    <row r="2781" spans="14:20" x14ac:dyDescent="0.3">
      <c r="N2781" s="5"/>
      <c r="O2781" s="5"/>
      <c r="P2781" s="5"/>
      <c r="Q2781" s="5"/>
      <c r="R2781" s="8"/>
      <c r="S2781" s="8"/>
      <c r="T2781" s="3"/>
    </row>
    <row r="2782" spans="14:20" x14ac:dyDescent="0.3">
      <c r="N2782" s="5"/>
      <c r="O2782" s="5"/>
      <c r="P2782" s="5"/>
      <c r="Q2782" s="5"/>
      <c r="R2782" s="8"/>
      <c r="S2782" s="8"/>
      <c r="T2782" s="3"/>
    </row>
    <row r="2783" spans="14:20" x14ac:dyDescent="0.3">
      <c r="N2783" s="5"/>
      <c r="O2783" s="5"/>
      <c r="P2783" s="5"/>
      <c r="Q2783" s="5"/>
      <c r="R2783" s="8"/>
      <c r="S2783" s="8"/>
      <c r="T2783" s="3"/>
    </row>
    <row r="2784" spans="14:20" x14ac:dyDescent="0.3">
      <c r="N2784" s="5"/>
      <c r="O2784" s="5"/>
      <c r="P2784" s="5"/>
      <c r="Q2784" s="5"/>
      <c r="R2784" s="8"/>
      <c r="S2784" s="8"/>
      <c r="T2784" s="3"/>
    </row>
    <row r="2785" spans="14:20" x14ac:dyDescent="0.3">
      <c r="N2785" s="5"/>
      <c r="O2785" s="5"/>
      <c r="P2785" s="5"/>
      <c r="Q2785" s="5"/>
      <c r="R2785" s="8"/>
      <c r="S2785" s="8"/>
      <c r="T2785" s="3"/>
    </row>
    <row r="2786" spans="14:20" x14ac:dyDescent="0.3">
      <c r="N2786" s="5"/>
      <c r="O2786" s="5"/>
      <c r="P2786" s="5"/>
      <c r="Q2786" s="5"/>
      <c r="R2786" s="8"/>
      <c r="S2786" s="8"/>
      <c r="T2786" s="3"/>
    </row>
    <row r="2787" spans="14:20" x14ac:dyDescent="0.3">
      <c r="N2787" s="5"/>
      <c r="O2787" s="5"/>
      <c r="P2787" s="5"/>
      <c r="Q2787" s="5"/>
      <c r="R2787" s="8"/>
      <c r="S2787" s="8"/>
      <c r="T2787" s="3"/>
    </row>
    <row r="2788" spans="14:20" x14ac:dyDescent="0.3">
      <c r="N2788" s="5"/>
      <c r="O2788" s="5"/>
      <c r="P2788" s="5"/>
      <c r="Q2788" s="5"/>
      <c r="R2788" s="8"/>
      <c r="S2788" s="8"/>
      <c r="T2788" s="3"/>
    </row>
    <row r="2789" spans="14:20" x14ac:dyDescent="0.3">
      <c r="N2789" s="5"/>
      <c r="O2789" s="5"/>
      <c r="P2789" s="5"/>
      <c r="Q2789" s="5"/>
      <c r="R2789" s="8"/>
      <c r="S2789" s="8"/>
      <c r="T2789" s="3"/>
    </row>
    <row r="2790" spans="14:20" x14ac:dyDescent="0.3">
      <c r="N2790" s="5"/>
      <c r="O2790" s="5"/>
      <c r="P2790" s="5"/>
      <c r="Q2790" s="5"/>
      <c r="R2790" s="8"/>
      <c r="S2790" s="8"/>
      <c r="T2790" s="3"/>
    </row>
    <row r="2791" spans="14:20" x14ac:dyDescent="0.3">
      <c r="N2791" s="5"/>
      <c r="O2791" s="5"/>
      <c r="P2791" s="5"/>
      <c r="Q2791" s="5"/>
      <c r="R2791" s="8"/>
      <c r="S2791" s="8"/>
      <c r="T2791" s="3"/>
    </row>
    <row r="2792" spans="14:20" x14ac:dyDescent="0.3">
      <c r="N2792" s="5"/>
      <c r="O2792" s="5"/>
      <c r="P2792" s="5"/>
      <c r="Q2792" s="5"/>
      <c r="R2792" s="8"/>
      <c r="S2792" s="8"/>
      <c r="T2792" s="3"/>
    </row>
    <row r="2793" spans="14:20" x14ac:dyDescent="0.3">
      <c r="N2793" s="5"/>
      <c r="O2793" s="5"/>
      <c r="P2793" s="5"/>
      <c r="Q2793" s="5"/>
      <c r="R2793" s="8"/>
      <c r="S2793" s="8"/>
      <c r="T2793" s="3"/>
    </row>
    <row r="2794" spans="14:20" x14ac:dyDescent="0.3">
      <c r="N2794" s="5"/>
      <c r="O2794" s="5"/>
      <c r="P2794" s="5"/>
      <c r="Q2794" s="5"/>
      <c r="R2794" s="8"/>
      <c r="S2794" s="8"/>
      <c r="T2794" s="3"/>
    </row>
    <row r="2795" spans="14:20" x14ac:dyDescent="0.3">
      <c r="N2795" s="5"/>
      <c r="O2795" s="5"/>
      <c r="P2795" s="5"/>
      <c r="Q2795" s="5"/>
      <c r="R2795" s="8"/>
      <c r="S2795" s="8"/>
      <c r="T2795" s="3"/>
    </row>
    <row r="2796" spans="14:20" x14ac:dyDescent="0.3">
      <c r="N2796" s="5"/>
      <c r="O2796" s="5"/>
      <c r="P2796" s="5"/>
      <c r="Q2796" s="5"/>
      <c r="R2796" s="8"/>
      <c r="S2796" s="8"/>
      <c r="T2796" s="3"/>
    </row>
    <row r="2797" spans="14:20" x14ac:dyDescent="0.3">
      <c r="N2797" s="5"/>
      <c r="O2797" s="5"/>
      <c r="P2797" s="5"/>
      <c r="Q2797" s="5"/>
      <c r="R2797" s="8"/>
      <c r="S2797" s="8"/>
      <c r="T2797" s="3"/>
    </row>
    <row r="2798" spans="14:20" x14ac:dyDescent="0.3">
      <c r="N2798" s="5"/>
      <c r="O2798" s="5"/>
      <c r="P2798" s="5"/>
      <c r="Q2798" s="5"/>
      <c r="R2798" s="8"/>
      <c r="S2798" s="8"/>
      <c r="T2798" s="3"/>
    </row>
    <row r="2799" spans="14:20" x14ac:dyDescent="0.3">
      <c r="N2799" s="5"/>
      <c r="O2799" s="5"/>
      <c r="P2799" s="5"/>
      <c r="Q2799" s="5"/>
      <c r="R2799" s="8"/>
      <c r="S2799" s="8"/>
      <c r="T2799" s="3"/>
    </row>
    <row r="2800" spans="14:20" x14ac:dyDescent="0.3">
      <c r="N2800" s="5"/>
      <c r="O2800" s="5"/>
      <c r="P2800" s="5"/>
      <c r="Q2800" s="5"/>
      <c r="R2800" s="8"/>
      <c r="S2800" s="8"/>
      <c r="T2800" s="3"/>
    </row>
    <row r="2801" spans="14:20" x14ac:dyDescent="0.3">
      <c r="N2801" s="5"/>
      <c r="O2801" s="5"/>
      <c r="P2801" s="5"/>
      <c r="Q2801" s="5"/>
      <c r="R2801" s="8"/>
      <c r="S2801" s="8"/>
      <c r="T2801" s="3"/>
    </row>
    <row r="2802" spans="14:20" x14ac:dyDescent="0.3">
      <c r="N2802" s="5"/>
      <c r="O2802" s="5"/>
      <c r="P2802" s="5"/>
      <c r="Q2802" s="5"/>
      <c r="R2802" s="8"/>
      <c r="S2802" s="8"/>
      <c r="T2802" s="3"/>
    </row>
    <row r="2803" spans="14:20" x14ac:dyDescent="0.3">
      <c r="N2803" s="5"/>
      <c r="O2803" s="5"/>
      <c r="P2803" s="5"/>
      <c r="Q2803" s="5"/>
      <c r="R2803" s="8"/>
      <c r="S2803" s="8"/>
      <c r="T2803" s="3"/>
    </row>
    <row r="2804" spans="14:20" x14ac:dyDescent="0.3">
      <c r="N2804" s="5"/>
      <c r="O2804" s="5"/>
      <c r="P2804" s="5"/>
      <c r="Q2804" s="5"/>
      <c r="R2804" s="8"/>
      <c r="S2804" s="8"/>
      <c r="T2804" s="3"/>
    </row>
    <row r="2805" spans="14:20" x14ac:dyDescent="0.3">
      <c r="N2805" s="5"/>
      <c r="O2805" s="5"/>
      <c r="P2805" s="5"/>
      <c r="Q2805" s="5"/>
      <c r="R2805" s="8"/>
      <c r="S2805" s="8"/>
      <c r="T2805" s="3"/>
    </row>
    <row r="2806" spans="14:20" x14ac:dyDescent="0.3">
      <c r="N2806" s="5"/>
      <c r="O2806" s="5"/>
      <c r="P2806" s="5"/>
      <c r="Q2806" s="5"/>
      <c r="R2806" s="8"/>
      <c r="S2806" s="8"/>
      <c r="T2806" s="3"/>
    </row>
    <row r="2807" spans="14:20" x14ac:dyDescent="0.3">
      <c r="N2807" s="5"/>
      <c r="O2807" s="5"/>
      <c r="P2807" s="5"/>
      <c r="Q2807" s="5"/>
      <c r="R2807" s="8"/>
      <c r="S2807" s="8"/>
      <c r="T2807" s="3"/>
    </row>
    <row r="2808" spans="14:20" x14ac:dyDescent="0.3">
      <c r="N2808" s="5"/>
      <c r="O2808" s="5"/>
      <c r="P2808" s="5"/>
      <c r="Q2808" s="5"/>
      <c r="R2808" s="8"/>
      <c r="S2808" s="8"/>
      <c r="T2808" s="3"/>
    </row>
    <row r="2809" spans="14:20" x14ac:dyDescent="0.3">
      <c r="N2809" s="5"/>
      <c r="O2809" s="5"/>
      <c r="P2809" s="5"/>
      <c r="Q2809" s="5"/>
      <c r="R2809" s="8"/>
      <c r="S2809" s="8"/>
      <c r="T2809" s="3"/>
    </row>
    <row r="2810" spans="14:20" x14ac:dyDescent="0.3">
      <c r="N2810" s="5"/>
      <c r="O2810" s="5"/>
      <c r="P2810" s="5"/>
      <c r="Q2810" s="5"/>
      <c r="R2810" s="8"/>
      <c r="S2810" s="8"/>
      <c r="T2810" s="3"/>
    </row>
    <row r="2811" spans="14:20" x14ac:dyDescent="0.3">
      <c r="N2811" s="5"/>
      <c r="O2811" s="5"/>
      <c r="P2811" s="5"/>
      <c r="Q2811" s="5"/>
      <c r="R2811" s="8"/>
      <c r="S2811" s="8"/>
      <c r="T2811" s="3"/>
    </row>
    <row r="2812" spans="14:20" x14ac:dyDescent="0.3">
      <c r="N2812" s="5"/>
      <c r="O2812" s="5"/>
      <c r="P2812" s="5"/>
      <c r="Q2812" s="5"/>
      <c r="R2812" s="8"/>
      <c r="S2812" s="8"/>
      <c r="T2812" s="3"/>
    </row>
    <row r="2813" spans="14:20" x14ac:dyDescent="0.3">
      <c r="N2813" s="5"/>
      <c r="O2813" s="5"/>
      <c r="P2813" s="5"/>
      <c r="Q2813" s="5"/>
      <c r="R2813" s="8"/>
      <c r="S2813" s="8"/>
      <c r="T2813" s="3"/>
    </row>
    <row r="2814" spans="14:20" x14ac:dyDescent="0.3">
      <c r="N2814" s="5"/>
      <c r="O2814" s="5"/>
      <c r="P2814" s="5"/>
      <c r="Q2814" s="5"/>
      <c r="R2814" s="8"/>
      <c r="S2814" s="8"/>
      <c r="T2814" s="3"/>
    </row>
    <row r="2815" spans="14:20" x14ac:dyDescent="0.3">
      <c r="N2815" s="5"/>
      <c r="O2815" s="5"/>
      <c r="P2815" s="5"/>
      <c r="Q2815" s="5"/>
      <c r="R2815" s="8"/>
      <c r="S2815" s="8"/>
      <c r="T2815" s="3"/>
    </row>
    <row r="2816" spans="14:20" x14ac:dyDescent="0.3">
      <c r="N2816" s="5"/>
      <c r="O2816" s="5"/>
      <c r="P2816" s="5"/>
      <c r="Q2816" s="5"/>
      <c r="R2816" s="8"/>
      <c r="S2816" s="8"/>
      <c r="T2816" s="3"/>
    </row>
    <row r="2817" spans="14:20" x14ac:dyDescent="0.3">
      <c r="N2817" s="5"/>
      <c r="O2817" s="5"/>
      <c r="P2817" s="5"/>
      <c r="Q2817" s="5"/>
      <c r="R2817" s="8"/>
      <c r="S2817" s="8"/>
      <c r="T2817" s="3"/>
    </row>
    <row r="2818" spans="14:20" x14ac:dyDescent="0.3">
      <c r="N2818" s="5"/>
      <c r="O2818" s="5"/>
      <c r="P2818" s="5"/>
      <c r="Q2818" s="5"/>
      <c r="R2818" s="8"/>
      <c r="S2818" s="8"/>
      <c r="T2818" s="3"/>
    </row>
    <row r="2819" spans="14:20" x14ac:dyDescent="0.3">
      <c r="N2819" s="5"/>
      <c r="O2819" s="5"/>
      <c r="P2819" s="5"/>
      <c r="Q2819" s="5"/>
      <c r="R2819" s="8"/>
      <c r="S2819" s="8"/>
      <c r="T2819" s="3"/>
    </row>
    <row r="2820" spans="14:20" x14ac:dyDescent="0.3">
      <c r="N2820" s="5"/>
      <c r="O2820" s="5"/>
      <c r="P2820" s="5"/>
      <c r="Q2820" s="5"/>
      <c r="R2820" s="8"/>
      <c r="S2820" s="8"/>
      <c r="T2820" s="3"/>
    </row>
    <row r="2821" spans="14:20" x14ac:dyDescent="0.3">
      <c r="N2821" s="5"/>
      <c r="O2821" s="5"/>
      <c r="P2821" s="5"/>
      <c r="Q2821" s="5"/>
      <c r="R2821" s="8"/>
      <c r="S2821" s="8"/>
      <c r="T2821" s="3"/>
    </row>
    <row r="2822" spans="14:20" x14ac:dyDescent="0.3">
      <c r="N2822" s="5"/>
      <c r="O2822" s="5"/>
      <c r="P2822" s="5"/>
      <c r="Q2822" s="5"/>
      <c r="R2822" s="8"/>
      <c r="S2822" s="8"/>
      <c r="T2822" s="3"/>
    </row>
    <row r="2823" spans="14:20" x14ac:dyDescent="0.3">
      <c r="N2823" s="5"/>
      <c r="O2823" s="5"/>
      <c r="P2823" s="5"/>
      <c r="Q2823" s="5"/>
      <c r="R2823" s="8"/>
      <c r="S2823" s="8"/>
      <c r="T2823" s="3"/>
    </row>
    <row r="2824" spans="14:20" x14ac:dyDescent="0.3">
      <c r="N2824" s="5"/>
      <c r="O2824" s="5"/>
      <c r="P2824" s="5"/>
      <c r="Q2824" s="5"/>
      <c r="R2824" s="8"/>
      <c r="S2824" s="8"/>
      <c r="T2824" s="3"/>
    </row>
    <row r="2825" spans="14:20" x14ac:dyDescent="0.3">
      <c r="N2825" s="5"/>
      <c r="O2825" s="5"/>
      <c r="P2825" s="5"/>
      <c r="Q2825" s="5"/>
      <c r="R2825" s="8"/>
      <c r="S2825" s="8"/>
      <c r="T2825" s="3"/>
    </row>
    <row r="2826" spans="14:20" x14ac:dyDescent="0.3">
      <c r="N2826" s="5"/>
      <c r="O2826" s="5"/>
      <c r="P2826" s="5"/>
      <c r="Q2826" s="5"/>
      <c r="R2826" s="8"/>
      <c r="S2826" s="8"/>
      <c r="T2826" s="3"/>
    </row>
    <row r="2827" spans="14:20" x14ac:dyDescent="0.3">
      <c r="N2827" s="5"/>
      <c r="O2827" s="5"/>
      <c r="P2827" s="5"/>
      <c r="Q2827" s="5"/>
      <c r="R2827" s="8"/>
      <c r="S2827" s="8"/>
      <c r="T2827" s="3"/>
    </row>
    <row r="2828" spans="14:20" x14ac:dyDescent="0.3">
      <c r="N2828" s="5"/>
      <c r="O2828" s="5"/>
      <c r="P2828" s="5"/>
      <c r="Q2828" s="5"/>
      <c r="R2828" s="8"/>
      <c r="S2828" s="8"/>
      <c r="T2828" s="3"/>
    </row>
    <row r="2829" spans="14:20" x14ac:dyDescent="0.3">
      <c r="N2829" s="5"/>
      <c r="O2829" s="5"/>
      <c r="P2829" s="5"/>
      <c r="Q2829" s="5"/>
      <c r="R2829" s="8"/>
      <c r="S2829" s="8"/>
      <c r="T2829" s="3"/>
    </row>
    <row r="2830" spans="14:20" x14ac:dyDescent="0.3">
      <c r="N2830" s="5"/>
      <c r="O2830" s="5"/>
      <c r="P2830" s="5"/>
      <c r="Q2830" s="5"/>
      <c r="R2830" s="8"/>
      <c r="S2830" s="8"/>
      <c r="T2830" s="3"/>
    </row>
    <row r="2831" spans="14:20" x14ac:dyDescent="0.3">
      <c r="N2831" s="5"/>
      <c r="O2831" s="5"/>
      <c r="P2831" s="5"/>
      <c r="Q2831" s="5"/>
      <c r="R2831" s="8"/>
      <c r="S2831" s="8"/>
      <c r="T2831" s="3"/>
    </row>
    <row r="2832" spans="14:20" x14ac:dyDescent="0.3">
      <c r="N2832" s="5"/>
      <c r="O2832" s="5"/>
      <c r="P2832" s="5"/>
      <c r="Q2832" s="5"/>
      <c r="R2832" s="8"/>
      <c r="S2832" s="8"/>
      <c r="T2832" s="3"/>
    </row>
    <row r="2833" spans="14:20" x14ac:dyDescent="0.3">
      <c r="N2833" s="5"/>
      <c r="O2833" s="5"/>
      <c r="P2833" s="5"/>
      <c r="Q2833" s="5"/>
      <c r="R2833" s="8"/>
      <c r="S2833" s="8"/>
      <c r="T2833" s="3"/>
    </row>
    <row r="2834" spans="14:20" x14ac:dyDescent="0.3">
      <c r="N2834" s="5"/>
      <c r="O2834" s="5"/>
      <c r="P2834" s="5"/>
      <c r="Q2834" s="5"/>
      <c r="R2834" s="8"/>
      <c r="S2834" s="8"/>
      <c r="T2834" s="3"/>
    </row>
    <row r="2835" spans="14:20" x14ac:dyDescent="0.3">
      <c r="N2835" s="5"/>
      <c r="O2835" s="5"/>
      <c r="P2835" s="5"/>
      <c r="Q2835" s="5"/>
      <c r="R2835" s="8"/>
      <c r="S2835" s="8"/>
      <c r="T2835" s="3"/>
    </row>
    <row r="2836" spans="14:20" x14ac:dyDescent="0.3">
      <c r="N2836" s="5"/>
      <c r="O2836" s="5"/>
      <c r="P2836" s="5"/>
      <c r="Q2836" s="5"/>
      <c r="R2836" s="8"/>
      <c r="S2836" s="8"/>
      <c r="T2836" s="3"/>
    </row>
    <row r="2837" spans="14:20" x14ac:dyDescent="0.3">
      <c r="N2837" s="5"/>
      <c r="O2837" s="5"/>
      <c r="P2837" s="5"/>
      <c r="Q2837" s="5"/>
      <c r="R2837" s="8"/>
      <c r="S2837" s="8"/>
      <c r="T2837" s="3"/>
    </row>
    <row r="2838" spans="14:20" x14ac:dyDescent="0.3">
      <c r="N2838" s="5"/>
      <c r="O2838" s="5"/>
      <c r="P2838" s="5"/>
      <c r="Q2838" s="5"/>
      <c r="R2838" s="8"/>
      <c r="S2838" s="8"/>
      <c r="T2838" s="3"/>
    </row>
    <row r="2839" spans="14:20" x14ac:dyDescent="0.3">
      <c r="N2839" s="5"/>
      <c r="O2839" s="5"/>
      <c r="P2839" s="5"/>
      <c r="Q2839" s="5"/>
      <c r="R2839" s="8"/>
      <c r="S2839" s="8"/>
      <c r="T2839" s="3"/>
    </row>
    <row r="2840" spans="14:20" x14ac:dyDescent="0.3">
      <c r="N2840" s="5"/>
      <c r="O2840" s="5"/>
      <c r="P2840" s="5"/>
      <c r="Q2840" s="5"/>
      <c r="R2840" s="8"/>
      <c r="S2840" s="8"/>
      <c r="T2840" s="3"/>
    </row>
    <row r="2841" spans="14:20" x14ac:dyDescent="0.3">
      <c r="N2841" s="5"/>
      <c r="O2841" s="5"/>
      <c r="P2841" s="5"/>
      <c r="Q2841" s="5"/>
      <c r="R2841" s="8"/>
      <c r="S2841" s="8"/>
      <c r="T2841" s="3"/>
    </row>
    <row r="2842" spans="14:20" x14ac:dyDescent="0.3">
      <c r="N2842" s="5"/>
      <c r="O2842" s="5"/>
      <c r="P2842" s="5"/>
      <c r="Q2842" s="5"/>
      <c r="R2842" s="8"/>
      <c r="S2842" s="8"/>
      <c r="T2842" s="3"/>
    </row>
    <row r="2843" spans="14:20" x14ac:dyDescent="0.3">
      <c r="N2843" s="5"/>
      <c r="O2843" s="5"/>
      <c r="P2843" s="5"/>
      <c r="Q2843" s="5"/>
      <c r="R2843" s="8"/>
      <c r="S2843" s="8"/>
      <c r="T2843" s="3"/>
    </row>
    <row r="2844" spans="14:20" x14ac:dyDescent="0.3">
      <c r="N2844" s="5"/>
      <c r="O2844" s="5"/>
      <c r="P2844" s="5"/>
      <c r="Q2844" s="5"/>
      <c r="R2844" s="8"/>
      <c r="S2844" s="8"/>
      <c r="T2844" s="3"/>
    </row>
    <row r="2845" spans="14:20" x14ac:dyDescent="0.3">
      <c r="N2845" s="5"/>
      <c r="O2845" s="5"/>
      <c r="P2845" s="5"/>
      <c r="Q2845" s="5"/>
      <c r="R2845" s="8"/>
      <c r="S2845" s="8"/>
      <c r="T2845" s="3"/>
    </row>
    <row r="2846" spans="14:20" x14ac:dyDescent="0.3">
      <c r="N2846" s="5"/>
      <c r="O2846" s="5"/>
      <c r="P2846" s="5"/>
      <c r="Q2846" s="5"/>
      <c r="R2846" s="8"/>
      <c r="S2846" s="8"/>
      <c r="T2846" s="3"/>
    </row>
    <row r="2847" spans="14:20" x14ac:dyDescent="0.3">
      <c r="N2847" s="5"/>
      <c r="O2847" s="5"/>
      <c r="P2847" s="5"/>
      <c r="Q2847" s="5"/>
      <c r="R2847" s="8"/>
      <c r="S2847" s="8"/>
      <c r="T2847" s="3"/>
    </row>
    <row r="2848" spans="14:20" x14ac:dyDescent="0.3">
      <c r="N2848" s="5"/>
      <c r="O2848" s="5"/>
      <c r="P2848" s="5"/>
      <c r="Q2848" s="5"/>
      <c r="R2848" s="8"/>
      <c r="S2848" s="8"/>
      <c r="T2848" s="3"/>
    </row>
    <row r="2849" spans="14:20" x14ac:dyDescent="0.3">
      <c r="N2849" s="5"/>
      <c r="O2849" s="5"/>
      <c r="P2849" s="5"/>
      <c r="Q2849" s="5"/>
      <c r="R2849" s="8"/>
      <c r="S2849" s="8"/>
      <c r="T2849" s="3"/>
    </row>
    <row r="2850" spans="14:20" x14ac:dyDescent="0.3">
      <c r="N2850" s="5"/>
      <c r="O2850" s="5"/>
      <c r="P2850" s="5"/>
      <c r="Q2850" s="5"/>
      <c r="R2850" s="8"/>
      <c r="S2850" s="8"/>
      <c r="T2850" s="3"/>
    </row>
    <row r="2851" spans="14:20" x14ac:dyDescent="0.3">
      <c r="N2851" s="5"/>
      <c r="O2851" s="5"/>
      <c r="P2851" s="5"/>
      <c r="Q2851" s="5"/>
      <c r="R2851" s="8"/>
      <c r="S2851" s="8"/>
      <c r="T2851" s="3"/>
    </row>
    <row r="2852" spans="14:20" x14ac:dyDescent="0.3">
      <c r="N2852" s="5"/>
      <c r="O2852" s="5"/>
      <c r="P2852" s="5"/>
      <c r="Q2852" s="5"/>
      <c r="R2852" s="8"/>
      <c r="S2852" s="8"/>
      <c r="T2852" s="3"/>
    </row>
    <row r="2853" spans="14:20" x14ac:dyDescent="0.3">
      <c r="N2853" s="5"/>
      <c r="O2853" s="5"/>
      <c r="P2853" s="5"/>
      <c r="Q2853" s="5"/>
      <c r="R2853" s="8"/>
      <c r="S2853" s="8"/>
      <c r="T2853" s="3"/>
    </row>
    <row r="2854" spans="14:20" x14ac:dyDescent="0.3">
      <c r="N2854" s="5"/>
      <c r="O2854" s="5"/>
      <c r="P2854" s="5"/>
      <c r="Q2854" s="5"/>
      <c r="R2854" s="8"/>
      <c r="S2854" s="8"/>
      <c r="T2854" s="3"/>
    </row>
    <row r="2855" spans="14:20" x14ac:dyDescent="0.3">
      <c r="N2855" s="5"/>
      <c r="O2855" s="5"/>
      <c r="P2855" s="5"/>
      <c r="Q2855" s="5"/>
      <c r="R2855" s="8"/>
      <c r="S2855" s="8"/>
      <c r="T2855" s="3"/>
    </row>
    <row r="2856" spans="14:20" x14ac:dyDescent="0.3">
      <c r="N2856" s="5"/>
      <c r="O2856" s="5"/>
      <c r="P2856" s="5"/>
      <c r="Q2856" s="5"/>
      <c r="R2856" s="8"/>
      <c r="S2856" s="8"/>
      <c r="T2856" s="3"/>
    </row>
    <row r="2857" spans="14:20" x14ac:dyDescent="0.3">
      <c r="N2857" s="5"/>
      <c r="O2857" s="5"/>
      <c r="P2857" s="5"/>
      <c r="Q2857" s="5"/>
      <c r="R2857" s="8"/>
      <c r="S2857" s="8"/>
      <c r="T2857" s="3"/>
    </row>
    <row r="2858" spans="14:20" x14ac:dyDescent="0.3">
      <c r="N2858" s="5"/>
      <c r="O2858" s="5"/>
      <c r="P2858" s="5"/>
      <c r="Q2858" s="5"/>
      <c r="R2858" s="8"/>
      <c r="S2858" s="8"/>
      <c r="T2858" s="3"/>
    </row>
    <row r="2859" spans="14:20" x14ac:dyDescent="0.3">
      <c r="N2859" s="5"/>
      <c r="O2859" s="5"/>
      <c r="P2859" s="5"/>
      <c r="Q2859" s="5"/>
      <c r="R2859" s="8"/>
      <c r="S2859" s="8"/>
      <c r="T2859" s="3"/>
    </row>
    <row r="2860" spans="14:20" x14ac:dyDescent="0.3">
      <c r="N2860" s="5"/>
      <c r="O2860" s="5"/>
      <c r="P2860" s="5"/>
      <c r="Q2860" s="5"/>
      <c r="R2860" s="8"/>
      <c r="S2860" s="8"/>
      <c r="T2860" s="3"/>
    </row>
    <row r="2861" spans="14:20" x14ac:dyDescent="0.3">
      <c r="N2861" s="5"/>
      <c r="O2861" s="5"/>
      <c r="P2861" s="5"/>
      <c r="Q2861" s="5"/>
      <c r="R2861" s="8"/>
      <c r="S2861" s="8"/>
      <c r="T2861" s="3"/>
    </row>
    <row r="2862" spans="14:20" x14ac:dyDescent="0.3">
      <c r="N2862" s="5"/>
      <c r="O2862" s="5"/>
      <c r="P2862" s="5"/>
      <c r="Q2862" s="5"/>
      <c r="R2862" s="8"/>
      <c r="S2862" s="8"/>
      <c r="T2862" s="3"/>
    </row>
    <row r="2863" spans="14:20" x14ac:dyDescent="0.3">
      <c r="N2863" s="5"/>
      <c r="O2863" s="5"/>
      <c r="P2863" s="5"/>
      <c r="Q2863" s="5"/>
      <c r="R2863" s="8"/>
      <c r="S2863" s="8"/>
      <c r="T2863" s="3"/>
    </row>
    <row r="2864" spans="14:20" x14ac:dyDescent="0.3">
      <c r="N2864" s="5"/>
      <c r="O2864" s="5"/>
      <c r="P2864" s="5"/>
      <c r="Q2864" s="5"/>
      <c r="R2864" s="8"/>
      <c r="S2864" s="8"/>
      <c r="T2864" s="3"/>
    </row>
    <row r="2865" spans="14:20" x14ac:dyDescent="0.3">
      <c r="N2865" s="5"/>
      <c r="O2865" s="5"/>
      <c r="P2865" s="5"/>
      <c r="Q2865" s="5"/>
      <c r="R2865" s="8"/>
      <c r="S2865" s="8"/>
      <c r="T2865" s="3"/>
    </row>
    <row r="2866" spans="14:20" x14ac:dyDescent="0.3">
      <c r="N2866" s="5"/>
      <c r="O2866" s="5"/>
      <c r="P2866" s="5"/>
      <c r="Q2866" s="5"/>
      <c r="R2866" s="8"/>
      <c r="S2866" s="8"/>
      <c r="T2866" s="3"/>
    </row>
    <row r="2867" spans="14:20" x14ac:dyDescent="0.3">
      <c r="N2867" s="5"/>
      <c r="O2867" s="5"/>
      <c r="P2867" s="5"/>
      <c r="Q2867" s="5"/>
      <c r="R2867" s="8"/>
      <c r="S2867" s="8"/>
      <c r="T2867" s="3"/>
    </row>
    <row r="2868" spans="14:20" x14ac:dyDescent="0.3">
      <c r="N2868" s="5"/>
      <c r="O2868" s="5"/>
      <c r="P2868" s="5"/>
      <c r="Q2868" s="5"/>
      <c r="R2868" s="8"/>
      <c r="S2868" s="8"/>
      <c r="T2868" s="3"/>
    </row>
    <row r="2869" spans="14:20" x14ac:dyDescent="0.3">
      <c r="N2869" s="5"/>
      <c r="O2869" s="5"/>
      <c r="P2869" s="5"/>
      <c r="Q2869" s="5"/>
      <c r="R2869" s="8"/>
      <c r="S2869" s="8"/>
      <c r="T2869" s="3"/>
    </row>
    <row r="2870" spans="14:20" x14ac:dyDescent="0.3">
      <c r="N2870" s="5"/>
      <c r="O2870" s="5"/>
      <c r="P2870" s="5"/>
      <c r="Q2870" s="5"/>
      <c r="R2870" s="8"/>
      <c r="S2870" s="8"/>
      <c r="T2870" s="3"/>
    </row>
    <row r="2871" spans="14:20" x14ac:dyDescent="0.3">
      <c r="N2871" s="5"/>
      <c r="O2871" s="5"/>
      <c r="P2871" s="5"/>
      <c r="Q2871" s="5"/>
      <c r="R2871" s="8"/>
      <c r="S2871" s="8"/>
      <c r="T2871" s="3"/>
    </row>
    <row r="2872" spans="14:20" x14ac:dyDescent="0.3">
      <c r="N2872" s="5"/>
      <c r="O2872" s="5"/>
      <c r="P2872" s="5"/>
      <c r="Q2872" s="5"/>
      <c r="R2872" s="8"/>
      <c r="S2872" s="8"/>
      <c r="T2872" s="3"/>
    </row>
    <row r="2873" spans="14:20" x14ac:dyDescent="0.3">
      <c r="N2873" s="5"/>
      <c r="O2873" s="5"/>
      <c r="P2873" s="5"/>
      <c r="Q2873" s="5"/>
      <c r="R2873" s="8"/>
      <c r="S2873" s="8"/>
      <c r="T2873" s="3"/>
    </row>
    <row r="2874" spans="14:20" x14ac:dyDescent="0.3">
      <c r="N2874" s="5"/>
      <c r="O2874" s="5"/>
      <c r="P2874" s="5"/>
      <c r="Q2874" s="5"/>
      <c r="R2874" s="8"/>
      <c r="S2874" s="8"/>
      <c r="T2874" s="3"/>
    </row>
    <row r="2875" spans="14:20" x14ac:dyDescent="0.3">
      <c r="N2875" s="5"/>
      <c r="O2875" s="5"/>
      <c r="P2875" s="5"/>
      <c r="Q2875" s="5"/>
      <c r="R2875" s="8"/>
      <c r="S2875" s="8"/>
      <c r="T2875" s="3"/>
    </row>
    <row r="2876" spans="14:20" x14ac:dyDescent="0.3">
      <c r="N2876" s="5"/>
      <c r="O2876" s="5"/>
      <c r="P2876" s="5"/>
      <c r="Q2876" s="5"/>
      <c r="R2876" s="8"/>
      <c r="S2876" s="8"/>
      <c r="T2876" s="3"/>
    </row>
    <row r="2877" spans="14:20" x14ac:dyDescent="0.3">
      <c r="N2877" s="5"/>
      <c r="O2877" s="5"/>
      <c r="P2877" s="5"/>
      <c r="Q2877" s="5"/>
      <c r="R2877" s="8"/>
      <c r="S2877" s="8"/>
      <c r="T2877" s="3"/>
    </row>
    <row r="2878" spans="14:20" x14ac:dyDescent="0.3">
      <c r="N2878" s="5"/>
      <c r="O2878" s="5"/>
      <c r="P2878" s="5"/>
      <c r="Q2878" s="5"/>
      <c r="R2878" s="8"/>
      <c r="S2878" s="8"/>
      <c r="T2878" s="3"/>
    </row>
    <row r="2879" spans="14:20" x14ac:dyDescent="0.3">
      <c r="N2879" s="5"/>
      <c r="O2879" s="5"/>
      <c r="P2879" s="5"/>
      <c r="Q2879" s="5"/>
      <c r="R2879" s="8"/>
      <c r="S2879" s="8"/>
      <c r="T2879" s="3"/>
    </row>
    <row r="2880" spans="14:20" x14ac:dyDescent="0.3">
      <c r="N2880" s="5"/>
      <c r="O2880" s="5"/>
      <c r="P2880" s="5"/>
      <c r="Q2880" s="5"/>
      <c r="R2880" s="8"/>
      <c r="S2880" s="8"/>
      <c r="T2880" s="3"/>
    </row>
    <row r="2881" spans="14:20" x14ac:dyDescent="0.3">
      <c r="N2881" s="5"/>
      <c r="O2881" s="5"/>
      <c r="P2881" s="5"/>
      <c r="Q2881" s="5"/>
      <c r="R2881" s="8"/>
      <c r="S2881" s="8"/>
      <c r="T2881" s="3"/>
    </row>
    <row r="2882" spans="14:20" x14ac:dyDescent="0.3">
      <c r="N2882" s="5"/>
      <c r="O2882" s="5"/>
      <c r="P2882" s="5"/>
      <c r="Q2882" s="5"/>
      <c r="R2882" s="8"/>
      <c r="S2882" s="8"/>
      <c r="T2882" s="3"/>
    </row>
    <row r="2883" spans="14:20" x14ac:dyDescent="0.3">
      <c r="N2883" s="5"/>
      <c r="O2883" s="5"/>
      <c r="P2883" s="5"/>
      <c r="Q2883" s="5"/>
      <c r="R2883" s="8"/>
      <c r="S2883" s="8"/>
      <c r="T2883" s="3"/>
    </row>
    <row r="2884" spans="14:20" x14ac:dyDescent="0.3">
      <c r="N2884" s="5"/>
      <c r="O2884" s="5"/>
      <c r="P2884" s="5"/>
      <c r="Q2884" s="5"/>
      <c r="R2884" s="8"/>
      <c r="S2884" s="8"/>
      <c r="T2884" s="3"/>
    </row>
    <row r="2885" spans="14:20" x14ac:dyDescent="0.3">
      <c r="N2885" s="5"/>
      <c r="O2885" s="5"/>
      <c r="P2885" s="5"/>
      <c r="Q2885" s="5"/>
      <c r="R2885" s="8"/>
      <c r="S2885" s="8"/>
      <c r="T2885" s="3"/>
    </row>
    <row r="2886" spans="14:20" x14ac:dyDescent="0.3">
      <c r="N2886" s="5"/>
      <c r="O2886" s="5"/>
      <c r="P2886" s="5"/>
      <c r="Q2886" s="5"/>
      <c r="R2886" s="8"/>
      <c r="S2886" s="8"/>
      <c r="T2886" s="3"/>
    </row>
    <row r="2887" spans="14:20" x14ac:dyDescent="0.3">
      <c r="N2887" s="5"/>
      <c r="O2887" s="5"/>
      <c r="P2887" s="5"/>
      <c r="Q2887" s="5"/>
      <c r="R2887" s="8"/>
      <c r="S2887" s="8"/>
      <c r="T2887" s="3"/>
    </row>
    <row r="2888" spans="14:20" x14ac:dyDescent="0.3">
      <c r="N2888" s="5"/>
      <c r="O2888" s="5"/>
      <c r="P2888" s="5"/>
      <c r="Q2888" s="5"/>
      <c r="R2888" s="8"/>
      <c r="S2888" s="8"/>
      <c r="T2888" s="3"/>
    </row>
    <row r="2889" spans="14:20" x14ac:dyDescent="0.3">
      <c r="N2889" s="5"/>
      <c r="O2889" s="5"/>
      <c r="P2889" s="5"/>
      <c r="Q2889" s="5"/>
      <c r="R2889" s="8"/>
      <c r="S2889" s="8"/>
      <c r="T2889" s="3"/>
    </row>
    <row r="2890" spans="14:20" x14ac:dyDescent="0.3">
      <c r="N2890" s="5"/>
      <c r="O2890" s="5"/>
      <c r="P2890" s="5"/>
      <c r="Q2890" s="5"/>
      <c r="R2890" s="8"/>
      <c r="S2890" s="8"/>
      <c r="T2890" s="3"/>
    </row>
    <row r="2891" spans="14:20" x14ac:dyDescent="0.3">
      <c r="N2891" s="5"/>
      <c r="O2891" s="5"/>
      <c r="P2891" s="5"/>
      <c r="Q2891" s="5"/>
      <c r="R2891" s="8"/>
      <c r="S2891" s="8"/>
      <c r="T2891" s="3"/>
    </row>
    <row r="2892" spans="14:20" x14ac:dyDescent="0.3">
      <c r="N2892" s="5"/>
      <c r="O2892" s="5"/>
      <c r="P2892" s="5"/>
      <c r="Q2892" s="5"/>
      <c r="R2892" s="8"/>
      <c r="S2892" s="8"/>
      <c r="T2892" s="3"/>
    </row>
    <row r="2893" spans="14:20" x14ac:dyDescent="0.3">
      <c r="N2893" s="5"/>
      <c r="O2893" s="5"/>
      <c r="P2893" s="5"/>
      <c r="Q2893" s="5"/>
      <c r="R2893" s="8"/>
      <c r="S2893" s="8"/>
      <c r="T2893" s="3"/>
    </row>
    <row r="2894" spans="14:20" x14ac:dyDescent="0.3">
      <c r="N2894" s="5"/>
      <c r="O2894" s="5"/>
      <c r="P2894" s="5"/>
      <c r="Q2894" s="5"/>
      <c r="R2894" s="8"/>
      <c r="S2894" s="8"/>
      <c r="T2894" s="3"/>
    </row>
    <row r="2895" spans="14:20" x14ac:dyDescent="0.3">
      <c r="N2895" s="5"/>
      <c r="O2895" s="5"/>
      <c r="P2895" s="5"/>
      <c r="Q2895" s="5"/>
      <c r="R2895" s="8"/>
      <c r="S2895" s="8"/>
      <c r="T2895" s="3"/>
    </row>
    <row r="2896" spans="14:20" x14ac:dyDescent="0.3">
      <c r="N2896" s="5"/>
      <c r="O2896" s="5"/>
      <c r="P2896" s="5"/>
      <c r="Q2896" s="5"/>
      <c r="R2896" s="8"/>
      <c r="S2896" s="8"/>
      <c r="T2896" s="3"/>
    </row>
    <row r="2897" spans="14:20" x14ac:dyDescent="0.3">
      <c r="N2897" s="5"/>
      <c r="O2897" s="5"/>
      <c r="P2897" s="5"/>
      <c r="Q2897" s="5"/>
      <c r="R2897" s="8"/>
      <c r="S2897" s="8"/>
      <c r="T2897" s="3"/>
    </row>
    <row r="2898" spans="14:20" x14ac:dyDescent="0.3">
      <c r="N2898" s="5"/>
      <c r="O2898" s="5"/>
      <c r="P2898" s="5"/>
      <c r="Q2898" s="5"/>
      <c r="R2898" s="8"/>
      <c r="S2898" s="8"/>
      <c r="T2898" s="3"/>
    </row>
    <row r="2899" spans="14:20" x14ac:dyDescent="0.3">
      <c r="N2899" s="5"/>
      <c r="O2899" s="5"/>
      <c r="P2899" s="5"/>
      <c r="Q2899" s="5"/>
      <c r="R2899" s="8"/>
      <c r="S2899" s="8"/>
      <c r="T2899" s="3"/>
    </row>
    <row r="2900" spans="14:20" x14ac:dyDescent="0.3">
      <c r="N2900" s="5"/>
      <c r="O2900" s="5"/>
      <c r="P2900" s="5"/>
      <c r="Q2900" s="5"/>
      <c r="R2900" s="8"/>
      <c r="S2900" s="8"/>
      <c r="T2900" s="3"/>
    </row>
    <row r="2901" spans="14:20" x14ac:dyDescent="0.3">
      <c r="N2901" s="5"/>
      <c r="O2901" s="5"/>
      <c r="P2901" s="5"/>
      <c r="Q2901" s="5"/>
      <c r="R2901" s="8"/>
      <c r="S2901" s="8"/>
      <c r="T2901" s="3"/>
    </row>
    <row r="2902" spans="14:20" x14ac:dyDescent="0.3">
      <c r="N2902" s="5"/>
      <c r="O2902" s="5"/>
      <c r="P2902" s="5"/>
      <c r="Q2902" s="5"/>
      <c r="R2902" s="8"/>
      <c r="S2902" s="8"/>
      <c r="T2902" s="3"/>
    </row>
    <row r="2903" spans="14:20" x14ac:dyDescent="0.3">
      <c r="N2903" s="5"/>
      <c r="O2903" s="5"/>
      <c r="P2903" s="5"/>
      <c r="Q2903" s="5"/>
      <c r="R2903" s="8"/>
      <c r="S2903" s="8"/>
      <c r="T2903" s="3"/>
    </row>
    <row r="2904" spans="14:20" x14ac:dyDescent="0.3">
      <c r="N2904" s="5"/>
      <c r="O2904" s="5"/>
      <c r="P2904" s="5"/>
      <c r="Q2904" s="5"/>
      <c r="R2904" s="8"/>
      <c r="S2904" s="8"/>
      <c r="T2904" s="3"/>
    </row>
    <row r="2905" spans="14:20" x14ac:dyDescent="0.3">
      <c r="N2905" s="5"/>
      <c r="O2905" s="5"/>
      <c r="P2905" s="5"/>
      <c r="Q2905" s="5"/>
      <c r="R2905" s="8"/>
      <c r="S2905" s="8"/>
      <c r="T2905" s="3"/>
    </row>
    <row r="2906" spans="14:20" x14ac:dyDescent="0.3">
      <c r="N2906" s="5"/>
      <c r="O2906" s="5"/>
      <c r="P2906" s="5"/>
      <c r="Q2906" s="5"/>
      <c r="R2906" s="8"/>
      <c r="S2906" s="8"/>
      <c r="T2906" s="3"/>
    </row>
    <row r="2907" spans="14:20" x14ac:dyDescent="0.3">
      <c r="N2907" s="5"/>
      <c r="O2907" s="5"/>
      <c r="P2907" s="5"/>
      <c r="Q2907" s="5"/>
      <c r="R2907" s="8"/>
      <c r="S2907" s="8"/>
      <c r="T2907" s="3"/>
    </row>
    <row r="2908" spans="14:20" x14ac:dyDescent="0.3">
      <c r="N2908" s="5"/>
      <c r="O2908" s="5"/>
      <c r="P2908" s="5"/>
      <c r="Q2908" s="5"/>
      <c r="R2908" s="8"/>
      <c r="S2908" s="8"/>
      <c r="T2908" s="3"/>
    </row>
    <row r="2909" spans="14:20" x14ac:dyDescent="0.3">
      <c r="N2909" s="5"/>
      <c r="O2909" s="5"/>
      <c r="P2909" s="5"/>
      <c r="Q2909" s="5"/>
      <c r="R2909" s="8"/>
      <c r="S2909" s="8"/>
      <c r="T2909" s="3"/>
    </row>
    <row r="2910" spans="14:20" x14ac:dyDescent="0.3">
      <c r="N2910" s="5"/>
      <c r="O2910" s="5"/>
      <c r="P2910" s="5"/>
      <c r="Q2910" s="5"/>
      <c r="R2910" s="8"/>
      <c r="S2910" s="8"/>
      <c r="T2910" s="3"/>
    </row>
    <row r="2911" spans="14:20" x14ac:dyDescent="0.3">
      <c r="N2911" s="5"/>
      <c r="O2911" s="5"/>
      <c r="P2911" s="5"/>
      <c r="Q2911" s="5"/>
      <c r="R2911" s="8"/>
      <c r="S2911" s="8"/>
      <c r="T2911" s="3"/>
    </row>
    <row r="2912" spans="14:20" x14ac:dyDescent="0.3">
      <c r="N2912" s="5"/>
      <c r="O2912" s="5"/>
      <c r="P2912" s="5"/>
      <c r="Q2912" s="5"/>
      <c r="R2912" s="8"/>
      <c r="S2912" s="8"/>
      <c r="T2912" s="3"/>
    </row>
    <row r="2913" spans="14:20" x14ac:dyDescent="0.3">
      <c r="N2913" s="5"/>
      <c r="O2913" s="5"/>
      <c r="P2913" s="5"/>
      <c r="Q2913" s="5"/>
      <c r="R2913" s="8"/>
      <c r="S2913" s="8"/>
      <c r="T2913" s="3"/>
    </row>
    <row r="2914" spans="14:20" x14ac:dyDescent="0.3">
      <c r="N2914" s="5"/>
      <c r="O2914" s="5"/>
      <c r="P2914" s="5"/>
      <c r="Q2914" s="5"/>
      <c r="R2914" s="8"/>
      <c r="S2914" s="8"/>
      <c r="T2914" s="3"/>
    </row>
    <row r="2915" spans="14:20" x14ac:dyDescent="0.3">
      <c r="N2915" s="5"/>
      <c r="O2915" s="5"/>
      <c r="P2915" s="5"/>
      <c r="Q2915" s="5"/>
      <c r="R2915" s="8"/>
      <c r="S2915" s="8"/>
      <c r="T2915" s="3"/>
    </row>
    <row r="2916" spans="14:20" x14ac:dyDescent="0.3">
      <c r="N2916" s="5"/>
      <c r="O2916" s="5"/>
      <c r="P2916" s="5"/>
      <c r="Q2916" s="5"/>
      <c r="R2916" s="8"/>
      <c r="S2916" s="8"/>
      <c r="T2916" s="3"/>
    </row>
    <row r="2917" spans="14:20" x14ac:dyDescent="0.3">
      <c r="N2917" s="5"/>
      <c r="O2917" s="5"/>
      <c r="P2917" s="5"/>
      <c r="Q2917" s="5"/>
      <c r="R2917" s="8"/>
      <c r="S2917" s="8"/>
      <c r="T2917" s="3"/>
    </row>
    <row r="2918" spans="14:20" x14ac:dyDescent="0.3">
      <c r="N2918" s="5"/>
      <c r="O2918" s="5"/>
      <c r="P2918" s="5"/>
      <c r="Q2918" s="5"/>
      <c r="R2918" s="8"/>
      <c r="S2918" s="8"/>
      <c r="T2918" s="3"/>
    </row>
    <row r="2919" spans="14:20" x14ac:dyDescent="0.3">
      <c r="N2919" s="5"/>
      <c r="O2919" s="5"/>
      <c r="P2919" s="5"/>
      <c r="Q2919" s="5"/>
      <c r="R2919" s="8"/>
      <c r="S2919" s="8"/>
      <c r="T2919" s="3"/>
    </row>
    <row r="2920" spans="14:20" x14ac:dyDescent="0.3">
      <c r="N2920" s="5"/>
      <c r="O2920" s="5"/>
      <c r="P2920" s="5"/>
      <c r="Q2920" s="5"/>
      <c r="R2920" s="8"/>
      <c r="S2920" s="8"/>
      <c r="T2920" s="3"/>
    </row>
    <row r="2921" spans="14:20" x14ac:dyDescent="0.3">
      <c r="N2921" s="5"/>
      <c r="O2921" s="5"/>
      <c r="P2921" s="5"/>
      <c r="Q2921" s="5"/>
      <c r="R2921" s="8"/>
      <c r="S2921" s="8"/>
      <c r="T2921" s="3"/>
    </row>
    <row r="2922" spans="14:20" x14ac:dyDescent="0.3">
      <c r="N2922" s="5"/>
      <c r="O2922" s="5"/>
      <c r="P2922" s="5"/>
      <c r="Q2922" s="5"/>
      <c r="R2922" s="8"/>
      <c r="S2922" s="8"/>
      <c r="T2922" s="3"/>
    </row>
    <row r="2923" spans="14:20" x14ac:dyDescent="0.3">
      <c r="N2923" s="5"/>
      <c r="O2923" s="5"/>
      <c r="P2923" s="5"/>
      <c r="Q2923" s="5"/>
      <c r="R2923" s="8"/>
      <c r="S2923" s="8"/>
      <c r="T2923" s="3"/>
    </row>
    <row r="2924" spans="14:20" x14ac:dyDescent="0.3">
      <c r="N2924" s="5"/>
      <c r="O2924" s="5"/>
      <c r="P2924" s="5"/>
      <c r="Q2924" s="5"/>
      <c r="R2924" s="8"/>
      <c r="S2924" s="8"/>
      <c r="T2924" s="3"/>
    </row>
    <row r="2925" spans="14:20" x14ac:dyDescent="0.3">
      <c r="N2925" s="5"/>
      <c r="O2925" s="5"/>
      <c r="P2925" s="5"/>
      <c r="Q2925" s="5"/>
      <c r="R2925" s="8"/>
      <c r="S2925" s="8"/>
      <c r="T2925" s="3"/>
    </row>
    <row r="2926" spans="14:20" x14ac:dyDescent="0.3">
      <c r="N2926" s="5"/>
      <c r="O2926" s="5"/>
      <c r="P2926" s="5"/>
      <c r="Q2926" s="5"/>
      <c r="R2926" s="8"/>
      <c r="S2926" s="8"/>
      <c r="T2926" s="3"/>
    </row>
    <row r="2927" spans="14:20" x14ac:dyDescent="0.3">
      <c r="N2927" s="5"/>
      <c r="O2927" s="5"/>
      <c r="P2927" s="5"/>
      <c r="Q2927" s="5"/>
      <c r="R2927" s="8"/>
      <c r="S2927" s="8"/>
      <c r="T2927" s="3"/>
    </row>
    <row r="2928" spans="14:20" x14ac:dyDescent="0.3">
      <c r="N2928" s="5"/>
      <c r="O2928" s="5"/>
      <c r="P2928" s="5"/>
      <c r="Q2928" s="5"/>
      <c r="R2928" s="8"/>
      <c r="S2928" s="8"/>
      <c r="T2928" s="3"/>
    </row>
    <row r="2929" spans="14:20" x14ac:dyDescent="0.3">
      <c r="N2929" s="5"/>
      <c r="O2929" s="5"/>
      <c r="P2929" s="5"/>
      <c r="Q2929" s="5"/>
      <c r="R2929" s="8"/>
      <c r="S2929" s="8"/>
      <c r="T2929" s="3"/>
    </row>
    <row r="2930" spans="14:20" x14ac:dyDescent="0.3">
      <c r="N2930" s="5"/>
      <c r="O2930" s="5"/>
      <c r="P2930" s="5"/>
      <c r="Q2930" s="5"/>
      <c r="R2930" s="8"/>
      <c r="S2930" s="8"/>
      <c r="T2930" s="3"/>
    </row>
    <row r="2931" spans="14:20" x14ac:dyDescent="0.3">
      <c r="N2931" s="5"/>
      <c r="O2931" s="5"/>
      <c r="P2931" s="5"/>
      <c r="Q2931" s="5"/>
      <c r="R2931" s="8"/>
      <c r="S2931" s="8"/>
      <c r="T2931" s="3"/>
    </row>
    <row r="2932" spans="14:20" x14ac:dyDescent="0.3">
      <c r="N2932" s="5"/>
      <c r="O2932" s="5"/>
      <c r="P2932" s="5"/>
      <c r="Q2932" s="5"/>
      <c r="R2932" s="8"/>
      <c r="S2932" s="8"/>
      <c r="T2932" s="3"/>
    </row>
    <row r="2933" spans="14:20" x14ac:dyDescent="0.3">
      <c r="N2933" s="5"/>
      <c r="O2933" s="5"/>
      <c r="P2933" s="5"/>
      <c r="Q2933" s="5"/>
      <c r="R2933" s="8"/>
      <c r="S2933" s="8"/>
      <c r="T2933" s="3"/>
    </row>
    <row r="2934" spans="14:20" x14ac:dyDescent="0.3">
      <c r="N2934" s="5"/>
      <c r="O2934" s="5"/>
      <c r="P2934" s="5"/>
      <c r="Q2934" s="5"/>
      <c r="R2934" s="8"/>
      <c r="S2934" s="8"/>
      <c r="T2934" s="3"/>
    </row>
    <row r="2935" spans="14:20" x14ac:dyDescent="0.3">
      <c r="N2935" s="5"/>
      <c r="O2935" s="5"/>
      <c r="P2935" s="5"/>
      <c r="Q2935" s="5"/>
      <c r="R2935" s="8"/>
      <c r="S2935" s="8"/>
      <c r="T2935" s="3"/>
    </row>
    <row r="2936" spans="14:20" x14ac:dyDescent="0.3">
      <c r="N2936" s="5"/>
      <c r="O2936" s="5"/>
      <c r="P2936" s="5"/>
      <c r="Q2936" s="5"/>
      <c r="R2936" s="8"/>
      <c r="S2936" s="8"/>
      <c r="T2936" s="3"/>
    </row>
    <row r="2937" spans="14:20" x14ac:dyDescent="0.3">
      <c r="N2937" s="5"/>
      <c r="O2937" s="5"/>
      <c r="P2937" s="5"/>
      <c r="Q2937" s="5"/>
      <c r="R2937" s="8"/>
      <c r="S2937" s="8"/>
      <c r="T2937" s="3"/>
    </row>
    <row r="2938" spans="14:20" x14ac:dyDescent="0.3">
      <c r="N2938" s="5"/>
      <c r="O2938" s="5"/>
      <c r="P2938" s="5"/>
      <c r="Q2938" s="5"/>
      <c r="R2938" s="8"/>
      <c r="S2938" s="8"/>
      <c r="T2938" s="3"/>
    </row>
    <row r="2939" spans="14:20" x14ac:dyDescent="0.3">
      <c r="N2939" s="5"/>
      <c r="O2939" s="5"/>
      <c r="P2939" s="5"/>
      <c r="Q2939" s="5"/>
      <c r="R2939" s="8"/>
      <c r="S2939" s="8"/>
      <c r="T2939" s="3"/>
    </row>
    <row r="2940" spans="14:20" x14ac:dyDescent="0.3">
      <c r="N2940" s="5"/>
      <c r="O2940" s="5"/>
      <c r="P2940" s="5"/>
      <c r="Q2940" s="5"/>
      <c r="R2940" s="8"/>
      <c r="S2940" s="8"/>
      <c r="T2940" s="3"/>
    </row>
    <row r="2941" spans="14:20" x14ac:dyDescent="0.3">
      <c r="N2941" s="5"/>
      <c r="O2941" s="5"/>
      <c r="P2941" s="5"/>
      <c r="Q2941" s="5"/>
      <c r="R2941" s="8"/>
      <c r="S2941" s="8"/>
      <c r="T2941" s="3"/>
    </row>
    <row r="2942" spans="14:20" x14ac:dyDescent="0.3">
      <c r="N2942" s="5"/>
      <c r="O2942" s="5"/>
      <c r="P2942" s="5"/>
      <c r="Q2942" s="5"/>
      <c r="R2942" s="8"/>
      <c r="S2942" s="8"/>
      <c r="T2942" s="3"/>
    </row>
    <row r="2943" spans="14:20" x14ac:dyDescent="0.3">
      <c r="N2943" s="5"/>
      <c r="O2943" s="5"/>
      <c r="P2943" s="5"/>
      <c r="Q2943" s="5"/>
      <c r="R2943" s="8"/>
      <c r="S2943" s="8"/>
      <c r="T2943" s="3"/>
    </row>
    <row r="2944" spans="14:20" x14ac:dyDescent="0.3">
      <c r="N2944" s="5"/>
      <c r="O2944" s="5"/>
      <c r="P2944" s="5"/>
      <c r="Q2944" s="5"/>
      <c r="R2944" s="8"/>
      <c r="S2944" s="8"/>
      <c r="T2944" s="3"/>
    </row>
    <row r="2945" spans="14:20" x14ac:dyDescent="0.3">
      <c r="N2945" s="5"/>
      <c r="O2945" s="5"/>
      <c r="P2945" s="5"/>
      <c r="Q2945" s="5"/>
      <c r="R2945" s="8"/>
      <c r="S2945" s="8"/>
      <c r="T2945" s="3"/>
    </row>
    <row r="2946" spans="14:20" x14ac:dyDescent="0.3">
      <c r="N2946" s="5"/>
      <c r="O2946" s="5"/>
      <c r="P2946" s="5"/>
      <c r="Q2946" s="5"/>
      <c r="R2946" s="8"/>
      <c r="S2946" s="8"/>
      <c r="T2946" s="3"/>
    </row>
    <row r="2947" spans="14:20" x14ac:dyDescent="0.3">
      <c r="N2947" s="5"/>
      <c r="O2947" s="5"/>
      <c r="P2947" s="5"/>
      <c r="Q2947" s="5"/>
      <c r="R2947" s="8"/>
      <c r="S2947" s="8"/>
      <c r="T2947" s="3"/>
    </row>
    <row r="2948" spans="14:20" x14ac:dyDescent="0.3">
      <c r="N2948" s="5"/>
      <c r="O2948" s="5"/>
      <c r="P2948" s="5"/>
      <c r="Q2948" s="5"/>
      <c r="R2948" s="8"/>
      <c r="S2948" s="8"/>
      <c r="T2948" s="3"/>
    </row>
    <row r="2949" spans="14:20" x14ac:dyDescent="0.3">
      <c r="N2949" s="5"/>
      <c r="O2949" s="5"/>
      <c r="P2949" s="5"/>
      <c r="Q2949" s="5"/>
      <c r="R2949" s="8"/>
      <c r="S2949" s="8"/>
      <c r="T2949" s="3"/>
    </row>
    <row r="2950" spans="14:20" x14ac:dyDescent="0.3">
      <c r="N2950" s="5"/>
      <c r="O2950" s="5"/>
      <c r="P2950" s="5"/>
      <c r="Q2950" s="5"/>
      <c r="R2950" s="8"/>
      <c r="S2950" s="8"/>
      <c r="T2950" s="3"/>
    </row>
    <row r="2951" spans="14:20" x14ac:dyDescent="0.3">
      <c r="N2951" s="5"/>
      <c r="O2951" s="5"/>
      <c r="P2951" s="5"/>
      <c r="Q2951" s="5"/>
      <c r="R2951" s="8"/>
      <c r="S2951" s="8"/>
      <c r="T2951" s="3"/>
    </row>
    <row r="2952" spans="14:20" x14ac:dyDescent="0.3">
      <c r="N2952" s="5"/>
      <c r="O2952" s="5"/>
      <c r="P2952" s="5"/>
      <c r="Q2952" s="5"/>
      <c r="R2952" s="8"/>
      <c r="S2952" s="8"/>
      <c r="T2952" s="3"/>
    </row>
    <row r="2953" spans="14:20" x14ac:dyDescent="0.3">
      <c r="N2953" s="5"/>
      <c r="O2953" s="5"/>
      <c r="P2953" s="5"/>
      <c r="Q2953" s="5"/>
      <c r="R2953" s="8"/>
      <c r="S2953" s="8"/>
      <c r="T2953" s="3"/>
    </row>
    <row r="2954" spans="14:20" x14ac:dyDescent="0.3">
      <c r="N2954" s="5"/>
      <c r="O2954" s="5"/>
      <c r="P2954" s="5"/>
      <c r="Q2954" s="5"/>
      <c r="R2954" s="8"/>
      <c r="S2954" s="8"/>
      <c r="T2954" s="3"/>
    </row>
    <row r="2955" spans="14:20" x14ac:dyDescent="0.3">
      <c r="N2955" s="5"/>
      <c r="O2955" s="5"/>
      <c r="P2955" s="5"/>
      <c r="Q2955" s="5"/>
      <c r="R2955" s="8"/>
      <c r="S2955" s="8"/>
      <c r="T2955" s="3"/>
    </row>
    <row r="2956" spans="14:20" x14ac:dyDescent="0.3">
      <c r="N2956" s="5"/>
      <c r="O2956" s="5"/>
      <c r="P2956" s="5"/>
      <c r="Q2956" s="5"/>
      <c r="R2956" s="8"/>
      <c r="S2956" s="8"/>
      <c r="T2956" s="3"/>
    </row>
    <row r="2957" spans="14:20" x14ac:dyDescent="0.3">
      <c r="N2957" s="5"/>
      <c r="O2957" s="5"/>
      <c r="P2957" s="5"/>
      <c r="Q2957" s="5"/>
      <c r="R2957" s="8"/>
      <c r="S2957" s="8"/>
      <c r="T2957" s="3"/>
    </row>
    <row r="2958" spans="14:20" x14ac:dyDescent="0.3">
      <c r="N2958" s="5"/>
      <c r="O2958" s="5"/>
      <c r="P2958" s="5"/>
      <c r="Q2958" s="5"/>
      <c r="R2958" s="8"/>
      <c r="S2958" s="8"/>
      <c r="T2958" s="3"/>
    </row>
    <row r="2959" spans="14:20" x14ac:dyDescent="0.3">
      <c r="N2959" s="5"/>
      <c r="O2959" s="5"/>
      <c r="P2959" s="5"/>
      <c r="Q2959" s="5"/>
      <c r="R2959" s="8"/>
      <c r="S2959" s="8"/>
      <c r="T2959" s="3"/>
    </row>
    <row r="2960" spans="14:20" x14ac:dyDescent="0.3">
      <c r="N2960" s="5"/>
      <c r="O2960" s="5"/>
      <c r="P2960" s="5"/>
      <c r="Q2960" s="5"/>
      <c r="R2960" s="8"/>
      <c r="S2960" s="8"/>
      <c r="T2960" s="3"/>
    </row>
    <row r="2961" spans="14:20" x14ac:dyDescent="0.3">
      <c r="N2961" s="5"/>
      <c r="O2961" s="5"/>
      <c r="P2961" s="5"/>
      <c r="Q2961" s="5"/>
      <c r="R2961" s="8"/>
      <c r="S2961" s="8"/>
      <c r="T2961" s="3"/>
    </row>
    <row r="2962" spans="14:20" x14ac:dyDescent="0.3">
      <c r="N2962" s="5"/>
      <c r="O2962" s="5"/>
      <c r="P2962" s="5"/>
      <c r="Q2962" s="5"/>
      <c r="R2962" s="8"/>
      <c r="S2962" s="8"/>
      <c r="T2962" s="3"/>
    </row>
    <row r="2963" spans="14:20" x14ac:dyDescent="0.3">
      <c r="N2963" s="5"/>
      <c r="O2963" s="5"/>
      <c r="P2963" s="5"/>
      <c r="Q2963" s="5"/>
      <c r="R2963" s="8"/>
      <c r="S2963" s="8"/>
      <c r="T2963" s="3"/>
    </row>
    <row r="2964" spans="14:20" x14ac:dyDescent="0.3">
      <c r="N2964" s="5"/>
      <c r="O2964" s="5"/>
      <c r="P2964" s="5"/>
      <c r="Q2964" s="5"/>
      <c r="R2964" s="8"/>
      <c r="S2964" s="8"/>
      <c r="T2964" s="3"/>
    </row>
    <row r="2965" spans="14:20" x14ac:dyDescent="0.3">
      <c r="N2965" s="5"/>
      <c r="O2965" s="5"/>
      <c r="P2965" s="5"/>
      <c r="Q2965" s="5"/>
      <c r="R2965" s="8"/>
      <c r="S2965" s="8"/>
      <c r="T2965" s="3"/>
    </row>
    <row r="2966" spans="14:20" x14ac:dyDescent="0.3">
      <c r="N2966" s="5"/>
      <c r="O2966" s="5"/>
      <c r="P2966" s="5"/>
      <c r="Q2966" s="5"/>
      <c r="R2966" s="8"/>
      <c r="S2966" s="8"/>
      <c r="T2966" s="3"/>
    </row>
    <row r="2967" spans="14:20" x14ac:dyDescent="0.3">
      <c r="N2967" s="5"/>
      <c r="O2967" s="5"/>
      <c r="P2967" s="5"/>
      <c r="Q2967" s="5"/>
      <c r="R2967" s="8"/>
      <c r="S2967" s="8"/>
      <c r="T2967" s="3"/>
    </row>
    <row r="2968" spans="14:20" x14ac:dyDescent="0.3">
      <c r="N2968" s="5"/>
      <c r="O2968" s="5"/>
      <c r="P2968" s="5"/>
      <c r="Q2968" s="5"/>
      <c r="R2968" s="8"/>
      <c r="S2968" s="8"/>
      <c r="T2968" s="3"/>
    </row>
    <row r="2969" spans="14:20" x14ac:dyDescent="0.3">
      <c r="N2969" s="5"/>
      <c r="O2969" s="5"/>
      <c r="P2969" s="5"/>
      <c r="Q2969" s="5"/>
      <c r="R2969" s="8"/>
      <c r="S2969" s="8"/>
      <c r="T2969" s="3"/>
    </row>
    <row r="2970" spans="14:20" x14ac:dyDescent="0.3">
      <c r="N2970" s="5"/>
      <c r="O2970" s="5"/>
      <c r="P2970" s="5"/>
      <c r="Q2970" s="5"/>
      <c r="R2970" s="8"/>
      <c r="S2970" s="8"/>
      <c r="T2970" s="3"/>
    </row>
    <row r="2971" spans="14:20" x14ac:dyDescent="0.3">
      <c r="N2971" s="5"/>
      <c r="O2971" s="5"/>
      <c r="P2971" s="5"/>
      <c r="Q2971" s="5"/>
      <c r="R2971" s="8"/>
      <c r="S2971" s="8"/>
      <c r="T2971" s="3"/>
    </row>
    <row r="2972" spans="14:20" x14ac:dyDescent="0.3">
      <c r="N2972" s="5"/>
      <c r="O2972" s="5"/>
      <c r="P2972" s="5"/>
      <c r="Q2972" s="5"/>
      <c r="R2972" s="8"/>
      <c r="S2972" s="8"/>
      <c r="T2972" s="3"/>
    </row>
    <row r="2973" spans="14:20" x14ac:dyDescent="0.3">
      <c r="N2973" s="5"/>
      <c r="O2973" s="5"/>
      <c r="P2973" s="5"/>
      <c r="Q2973" s="5"/>
      <c r="R2973" s="8"/>
      <c r="S2973" s="8"/>
      <c r="T2973" s="3"/>
    </row>
    <row r="2974" spans="14:20" x14ac:dyDescent="0.3">
      <c r="N2974" s="5"/>
      <c r="O2974" s="5"/>
      <c r="P2974" s="5"/>
      <c r="Q2974" s="5"/>
      <c r="R2974" s="8"/>
      <c r="S2974" s="8"/>
      <c r="T2974" s="3"/>
    </row>
    <row r="2975" spans="14:20" x14ac:dyDescent="0.3">
      <c r="N2975" s="5"/>
      <c r="O2975" s="5"/>
      <c r="P2975" s="5"/>
      <c r="Q2975" s="5"/>
      <c r="R2975" s="8"/>
      <c r="S2975" s="8"/>
      <c r="T2975" s="3"/>
    </row>
    <row r="2976" spans="14:20" x14ac:dyDescent="0.3">
      <c r="N2976" s="5"/>
      <c r="O2976" s="5"/>
      <c r="P2976" s="5"/>
      <c r="Q2976" s="5"/>
      <c r="R2976" s="8"/>
      <c r="S2976" s="8"/>
      <c r="T2976" s="3"/>
    </row>
    <row r="2977" spans="14:20" x14ac:dyDescent="0.3">
      <c r="N2977" s="5"/>
      <c r="O2977" s="5"/>
      <c r="P2977" s="5"/>
      <c r="Q2977" s="5"/>
      <c r="R2977" s="8"/>
      <c r="S2977" s="8"/>
      <c r="T2977" s="3"/>
    </row>
    <row r="2978" spans="14:20" x14ac:dyDescent="0.3">
      <c r="N2978" s="5"/>
      <c r="O2978" s="5"/>
      <c r="P2978" s="5"/>
      <c r="Q2978" s="5"/>
      <c r="R2978" s="8"/>
      <c r="S2978" s="8"/>
      <c r="T2978" s="3"/>
    </row>
    <row r="2979" spans="14:20" x14ac:dyDescent="0.3">
      <c r="N2979" s="5"/>
      <c r="O2979" s="5"/>
      <c r="P2979" s="5"/>
      <c r="Q2979" s="5"/>
      <c r="R2979" s="8"/>
      <c r="S2979" s="8"/>
      <c r="T2979" s="3"/>
    </row>
    <row r="2980" spans="14:20" x14ac:dyDescent="0.3">
      <c r="N2980" s="5"/>
      <c r="O2980" s="5"/>
      <c r="P2980" s="5"/>
      <c r="Q2980" s="5"/>
      <c r="R2980" s="8"/>
      <c r="S2980" s="8"/>
      <c r="T2980" s="3"/>
    </row>
    <row r="2981" spans="14:20" x14ac:dyDescent="0.3">
      <c r="N2981" s="5"/>
      <c r="O2981" s="5"/>
      <c r="P2981" s="5"/>
      <c r="Q2981" s="5"/>
      <c r="R2981" s="8"/>
      <c r="S2981" s="8"/>
      <c r="T2981" s="3"/>
    </row>
    <row r="2982" spans="14:20" x14ac:dyDescent="0.3">
      <c r="N2982" s="5"/>
      <c r="O2982" s="5"/>
      <c r="P2982" s="5"/>
      <c r="Q2982" s="5"/>
      <c r="R2982" s="8"/>
      <c r="S2982" s="8"/>
      <c r="T2982" s="3"/>
    </row>
    <row r="2983" spans="14:20" x14ac:dyDescent="0.3">
      <c r="N2983" s="5"/>
      <c r="O2983" s="5"/>
      <c r="P2983" s="5"/>
      <c r="Q2983" s="5"/>
      <c r="R2983" s="8"/>
      <c r="S2983" s="8"/>
      <c r="T2983" s="3"/>
    </row>
    <row r="2984" spans="14:20" x14ac:dyDescent="0.3">
      <c r="N2984" s="5"/>
      <c r="O2984" s="5"/>
      <c r="P2984" s="5"/>
      <c r="Q2984" s="5"/>
      <c r="R2984" s="8"/>
      <c r="S2984" s="8"/>
      <c r="T2984" s="3"/>
    </row>
    <row r="2985" spans="14:20" x14ac:dyDescent="0.3">
      <c r="N2985" s="5"/>
      <c r="O2985" s="5"/>
      <c r="P2985" s="5"/>
      <c r="Q2985" s="5"/>
      <c r="R2985" s="8"/>
      <c r="S2985" s="8"/>
      <c r="T2985" s="3"/>
    </row>
    <row r="2986" spans="14:20" x14ac:dyDescent="0.3">
      <c r="N2986" s="5"/>
      <c r="O2986" s="5"/>
      <c r="P2986" s="5"/>
      <c r="Q2986" s="5"/>
      <c r="R2986" s="8"/>
      <c r="S2986" s="8"/>
      <c r="T2986" s="3"/>
    </row>
    <row r="2987" spans="14:20" x14ac:dyDescent="0.3">
      <c r="N2987" s="5"/>
      <c r="O2987" s="5"/>
      <c r="P2987" s="5"/>
      <c r="Q2987" s="5"/>
      <c r="R2987" s="8"/>
      <c r="S2987" s="8"/>
      <c r="T2987" s="3"/>
    </row>
    <row r="2988" spans="14:20" x14ac:dyDescent="0.3">
      <c r="N2988" s="5"/>
      <c r="O2988" s="5"/>
      <c r="P2988" s="5"/>
      <c r="Q2988" s="5"/>
      <c r="R2988" s="8"/>
      <c r="S2988" s="8"/>
      <c r="T2988" s="3"/>
    </row>
    <row r="2989" spans="14:20" x14ac:dyDescent="0.3">
      <c r="N2989" s="5"/>
      <c r="O2989" s="5"/>
      <c r="P2989" s="5"/>
      <c r="Q2989" s="5"/>
      <c r="R2989" s="8"/>
      <c r="S2989" s="8"/>
      <c r="T2989" s="3"/>
    </row>
    <row r="2990" spans="14:20" x14ac:dyDescent="0.3">
      <c r="N2990" s="5"/>
      <c r="O2990" s="5"/>
      <c r="P2990" s="5"/>
      <c r="Q2990" s="5"/>
      <c r="R2990" s="8"/>
      <c r="S2990" s="8"/>
      <c r="T2990" s="3"/>
    </row>
    <row r="2991" spans="14:20" x14ac:dyDescent="0.3">
      <c r="N2991" s="5"/>
      <c r="O2991" s="5"/>
      <c r="P2991" s="5"/>
      <c r="Q2991" s="5"/>
      <c r="R2991" s="8"/>
      <c r="S2991" s="8"/>
      <c r="T2991" s="3"/>
    </row>
    <row r="2992" spans="14:20" x14ac:dyDescent="0.3">
      <c r="N2992" s="5"/>
      <c r="O2992" s="5"/>
      <c r="P2992" s="5"/>
      <c r="Q2992" s="5"/>
      <c r="R2992" s="8"/>
      <c r="S2992" s="8"/>
      <c r="T2992" s="3"/>
    </row>
    <row r="2993" spans="14:20" x14ac:dyDescent="0.3">
      <c r="N2993" s="5"/>
      <c r="O2993" s="5"/>
      <c r="P2993" s="5"/>
      <c r="Q2993" s="5"/>
      <c r="R2993" s="8"/>
      <c r="S2993" s="8"/>
      <c r="T2993" s="3"/>
    </row>
    <row r="2994" spans="14:20" x14ac:dyDescent="0.3">
      <c r="N2994" s="5"/>
      <c r="O2994" s="5"/>
      <c r="P2994" s="5"/>
      <c r="Q2994" s="5"/>
      <c r="R2994" s="8"/>
      <c r="S2994" s="8"/>
      <c r="T2994" s="3"/>
    </row>
    <row r="2995" spans="14:20" x14ac:dyDescent="0.3">
      <c r="N2995" s="5"/>
      <c r="O2995" s="5"/>
      <c r="P2995" s="5"/>
      <c r="Q2995" s="5"/>
      <c r="R2995" s="8"/>
      <c r="S2995" s="8"/>
      <c r="T2995" s="3"/>
    </row>
    <row r="2996" spans="14:20" x14ac:dyDescent="0.3">
      <c r="N2996" s="5"/>
      <c r="O2996" s="5"/>
      <c r="P2996" s="5"/>
      <c r="Q2996" s="5"/>
      <c r="R2996" s="8"/>
      <c r="S2996" s="8"/>
      <c r="T2996" s="3"/>
    </row>
    <row r="2997" spans="14:20" x14ac:dyDescent="0.3">
      <c r="N2997" s="5"/>
      <c r="O2997" s="5"/>
      <c r="P2997" s="5"/>
      <c r="Q2997" s="5"/>
      <c r="R2997" s="8"/>
      <c r="S2997" s="8"/>
      <c r="T2997" s="3"/>
    </row>
    <row r="2998" spans="14:20" x14ac:dyDescent="0.3">
      <c r="N2998" s="5"/>
      <c r="O2998" s="5"/>
      <c r="P2998" s="5"/>
      <c r="Q2998" s="5"/>
      <c r="R2998" s="8"/>
      <c r="S2998" s="8"/>
      <c r="T2998" s="3"/>
    </row>
    <row r="2999" spans="14:20" x14ac:dyDescent="0.3">
      <c r="N2999" s="5"/>
      <c r="O2999" s="5"/>
      <c r="P2999" s="5"/>
      <c r="Q2999" s="5"/>
      <c r="R2999" s="8"/>
      <c r="S2999" s="8"/>
      <c r="T2999" s="3"/>
    </row>
    <row r="3000" spans="14:20" x14ac:dyDescent="0.3">
      <c r="N3000" s="5"/>
      <c r="O3000" s="5"/>
      <c r="P3000" s="5"/>
      <c r="Q3000" s="5"/>
      <c r="R3000" s="8"/>
      <c r="S3000" s="8"/>
      <c r="T3000" s="3"/>
    </row>
    <row r="3001" spans="14:20" x14ac:dyDescent="0.3">
      <c r="N3001" s="5"/>
      <c r="O3001" s="5"/>
      <c r="P3001" s="5"/>
      <c r="Q3001" s="5"/>
      <c r="R3001" s="8"/>
      <c r="S3001" s="8"/>
      <c r="T3001" s="3"/>
    </row>
    <row r="3002" spans="14:20" x14ac:dyDescent="0.3">
      <c r="N3002" s="5"/>
      <c r="O3002" s="5"/>
      <c r="P3002" s="5"/>
      <c r="Q3002" s="5"/>
      <c r="R3002" s="8"/>
      <c r="S3002" s="8"/>
      <c r="T3002" s="3"/>
    </row>
    <row r="3003" spans="14:20" x14ac:dyDescent="0.3">
      <c r="N3003" s="5"/>
      <c r="O3003" s="5"/>
      <c r="P3003" s="5"/>
      <c r="Q3003" s="5"/>
      <c r="R3003" s="8"/>
      <c r="S3003" s="8"/>
      <c r="T3003" s="3"/>
    </row>
    <row r="3004" spans="14:20" x14ac:dyDescent="0.3">
      <c r="N3004" s="5"/>
      <c r="O3004" s="5"/>
      <c r="P3004" s="5"/>
      <c r="Q3004" s="5"/>
      <c r="R3004" s="8"/>
      <c r="S3004" s="8"/>
      <c r="T3004" s="3"/>
    </row>
    <row r="3005" spans="14:20" x14ac:dyDescent="0.3">
      <c r="N3005" s="5"/>
      <c r="O3005" s="5"/>
      <c r="P3005" s="5"/>
      <c r="Q3005" s="5"/>
      <c r="R3005" s="8"/>
      <c r="S3005" s="8"/>
      <c r="T3005" s="3"/>
    </row>
    <row r="3006" spans="14:20" x14ac:dyDescent="0.3">
      <c r="N3006" s="5"/>
      <c r="O3006" s="5"/>
      <c r="P3006" s="5"/>
      <c r="Q3006" s="5"/>
      <c r="R3006" s="8"/>
      <c r="S3006" s="8"/>
      <c r="T3006" s="3"/>
    </row>
    <row r="3007" spans="14:20" x14ac:dyDescent="0.3">
      <c r="N3007" s="5"/>
      <c r="O3007" s="5"/>
      <c r="P3007" s="5"/>
      <c r="Q3007" s="5"/>
      <c r="R3007" s="8"/>
      <c r="S3007" s="8"/>
      <c r="T3007" s="3"/>
    </row>
    <row r="3008" spans="14:20" x14ac:dyDescent="0.3">
      <c r="N3008" s="5"/>
      <c r="O3008" s="5"/>
      <c r="P3008" s="5"/>
      <c r="Q3008" s="5"/>
      <c r="R3008" s="8"/>
      <c r="S3008" s="8"/>
      <c r="T3008" s="3"/>
    </row>
    <row r="3009" spans="14:20" x14ac:dyDescent="0.3">
      <c r="N3009" s="5"/>
      <c r="O3009" s="5"/>
      <c r="P3009" s="5"/>
      <c r="Q3009" s="5"/>
      <c r="R3009" s="8"/>
      <c r="S3009" s="8"/>
      <c r="T3009" s="3"/>
    </row>
    <row r="3010" spans="14:20" x14ac:dyDescent="0.3">
      <c r="N3010" s="5"/>
      <c r="O3010" s="5"/>
      <c r="P3010" s="5"/>
      <c r="Q3010" s="5"/>
      <c r="R3010" s="8"/>
      <c r="S3010" s="8"/>
      <c r="T3010" s="3"/>
    </row>
    <row r="3011" spans="14:20" x14ac:dyDescent="0.3">
      <c r="N3011" s="5"/>
      <c r="O3011" s="5"/>
      <c r="P3011" s="5"/>
      <c r="Q3011" s="5"/>
      <c r="R3011" s="8"/>
      <c r="S3011" s="8"/>
      <c r="T3011" s="3"/>
    </row>
    <row r="3012" spans="14:20" x14ac:dyDescent="0.3">
      <c r="N3012" s="5"/>
      <c r="O3012" s="5"/>
      <c r="P3012" s="5"/>
      <c r="Q3012" s="5"/>
      <c r="R3012" s="8"/>
      <c r="S3012" s="8"/>
      <c r="T3012" s="3"/>
    </row>
    <row r="3013" spans="14:20" x14ac:dyDescent="0.3">
      <c r="N3013" s="5"/>
      <c r="O3013" s="5"/>
      <c r="P3013" s="5"/>
      <c r="Q3013" s="5"/>
      <c r="R3013" s="8"/>
      <c r="S3013" s="8"/>
      <c r="T3013" s="3"/>
    </row>
    <row r="3014" spans="14:20" x14ac:dyDescent="0.3">
      <c r="N3014" s="5"/>
      <c r="O3014" s="5"/>
      <c r="P3014" s="5"/>
      <c r="Q3014" s="5"/>
      <c r="R3014" s="8"/>
      <c r="S3014" s="8"/>
      <c r="T3014" s="3"/>
    </row>
    <row r="3015" spans="14:20" x14ac:dyDescent="0.3">
      <c r="N3015" s="5"/>
      <c r="O3015" s="5"/>
      <c r="P3015" s="5"/>
      <c r="Q3015" s="5"/>
      <c r="R3015" s="8"/>
      <c r="S3015" s="8"/>
      <c r="T3015" s="3"/>
    </row>
    <row r="3016" spans="14:20" x14ac:dyDescent="0.3">
      <c r="N3016" s="5"/>
      <c r="O3016" s="5"/>
      <c r="P3016" s="5"/>
      <c r="Q3016" s="5"/>
      <c r="R3016" s="8"/>
      <c r="S3016" s="8"/>
      <c r="T3016" s="3"/>
    </row>
    <row r="3017" spans="14:20" x14ac:dyDescent="0.3">
      <c r="N3017" s="5"/>
      <c r="O3017" s="5"/>
      <c r="P3017" s="5"/>
      <c r="Q3017" s="5"/>
      <c r="R3017" s="8"/>
      <c r="S3017" s="8"/>
      <c r="T3017" s="3"/>
    </row>
    <row r="3018" spans="14:20" x14ac:dyDescent="0.3">
      <c r="N3018" s="5"/>
      <c r="O3018" s="5"/>
      <c r="P3018" s="5"/>
      <c r="Q3018" s="5"/>
      <c r="R3018" s="8"/>
      <c r="S3018" s="8"/>
      <c r="T3018" s="3"/>
    </row>
    <row r="3019" spans="14:20" x14ac:dyDescent="0.3">
      <c r="N3019" s="5"/>
      <c r="O3019" s="5"/>
      <c r="P3019" s="5"/>
      <c r="Q3019" s="5"/>
      <c r="R3019" s="8"/>
      <c r="S3019" s="8"/>
      <c r="T3019" s="3"/>
    </row>
    <row r="3020" spans="14:20" x14ac:dyDescent="0.3">
      <c r="N3020" s="5"/>
      <c r="O3020" s="5"/>
      <c r="P3020" s="5"/>
      <c r="Q3020" s="5"/>
      <c r="R3020" s="8"/>
      <c r="S3020" s="8"/>
      <c r="T3020" s="3"/>
    </row>
    <row r="3021" spans="14:20" x14ac:dyDescent="0.3">
      <c r="N3021" s="5"/>
      <c r="O3021" s="5"/>
      <c r="P3021" s="5"/>
      <c r="Q3021" s="5"/>
      <c r="R3021" s="8"/>
      <c r="S3021" s="8"/>
      <c r="T3021" s="3"/>
    </row>
    <row r="3022" spans="14:20" x14ac:dyDescent="0.3">
      <c r="N3022" s="5"/>
      <c r="O3022" s="5"/>
      <c r="P3022" s="5"/>
      <c r="Q3022" s="5"/>
      <c r="R3022" s="8"/>
      <c r="S3022" s="8"/>
      <c r="T3022" s="3"/>
    </row>
    <row r="3023" spans="14:20" x14ac:dyDescent="0.3">
      <c r="N3023" s="5"/>
      <c r="O3023" s="5"/>
      <c r="P3023" s="5"/>
      <c r="Q3023" s="5"/>
      <c r="R3023" s="8"/>
      <c r="S3023" s="8"/>
      <c r="T3023" s="3"/>
    </row>
    <row r="3024" spans="14:20" x14ac:dyDescent="0.3">
      <c r="N3024" s="5"/>
      <c r="O3024" s="5"/>
      <c r="P3024" s="5"/>
      <c r="Q3024" s="5"/>
      <c r="R3024" s="8"/>
      <c r="S3024" s="8"/>
      <c r="T3024" s="3"/>
    </row>
    <row r="3025" spans="14:20" x14ac:dyDescent="0.3">
      <c r="N3025" s="5"/>
      <c r="O3025" s="5"/>
      <c r="P3025" s="5"/>
      <c r="Q3025" s="5"/>
      <c r="R3025" s="8"/>
      <c r="S3025" s="8"/>
      <c r="T3025" s="3"/>
    </row>
    <row r="3026" spans="14:20" x14ac:dyDescent="0.3">
      <c r="N3026" s="5"/>
      <c r="O3026" s="5"/>
      <c r="P3026" s="5"/>
      <c r="Q3026" s="5"/>
      <c r="R3026" s="8"/>
      <c r="S3026" s="8"/>
      <c r="T3026" s="3"/>
    </row>
    <row r="3027" spans="14:20" x14ac:dyDescent="0.3">
      <c r="N3027" s="5"/>
      <c r="O3027" s="5"/>
      <c r="P3027" s="5"/>
      <c r="Q3027" s="5"/>
      <c r="R3027" s="8"/>
      <c r="S3027" s="8"/>
      <c r="T3027" s="3"/>
    </row>
    <row r="3028" spans="14:20" x14ac:dyDescent="0.3">
      <c r="N3028" s="5"/>
      <c r="O3028" s="5"/>
      <c r="P3028" s="5"/>
      <c r="Q3028" s="5"/>
      <c r="R3028" s="8"/>
      <c r="S3028" s="8"/>
      <c r="T3028" s="3"/>
    </row>
    <row r="3029" spans="14:20" x14ac:dyDescent="0.3">
      <c r="N3029" s="5"/>
      <c r="O3029" s="5"/>
      <c r="P3029" s="5"/>
      <c r="Q3029" s="5"/>
      <c r="R3029" s="8"/>
      <c r="S3029" s="8"/>
      <c r="T3029" s="3"/>
    </row>
    <row r="3030" spans="14:20" x14ac:dyDescent="0.3">
      <c r="N3030" s="5"/>
      <c r="O3030" s="5"/>
      <c r="P3030" s="5"/>
      <c r="Q3030" s="5"/>
      <c r="R3030" s="8"/>
      <c r="S3030" s="8"/>
      <c r="T3030" s="3"/>
    </row>
    <row r="3031" spans="14:20" x14ac:dyDescent="0.3">
      <c r="N3031" s="5"/>
      <c r="O3031" s="5"/>
      <c r="P3031" s="5"/>
      <c r="Q3031" s="5"/>
      <c r="R3031" s="8"/>
      <c r="S3031" s="8"/>
      <c r="T3031" s="3"/>
    </row>
    <row r="3032" spans="14:20" x14ac:dyDescent="0.3">
      <c r="N3032" s="5"/>
      <c r="O3032" s="5"/>
      <c r="P3032" s="5"/>
      <c r="Q3032" s="5"/>
      <c r="R3032" s="8"/>
      <c r="S3032" s="8"/>
      <c r="T3032" s="3"/>
    </row>
    <row r="3033" spans="14:20" x14ac:dyDescent="0.3">
      <c r="N3033" s="5"/>
      <c r="O3033" s="5"/>
      <c r="P3033" s="5"/>
      <c r="Q3033" s="5"/>
      <c r="R3033" s="8"/>
      <c r="S3033" s="8"/>
      <c r="T3033" s="3"/>
    </row>
    <row r="3034" spans="14:20" x14ac:dyDescent="0.3">
      <c r="N3034" s="5"/>
      <c r="O3034" s="5"/>
      <c r="P3034" s="5"/>
      <c r="Q3034" s="5"/>
      <c r="R3034" s="8"/>
      <c r="S3034" s="8"/>
      <c r="T3034" s="3"/>
    </row>
    <row r="3035" spans="14:20" x14ac:dyDescent="0.3">
      <c r="N3035" s="5"/>
      <c r="O3035" s="5"/>
      <c r="P3035" s="5"/>
      <c r="Q3035" s="5"/>
      <c r="R3035" s="8"/>
      <c r="S3035" s="8"/>
      <c r="T3035" s="3"/>
    </row>
    <row r="3036" spans="14:20" x14ac:dyDescent="0.3">
      <c r="N3036" s="5"/>
      <c r="O3036" s="5"/>
      <c r="P3036" s="5"/>
      <c r="Q3036" s="5"/>
      <c r="R3036" s="8"/>
      <c r="S3036" s="8"/>
      <c r="T3036" s="3"/>
    </row>
    <row r="3037" spans="14:20" x14ac:dyDescent="0.3">
      <c r="N3037" s="5"/>
      <c r="O3037" s="5"/>
      <c r="P3037" s="5"/>
      <c r="Q3037" s="5"/>
      <c r="R3037" s="8"/>
      <c r="S3037" s="8"/>
      <c r="T3037" s="3"/>
    </row>
    <row r="3038" spans="14:20" x14ac:dyDescent="0.3">
      <c r="N3038" s="5"/>
      <c r="O3038" s="5"/>
      <c r="P3038" s="5"/>
      <c r="Q3038" s="5"/>
      <c r="R3038" s="8"/>
      <c r="S3038" s="8"/>
      <c r="T3038" s="3"/>
    </row>
    <row r="3039" spans="14:20" x14ac:dyDescent="0.3">
      <c r="N3039" s="5"/>
      <c r="O3039" s="5"/>
      <c r="P3039" s="5"/>
      <c r="Q3039" s="5"/>
      <c r="R3039" s="8"/>
      <c r="S3039" s="8"/>
      <c r="T3039" s="3"/>
    </row>
    <row r="3040" spans="14:20" x14ac:dyDescent="0.3">
      <c r="N3040" s="5"/>
      <c r="O3040" s="5"/>
      <c r="P3040" s="5"/>
      <c r="Q3040" s="5"/>
      <c r="R3040" s="8"/>
      <c r="S3040" s="8"/>
      <c r="T3040" s="3"/>
    </row>
    <row r="3041" spans="14:20" x14ac:dyDescent="0.3">
      <c r="N3041" s="5"/>
      <c r="O3041" s="5"/>
      <c r="P3041" s="5"/>
      <c r="Q3041" s="5"/>
      <c r="R3041" s="8"/>
      <c r="S3041" s="8"/>
      <c r="T3041" s="3"/>
    </row>
    <row r="3042" spans="14:20" x14ac:dyDescent="0.3">
      <c r="N3042" s="5"/>
      <c r="O3042" s="5"/>
      <c r="P3042" s="5"/>
      <c r="Q3042" s="5"/>
      <c r="R3042" s="8"/>
      <c r="S3042" s="8"/>
      <c r="T3042" s="3"/>
    </row>
    <row r="3043" spans="14:20" x14ac:dyDescent="0.3">
      <c r="N3043" s="5"/>
      <c r="O3043" s="5"/>
      <c r="P3043" s="5"/>
      <c r="Q3043" s="5"/>
      <c r="R3043" s="8"/>
      <c r="S3043" s="8"/>
      <c r="T3043" s="3"/>
    </row>
    <row r="3044" spans="14:20" x14ac:dyDescent="0.3">
      <c r="N3044" s="5"/>
      <c r="O3044" s="5"/>
      <c r="P3044" s="5"/>
      <c r="Q3044" s="5"/>
      <c r="R3044" s="8"/>
      <c r="S3044" s="8"/>
      <c r="T3044" s="3"/>
    </row>
    <row r="3045" spans="14:20" x14ac:dyDescent="0.3">
      <c r="N3045" s="5"/>
      <c r="O3045" s="5"/>
      <c r="P3045" s="5"/>
      <c r="Q3045" s="5"/>
      <c r="R3045" s="8"/>
      <c r="S3045" s="8"/>
      <c r="T3045" s="3"/>
    </row>
    <row r="3046" spans="14:20" x14ac:dyDescent="0.3">
      <c r="N3046" s="5"/>
      <c r="O3046" s="5"/>
      <c r="P3046" s="5"/>
      <c r="Q3046" s="5"/>
      <c r="R3046" s="8"/>
      <c r="S3046" s="8"/>
      <c r="T3046" s="3"/>
    </row>
    <row r="3047" spans="14:20" x14ac:dyDescent="0.3">
      <c r="N3047" s="5"/>
      <c r="O3047" s="5"/>
      <c r="P3047" s="5"/>
      <c r="Q3047" s="5"/>
      <c r="R3047" s="8"/>
      <c r="S3047" s="8"/>
      <c r="T3047" s="3"/>
    </row>
    <row r="3048" spans="14:20" x14ac:dyDescent="0.3">
      <c r="N3048" s="5"/>
      <c r="O3048" s="5"/>
      <c r="P3048" s="5"/>
      <c r="Q3048" s="5"/>
      <c r="R3048" s="8"/>
      <c r="S3048" s="8"/>
      <c r="T3048" s="3"/>
    </row>
    <row r="3049" spans="14:20" x14ac:dyDescent="0.3">
      <c r="N3049" s="5"/>
      <c r="O3049" s="5"/>
      <c r="P3049" s="5"/>
      <c r="Q3049" s="5"/>
      <c r="R3049" s="8"/>
      <c r="S3049" s="8"/>
      <c r="T3049" s="3"/>
    </row>
    <row r="3050" spans="14:20" x14ac:dyDescent="0.3">
      <c r="N3050" s="5"/>
      <c r="O3050" s="5"/>
      <c r="P3050" s="5"/>
      <c r="Q3050" s="5"/>
      <c r="R3050" s="8"/>
      <c r="S3050" s="8"/>
      <c r="T3050" s="3"/>
    </row>
    <row r="3051" spans="14:20" x14ac:dyDescent="0.3">
      <c r="N3051" s="5"/>
      <c r="O3051" s="5"/>
      <c r="P3051" s="5"/>
      <c r="Q3051" s="5"/>
      <c r="R3051" s="8"/>
      <c r="S3051" s="8"/>
      <c r="T3051" s="3"/>
    </row>
    <row r="3052" spans="14:20" x14ac:dyDescent="0.3">
      <c r="N3052" s="5"/>
      <c r="O3052" s="5"/>
      <c r="P3052" s="5"/>
      <c r="Q3052" s="5"/>
      <c r="R3052" s="8"/>
      <c r="S3052" s="8"/>
      <c r="T3052" s="3"/>
    </row>
    <row r="3053" spans="14:20" x14ac:dyDescent="0.3">
      <c r="N3053" s="5"/>
      <c r="O3053" s="5"/>
      <c r="P3053" s="5"/>
      <c r="Q3053" s="5"/>
      <c r="R3053" s="8"/>
      <c r="S3053" s="8"/>
      <c r="T3053" s="3"/>
    </row>
    <row r="3054" spans="14:20" x14ac:dyDescent="0.3">
      <c r="N3054" s="5"/>
      <c r="O3054" s="5"/>
      <c r="P3054" s="5"/>
      <c r="Q3054" s="5"/>
      <c r="R3054" s="8"/>
      <c r="S3054" s="8"/>
      <c r="T3054" s="3"/>
    </row>
    <row r="3055" spans="14:20" x14ac:dyDescent="0.3">
      <c r="N3055" s="5"/>
      <c r="O3055" s="5"/>
      <c r="P3055" s="5"/>
      <c r="Q3055" s="5"/>
      <c r="R3055" s="8"/>
      <c r="S3055" s="8"/>
      <c r="T3055" s="3"/>
    </row>
    <row r="3056" spans="14:20" x14ac:dyDescent="0.3">
      <c r="N3056" s="5"/>
      <c r="O3056" s="5"/>
      <c r="P3056" s="5"/>
      <c r="Q3056" s="5"/>
      <c r="R3056" s="8"/>
      <c r="S3056" s="8"/>
      <c r="T3056" s="3"/>
    </row>
    <row r="3057" spans="14:20" x14ac:dyDescent="0.3">
      <c r="N3057" s="5"/>
      <c r="O3057" s="5"/>
      <c r="P3057" s="5"/>
      <c r="Q3057" s="5"/>
      <c r="R3057" s="8"/>
      <c r="S3057" s="8"/>
      <c r="T3057" s="3"/>
    </row>
    <row r="3058" spans="14:20" x14ac:dyDescent="0.3">
      <c r="N3058" s="5"/>
      <c r="O3058" s="5"/>
      <c r="P3058" s="5"/>
      <c r="Q3058" s="5"/>
      <c r="R3058" s="8"/>
      <c r="S3058" s="8"/>
      <c r="T3058" s="3"/>
    </row>
    <row r="3059" spans="14:20" x14ac:dyDescent="0.3">
      <c r="N3059" s="5"/>
      <c r="O3059" s="5"/>
      <c r="P3059" s="5"/>
      <c r="Q3059" s="5"/>
      <c r="R3059" s="8"/>
      <c r="S3059" s="8"/>
      <c r="T3059" s="3"/>
    </row>
    <row r="3060" spans="14:20" x14ac:dyDescent="0.3">
      <c r="N3060" s="5"/>
      <c r="O3060" s="5"/>
      <c r="P3060" s="5"/>
      <c r="Q3060" s="5"/>
      <c r="R3060" s="8"/>
      <c r="S3060" s="8"/>
      <c r="T3060" s="3"/>
    </row>
    <row r="3061" spans="14:20" x14ac:dyDescent="0.3">
      <c r="N3061" s="5"/>
      <c r="O3061" s="5"/>
      <c r="P3061" s="5"/>
      <c r="Q3061" s="5"/>
      <c r="R3061" s="8"/>
      <c r="S3061" s="8"/>
      <c r="T3061" s="3"/>
    </row>
    <row r="3062" spans="14:20" x14ac:dyDescent="0.3">
      <c r="N3062" s="5"/>
      <c r="O3062" s="5"/>
      <c r="P3062" s="5"/>
      <c r="Q3062" s="5"/>
      <c r="R3062" s="8"/>
      <c r="S3062" s="8"/>
      <c r="T3062" s="3"/>
    </row>
    <row r="3063" spans="14:20" x14ac:dyDescent="0.3">
      <c r="N3063" s="5"/>
      <c r="O3063" s="5"/>
      <c r="P3063" s="5"/>
      <c r="Q3063" s="5"/>
      <c r="R3063" s="8"/>
      <c r="S3063" s="8"/>
      <c r="T3063" s="3"/>
    </row>
    <row r="3064" spans="14:20" x14ac:dyDescent="0.3">
      <c r="N3064" s="5"/>
      <c r="O3064" s="5"/>
      <c r="P3064" s="5"/>
      <c r="Q3064" s="5"/>
      <c r="R3064" s="8"/>
      <c r="S3064" s="8"/>
      <c r="T3064" s="3"/>
    </row>
    <row r="3065" spans="14:20" x14ac:dyDescent="0.3">
      <c r="N3065" s="5"/>
      <c r="O3065" s="5"/>
      <c r="P3065" s="5"/>
      <c r="Q3065" s="5"/>
      <c r="R3065" s="8"/>
      <c r="S3065" s="8"/>
      <c r="T3065" s="3"/>
    </row>
    <row r="3066" spans="14:20" x14ac:dyDescent="0.3">
      <c r="N3066" s="5"/>
      <c r="O3066" s="5"/>
      <c r="P3066" s="5"/>
      <c r="Q3066" s="5"/>
      <c r="R3066" s="8"/>
      <c r="S3066" s="8"/>
      <c r="T3066" s="3"/>
    </row>
    <row r="3067" spans="14:20" x14ac:dyDescent="0.3">
      <c r="N3067" s="5"/>
      <c r="O3067" s="5"/>
      <c r="P3067" s="5"/>
      <c r="Q3067" s="5"/>
      <c r="R3067" s="8"/>
      <c r="S3067" s="8"/>
      <c r="T3067" s="3"/>
    </row>
    <row r="3068" spans="14:20" x14ac:dyDescent="0.3">
      <c r="N3068" s="5"/>
      <c r="O3068" s="5"/>
      <c r="P3068" s="5"/>
      <c r="Q3068" s="5"/>
      <c r="R3068" s="8"/>
      <c r="S3068" s="8"/>
      <c r="T3068" s="3"/>
    </row>
    <row r="3069" spans="14:20" x14ac:dyDescent="0.3">
      <c r="N3069" s="5"/>
      <c r="O3069" s="5"/>
      <c r="P3069" s="5"/>
      <c r="Q3069" s="5"/>
      <c r="R3069" s="8"/>
      <c r="S3069" s="8"/>
      <c r="T3069" s="3"/>
    </row>
    <row r="3070" spans="14:20" x14ac:dyDescent="0.3">
      <c r="N3070" s="5"/>
      <c r="O3070" s="5"/>
      <c r="P3070" s="5"/>
      <c r="Q3070" s="5"/>
      <c r="R3070" s="8"/>
      <c r="S3070" s="8"/>
      <c r="T3070" s="3"/>
    </row>
    <row r="3071" spans="14:20" x14ac:dyDescent="0.3">
      <c r="N3071" s="5"/>
      <c r="O3071" s="5"/>
      <c r="P3071" s="5"/>
      <c r="Q3071" s="5"/>
      <c r="R3071" s="8"/>
      <c r="S3071" s="8"/>
      <c r="T3071" s="3"/>
    </row>
    <row r="3072" spans="14:20" x14ac:dyDescent="0.3">
      <c r="N3072" s="5"/>
      <c r="O3072" s="5"/>
      <c r="P3072" s="5"/>
      <c r="Q3072" s="5"/>
      <c r="R3072" s="8"/>
      <c r="S3072" s="8"/>
      <c r="T3072" s="3"/>
    </row>
    <row r="3073" spans="14:20" x14ac:dyDescent="0.3">
      <c r="N3073" s="5"/>
      <c r="O3073" s="5"/>
      <c r="P3073" s="5"/>
      <c r="Q3073" s="5"/>
      <c r="R3073" s="8"/>
      <c r="S3073" s="8"/>
      <c r="T3073" s="3"/>
    </row>
    <row r="3074" spans="14:20" x14ac:dyDescent="0.3">
      <c r="N3074" s="5"/>
      <c r="O3074" s="5"/>
      <c r="P3074" s="5"/>
      <c r="Q3074" s="5"/>
      <c r="R3074" s="8"/>
      <c r="S3074" s="8"/>
      <c r="T3074" s="3"/>
    </row>
    <row r="3075" spans="14:20" x14ac:dyDescent="0.3">
      <c r="N3075" s="5"/>
      <c r="O3075" s="5"/>
      <c r="P3075" s="5"/>
      <c r="Q3075" s="5"/>
      <c r="R3075" s="8"/>
      <c r="S3075" s="8"/>
      <c r="T3075" s="3"/>
    </row>
    <row r="3076" spans="14:20" x14ac:dyDescent="0.3">
      <c r="N3076" s="5"/>
      <c r="O3076" s="5"/>
      <c r="P3076" s="5"/>
      <c r="Q3076" s="5"/>
      <c r="R3076" s="8"/>
      <c r="S3076" s="8"/>
      <c r="T3076" s="3"/>
    </row>
    <row r="3077" spans="14:20" x14ac:dyDescent="0.3">
      <c r="N3077" s="5"/>
      <c r="O3077" s="5"/>
      <c r="P3077" s="5"/>
      <c r="Q3077" s="5"/>
      <c r="R3077" s="8"/>
      <c r="S3077" s="8"/>
      <c r="T3077" s="3"/>
    </row>
    <row r="3078" spans="14:20" x14ac:dyDescent="0.3">
      <c r="N3078" s="5"/>
      <c r="O3078" s="5"/>
      <c r="P3078" s="5"/>
      <c r="Q3078" s="5"/>
      <c r="R3078" s="8"/>
      <c r="S3078" s="8"/>
      <c r="T3078" s="3"/>
    </row>
    <row r="3079" spans="14:20" x14ac:dyDescent="0.3">
      <c r="N3079" s="5"/>
      <c r="O3079" s="5"/>
      <c r="P3079" s="5"/>
      <c r="Q3079" s="5"/>
      <c r="R3079" s="8"/>
      <c r="S3079" s="8"/>
      <c r="T3079" s="3"/>
    </row>
    <row r="3080" spans="14:20" x14ac:dyDescent="0.3">
      <c r="N3080" s="5"/>
      <c r="O3080" s="5"/>
      <c r="P3080" s="5"/>
      <c r="Q3080" s="5"/>
      <c r="R3080" s="8"/>
      <c r="S3080" s="8"/>
      <c r="T3080" s="3"/>
    </row>
    <row r="3081" spans="14:20" x14ac:dyDescent="0.3">
      <c r="N3081" s="5"/>
      <c r="O3081" s="5"/>
      <c r="P3081" s="5"/>
      <c r="Q3081" s="5"/>
      <c r="R3081" s="8"/>
      <c r="S3081" s="8"/>
      <c r="T3081" s="3"/>
    </row>
    <row r="3082" spans="14:20" x14ac:dyDescent="0.3">
      <c r="N3082" s="5"/>
      <c r="O3082" s="5"/>
      <c r="P3082" s="5"/>
      <c r="Q3082" s="5"/>
      <c r="R3082" s="8"/>
      <c r="S3082" s="8"/>
      <c r="T3082" s="3"/>
    </row>
    <row r="3083" spans="14:20" x14ac:dyDescent="0.3">
      <c r="N3083" s="5"/>
      <c r="O3083" s="5"/>
      <c r="P3083" s="5"/>
      <c r="Q3083" s="5"/>
      <c r="R3083" s="8"/>
      <c r="S3083" s="8"/>
      <c r="T3083" s="3"/>
    </row>
    <row r="3084" spans="14:20" x14ac:dyDescent="0.3">
      <c r="N3084" s="5"/>
      <c r="O3084" s="5"/>
      <c r="P3084" s="5"/>
      <c r="Q3084" s="5"/>
      <c r="R3084" s="8"/>
      <c r="S3084" s="8"/>
      <c r="T3084" s="3"/>
    </row>
    <row r="3085" spans="14:20" x14ac:dyDescent="0.3">
      <c r="N3085" s="5"/>
      <c r="O3085" s="5"/>
      <c r="P3085" s="5"/>
      <c r="Q3085" s="5"/>
      <c r="R3085" s="8"/>
      <c r="S3085" s="8"/>
      <c r="T3085" s="3"/>
    </row>
    <row r="3086" spans="14:20" x14ac:dyDescent="0.3">
      <c r="N3086" s="5"/>
      <c r="O3086" s="5"/>
      <c r="P3086" s="5"/>
      <c r="Q3086" s="5"/>
      <c r="R3086" s="8"/>
      <c r="S3086" s="8"/>
      <c r="T3086" s="3"/>
    </row>
    <row r="3087" spans="14:20" x14ac:dyDescent="0.3">
      <c r="N3087" s="5"/>
      <c r="O3087" s="5"/>
      <c r="P3087" s="5"/>
      <c r="Q3087" s="5"/>
      <c r="R3087" s="8"/>
      <c r="S3087" s="8"/>
      <c r="T3087" s="3"/>
    </row>
    <row r="3088" spans="14:20" x14ac:dyDescent="0.3">
      <c r="N3088" s="5"/>
      <c r="O3088" s="5"/>
      <c r="P3088" s="5"/>
      <c r="Q3088" s="5"/>
      <c r="R3088" s="8"/>
      <c r="S3088" s="8"/>
      <c r="T3088" s="3"/>
    </row>
    <row r="3089" spans="14:20" x14ac:dyDescent="0.3">
      <c r="N3089" s="5"/>
      <c r="O3089" s="5"/>
      <c r="P3089" s="5"/>
      <c r="Q3089" s="5"/>
      <c r="R3089" s="8"/>
      <c r="S3089" s="8"/>
      <c r="T3089" s="3"/>
    </row>
    <row r="3090" spans="14:20" x14ac:dyDescent="0.3">
      <c r="N3090" s="5"/>
      <c r="O3090" s="5"/>
      <c r="P3090" s="5"/>
      <c r="Q3090" s="5"/>
      <c r="R3090" s="8"/>
      <c r="S3090" s="8"/>
      <c r="T3090" s="3"/>
    </row>
    <row r="3091" spans="14:20" x14ac:dyDescent="0.3">
      <c r="N3091" s="5"/>
      <c r="O3091" s="5"/>
      <c r="P3091" s="5"/>
      <c r="Q3091" s="5"/>
      <c r="R3091" s="8"/>
      <c r="S3091" s="8"/>
      <c r="T3091" s="3"/>
    </row>
    <row r="3092" spans="14:20" x14ac:dyDescent="0.3">
      <c r="N3092" s="5"/>
      <c r="O3092" s="5"/>
      <c r="P3092" s="5"/>
      <c r="Q3092" s="5"/>
      <c r="R3092" s="8"/>
      <c r="S3092" s="8"/>
      <c r="T3092" s="3"/>
    </row>
    <row r="3093" spans="14:20" x14ac:dyDescent="0.3">
      <c r="N3093" s="5"/>
      <c r="O3093" s="5"/>
      <c r="P3093" s="5"/>
      <c r="Q3093" s="5"/>
      <c r="R3093" s="8"/>
      <c r="S3093" s="8"/>
      <c r="T3093" s="3"/>
    </row>
    <row r="3094" spans="14:20" x14ac:dyDescent="0.3">
      <c r="N3094" s="5"/>
      <c r="O3094" s="5"/>
      <c r="P3094" s="5"/>
      <c r="Q3094" s="5"/>
      <c r="R3094" s="8"/>
      <c r="S3094" s="8"/>
      <c r="T3094" s="3"/>
    </row>
    <row r="3095" spans="14:20" x14ac:dyDescent="0.3">
      <c r="N3095" s="5"/>
      <c r="O3095" s="5"/>
      <c r="P3095" s="5"/>
      <c r="Q3095" s="5"/>
      <c r="R3095" s="8"/>
      <c r="S3095" s="8"/>
      <c r="T3095" s="3"/>
    </row>
    <row r="3096" spans="14:20" x14ac:dyDescent="0.3">
      <c r="N3096" s="5"/>
      <c r="O3096" s="5"/>
      <c r="P3096" s="5"/>
      <c r="Q3096" s="5"/>
      <c r="R3096" s="8"/>
      <c r="S3096" s="8"/>
      <c r="T3096" s="3"/>
    </row>
    <row r="3097" spans="14:20" x14ac:dyDescent="0.3">
      <c r="N3097" s="5"/>
      <c r="O3097" s="5"/>
      <c r="P3097" s="5"/>
      <c r="Q3097" s="5"/>
      <c r="R3097" s="8"/>
      <c r="S3097" s="8"/>
      <c r="T3097" s="3"/>
    </row>
    <row r="3098" spans="14:20" x14ac:dyDescent="0.3">
      <c r="N3098" s="5"/>
      <c r="O3098" s="5"/>
      <c r="P3098" s="5"/>
      <c r="Q3098" s="5"/>
      <c r="R3098" s="8"/>
      <c r="S3098" s="8"/>
      <c r="T3098" s="3"/>
    </row>
    <row r="3099" spans="14:20" x14ac:dyDescent="0.3">
      <c r="N3099" s="5"/>
      <c r="O3099" s="5"/>
      <c r="P3099" s="5"/>
      <c r="Q3099" s="5"/>
      <c r="R3099" s="8"/>
      <c r="S3099" s="8"/>
      <c r="T3099" s="3"/>
    </row>
    <row r="3100" spans="14:20" x14ac:dyDescent="0.3">
      <c r="N3100" s="5"/>
      <c r="O3100" s="5"/>
      <c r="P3100" s="5"/>
      <c r="Q3100" s="5"/>
      <c r="R3100" s="8"/>
      <c r="S3100" s="8"/>
      <c r="T3100" s="3"/>
    </row>
    <row r="3101" spans="14:20" x14ac:dyDescent="0.3">
      <c r="N3101" s="5"/>
      <c r="O3101" s="5"/>
      <c r="P3101" s="5"/>
      <c r="Q3101" s="5"/>
      <c r="R3101" s="8"/>
      <c r="S3101" s="8"/>
      <c r="T3101" s="3"/>
    </row>
    <row r="3102" spans="14:20" x14ac:dyDescent="0.3">
      <c r="N3102" s="5"/>
      <c r="O3102" s="5"/>
      <c r="P3102" s="5"/>
      <c r="Q3102" s="5"/>
      <c r="R3102" s="8"/>
      <c r="S3102" s="8"/>
      <c r="T3102" s="3"/>
    </row>
    <row r="3103" spans="14:20" x14ac:dyDescent="0.3">
      <c r="N3103" s="5"/>
      <c r="O3103" s="5"/>
      <c r="P3103" s="5"/>
      <c r="Q3103" s="5"/>
      <c r="R3103" s="8"/>
      <c r="S3103" s="8"/>
      <c r="T3103" s="3"/>
    </row>
    <row r="3104" spans="14:20" x14ac:dyDescent="0.3">
      <c r="N3104" s="5"/>
      <c r="O3104" s="5"/>
      <c r="P3104" s="5"/>
      <c r="Q3104" s="5"/>
      <c r="R3104" s="8"/>
      <c r="S3104" s="8"/>
      <c r="T3104" s="3"/>
    </row>
    <row r="3105" spans="14:20" x14ac:dyDescent="0.3">
      <c r="N3105" s="5"/>
      <c r="O3105" s="5"/>
      <c r="P3105" s="5"/>
      <c r="Q3105" s="5"/>
      <c r="R3105" s="8"/>
      <c r="S3105" s="8"/>
      <c r="T3105" s="3"/>
    </row>
    <row r="3106" spans="14:20" x14ac:dyDescent="0.3">
      <c r="N3106" s="5"/>
      <c r="O3106" s="5"/>
      <c r="P3106" s="5"/>
      <c r="Q3106" s="5"/>
      <c r="R3106" s="8"/>
      <c r="S3106" s="8"/>
      <c r="T3106" s="3"/>
    </row>
    <row r="3107" spans="14:20" x14ac:dyDescent="0.3">
      <c r="N3107" s="5"/>
      <c r="O3107" s="5"/>
      <c r="P3107" s="5"/>
      <c r="Q3107" s="5"/>
      <c r="R3107" s="8"/>
      <c r="S3107" s="8"/>
      <c r="T3107" s="3"/>
    </row>
    <row r="3108" spans="14:20" x14ac:dyDescent="0.3">
      <c r="N3108" s="5"/>
      <c r="O3108" s="5"/>
      <c r="P3108" s="5"/>
      <c r="Q3108" s="5"/>
      <c r="R3108" s="8"/>
      <c r="S3108" s="8"/>
      <c r="T3108" s="3"/>
    </row>
    <row r="3109" spans="14:20" x14ac:dyDescent="0.3">
      <c r="N3109" s="5"/>
      <c r="O3109" s="5"/>
      <c r="P3109" s="5"/>
      <c r="Q3109" s="5"/>
      <c r="R3109" s="8"/>
      <c r="S3109" s="8"/>
      <c r="T3109" s="3"/>
    </row>
    <row r="3110" spans="14:20" x14ac:dyDescent="0.3">
      <c r="N3110" s="5"/>
      <c r="O3110" s="5"/>
      <c r="P3110" s="5"/>
      <c r="Q3110" s="5"/>
      <c r="R3110" s="8"/>
      <c r="S3110" s="8"/>
      <c r="T3110" s="3"/>
    </row>
    <row r="3111" spans="14:20" x14ac:dyDescent="0.3">
      <c r="N3111" s="5"/>
      <c r="O3111" s="5"/>
      <c r="P3111" s="5"/>
      <c r="Q3111" s="5"/>
      <c r="R3111" s="8"/>
      <c r="S3111" s="8"/>
      <c r="T3111" s="3"/>
    </row>
    <row r="3112" spans="14:20" x14ac:dyDescent="0.3">
      <c r="N3112" s="5"/>
      <c r="O3112" s="5"/>
      <c r="P3112" s="5"/>
      <c r="Q3112" s="5"/>
      <c r="R3112" s="8"/>
      <c r="S3112" s="8"/>
      <c r="T3112" s="3"/>
    </row>
    <row r="3113" spans="14:20" x14ac:dyDescent="0.3">
      <c r="N3113" s="5"/>
      <c r="O3113" s="5"/>
      <c r="P3113" s="5"/>
      <c r="Q3113" s="5"/>
      <c r="R3113" s="8"/>
      <c r="S3113" s="8"/>
      <c r="T3113" s="3"/>
    </row>
    <row r="3114" spans="14:20" x14ac:dyDescent="0.3">
      <c r="N3114" s="5"/>
      <c r="O3114" s="5"/>
      <c r="P3114" s="5"/>
      <c r="Q3114" s="5"/>
      <c r="R3114" s="8"/>
      <c r="S3114" s="8"/>
      <c r="T3114" s="3"/>
    </row>
    <row r="3115" spans="14:20" x14ac:dyDescent="0.3">
      <c r="N3115" s="5"/>
      <c r="O3115" s="5"/>
      <c r="P3115" s="5"/>
      <c r="Q3115" s="5"/>
      <c r="R3115" s="8"/>
      <c r="S3115" s="8"/>
      <c r="T3115" s="3"/>
    </row>
    <row r="3116" spans="14:20" x14ac:dyDescent="0.3">
      <c r="N3116" s="5"/>
      <c r="O3116" s="5"/>
      <c r="P3116" s="5"/>
      <c r="Q3116" s="5"/>
      <c r="R3116" s="8"/>
      <c r="S3116" s="8"/>
      <c r="T3116" s="3"/>
    </row>
    <row r="3117" spans="14:20" x14ac:dyDescent="0.3">
      <c r="N3117" s="5"/>
      <c r="O3117" s="5"/>
      <c r="P3117" s="5"/>
      <c r="Q3117" s="5"/>
      <c r="R3117" s="8"/>
      <c r="S3117" s="8"/>
      <c r="T3117" s="3"/>
    </row>
    <row r="3118" spans="14:20" x14ac:dyDescent="0.3">
      <c r="N3118" s="5"/>
      <c r="O3118" s="5"/>
      <c r="P3118" s="5"/>
      <c r="Q3118" s="5"/>
      <c r="R3118" s="8"/>
      <c r="S3118" s="8"/>
      <c r="T3118" s="3"/>
    </row>
    <row r="3119" spans="14:20" x14ac:dyDescent="0.3">
      <c r="N3119" s="5"/>
      <c r="O3119" s="5"/>
      <c r="P3119" s="5"/>
      <c r="Q3119" s="5"/>
      <c r="R3119" s="8"/>
      <c r="S3119" s="8"/>
      <c r="T3119" s="3"/>
    </row>
    <row r="3120" spans="14:20" x14ac:dyDescent="0.3">
      <c r="N3120" s="5"/>
      <c r="O3120" s="5"/>
      <c r="P3120" s="5"/>
      <c r="Q3120" s="5"/>
      <c r="R3120" s="8"/>
      <c r="S3120" s="8"/>
      <c r="T3120" s="3"/>
    </row>
    <row r="3121" spans="14:20" x14ac:dyDescent="0.3">
      <c r="N3121" s="5"/>
      <c r="O3121" s="5"/>
      <c r="P3121" s="5"/>
      <c r="Q3121" s="5"/>
      <c r="R3121" s="8"/>
      <c r="S3121" s="8"/>
      <c r="T3121" s="3"/>
    </row>
    <row r="3122" spans="14:20" x14ac:dyDescent="0.3">
      <c r="N3122" s="5"/>
      <c r="O3122" s="5"/>
      <c r="P3122" s="5"/>
      <c r="Q3122" s="5"/>
      <c r="R3122" s="8"/>
      <c r="S3122" s="8"/>
      <c r="T3122" s="3"/>
    </row>
    <row r="3123" spans="14:20" x14ac:dyDescent="0.3">
      <c r="N3123" s="5"/>
      <c r="O3123" s="5"/>
      <c r="P3123" s="5"/>
      <c r="Q3123" s="5"/>
      <c r="R3123" s="8"/>
      <c r="S3123" s="8"/>
      <c r="T3123" s="3"/>
    </row>
    <row r="3124" spans="14:20" x14ac:dyDescent="0.3">
      <c r="N3124" s="5"/>
      <c r="O3124" s="5"/>
      <c r="P3124" s="5"/>
      <c r="Q3124" s="5"/>
      <c r="R3124" s="8"/>
      <c r="S3124" s="8"/>
      <c r="T3124" s="3"/>
    </row>
    <row r="3125" spans="14:20" x14ac:dyDescent="0.3">
      <c r="N3125" s="5"/>
      <c r="O3125" s="5"/>
      <c r="P3125" s="5"/>
      <c r="Q3125" s="5"/>
      <c r="R3125" s="8"/>
      <c r="S3125" s="8"/>
      <c r="T3125" s="3"/>
    </row>
    <row r="3126" spans="14:20" x14ac:dyDescent="0.3">
      <c r="N3126" s="5"/>
      <c r="O3126" s="5"/>
      <c r="P3126" s="5"/>
      <c r="Q3126" s="5"/>
      <c r="R3126" s="8"/>
      <c r="S3126" s="8"/>
      <c r="T3126" s="3"/>
    </row>
    <row r="3127" spans="14:20" x14ac:dyDescent="0.3">
      <c r="N3127" s="5"/>
      <c r="O3127" s="5"/>
      <c r="P3127" s="5"/>
      <c r="Q3127" s="5"/>
      <c r="R3127" s="8"/>
      <c r="S3127" s="8"/>
      <c r="T3127" s="3"/>
    </row>
    <row r="3128" spans="14:20" x14ac:dyDescent="0.3">
      <c r="N3128" s="5"/>
      <c r="O3128" s="5"/>
      <c r="P3128" s="5"/>
      <c r="Q3128" s="5"/>
      <c r="R3128" s="8"/>
      <c r="S3128" s="8"/>
      <c r="T3128" s="3"/>
    </row>
    <row r="3129" spans="14:20" x14ac:dyDescent="0.3">
      <c r="N3129" s="5"/>
      <c r="O3129" s="5"/>
      <c r="P3129" s="5"/>
      <c r="Q3129" s="5"/>
      <c r="R3129" s="8"/>
      <c r="S3129" s="8"/>
      <c r="T3129" s="3"/>
    </row>
    <row r="3130" spans="14:20" x14ac:dyDescent="0.3">
      <c r="N3130" s="5"/>
      <c r="O3130" s="5"/>
      <c r="P3130" s="5"/>
      <c r="Q3130" s="5"/>
      <c r="R3130" s="8"/>
      <c r="S3130" s="8"/>
      <c r="T3130" s="3"/>
    </row>
    <row r="3131" spans="14:20" x14ac:dyDescent="0.3">
      <c r="N3131" s="5"/>
      <c r="O3131" s="5"/>
      <c r="P3131" s="5"/>
      <c r="Q3131" s="5"/>
      <c r="R3131" s="8"/>
      <c r="S3131" s="8"/>
      <c r="T3131" s="3"/>
    </row>
    <row r="3132" spans="14:20" x14ac:dyDescent="0.3">
      <c r="N3132" s="5"/>
      <c r="O3132" s="5"/>
      <c r="P3132" s="5"/>
      <c r="Q3132" s="5"/>
      <c r="R3132" s="8"/>
      <c r="S3132" s="8"/>
      <c r="T3132" s="3"/>
    </row>
    <row r="3133" spans="14:20" x14ac:dyDescent="0.3">
      <c r="N3133" s="5"/>
      <c r="O3133" s="5"/>
      <c r="P3133" s="5"/>
      <c r="Q3133" s="5"/>
      <c r="R3133" s="8"/>
      <c r="S3133" s="8"/>
      <c r="T3133" s="3"/>
    </row>
    <row r="3134" spans="14:20" x14ac:dyDescent="0.3">
      <c r="N3134" s="5"/>
      <c r="O3134" s="5"/>
      <c r="P3134" s="5"/>
      <c r="Q3134" s="5"/>
      <c r="R3134" s="8"/>
      <c r="S3134" s="8"/>
      <c r="T3134" s="3"/>
    </row>
    <row r="3135" spans="14:20" x14ac:dyDescent="0.3">
      <c r="N3135" s="5"/>
      <c r="O3135" s="5"/>
      <c r="P3135" s="5"/>
      <c r="Q3135" s="5"/>
      <c r="R3135" s="8"/>
      <c r="S3135" s="8"/>
      <c r="T3135" s="3"/>
    </row>
    <row r="3136" spans="14:20" x14ac:dyDescent="0.3">
      <c r="N3136" s="5"/>
      <c r="O3136" s="5"/>
      <c r="P3136" s="5"/>
      <c r="Q3136" s="5"/>
      <c r="R3136" s="8"/>
      <c r="S3136" s="8"/>
      <c r="T3136" s="3"/>
    </row>
    <row r="3137" spans="14:20" x14ac:dyDescent="0.3">
      <c r="N3137" s="5"/>
      <c r="O3137" s="5"/>
      <c r="P3137" s="5"/>
      <c r="Q3137" s="5"/>
      <c r="R3137" s="8"/>
      <c r="S3137" s="8"/>
      <c r="T3137" s="3"/>
    </row>
    <row r="3138" spans="14:20" x14ac:dyDescent="0.3">
      <c r="N3138" s="5"/>
      <c r="O3138" s="5"/>
      <c r="P3138" s="5"/>
      <c r="Q3138" s="5"/>
      <c r="R3138" s="8"/>
      <c r="S3138" s="8"/>
      <c r="T3138" s="3"/>
    </row>
    <row r="3139" spans="14:20" x14ac:dyDescent="0.3">
      <c r="N3139" s="5"/>
      <c r="O3139" s="5"/>
      <c r="P3139" s="5"/>
      <c r="Q3139" s="5"/>
      <c r="R3139" s="8"/>
      <c r="S3139" s="8"/>
      <c r="T3139" s="3"/>
    </row>
    <row r="3140" spans="14:20" x14ac:dyDescent="0.3">
      <c r="N3140" s="5"/>
      <c r="O3140" s="5"/>
      <c r="P3140" s="5"/>
      <c r="Q3140" s="5"/>
      <c r="R3140" s="8"/>
      <c r="S3140" s="8"/>
      <c r="T3140" s="3"/>
    </row>
    <row r="3141" spans="14:20" x14ac:dyDescent="0.3">
      <c r="N3141" s="5"/>
      <c r="O3141" s="5"/>
      <c r="P3141" s="5"/>
      <c r="Q3141" s="5"/>
      <c r="R3141" s="8"/>
      <c r="S3141" s="8"/>
      <c r="T3141" s="3"/>
    </row>
    <row r="3142" spans="14:20" x14ac:dyDescent="0.3">
      <c r="N3142" s="5"/>
      <c r="O3142" s="5"/>
      <c r="P3142" s="5"/>
      <c r="Q3142" s="5"/>
      <c r="R3142" s="8"/>
      <c r="S3142" s="8"/>
      <c r="T3142" s="3"/>
    </row>
    <row r="3143" spans="14:20" x14ac:dyDescent="0.3">
      <c r="N3143" s="5"/>
      <c r="O3143" s="5"/>
      <c r="P3143" s="5"/>
      <c r="Q3143" s="5"/>
      <c r="R3143" s="8"/>
      <c r="S3143" s="8"/>
      <c r="T3143" s="3"/>
    </row>
    <row r="3144" spans="14:20" x14ac:dyDescent="0.3">
      <c r="N3144" s="5"/>
      <c r="O3144" s="5"/>
      <c r="P3144" s="5"/>
      <c r="Q3144" s="5"/>
      <c r="R3144" s="8"/>
      <c r="S3144" s="8"/>
      <c r="T3144" s="3"/>
    </row>
    <row r="3145" spans="14:20" x14ac:dyDescent="0.3">
      <c r="N3145" s="5"/>
      <c r="O3145" s="5"/>
      <c r="P3145" s="5"/>
      <c r="Q3145" s="5"/>
      <c r="R3145" s="8"/>
      <c r="S3145" s="8"/>
      <c r="T3145" s="3"/>
    </row>
    <row r="3146" spans="14:20" x14ac:dyDescent="0.3">
      <c r="N3146" s="5"/>
      <c r="O3146" s="5"/>
      <c r="P3146" s="5"/>
      <c r="Q3146" s="5"/>
      <c r="R3146" s="8"/>
      <c r="S3146" s="8"/>
      <c r="T3146" s="3"/>
    </row>
    <row r="3147" spans="14:20" x14ac:dyDescent="0.3">
      <c r="N3147" s="5"/>
      <c r="O3147" s="5"/>
      <c r="P3147" s="5"/>
      <c r="Q3147" s="5"/>
      <c r="R3147" s="8"/>
      <c r="S3147" s="8"/>
      <c r="T3147" s="3"/>
    </row>
    <row r="3148" spans="14:20" x14ac:dyDescent="0.3">
      <c r="N3148" s="5"/>
      <c r="O3148" s="5"/>
      <c r="P3148" s="5"/>
      <c r="Q3148" s="5"/>
      <c r="R3148" s="8"/>
      <c r="S3148" s="8"/>
      <c r="T3148" s="3"/>
    </row>
    <row r="3149" spans="14:20" x14ac:dyDescent="0.3">
      <c r="N3149" s="5"/>
      <c r="O3149" s="5"/>
      <c r="P3149" s="5"/>
      <c r="Q3149" s="5"/>
      <c r="R3149" s="8"/>
      <c r="S3149" s="8"/>
      <c r="T3149" s="3"/>
    </row>
    <row r="3150" spans="14:20" x14ac:dyDescent="0.3">
      <c r="N3150" s="5"/>
      <c r="O3150" s="5"/>
      <c r="P3150" s="5"/>
      <c r="Q3150" s="5"/>
      <c r="R3150" s="8"/>
      <c r="S3150" s="8"/>
      <c r="T3150" s="3"/>
    </row>
    <row r="3151" spans="14:20" x14ac:dyDescent="0.3">
      <c r="N3151" s="5"/>
      <c r="O3151" s="5"/>
      <c r="P3151" s="5"/>
      <c r="Q3151" s="5"/>
      <c r="R3151" s="8"/>
      <c r="S3151" s="8"/>
      <c r="T3151" s="3"/>
    </row>
    <row r="3152" spans="14:20" x14ac:dyDescent="0.3">
      <c r="N3152" s="5"/>
      <c r="O3152" s="5"/>
      <c r="P3152" s="5"/>
      <c r="Q3152" s="5"/>
      <c r="R3152" s="8"/>
      <c r="S3152" s="8"/>
      <c r="T3152" s="3"/>
    </row>
    <row r="3153" spans="14:20" x14ac:dyDescent="0.3">
      <c r="N3153" s="5"/>
      <c r="O3153" s="5"/>
      <c r="P3153" s="5"/>
      <c r="Q3153" s="5"/>
      <c r="R3153" s="8"/>
      <c r="S3153" s="8"/>
      <c r="T3153" s="3"/>
    </row>
    <row r="3154" spans="14:20" x14ac:dyDescent="0.3">
      <c r="N3154" s="5"/>
      <c r="O3154" s="5"/>
      <c r="P3154" s="5"/>
      <c r="Q3154" s="5"/>
      <c r="R3154" s="8"/>
      <c r="S3154" s="8"/>
      <c r="T3154" s="3"/>
    </row>
    <row r="3155" spans="14:20" x14ac:dyDescent="0.3">
      <c r="N3155" s="5"/>
      <c r="O3155" s="5"/>
      <c r="P3155" s="5"/>
      <c r="Q3155" s="5"/>
      <c r="R3155" s="8"/>
      <c r="S3155" s="8"/>
      <c r="T3155" s="3"/>
    </row>
    <row r="3156" spans="14:20" x14ac:dyDescent="0.3">
      <c r="N3156" s="5"/>
      <c r="O3156" s="5"/>
      <c r="P3156" s="5"/>
      <c r="Q3156" s="5"/>
      <c r="R3156" s="8"/>
      <c r="S3156" s="8"/>
      <c r="T3156" s="3"/>
    </row>
    <row r="3157" spans="14:20" x14ac:dyDescent="0.3">
      <c r="N3157" s="5"/>
      <c r="O3157" s="5"/>
      <c r="P3157" s="5"/>
      <c r="Q3157" s="5"/>
      <c r="R3157" s="8"/>
      <c r="S3157" s="8"/>
      <c r="T3157" s="3"/>
    </row>
    <row r="3158" spans="14:20" x14ac:dyDescent="0.3">
      <c r="N3158" s="5"/>
      <c r="O3158" s="5"/>
      <c r="P3158" s="5"/>
      <c r="Q3158" s="5"/>
      <c r="R3158" s="8"/>
      <c r="S3158" s="8"/>
      <c r="T3158" s="3"/>
    </row>
    <row r="3159" spans="14:20" x14ac:dyDescent="0.3">
      <c r="N3159" s="5"/>
      <c r="O3159" s="5"/>
      <c r="P3159" s="5"/>
      <c r="Q3159" s="5"/>
      <c r="R3159" s="8"/>
      <c r="S3159" s="8"/>
      <c r="T3159" s="3"/>
    </row>
    <row r="3160" spans="14:20" x14ac:dyDescent="0.3">
      <c r="N3160" s="5"/>
      <c r="O3160" s="5"/>
      <c r="P3160" s="5"/>
      <c r="Q3160" s="5"/>
      <c r="R3160" s="8"/>
      <c r="S3160" s="8"/>
      <c r="T3160" s="3"/>
    </row>
    <row r="3161" spans="14:20" x14ac:dyDescent="0.3">
      <c r="N3161" s="5"/>
      <c r="O3161" s="5"/>
      <c r="P3161" s="5"/>
      <c r="Q3161" s="5"/>
      <c r="R3161" s="8"/>
      <c r="S3161" s="8"/>
      <c r="T3161" s="3"/>
    </row>
    <row r="3162" spans="14:20" x14ac:dyDescent="0.3">
      <c r="N3162" s="5"/>
      <c r="O3162" s="5"/>
      <c r="P3162" s="5"/>
      <c r="Q3162" s="5"/>
      <c r="R3162" s="8"/>
      <c r="S3162" s="8"/>
      <c r="T3162" s="3"/>
    </row>
    <row r="3163" spans="14:20" x14ac:dyDescent="0.3">
      <c r="N3163" s="5"/>
      <c r="O3163" s="5"/>
      <c r="P3163" s="5"/>
      <c r="Q3163" s="5"/>
      <c r="R3163" s="8"/>
      <c r="S3163" s="8"/>
      <c r="T3163" s="3"/>
    </row>
    <row r="3164" spans="14:20" x14ac:dyDescent="0.3">
      <c r="N3164" s="5"/>
      <c r="O3164" s="5"/>
      <c r="P3164" s="5"/>
      <c r="Q3164" s="5"/>
      <c r="R3164" s="8"/>
      <c r="S3164" s="8"/>
      <c r="T3164" s="3"/>
    </row>
    <row r="3165" spans="14:20" x14ac:dyDescent="0.3">
      <c r="N3165" s="5"/>
      <c r="O3165" s="5"/>
      <c r="P3165" s="5"/>
      <c r="Q3165" s="5"/>
      <c r="R3165" s="8"/>
      <c r="S3165" s="8"/>
      <c r="T3165" s="3"/>
    </row>
    <row r="3166" spans="14:20" x14ac:dyDescent="0.3">
      <c r="N3166" s="5"/>
      <c r="O3166" s="5"/>
      <c r="P3166" s="5"/>
      <c r="Q3166" s="5"/>
      <c r="R3166" s="8"/>
      <c r="S3166" s="8"/>
      <c r="T3166" s="3"/>
    </row>
    <row r="3167" spans="14:20" x14ac:dyDescent="0.3">
      <c r="N3167" s="5"/>
      <c r="O3167" s="5"/>
      <c r="P3167" s="5"/>
      <c r="Q3167" s="5"/>
      <c r="R3167" s="8"/>
      <c r="S3167" s="8"/>
      <c r="T3167" s="3"/>
    </row>
    <row r="3168" spans="14:20" x14ac:dyDescent="0.3">
      <c r="N3168" s="5"/>
      <c r="O3168" s="5"/>
      <c r="P3168" s="5"/>
      <c r="Q3168" s="5"/>
      <c r="R3168" s="8"/>
      <c r="S3168" s="8"/>
      <c r="T3168" s="3"/>
    </row>
    <row r="3169" spans="14:20" x14ac:dyDescent="0.3">
      <c r="N3169" s="5"/>
      <c r="O3169" s="5"/>
      <c r="P3169" s="5"/>
      <c r="Q3169" s="5"/>
      <c r="R3169" s="8"/>
      <c r="S3169" s="8"/>
      <c r="T3169" s="3"/>
    </row>
    <row r="3170" spans="14:20" x14ac:dyDescent="0.3">
      <c r="N3170" s="5"/>
      <c r="O3170" s="5"/>
      <c r="P3170" s="5"/>
      <c r="Q3170" s="5"/>
      <c r="R3170" s="8"/>
      <c r="S3170" s="8"/>
      <c r="T3170" s="3"/>
    </row>
    <row r="3171" spans="14:20" x14ac:dyDescent="0.3">
      <c r="N3171" s="5"/>
      <c r="O3171" s="5"/>
      <c r="P3171" s="5"/>
      <c r="Q3171" s="5"/>
      <c r="R3171" s="8"/>
      <c r="S3171" s="8"/>
      <c r="T3171" s="3"/>
    </row>
    <row r="3172" spans="14:20" x14ac:dyDescent="0.3">
      <c r="N3172" s="5"/>
      <c r="O3172" s="5"/>
      <c r="P3172" s="5"/>
      <c r="Q3172" s="5"/>
      <c r="R3172" s="8"/>
      <c r="S3172" s="8"/>
      <c r="T3172" s="3"/>
    </row>
    <row r="3173" spans="14:20" x14ac:dyDescent="0.3">
      <c r="N3173" s="5"/>
      <c r="O3173" s="5"/>
      <c r="P3173" s="5"/>
      <c r="Q3173" s="5"/>
      <c r="R3173" s="8"/>
      <c r="S3173" s="8"/>
      <c r="T3173" s="3"/>
    </row>
    <row r="3174" spans="14:20" x14ac:dyDescent="0.3">
      <c r="N3174" s="5"/>
      <c r="O3174" s="5"/>
      <c r="P3174" s="5"/>
      <c r="Q3174" s="5"/>
      <c r="R3174" s="8"/>
      <c r="S3174" s="8"/>
      <c r="T3174" s="3"/>
    </row>
    <row r="3175" spans="14:20" x14ac:dyDescent="0.3">
      <c r="N3175" s="5"/>
      <c r="O3175" s="5"/>
      <c r="P3175" s="5"/>
      <c r="Q3175" s="5"/>
      <c r="R3175" s="8"/>
      <c r="S3175" s="8"/>
      <c r="T3175" s="3"/>
    </row>
    <row r="3176" spans="14:20" x14ac:dyDescent="0.3">
      <c r="N3176" s="5"/>
      <c r="O3176" s="5"/>
      <c r="P3176" s="5"/>
      <c r="Q3176" s="5"/>
      <c r="R3176" s="8"/>
      <c r="S3176" s="8"/>
      <c r="T3176" s="3"/>
    </row>
    <row r="3177" spans="14:20" x14ac:dyDescent="0.3">
      <c r="N3177" s="5"/>
      <c r="O3177" s="5"/>
      <c r="P3177" s="5"/>
      <c r="Q3177" s="5"/>
      <c r="R3177" s="8"/>
      <c r="S3177" s="8"/>
      <c r="T3177" s="3"/>
    </row>
    <row r="3178" spans="14:20" x14ac:dyDescent="0.3">
      <c r="N3178" s="5"/>
      <c r="O3178" s="5"/>
      <c r="P3178" s="5"/>
      <c r="Q3178" s="5"/>
      <c r="R3178" s="8"/>
      <c r="S3178" s="8"/>
      <c r="T3178" s="3"/>
    </row>
    <row r="3179" spans="14:20" x14ac:dyDescent="0.3">
      <c r="N3179" s="5"/>
      <c r="O3179" s="5"/>
      <c r="P3179" s="5"/>
      <c r="Q3179" s="5"/>
      <c r="R3179" s="8"/>
      <c r="S3179" s="8"/>
      <c r="T3179" s="3"/>
    </row>
    <row r="3180" spans="14:20" x14ac:dyDescent="0.3">
      <c r="N3180" s="5"/>
      <c r="O3180" s="5"/>
      <c r="P3180" s="5"/>
      <c r="Q3180" s="5"/>
      <c r="R3180" s="8"/>
      <c r="S3180" s="8"/>
      <c r="T3180" s="3"/>
    </row>
    <row r="3181" spans="14:20" x14ac:dyDescent="0.3">
      <c r="N3181" s="5"/>
      <c r="O3181" s="5"/>
      <c r="P3181" s="5"/>
      <c r="Q3181" s="5"/>
      <c r="R3181" s="8"/>
      <c r="S3181" s="8"/>
      <c r="T3181" s="3"/>
    </row>
    <row r="3182" spans="14:20" x14ac:dyDescent="0.3">
      <c r="N3182" s="5"/>
      <c r="O3182" s="5"/>
      <c r="P3182" s="5"/>
      <c r="Q3182" s="5"/>
      <c r="R3182" s="8"/>
      <c r="S3182" s="8"/>
      <c r="T3182" s="3"/>
    </row>
    <row r="3183" spans="14:20" x14ac:dyDescent="0.3">
      <c r="N3183" s="5"/>
      <c r="O3183" s="5"/>
      <c r="P3183" s="5"/>
      <c r="Q3183" s="5"/>
      <c r="R3183" s="8"/>
      <c r="S3183" s="8"/>
      <c r="T3183" s="3"/>
    </row>
    <row r="3184" spans="14:20" x14ac:dyDescent="0.3">
      <c r="N3184" s="5"/>
      <c r="O3184" s="5"/>
      <c r="P3184" s="5"/>
      <c r="Q3184" s="5"/>
      <c r="R3184" s="8"/>
      <c r="S3184" s="8"/>
      <c r="T3184" s="3"/>
    </row>
    <row r="3185" spans="14:20" x14ac:dyDescent="0.3">
      <c r="N3185" s="5"/>
      <c r="O3185" s="5"/>
      <c r="P3185" s="5"/>
      <c r="Q3185" s="5"/>
      <c r="R3185" s="8"/>
      <c r="S3185" s="8"/>
      <c r="T3185" s="3"/>
    </row>
    <row r="3186" spans="14:20" x14ac:dyDescent="0.3">
      <c r="N3186" s="5"/>
      <c r="O3186" s="5"/>
      <c r="P3186" s="5"/>
      <c r="Q3186" s="5"/>
      <c r="R3186" s="8"/>
      <c r="S3186" s="8"/>
      <c r="T3186" s="3"/>
    </row>
    <row r="3187" spans="14:20" x14ac:dyDescent="0.3">
      <c r="N3187" s="5"/>
      <c r="O3187" s="5"/>
      <c r="P3187" s="5"/>
      <c r="Q3187" s="5"/>
      <c r="R3187" s="8"/>
      <c r="S3187" s="8"/>
      <c r="T3187" s="3"/>
    </row>
    <row r="3188" spans="14:20" x14ac:dyDescent="0.3">
      <c r="N3188" s="5"/>
      <c r="O3188" s="5"/>
      <c r="P3188" s="5"/>
      <c r="Q3188" s="5"/>
      <c r="R3188" s="8"/>
      <c r="S3188" s="8"/>
      <c r="T3188" s="3"/>
    </row>
    <row r="3189" spans="14:20" x14ac:dyDescent="0.3">
      <c r="N3189" s="5"/>
      <c r="O3189" s="5"/>
      <c r="P3189" s="5"/>
      <c r="Q3189" s="5"/>
      <c r="R3189" s="8"/>
      <c r="S3189" s="8"/>
      <c r="T3189" s="3"/>
    </row>
    <row r="3190" spans="14:20" x14ac:dyDescent="0.3">
      <c r="N3190" s="5"/>
      <c r="O3190" s="5"/>
      <c r="P3190" s="5"/>
      <c r="Q3190" s="5"/>
      <c r="R3190" s="8"/>
      <c r="S3190" s="8"/>
      <c r="T3190" s="3"/>
    </row>
    <row r="3191" spans="14:20" x14ac:dyDescent="0.3">
      <c r="N3191" s="5"/>
      <c r="O3191" s="5"/>
      <c r="P3191" s="5"/>
      <c r="Q3191" s="5"/>
      <c r="R3191" s="8"/>
      <c r="S3191" s="8"/>
      <c r="T3191" s="3"/>
    </row>
    <row r="3192" spans="14:20" x14ac:dyDescent="0.3">
      <c r="N3192" s="5"/>
      <c r="O3192" s="5"/>
      <c r="P3192" s="5"/>
      <c r="Q3192" s="5"/>
      <c r="R3192" s="8"/>
      <c r="S3192" s="8"/>
      <c r="T3192" s="3"/>
    </row>
    <row r="3193" spans="14:20" x14ac:dyDescent="0.3">
      <c r="N3193" s="5"/>
      <c r="O3193" s="5"/>
      <c r="P3193" s="5"/>
      <c r="Q3193" s="5"/>
      <c r="R3193" s="8"/>
      <c r="S3193" s="8"/>
      <c r="T3193" s="3"/>
    </row>
    <row r="3194" spans="14:20" x14ac:dyDescent="0.3">
      <c r="N3194" s="5"/>
      <c r="O3194" s="5"/>
      <c r="P3194" s="5"/>
      <c r="Q3194" s="5"/>
      <c r="R3194" s="8"/>
      <c r="S3194" s="8"/>
      <c r="T3194" s="3"/>
    </row>
    <row r="3195" spans="14:20" x14ac:dyDescent="0.3">
      <c r="N3195" s="5"/>
      <c r="O3195" s="5"/>
      <c r="P3195" s="5"/>
      <c r="Q3195" s="5"/>
      <c r="R3195" s="8"/>
      <c r="S3195" s="8"/>
      <c r="T3195" s="3"/>
    </row>
    <row r="3196" spans="14:20" x14ac:dyDescent="0.3">
      <c r="N3196" s="5"/>
      <c r="O3196" s="5"/>
      <c r="P3196" s="5"/>
      <c r="Q3196" s="5"/>
      <c r="R3196" s="8"/>
      <c r="S3196" s="8"/>
      <c r="T3196" s="3"/>
    </row>
    <row r="3197" spans="14:20" x14ac:dyDescent="0.3">
      <c r="N3197" s="5"/>
      <c r="O3197" s="5"/>
      <c r="P3197" s="5"/>
      <c r="Q3197" s="5"/>
      <c r="R3197" s="8"/>
      <c r="S3197" s="8"/>
      <c r="T3197" s="3"/>
    </row>
    <row r="3198" spans="14:20" x14ac:dyDescent="0.3">
      <c r="N3198" s="5"/>
      <c r="O3198" s="5"/>
      <c r="P3198" s="5"/>
      <c r="Q3198" s="5"/>
      <c r="R3198" s="8"/>
      <c r="S3198" s="8"/>
      <c r="T3198" s="3"/>
    </row>
    <row r="3199" spans="14:20" x14ac:dyDescent="0.3">
      <c r="N3199" s="5"/>
      <c r="O3199" s="5"/>
      <c r="P3199" s="5"/>
      <c r="Q3199" s="5"/>
      <c r="R3199" s="8"/>
      <c r="S3199" s="8"/>
      <c r="T3199" s="3"/>
    </row>
    <row r="3200" spans="14:20" x14ac:dyDescent="0.3">
      <c r="N3200" s="5"/>
      <c r="O3200" s="5"/>
      <c r="P3200" s="5"/>
      <c r="Q3200" s="5"/>
      <c r="R3200" s="8"/>
      <c r="S3200" s="8"/>
      <c r="T3200" s="3"/>
    </row>
    <row r="3201" spans="14:20" x14ac:dyDescent="0.3">
      <c r="N3201" s="5"/>
      <c r="O3201" s="5"/>
      <c r="P3201" s="5"/>
      <c r="Q3201" s="5"/>
      <c r="R3201" s="8"/>
      <c r="S3201" s="8"/>
      <c r="T3201" s="3"/>
    </row>
    <row r="3202" spans="14:20" x14ac:dyDescent="0.3">
      <c r="N3202" s="5"/>
      <c r="O3202" s="5"/>
      <c r="P3202" s="5"/>
      <c r="Q3202" s="5"/>
      <c r="R3202" s="8"/>
      <c r="S3202" s="8"/>
      <c r="T3202" s="3"/>
    </row>
    <row r="3203" spans="14:20" x14ac:dyDescent="0.3">
      <c r="N3203" s="5"/>
      <c r="O3203" s="5"/>
      <c r="P3203" s="5"/>
      <c r="Q3203" s="5"/>
      <c r="R3203" s="8"/>
      <c r="S3203" s="8"/>
      <c r="T3203" s="3"/>
    </row>
    <row r="3204" spans="14:20" x14ac:dyDescent="0.3">
      <c r="N3204" s="5"/>
      <c r="O3204" s="5"/>
      <c r="P3204" s="5"/>
      <c r="Q3204" s="5"/>
      <c r="R3204" s="8"/>
      <c r="S3204" s="8"/>
      <c r="T3204" s="3"/>
    </row>
    <row r="3205" spans="14:20" x14ac:dyDescent="0.3">
      <c r="N3205" s="5"/>
      <c r="O3205" s="5"/>
      <c r="P3205" s="5"/>
      <c r="Q3205" s="5"/>
      <c r="R3205" s="8"/>
      <c r="S3205" s="8"/>
      <c r="T3205" s="3"/>
    </row>
    <row r="3206" spans="14:20" x14ac:dyDescent="0.3">
      <c r="N3206" s="5"/>
      <c r="O3206" s="5"/>
      <c r="P3206" s="5"/>
      <c r="Q3206" s="5"/>
      <c r="R3206" s="8"/>
      <c r="S3206" s="8"/>
      <c r="T3206" s="3"/>
    </row>
    <row r="3207" spans="14:20" x14ac:dyDescent="0.3">
      <c r="N3207" s="5"/>
      <c r="O3207" s="5"/>
      <c r="P3207" s="5"/>
      <c r="Q3207" s="5"/>
      <c r="R3207" s="8"/>
      <c r="S3207" s="8"/>
      <c r="T3207" s="3"/>
    </row>
    <row r="3208" spans="14:20" x14ac:dyDescent="0.3">
      <c r="N3208" s="5"/>
      <c r="O3208" s="5"/>
      <c r="P3208" s="5"/>
      <c r="Q3208" s="5"/>
      <c r="R3208" s="8"/>
      <c r="S3208" s="8"/>
      <c r="T3208" s="3"/>
    </row>
    <row r="3209" spans="14:20" x14ac:dyDescent="0.3">
      <c r="N3209" s="5"/>
      <c r="O3209" s="5"/>
      <c r="P3209" s="5"/>
      <c r="Q3209" s="5"/>
      <c r="R3209" s="8"/>
      <c r="S3209" s="8"/>
      <c r="T3209" s="3"/>
    </row>
    <row r="3210" spans="14:20" x14ac:dyDescent="0.3">
      <c r="N3210" s="5"/>
      <c r="O3210" s="5"/>
      <c r="P3210" s="5"/>
      <c r="Q3210" s="5"/>
      <c r="R3210" s="8"/>
      <c r="S3210" s="8"/>
      <c r="T3210" s="3"/>
    </row>
    <row r="3211" spans="14:20" x14ac:dyDescent="0.3">
      <c r="N3211" s="5"/>
      <c r="O3211" s="5"/>
      <c r="P3211" s="5"/>
      <c r="Q3211" s="5"/>
      <c r="R3211" s="8"/>
      <c r="S3211" s="8"/>
      <c r="T3211" s="3"/>
    </row>
    <row r="3212" spans="14:20" x14ac:dyDescent="0.3">
      <c r="N3212" s="5"/>
      <c r="O3212" s="5"/>
      <c r="P3212" s="5"/>
      <c r="Q3212" s="5"/>
      <c r="R3212" s="8"/>
      <c r="S3212" s="8"/>
      <c r="T3212" s="3"/>
    </row>
    <row r="3213" spans="14:20" x14ac:dyDescent="0.3">
      <c r="N3213" s="5"/>
      <c r="O3213" s="5"/>
      <c r="P3213" s="5"/>
      <c r="Q3213" s="5"/>
      <c r="R3213" s="8"/>
      <c r="S3213" s="8"/>
      <c r="T3213" s="3"/>
    </row>
    <row r="3214" spans="14:20" x14ac:dyDescent="0.3">
      <c r="N3214" s="5"/>
      <c r="O3214" s="5"/>
      <c r="P3214" s="5"/>
      <c r="Q3214" s="5"/>
      <c r="R3214" s="8"/>
      <c r="S3214" s="8"/>
      <c r="T3214" s="3"/>
    </row>
    <row r="3215" spans="14:20" x14ac:dyDescent="0.3">
      <c r="N3215" s="5"/>
      <c r="O3215" s="5"/>
      <c r="P3215" s="5"/>
      <c r="Q3215" s="5"/>
      <c r="R3215" s="8"/>
      <c r="S3215" s="8"/>
      <c r="T3215" s="3"/>
    </row>
    <row r="3216" spans="14:20" x14ac:dyDescent="0.3">
      <c r="N3216" s="5"/>
      <c r="O3216" s="5"/>
      <c r="P3216" s="5"/>
      <c r="Q3216" s="5"/>
      <c r="R3216" s="8"/>
      <c r="S3216" s="8"/>
      <c r="T3216" s="3"/>
    </row>
    <row r="3217" spans="14:20" x14ac:dyDescent="0.3">
      <c r="N3217" s="5"/>
      <c r="O3217" s="5"/>
      <c r="P3217" s="5"/>
      <c r="Q3217" s="5"/>
      <c r="R3217" s="8"/>
      <c r="S3217" s="8"/>
      <c r="T3217" s="3"/>
    </row>
    <row r="3218" spans="14:20" x14ac:dyDescent="0.3">
      <c r="N3218" s="5"/>
      <c r="O3218" s="5"/>
      <c r="P3218" s="5"/>
      <c r="Q3218" s="5"/>
      <c r="R3218" s="8"/>
      <c r="S3218" s="8"/>
      <c r="T3218" s="3"/>
    </row>
    <row r="3219" spans="14:20" x14ac:dyDescent="0.3">
      <c r="N3219" s="5"/>
      <c r="O3219" s="5"/>
      <c r="P3219" s="5"/>
      <c r="Q3219" s="5"/>
      <c r="R3219" s="8"/>
      <c r="S3219" s="8"/>
      <c r="T3219" s="3"/>
    </row>
    <row r="3220" spans="14:20" x14ac:dyDescent="0.3">
      <c r="N3220" s="5"/>
      <c r="O3220" s="5"/>
      <c r="P3220" s="5"/>
      <c r="Q3220" s="5"/>
      <c r="R3220" s="8"/>
      <c r="S3220" s="8"/>
      <c r="T3220" s="3"/>
    </row>
    <row r="3221" spans="14:20" x14ac:dyDescent="0.3">
      <c r="N3221" s="5"/>
      <c r="O3221" s="5"/>
      <c r="P3221" s="5"/>
      <c r="Q3221" s="5"/>
      <c r="R3221" s="8"/>
      <c r="S3221" s="8"/>
      <c r="T3221" s="3"/>
    </row>
    <row r="3222" spans="14:20" x14ac:dyDescent="0.3">
      <c r="N3222" s="5"/>
      <c r="O3222" s="5"/>
      <c r="P3222" s="5"/>
      <c r="Q3222" s="5"/>
      <c r="R3222" s="8"/>
      <c r="S3222" s="8"/>
      <c r="T3222" s="3"/>
    </row>
    <row r="3223" spans="14:20" x14ac:dyDescent="0.3">
      <c r="N3223" s="5"/>
      <c r="O3223" s="5"/>
      <c r="P3223" s="5"/>
      <c r="Q3223" s="5"/>
      <c r="R3223" s="8"/>
      <c r="S3223" s="8"/>
      <c r="T3223" s="3"/>
    </row>
    <row r="3224" spans="14:20" x14ac:dyDescent="0.3">
      <c r="N3224" s="5"/>
      <c r="O3224" s="5"/>
      <c r="P3224" s="5"/>
      <c r="Q3224" s="5"/>
      <c r="R3224" s="8"/>
      <c r="S3224" s="8"/>
      <c r="T3224" s="3"/>
    </row>
    <row r="3225" spans="14:20" x14ac:dyDescent="0.3">
      <c r="N3225" s="5"/>
      <c r="O3225" s="5"/>
      <c r="P3225" s="5"/>
      <c r="Q3225" s="5"/>
      <c r="R3225" s="8"/>
      <c r="S3225" s="8"/>
      <c r="T3225" s="3"/>
    </row>
    <row r="3226" spans="14:20" x14ac:dyDescent="0.3">
      <c r="N3226" s="5"/>
      <c r="O3226" s="5"/>
      <c r="P3226" s="5"/>
      <c r="Q3226" s="5"/>
      <c r="R3226" s="8"/>
      <c r="S3226" s="8"/>
      <c r="T3226" s="3"/>
    </row>
    <row r="3227" spans="14:20" x14ac:dyDescent="0.3">
      <c r="N3227" s="5"/>
      <c r="O3227" s="5"/>
      <c r="P3227" s="5"/>
      <c r="Q3227" s="5"/>
      <c r="R3227" s="8"/>
      <c r="S3227" s="8"/>
      <c r="T3227" s="3"/>
    </row>
    <row r="3228" spans="14:20" x14ac:dyDescent="0.3">
      <c r="N3228" s="5"/>
      <c r="O3228" s="5"/>
      <c r="P3228" s="5"/>
      <c r="Q3228" s="5"/>
      <c r="R3228" s="8"/>
      <c r="S3228" s="8"/>
      <c r="T3228" s="3"/>
    </row>
    <row r="3229" spans="14:20" x14ac:dyDescent="0.3">
      <c r="N3229" s="5"/>
      <c r="O3229" s="5"/>
      <c r="P3229" s="5"/>
      <c r="Q3229" s="5"/>
      <c r="R3229" s="8"/>
      <c r="S3229" s="8"/>
      <c r="T3229" s="3"/>
    </row>
    <row r="3230" spans="14:20" x14ac:dyDescent="0.3">
      <c r="N3230" s="5"/>
      <c r="O3230" s="5"/>
      <c r="P3230" s="5"/>
      <c r="Q3230" s="5"/>
      <c r="R3230" s="8"/>
      <c r="S3230" s="8"/>
      <c r="T3230" s="3"/>
    </row>
    <row r="3231" spans="14:20" x14ac:dyDescent="0.3">
      <c r="N3231" s="5"/>
      <c r="O3231" s="5"/>
      <c r="P3231" s="5"/>
      <c r="Q3231" s="5"/>
      <c r="R3231" s="8"/>
      <c r="S3231" s="8"/>
      <c r="T3231" s="3"/>
    </row>
    <row r="3232" spans="14:20" x14ac:dyDescent="0.3">
      <c r="N3232" s="5"/>
      <c r="O3232" s="5"/>
      <c r="P3232" s="5"/>
      <c r="Q3232" s="5"/>
      <c r="R3232" s="8"/>
      <c r="S3232" s="8"/>
      <c r="T3232" s="3"/>
    </row>
    <row r="3233" spans="14:20" x14ac:dyDescent="0.3">
      <c r="N3233" s="5"/>
      <c r="O3233" s="5"/>
      <c r="P3233" s="5"/>
      <c r="Q3233" s="5"/>
      <c r="R3233" s="8"/>
      <c r="S3233" s="8"/>
      <c r="T3233" s="3"/>
    </row>
    <row r="3234" spans="14:20" x14ac:dyDescent="0.3">
      <c r="N3234" s="5"/>
      <c r="O3234" s="5"/>
      <c r="P3234" s="5"/>
      <c r="Q3234" s="5"/>
      <c r="R3234" s="8"/>
      <c r="S3234" s="8"/>
      <c r="T3234" s="3"/>
    </row>
    <row r="3235" spans="14:20" x14ac:dyDescent="0.3">
      <c r="N3235" s="5"/>
      <c r="O3235" s="5"/>
      <c r="P3235" s="5"/>
      <c r="Q3235" s="5"/>
      <c r="R3235" s="8"/>
      <c r="S3235" s="8"/>
      <c r="T3235" s="3"/>
    </row>
    <row r="3236" spans="14:20" x14ac:dyDescent="0.3">
      <c r="N3236" s="5"/>
      <c r="O3236" s="5"/>
      <c r="P3236" s="5"/>
      <c r="Q3236" s="5"/>
      <c r="R3236" s="8"/>
      <c r="S3236" s="8"/>
      <c r="T3236" s="3"/>
    </row>
    <row r="3237" spans="14:20" x14ac:dyDescent="0.3">
      <c r="N3237" s="5"/>
      <c r="O3237" s="5"/>
      <c r="P3237" s="5"/>
      <c r="Q3237" s="5"/>
      <c r="R3237" s="8"/>
      <c r="S3237" s="8"/>
      <c r="T3237" s="3"/>
    </row>
    <row r="3238" spans="14:20" x14ac:dyDescent="0.3">
      <c r="N3238" s="5"/>
      <c r="O3238" s="5"/>
      <c r="P3238" s="5"/>
      <c r="Q3238" s="5"/>
      <c r="R3238" s="8"/>
      <c r="S3238" s="8"/>
      <c r="T3238" s="3"/>
    </row>
    <row r="3239" spans="14:20" x14ac:dyDescent="0.3">
      <c r="N3239" s="5"/>
      <c r="O3239" s="5"/>
      <c r="P3239" s="5"/>
      <c r="Q3239" s="5"/>
      <c r="R3239" s="8"/>
      <c r="S3239" s="8"/>
      <c r="T3239" s="3"/>
    </row>
    <row r="3240" spans="14:20" x14ac:dyDescent="0.3">
      <c r="N3240" s="5"/>
      <c r="O3240" s="5"/>
      <c r="P3240" s="5"/>
      <c r="Q3240" s="5"/>
      <c r="R3240" s="8"/>
      <c r="S3240" s="8"/>
      <c r="T3240" s="3"/>
    </row>
    <row r="3241" spans="14:20" x14ac:dyDescent="0.3">
      <c r="N3241" s="5"/>
      <c r="O3241" s="5"/>
      <c r="P3241" s="5"/>
      <c r="Q3241" s="5"/>
      <c r="R3241" s="8"/>
      <c r="S3241" s="8"/>
      <c r="T3241" s="3"/>
    </row>
    <row r="3242" spans="14:20" x14ac:dyDescent="0.3">
      <c r="N3242" s="5"/>
      <c r="O3242" s="5"/>
      <c r="P3242" s="5"/>
      <c r="Q3242" s="5"/>
      <c r="R3242" s="8"/>
      <c r="S3242" s="8"/>
      <c r="T3242" s="3"/>
    </row>
    <row r="3243" spans="14:20" x14ac:dyDescent="0.3">
      <c r="N3243" s="5"/>
      <c r="O3243" s="5"/>
      <c r="P3243" s="5"/>
      <c r="Q3243" s="5"/>
      <c r="R3243" s="8"/>
      <c r="S3243" s="8"/>
      <c r="T3243" s="3"/>
    </row>
    <row r="3244" spans="14:20" x14ac:dyDescent="0.3">
      <c r="N3244" s="5"/>
      <c r="O3244" s="5"/>
      <c r="P3244" s="5"/>
      <c r="Q3244" s="5"/>
      <c r="R3244" s="8"/>
      <c r="S3244" s="8"/>
      <c r="T3244" s="3"/>
    </row>
    <row r="3245" spans="14:20" x14ac:dyDescent="0.3">
      <c r="N3245" s="5"/>
      <c r="O3245" s="5"/>
      <c r="P3245" s="5"/>
      <c r="Q3245" s="5"/>
      <c r="R3245" s="8"/>
      <c r="S3245" s="8"/>
      <c r="T3245" s="3"/>
    </row>
    <row r="3246" spans="14:20" x14ac:dyDescent="0.3">
      <c r="N3246" s="5"/>
      <c r="O3246" s="5"/>
      <c r="P3246" s="5"/>
      <c r="Q3246" s="5"/>
      <c r="R3246" s="8"/>
      <c r="S3246" s="8"/>
      <c r="T3246" s="3"/>
    </row>
    <row r="3247" spans="14:20" x14ac:dyDescent="0.3">
      <c r="N3247" s="5"/>
      <c r="O3247" s="5"/>
      <c r="P3247" s="5"/>
      <c r="Q3247" s="5"/>
      <c r="R3247" s="8"/>
      <c r="S3247" s="8"/>
      <c r="T3247" s="3"/>
    </row>
    <row r="3248" spans="14:20" x14ac:dyDescent="0.3">
      <c r="N3248" s="5"/>
      <c r="O3248" s="5"/>
      <c r="P3248" s="5"/>
      <c r="Q3248" s="5"/>
      <c r="R3248" s="8"/>
      <c r="S3248" s="8"/>
      <c r="T3248" s="3"/>
    </row>
    <row r="3249" spans="14:20" x14ac:dyDescent="0.3">
      <c r="N3249" s="5"/>
      <c r="O3249" s="5"/>
      <c r="P3249" s="5"/>
      <c r="Q3249" s="5"/>
      <c r="R3249" s="8"/>
      <c r="S3249" s="8"/>
      <c r="T3249" s="3"/>
    </row>
    <row r="3250" spans="14:20" x14ac:dyDescent="0.3">
      <c r="N3250" s="5"/>
      <c r="O3250" s="5"/>
      <c r="P3250" s="5"/>
      <c r="Q3250" s="5"/>
      <c r="R3250" s="8"/>
      <c r="S3250" s="8"/>
      <c r="T3250" s="3"/>
    </row>
    <row r="3251" spans="14:20" x14ac:dyDescent="0.3">
      <c r="N3251" s="5"/>
      <c r="O3251" s="5"/>
      <c r="P3251" s="5"/>
      <c r="Q3251" s="5"/>
      <c r="R3251" s="8"/>
      <c r="S3251" s="8"/>
      <c r="T3251" s="3"/>
    </row>
    <row r="3252" spans="14:20" x14ac:dyDescent="0.3">
      <c r="N3252" s="5"/>
      <c r="O3252" s="5"/>
      <c r="P3252" s="5"/>
      <c r="Q3252" s="5"/>
      <c r="R3252" s="8"/>
      <c r="S3252" s="8"/>
      <c r="T3252" s="3"/>
    </row>
    <row r="3253" spans="14:20" x14ac:dyDescent="0.3">
      <c r="N3253" s="5"/>
      <c r="O3253" s="5"/>
      <c r="P3253" s="5"/>
      <c r="Q3253" s="5"/>
      <c r="R3253" s="8"/>
      <c r="S3253" s="8"/>
      <c r="T3253" s="3"/>
    </row>
    <row r="3254" spans="14:20" x14ac:dyDescent="0.3">
      <c r="N3254" s="5"/>
      <c r="O3254" s="5"/>
      <c r="P3254" s="5"/>
      <c r="Q3254" s="5"/>
      <c r="R3254" s="8"/>
      <c r="S3254" s="8"/>
      <c r="T3254" s="3"/>
    </row>
    <row r="3255" spans="14:20" x14ac:dyDescent="0.3">
      <c r="N3255" s="5"/>
      <c r="O3255" s="5"/>
      <c r="P3255" s="5"/>
      <c r="Q3255" s="5"/>
      <c r="R3255" s="8"/>
      <c r="S3255" s="8"/>
      <c r="T3255" s="3"/>
    </row>
    <row r="3256" spans="14:20" x14ac:dyDescent="0.3">
      <c r="N3256" s="5"/>
      <c r="O3256" s="5"/>
      <c r="P3256" s="5"/>
      <c r="Q3256" s="5"/>
      <c r="R3256" s="8"/>
      <c r="S3256" s="8"/>
      <c r="T3256" s="3"/>
    </row>
    <row r="3257" spans="14:20" x14ac:dyDescent="0.3">
      <c r="N3257" s="5"/>
      <c r="O3257" s="5"/>
      <c r="P3257" s="5"/>
      <c r="Q3257" s="5"/>
      <c r="R3257" s="8"/>
      <c r="S3257" s="8"/>
      <c r="T3257" s="3"/>
    </row>
    <row r="3258" spans="14:20" x14ac:dyDescent="0.3">
      <c r="N3258" s="5"/>
      <c r="O3258" s="5"/>
      <c r="P3258" s="5"/>
      <c r="Q3258" s="5"/>
      <c r="R3258" s="8"/>
      <c r="S3258" s="8"/>
      <c r="T3258" s="3"/>
    </row>
    <row r="3259" spans="14:20" x14ac:dyDescent="0.3">
      <c r="N3259" s="5"/>
      <c r="O3259" s="5"/>
      <c r="P3259" s="5"/>
      <c r="Q3259" s="5"/>
      <c r="R3259" s="8"/>
      <c r="S3259" s="8"/>
      <c r="T3259" s="3"/>
    </row>
    <row r="3260" spans="14:20" x14ac:dyDescent="0.3">
      <c r="N3260" s="5"/>
      <c r="O3260" s="5"/>
      <c r="P3260" s="5"/>
      <c r="Q3260" s="5"/>
      <c r="R3260" s="8"/>
      <c r="S3260" s="8"/>
      <c r="T3260" s="3"/>
    </row>
    <row r="3261" spans="14:20" x14ac:dyDescent="0.3">
      <c r="N3261" s="5"/>
      <c r="O3261" s="5"/>
      <c r="P3261" s="5"/>
      <c r="Q3261" s="5"/>
      <c r="R3261" s="8"/>
      <c r="S3261" s="8"/>
      <c r="T3261" s="3"/>
    </row>
    <row r="3262" spans="14:20" x14ac:dyDescent="0.3">
      <c r="N3262" s="5"/>
      <c r="O3262" s="5"/>
      <c r="P3262" s="5"/>
      <c r="Q3262" s="5"/>
      <c r="R3262" s="8"/>
      <c r="S3262" s="8"/>
      <c r="T3262" s="3"/>
    </row>
    <row r="3263" spans="14:20" x14ac:dyDescent="0.3">
      <c r="N3263" s="5"/>
      <c r="O3263" s="5"/>
      <c r="P3263" s="5"/>
      <c r="Q3263" s="5"/>
      <c r="R3263" s="8"/>
      <c r="S3263" s="8"/>
      <c r="T3263" s="3"/>
    </row>
    <row r="3264" spans="14:20" x14ac:dyDescent="0.3">
      <c r="N3264" s="5"/>
      <c r="O3264" s="5"/>
      <c r="P3264" s="5"/>
      <c r="Q3264" s="5"/>
      <c r="R3264" s="8"/>
      <c r="S3264" s="8"/>
      <c r="T3264" s="3"/>
    </row>
    <row r="3265" spans="14:20" x14ac:dyDescent="0.3">
      <c r="N3265" s="5"/>
      <c r="O3265" s="5"/>
      <c r="P3265" s="5"/>
      <c r="Q3265" s="5"/>
      <c r="R3265" s="8"/>
      <c r="S3265" s="8"/>
      <c r="T3265" s="3"/>
    </row>
    <row r="3266" spans="14:20" x14ac:dyDescent="0.3">
      <c r="N3266" s="5"/>
      <c r="O3266" s="5"/>
      <c r="P3266" s="5"/>
      <c r="Q3266" s="5"/>
      <c r="R3266" s="8"/>
      <c r="S3266" s="8"/>
      <c r="T3266" s="3"/>
    </row>
    <row r="3267" spans="14:20" x14ac:dyDescent="0.3">
      <c r="N3267" s="5"/>
      <c r="O3267" s="5"/>
      <c r="P3267" s="5"/>
      <c r="Q3267" s="5"/>
      <c r="R3267" s="8"/>
      <c r="S3267" s="8"/>
      <c r="T3267" s="3"/>
    </row>
    <row r="3268" spans="14:20" x14ac:dyDescent="0.3">
      <c r="N3268" s="5"/>
      <c r="O3268" s="5"/>
      <c r="P3268" s="5"/>
      <c r="Q3268" s="5"/>
      <c r="R3268" s="8"/>
      <c r="S3268" s="8"/>
      <c r="T3268" s="3"/>
    </row>
    <row r="3269" spans="14:20" x14ac:dyDescent="0.3">
      <c r="N3269" s="5"/>
      <c r="O3269" s="5"/>
      <c r="P3269" s="5"/>
      <c r="Q3269" s="5"/>
      <c r="R3269" s="8"/>
      <c r="S3269" s="8"/>
      <c r="T3269" s="3"/>
    </row>
    <row r="3270" spans="14:20" x14ac:dyDescent="0.3">
      <c r="N3270" s="5"/>
      <c r="O3270" s="5"/>
      <c r="P3270" s="5"/>
      <c r="Q3270" s="5"/>
      <c r="R3270" s="8"/>
      <c r="S3270" s="8"/>
      <c r="T3270" s="3"/>
    </row>
    <row r="3271" spans="14:20" x14ac:dyDescent="0.3">
      <c r="N3271" s="5"/>
      <c r="O3271" s="5"/>
      <c r="P3271" s="5"/>
      <c r="Q3271" s="5"/>
      <c r="R3271" s="8"/>
      <c r="S3271" s="8"/>
      <c r="T3271" s="3"/>
    </row>
    <row r="3272" spans="14:20" x14ac:dyDescent="0.3">
      <c r="N3272" s="5"/>
      <c r="O3272" s="5"/>
      <c r="P3272" s="5"/>
      <c r="Q3272" s="5"/>
      <c r="R3272" s="8"/>
      <c r="S3272" s="8"/>
      <c r="T3272" s="3"/>
    </row>
    <row r="3273" spans="14:20" x14ac:dyDescent="0.3">
      <c r="N3273" s="5"/>
      <c r="O3273" s="5"/>
      <c r="P3273" s="5"/>
      <c r="Q3273" s="5"/>
      <c r="R3273" s="8"/>
      <c r="S3273" s="8"/>
      <c r="T3273" s="3"/>
    </row>
    <row r="3274" spans="14:20" x14ac:dyDescent="0.3">
      <c r="N3274" s="5"/>
      <c r="O3274" s="5"/>
      <c r="P3274" s="5"/>
      <c r="Q3274" s="5"/>
      <c r="R3274" s="8"/>
      <c r="S3274" s="8"/>
      <c r="T3274" s="3"/>
    </row>
    <row r="3275" spans="14:20" x14ac:dyDescent="0.3">
      <c r="N3275" s="5"/>
      <c r="O3275" s="5"/>
      <c r="P3275" s="5"/>
      <c r="Q3275" s="5"/>
      <c r="R3275" s="8"/>
      <c r="S3275" s="8"/>
      <c r="T3275" s="3"/>
    </row>
    <row r="3276" spans="14:20" x14ac:dyDescent="0.3">
      <c r="N3276" s="5"/>
      <c r="O3276" s="5"/>
      <c r="P3276" s="5"/>
      <c r="Q3276" s="5"/>
      <c r="R3276" s="8"/>
      <c r="S3276" s="8"/>
      <c r="T3276" s="3"/>
    </row>
    <row r="3277" spans="14:20" x14ac:dyDescent="0.3">
      <c r="N3277" s="5"/>
      <c r="O3277" s="5"/>
      <c r="P3277" s="5"/>
      <c r="Q3277" s="5"/>
      <c r="R3277" s="8"/>
      <c r="S3277" s="8"/>
      <c r="T3277" s="3"/>
    </row>
    <row r="3278" spans="14:20" x14ac:dyDescent="0.3">
      <c r="N3278" s="5"/>
      <c r="O3278" s="5"/>
      <c r="P3278" s="5"/>
      <c r="Q3278" s="5"/>
      <c r="R3278" s="8"/>
      <c r="S3278" s="8"/>
      <c r="T3278" s="3"/>
    </row>
    <row r="3279" spans="14:20" x14ac:dyDescent="0.3">
      <c r="N3279" s="5"/>
      <c r="O3279" s="5"/>
      <c r="P3279" s="5"/>
      <c r="Q3279" s="5"/>
      <c r="R3279" s="8"/>
      <c r="S3279" s="8"/>
      <c r="T3279" s="3"/>
    </row>
    <row r="3280" spans="14:20" x14ac:dyDescent="0.3">
      <c r="N3280" s="5"/>
      <c r="O3280" s="5"/>
      <c r="P3280" s="5"/>
      <c r="Q3280" s="5"/>
      <c r="R3280" s="8"/>
      <c r="S3280" s="8"/>
      <c r="T3280" s="3"/>
    </row>
    <row r="3281" spans="14:20" x14ac:dyDescent="0.3">
      <c r="N3281" s="5"/>
      <c r="O3281" s="5"/>
      <c r="P3281" s="5"/>
      <c r="Q3281" s="5"/>
      <c r="R3281" s="8"/>
      <c r="S3281" s="8"/>
      <c r="T3281" s="3"/>
    </row>
    <row r="3282" spans="14:20" x14ac:dyDescent="0.3">
      <c r="N3282" s="5"/>
      <c r="O3282" s="5"/>
      <c r="P3282" s="5"/>
      <c r="Q3282" s="5"/>
      <c r="R3282" s="8"/>
      <c r="S3282" s="8"/>
      <c r="T3282" s="3"/>
    </row>
    <row r="3283" spans="14:20" x14ac:dyDescent="0.3">
      <c r="N3283" s="5"/>
      <c r="O3283" s="5"/>
      <c r="P3283" s="5"/>
      <c r="Q3283" s="5"/>
      <c r="R3283" s="8"/>
      <c r="S3283" s="8"/>
      <c r="T3283" s="3"/>
    </row>
    <row r="3284" spans="14:20" x14ac:dyDescent="0.3">
      <c r="N3284" s="5"/>
      <c r="O3284" s="5"/>
      <c r="P3284" s="5"/>
      <c r="Q3284" s="5"/>
      <c r="R3284" s="8"/>
      <c r="S3284" s="8"/>
      <c r="T3284" s="3"/>
    </row>
    <row r="3285" spans="14:20" x14ac:dyDescent="0.3">
      <c r="N3285" s="5"/>
      <c r="O3285" s="5"/>
      <c r="P3285" s="5"/>
      <c r="Q3285" s="5"/>
      <c r="R3285" s="8"/>
      <c r="S3285" s="8"/>
      <c r="T3285" s="3"/>
    </row>
    <row r="3286" spans="14:20" x14ac:dyDescent="0.3">
      <c r="N3286" s="5"/>
      <c r="O3286" s="5"/>
      <c r="P3286" s="5"/>
      <c r="Q3286" s="5"/>
      <c r="R3286" s="8"/>
      <c r="S3286" s="8"/>
      <c r="T3286" s="3"/>
    </row>
    <row r="3287" spans="14:20" x14ac:dyDescent="0.3">
      <c r="N3287" s="5"/>
      <c r="O3287" s="5"/>
      <c r="P3287" s="5"/>
      <c r="Q3287" s="5"/>
      <c r="R3287" s="8"/>
      <c r="S3287" s="8"/>
      <c r="T3287" s="3"/>
    </row>
    <row r="3288" spans="14:20" x14ac:dyDescent="0.3">
      <c r="N3288" s="5"/>
      <c r="O3288" s="5"/>
      <c r="P3288" s="5"/>
      <c r="Q3288" s="5"/>
      <c r="R3288" s="8"/>
      <c r="S3288" s="8"/>
      <c r="T3288" s="3"/>
    </row>
    <row r="3289" spans="14:20" x14ac:dyDescent="0.3">
      <c r="N3289" s="5"/>
      <c r="O3289" s="5"/>
      <c r="P3289" s="5"/>
      <c r="Q3289" s="5"/>
      <c r="R3289" s="8"/>
      <c r="S3289" s="8"/>
      <c r="T3289" s="3"/>
    </row>
    <row r="3290" spans="14:20" x14ac:dyDescent="0.3">
      <c r="N3290" s="5"/>
      <c r="O3290" s="5"/>
      <c r="P3290" s="5"/>
      <c r="Q3290" s="5"/>
      <c r="R3290" s="8"/>
      <c r="S3290" s="8"/>
      <c r="T3290" s="3"/>
    </row>
    <row r="3291" spans="14:20" x14ac:dyDescent="0.3">
      <c r="N3291" s="5"/>
      <c r="O3291" s="5"/>
      <c r="P3291" s="5"/>
      <c r="Q3291" s="5"/>
      <c r="R3291" s="8"/>
      <c r="S3291" s="8"/>
      <c r="T3291" s="3"/>
    </row>
    <row r="3292" spans="14:20" x14ac:dyDescent="0.3">
      <c r="N3292" s="5"/>
      <c r="O3292" s="5"/>
      <c r="P3292" s="5"/>
      <c r="Q3292" s="5"/>
      <c r="R3292" s="8"/>
      <c r="S3292" s="8"/>
      <c r="T3292" s="3"/>
    </row>
    <row r="3293" spans="14:20" x14ac:dyDescent="0.3">
      <c r="N3293" s="5"/>
      <c r="O3293" s="5"/>
      <c r="P3293" s="5"/>
      <c r="Q3293" s="5"/>
      <c r="R3293" s="8"/>
      <c r="S3293" s="8"/>
      <c r="T3293" s="3"/>
    </row>
    <row r="3294" spans="14:20" x14ac:dyDescent="0.3">
      <c r="N3294" s="5"/>
      <c r="O3294" s="5"/>
      <c r="P3294" s="5"/>
      <c r="Q3294" s="5"/>
      <c r="R3294" s="8"/>
      <c r="S3294" s="8"/>
      <c r="T3294" s="3"/>
    </row>
    <row r="3295" spans="14:20" x14ac:dyDescent="0.3">
      <c r="N3295" s="5"/>
      <c r="O3295" s="5"/>
      <c r="P3295" s="5"/>
      <c r="Q3295" s="5"/>
      <c r="R3295" s="8"/>
      <c r="S3295" s="8"/>
      <c r="T3295" s="3"/>
    </row>
    <row r="3296" spans="14:20" x14ac:dyDescent="0.3">
      <c r="N3296" s="5"/>
      <c r="O3296" s="5"/>
      <c r="P3296" s="5"/>
      <c r="Q3296" s="5"/>
      <c r="R3296" s="8"/>
      <c r="S3296" s="8"/>
      <c r="T3296" s="3"/>
    </row>
    <row r="3297" spans="14:20" x14ac:dyDescent="0.3">
      <c r="N3297" s="5"/>
      <c r="O3297" s="5"/>
      <c r="P3297" s="5"/>
      <c r="Q3297" s="5"/>
      <c r="R3297" s="8"/>
      <c r="S3297" s="8"/>
      <c r="T3297" s="3"/>
    </row>
    <row r="3298" spans="14:20" x14ac:dyDescent="0.3">
      <c r="N3298" s="5"/>
      <c r="O3298" s="5"/>
      <c r="P3298" s="5"/>
      <c r="Q3298" s="5"/>
      <c r="R3298" s="8"/>
      <c r="S3298" s="8"/>
      <c r="T3298" s="3"/>
    </row>
    <row r="3299" spans="14:20" x14ac:dyDescent="0.3">
      <c r="N3299" s="5"/>
      <c r="O3299" s="5"/>
      <c r="P3299" s="5"/>
      <c r="Q3299" s="5"/>
      <c r="R3299" s="8"/>
      <c r="S3299" s="8"/>
      <c r="T3299" s="3"/>
    </row>
    <row r="3300" spans="14:20" x14ac:dyDescent="0.3">
      <c r="N3300" s="5"/>
      <c r="O3300" s="5"/>
      <c r="P3300" s="5"/>
      <c r="Q3300" s="5"/>
      <c r="R3300" s="8"/>
      <c r="S3300" s="8"/>
      <c r="T3300" s="3"/>
    </row>
    <row r="3301" spans="14:20" x14ac:dyDescent="0.3">
      <c r="N3301" s="5"/>
      <c r="O3301" s="5"/>
      <c r="P3301" s="5"/>
      <c r="Q3301" s="5"/>
      <c r="R3301" s="8"/>
      <c r="S3301" s="8"/>
      <c r="T3301" s="3"/>
    </row>
    <row r="3302" spans="14:20" x14ac:dyDescent="0.3">
      <c r="N3302" s="5"/>
      <c r="O3302" s="5"/>
      <c r="P3302" s="5"/>
      <c r="Q3302" s="5"/>
      <c r="R3302" s="8"/>
      <c r="S3302" s="8"/>
      <c r="T3302" s="3"/>
    </row>
    <row r="3303" spans="14:20" x14ac:dyDescent="0.3">
      <c r="N3303" s="5"/>
      <c r="O3303" s="5"/>
      <c r="P3303" s="5"/>
      <c r="Q3303" s="5"/>
      <c r="R3303" s="8"/>
      <c r="S3303" s="8"/>
      <c r="T3303" s="3"/>
    </row>
    <row r="3304" spans="14:20" x14ac:dyDescent="0.3">
      <c r="N3304" s="5"/>
      <c r="O3304" s="5"/>
      <c r="P3304" s="5"/>
      <c r="Q3304" s="5"/>
      <c r="R3304" s="8"/>
      <c r="S3304" s="8"/>
      <c r="T3304" s="3"/>
    </row>
    <row r="3305" spans="14:20" x14ac:dyDescent="0.3">
      <c r="N3305" s="5"/>
      <c r="O3305" s="5"/>
      <c r="P3305" s="5"/>
      <c r="Q3305" s="5"/>
      <c r="R3305" s="8"/>
      <c r="S3305" s="8"/>
      <c r="T3305" s="3"/>
    </row>
    <row r="3306" spans="14:20" x14ac:dyDescent="0.3">
      <c r="N3306" s="5"/>
      <c r="O3306" s="5"/>
      <c r="P3306" s="5"/>
      <c r="Q3306" s="5"/>
      <c r="R3306" s="8"/>
      <c r="S3306" s="8"/>
      <c r="T3306" s="3"/>
    </row>
    <row r="3307" spans="14:20" x14ac:dyDescent="0.3">
      <c r="N3307" s="5"/>
      <c r="O3307" s="5"/>
      <c r="P3307" s="5"/>
      <c r="Q3307" s="5"/>
      <c r="R3307" s="8"/>
      <c r="S3307" s="8"/>
      <c r="T3307" s="3"/>
    </row>
    <row r="3308" spans="14:20" x14ac:dyDescent="0.3">
      <c r="N3308" s="5"/>
      <c r="O3308" s="5"/>
      <c r="P3308" s="5"/>
      <c r="Q3308" s="5"/>
      <c r="R3308" s="8"/>
      <c r="S3308" s="8"/>
      <c r="T3308" s="3"/>
    </row>
    <row r="3309" spans="14:20" x14ac:dyDescent="0.3">
      <c r="N3309" s="5"/>
      <c r="O3309" s="5"/>
      <c r="P3309" s="5"/>
      <c r="Q3309" s="5"/>
      <c r="R3309" s="8"/>
      <c r="S3309" s="8"/>
      <c r="T3309" s="3"/>
    </row>
    <row r="3310" spans="14:20" x14ac:dyDescent="0.3">
      <c r="N3310" s="5"/>
      <c r="O3310" s="5"/>
      <c r="P3310" s="5"/>
      <c r="Q3310" s="5"/>
      <c r="R3310" s="8"/>
      <c r="S3310" s="8"/>
      <c r="T3310" s="3"/>
    </row>
    <row r="3311" spans="14:20" x14ac:dyDescent="0.3">
      <c r="N3311" s="5"/>
      <c r="O3311" s="5"/>
      <c r="P3311" s="5"/>
      <c r="Q3311" s="5"/>
      <c r="R3311" s="8"/>
      <c r="S3311" s="8"/>
      <c r="T3311" s="3"/>
    </row>
    <row r="3312" spans="14:20" x14ac:dyDescent="0.3">
      <c r="N3312" s="5"/>
      <c r="O3312" s="5"/>
      <c r="P3312" s="5"/>
      <c r="Q3312" s="5"/>
      <c r="R3312" s="8"/>
      <c r="S3312" s="8"/>
      <c r="T3312" s="3"/>
    </row>
    <row r="3313" spans="14:20" x14ac:dyDescent="0.3">
      <c r="N3313" s="5"/>
      <c r="O3313" s="5"/>
      <c r="P3313" s="5"/>
      <c r="Q3313" s="5"/>
      <c r="R3313" s="8"/>
      <c r="S3313" s="8"/>
      <c r="T3313" s="3"/>
    </row>
    <row r="3314" spans="14:20" x14ac:dyDescent="0.3">
      <c r="N3314" s="5"/>
      <c r="O3314" s="5"/>
      <c r="P3314" s="5"/>
      <c r="Q3314" s="5"/>
      <c r="R3314" s="8"/>
      <c r="S3314" s="8"/>
      <c r="T3314" s="3"/>
    </row>
    <row r="3315" spans="14:20" x14ac:dyDescent="0.3">
      <c r="N3315" s="5"/>
      <c r="O3315" s="5"/>
      <c r="P3315" s="5"/>
      <c r="Q3315" s="5"/>
      <c r="R3315" s="8"/>
      <c r="S3315" s="8"/>
      <c r="T3315" s="3"/>
    </row>
    <row r="3316" spans="14:20" x14ac:dyDescent="0.3">
      <c r="N3316" s="5"/>
      <c r="O3316" s="5"/>
      <c r="P3316" s="5"/>
      <c r="Q3316" s="5"/>
      <c r="R3316" s="8"/>
      <c r="S3316" s="8"/>
      <c r="T3316" s="3"/>
    </row>
    <row r="3317" spans="14:20" x14ac:dyDescent="0.3">
      <c r="N3317" s="5"/>
      <c r="O3317" s="5"/>
      <c r="P3317" s="5"/>
      <c r="Q3317" s="5"/>
      <c r="R3317" s="8"/>
      <c r="S3317" s="8"/>
      <c r="T3317" s="3"/>
    </row>
    <row r="3318" spans="14:20" x14ac:dyDescent="0.3">
      <c r="N3318" s="5"/>
      <c r="O3318" s="5"/>
      <c r="P3318" s="5"/>
      <c r="Q3318" s="5"/>
      <c r="R3318" s="8"/>
      <c r="S3318" s="8"/>
      <c r="T3318" s="3"/>
    </row>
    <row r="3319" spans="14:20" x14ac:dyDescent="0.3">
      <c r="N3319" s="5"/>
      <c r="O3319" s="5"/>
      <c r="P3319" s="5"/>
      <c r="Q3319" s="5"/>
      <c r="R3319" s="8"/>
      <c r="S3319" s="8"/>
      <c r="T3319" s="3"/>
    </row>
    <row r="3320" spans="14:20" x14ac:dyDescent="0.3">
      <c r="N3320" s="5"/>
      <c r="O3320" s="5"/>
      <c r="P3320" s="5"/>
      <c r="Q3320" s="5"/>
      <c r="R3320" s="8"/>
      <c r="S3320" s="8"/>
      <c r="T3320" s="3"/>
    </row>
    <row r="3321" spans="14:20" x14ac:dyDescent="0.3">
      <c r="N3321" s="5"/>
      <c r="O3321" s="5"/>
      <c r="P3321" s="5"/>
      <c r="Q3321" s="5"/>
      <c r="R3321" s="8"/>
      <c r="S3321" s="8"/>
      <c r="T3321" s="3"/>
    </row>
    <row r="3322" spans="14:20" x14ac:dyDescent="0.3">
      <c r="N3322" s="5"/>
      <c r="O3322" s="5"/>
      <c r="P3322" s="5"/>
      <c r="Q3322" s="5"/>
      <c r="R3322" s="8"/>
      <c r="S3322" s="8"/>
      <c r="T3322" s="3"/>
    </row>
    <row r="3323" spans="14:20" x14ac:dyDescent="0.3">
      <c r="N3323" s="5"/>
      <c r="O3323" s="5"/>
      <c r="P3323" s="5"/>
      <c r="Q3323" s="5"/>
      <c r="R3323" s="8"/>
      <c r="S3323" s="8"/>
      <c r="T3323" s="3"/>
    </row>
    <row r="3324" spans="14:20" x14ac:dyDescent="0.3">
      <c r="N3324" s="5"/>
      <c r="O3324" s="5"/>
      <c r="P3324" s="5"/>
      <c r="Q3324" s="5"/>
      <c r="R3324" s="8"/>
      <c r="S3324" s="8"/>
      <c r="T3324" s="3"/>
    </row>
    <row r="3325" spans="14:20" x14ac:dyDescent="0.3">
      <c r="N3325" s="5"/>
      <c r="O3325" s="5"/>
      <c r="P3325" s="5"/>
      <c r="Q3325" s="5"/>
      <c r="R3325" s="8"/>
      <c r="S3325" s="8"/>
      <c r="T3325" s="3"/>
    </row>
    <row r="3326" spans="14:20" x14ac:dyDescent="0.3">
      <c r="N3326" s="5"/>
      <c r="O3326" s="5"/>
      <c r="P3326" s="5"/>
      <c r="Q3326" s="5"/>
      <c r="R3326" s="8"/>
      <c r="S3326" s="8"/>
      <c r="T3326" s="3"/>
    </row>
    <row r="3327" spans="14:20" x14ac:dyDescent="0.3">
      <c r="N3327" s="5"/>
      <c r="O3327" s="5"/>
      <c r="P3327" s="5"/>
      <c r="Q3327" s="5"/>
      <c r="R3327" s="8"/>
      <c r="S3327" s="8"/>
      <c r="T3327" s="3"/>
    </row>
    <row r="3328" spans="14:20" x14ac:dyDescent="0.3">
      <c r="N3328" s="5"/>
      <c r="O3328" s="5"/>
      <c r="P3328" s="5"/>
      <c r="Q3328" s="5"/>
      <c r="R3328" s="8"/>
      <c r="S3328" s="8"/>
      <c r="T3328" s="3"/>
    </row>
    <row r="3329" spans="14:20" x14ac:dyDescent="0.3">
      <c r="N3329" s="5"/>
      <c r="O3329" s="5"/>
      <c r="P3329" s="5"/>
      <c r="Q3329" s="5"/>
      <c r="R3329" s="8"/>
      <c r="S3329" s="8"/>
      <c r="T3329" s="3"/>
    </row>
    <row r="3330" spans="14:20" x14ac:dyDescent="0.3">
      <c r="N3330" s="5"/>
      <c r="O3330" s="5"/>
      <c r="P3330" s="5"/>
      <c r="Q3330" s="5"/>
      <c r="R3330" s="8"/>
      <c r="S3330" s="8"/>
      <c r="T3330" s="3"/>
    </row>
    <row r="3331" spans="14:20" x14ac:dyDescent="0.3">
      <c r="N3331" s="5"/>
      <c r="O3331" s="5"/>
      <c r="P3331" s="5"/>
      <c r="Q3331" s="5"/>
      <c r="R3331" s="8"/>
      <c r="S3331" s="8"/>
      <c r="T3331" s="3"/>
    </row>
    <row r="3332" spans="14:20" x14ac:dyDescent="0.3">
      <c r="N3332" s="5"/>
      <c r="O3332" s="5"/>
      <c r="P3332" s="5"/>
      <c r="Q3332" s="5"/>
      <c r="R3332" s="8"/>
      <c r="S3332" s="8"/>
      <c r="T3332" s="3"/>
    </row>
    <row r="3333" spans="14:20" x14ac:dyDescent="0.3">
      <c r="N3333" s="5"/>
      <c r="O3333" s="5"/>
      <c r="P3333" s="5"/>
      <c r="Q3333" s="5"/>
      <c r="R3333" s="8"/>
      <c r="S3333" s="8"/>
      <c r="T3333" s="3"/>
    </row>
    <row r="3334" spans="14:20" x14ac:dyDescent="0.3">
      <c r="N3334" s="5"/>
      <c r="O3334" s="5"/>
      <c r="P3334" s="5"/>
      <c r="Q3334" s="5"/>
      <c r="R3334" s="8"/>
      <c r="S3334" s="8"/>
      <c r="T3334" s="3"/>
    </row>
    <row r="3335" spans="14:20" x14ac:dyDescent="0.3">
      <c r="N3335" s="5"/>
      <c r="O3335" s="5"/>
      <c r="P3335" s="5"/>
      <c r="Q3335" s="5"/>
      <c r="R3335" s="8"/>
      <c r="S3335" s="8"/>
      <c r="T3335" s="3"/>
    </row>
    <row r="3336" spans="14:20" x14ac:dyDescent="0.3">
      <c r="N3336" s="5"/>
      <c r="O3336" s="5"/>
      <c r="P3336" s="5"/>
      <c r="Q3336" s="5"/>
      <c r="R3336" s="8"/>
      <c r="S3336" s="8"/>
      <c r="T3336" s="3"/>
    </row>
    <row r="3337" spans="14:20" x14ac:dyDescent="0.3">
      <c r="N3337" s="5"/>
      <c r="O3337" s="5"/>
      <c r="P3337" s="5"/>
      <c r="Q3337" s="5"/>
      <c r="R3337" s="8"/>
      <c r="S3337" s="8"/>
      <c r="T3337" s="3"/>
    </row>
    <row r="3338" spans="14:20" x14ac:dyDescent="0.3">
      <c r="N3338" s="5"/>
      <c r="O3338" s="5"/>
      <c r="P3338" s="5"/>
      <c r="Q3338" s="5"/>
      <c r="R3338" s="8"/>
      <c r="S3338" s="8"/>
      <c r="T3338" s="3"/>
    </row>
    <row r="3339" spans="14:20" x14ac:dyDescent="0.3">
      <c r="N3339" s="5"/>
      <c r="O3339" s="5"/>
      <c r="P3339" s="5"/>
      <c r="Q3339" s="5"/>
      <c r="R3339" s="8"/>
      <c r="S3339" s="8"/>
      <c r="T3339" s="3"/>
    </row>
    <row r="3340" spans="14:20" x14ac:dyDescent="0.3">
      <c r="N3340" s="5"/>
      <c r="O3340" s="5"/>
      <c r="P3340" s="5"/>
      <c r="Q3340" s="5"/>
      <c r="R3340" s="8"/>
      <c r="S3340" s="8"/>
      <c r="T3340" s="3"/>
    </row>
    <row r="3341" spans="14:20" x14ac:dyDescent="0.3">
      <c r="N3341" s="5"/>
      <c r="O3341" s="5"/>
      <c r="P3341" s="5"/>
      <c r="Q3341" s="5"/>
      <c r="R3341" s="8"/>
      <c r="S3341" s="8"/>
      <c r="T3341" s="3"/>
    </row>
    <row r="3342" spans="14:20" x14ac:dyDescent="0.3">
      <c r="N3342" s="5"/>
      <c r="O3342" s="5"/>
      <c r="P3342" s="5"/>
      <c r="Q3342" s="5"/>
      <c r="R3342" s="8"/>
      <c r="S3342" s="8"/>
      <c r="T3342" s="3"/>
    </row>
    <row r="3343" spans="14:20" x14ac:dyDescent="0.3">
      <c r="N3343" s="5"/>
      <c r="O3343" s="5"/>
      <c r="P3343" s="5"/>
      <c r="Q3343" s="5"/>
      <c r="R3343" s="8"/>
      <c r="S3343" s="8"/>
      <c r="T3343" s="3"/>
    </row>
    <row r="3344" spans="14:20" x14ac:dyDescent="0.3">
      <c r="N3344" s="5"/>
      <c r="O3344" s="5"/>
      <c r="P3344" s="5"/>
      <c r="Q3344" s="5"/>
      <c r="R3344" s="8"/>
      <c r="S3344" s="8"/>
      <c r="T3344" s="3"/>
    </row>
    <row r="3345" spans="14:20" x14ac:dyDescent="0.3">
      <c r="N3345" s="5"/>
      <c r="O3345" s="5"/>
      <c r="P3345" s="5"/>
      <c r="Q3345" s="5"/>
      <c r="R3345" s="8"/>
      <c r="S3345" s="8"/>
      <c r="T3345" s="3"/>
    </row>
    <row r="3346" spans="14:20" x14ac:dyDescent="0.3">
      <c r="N3346" s="5"/>
      <c r="O3346" s="5"/>
      <c r="P3346" s="5"/>
      <c r="Q3346" s="5"/>
      <c r="R3346" s="8"/>
      <c r="S3346" s="8"/>
      <c r="T3346" s="3"/>
    </row>
    <row r="3347" spans="14:20" x14ac:dyDescent="0.3">
      <c r="N3347" s="5"/>
      <c r="O3347" s="5"/>
      <c r="P3347" s="5"/>
      <c r="Q3347" s="5"/>
      <c r="R3347" s="8"/>
      <c r="S3347" s="8"/>
      <c r="T3347" s="3"/>
    </row>
    <row r="3348" spans="14:20" x14ac:dyDescent="0.3">
      <c r="N3348" s="5"/>
      <c r="O3348" s="5"/>
      <c r="P3348" s="5"/>
      <c r="Q3348" s="5"/>
      <c r="R3348" s="8"/>
      <c r="S3348" s="8"/>
      <c r="T3348" s="3"/>
    </row>
    <row r="3349" spans="14:20" x14ac:dyDescent="0.3">
      <c r="N3349" s="5"/>
      <c r="O3349" s="5"/>
      <c r="P3349" s="5"/>
      <c r="Q3349" s="5"/>
      <c r="R3349" s="8"/>
      <c r="S3349" s="8"/>
      <c r="T3349" s="3"/>
    </row>
    <row r="3350" spans="14:20" x14ac:dyDescent="0.3">
      <c r="N3350" s="5"/>
      <c r="O3350" s="5"/>
      <c r="P3350" s="5"/>
      <c r="Q3350" s="5"/>
      <c r="R3350" s="8"/>
      <c r="S3350" s="8"/>
      <c r="T3350" s="3"/>
    </row>
    <row r="3351" spans="14:20" x14ac:dyDescent="0.3">
      <c r="N3351" s="5"/>
      <c r="O3351" s="5"/>
      <c r="P3351" s="5"/>
      <c r="Q3351" s="5"/>
      <c r="R3351" s="8"/>
      <c r="S3351" s="8"/>
      <c r="T3351" s="3"/>
    </row>
    <row r="3352" spans="14:20" x14ac:dyDescent="0.3">
      <c r="N3352" s="5"/>
      <c r="O3352" s="5"/>
      <c r="P3352" s="5"/>
      <c r="Q3352" s="5"/>
      <c r="R3352" s="8"/>
      <c r="S3352" s="8"/>
      <c r="T3352" s="3"/>
    </row>
    <row r="3353" spans="14:20" x14ac:dyDescent="0.3">
      <c r="N3353" s="5"/>
      <c r="O3353" s="5"/>
      <c r="P3353" s="5"/>
      <c r="Q3353" s="5"/>
      <c r="R3353" s="8"/>
      <c r="S3353" s="8"/>
      <c r="T3353" s="3"/>
    </row>
    <row r="3354" spans="14:20" x14ac:dyDescent="0.3">
      <c r="N3354" s="5"/>
      <c r="O3354" s="5"/>
      <c r="P3354" s="5"/>
      <c r="Q3354" s="5"/>
      <c r="R3354" s="8"/>
      <c r="S3354" s="8"/>
      <c r="T3354" s="3"/>
    </row>
    <row r="3355" spans="14:20" x14ac:dyDescent="0.3">
      <c r="N3355" s="5"/>
      <c r="O3355" s="5"/>
      <c r="P3355" s="5"/>
      <c r="Q3355" s="5"/>
      <c r="R3355" s="8"/>
      <c r="S3355" s="8"/>
      <c r="T3355" s="3"/>
    </row>
    <row r="3356" spans="14:20" x14ac:dyDescent="0.3">
      <c r="N3356" s="5"/>
      <c r="O3356" s="5"/>
      <c r="P3356" s="5"/>
      <c r="Q3356" s="5"/>
      <c r="R3356" s="8"/>
      <c r="S3356" s="8"/>
      <c r="T3356" s="3"/>
    </row>
    <row r="3357" spans="14:20" x14ac:dyDescent="0.3">
      <c r="N3357" s="5"/>
      <c r="O3357" s="5"/>
      <c r="P3357" s="5"/>
      <c r="Q3357" s="5"/>
      <c r="R3357" s="8"/>
      <c r="S3357" s="8"/>
      <c r="T3357" s="3"/>
    </row>
    <row r="3358" spans="14:20" x14ac:dyDescent="0.3">
      <c r="N3358" s="5"/>
      <c r="O3358" s="5"/>
      <c r="P3358" s="5"/>
      <c r="Q3358" s="5"/>
      <c r="R3358" s="8"/>
      <c r="S3358" s="8"/>
      <c r="T3358" s="3"/>
    </row>
    <row r="3359" spans="14:20" x14ac:dyDescent="0.3">
      <c r="N3359" s="5"/>
      <c r="O3359" s="5"/>
      <c r="P3359" s="5"/>
      <c r="Q3359" s="5"/>
      <c r="R3359" s="8"/>
      <c r="S3359" s="8"/>
      <c r="T3359" s="3"/>
    </row>
    <row r="3360" spans="14:20" x14ac:dyDescent="0.3">
      <c r="N3360" s="5"/>
      <c r="O3360" s="5"/>
      <c r="P3360" s="5"/>
      <c r="Q3360" s="5"/>
      <c r="R3360" s="8"/>
      <c r="S3360" s="8"/>
      <c r="T3360" s="3"/>
    </row>
    <row r="3361" spans="14:20" x14ac:dyDescent="0.3">
      <c r="N3361" s="5"/>
      <c r="O3361" s="5"/>
      <c r="P3361" s="5"/>
      <c r="Q3361" s="5"/>
      <c r="R3361" s="8"/>
      <c r="S3361" s="8"/>
      <c r="T3361" s="3"/>
    </row>
    <row r="3362" spans="14:20" x14ac:dyDescent="0.3">
      <c r="N3362" s="5"/>
      <c r="O3362" s="5"/>
      <c r="P3362" s="5"/>
      <c r="Q3362" s="5"/>
      <c r="R3362" s="8"/>
      <c r="S3362" s="8"/>
      <c r="T3362" s="3"/>
    </row>
    <row r="3363" spans="14:20" x14ac:dyDescent="0.3">
      <c r="N3363" s="5"/>
      <c r="O3363" s="5"/>
      <c r="P3363" s="5"/>
      <c r="Q3363" s="5"/>
      <c r="R3363" s="8"/>
      <c r="S3363" s="8"/>
      <c r="T3363" s="3"/>
    </row>
    <row r="3364" spans="14:20" x14ac:dyDescent="0.3">
      <c r="N3364" s="5"/>
      <c r="O3364" s="5"/>
      <c r="P3364" s="5"/>
      <c r="Q3364" s="5"/>
      <c r="R3364" s="8"/>
      <c r="S3364" s="8"/>
      <c r="T3364" s="3"/>
    </row>
    <row r="3365" spans="14:20" x14ac:dyDescent="0.3">
      <c r="N3365" s="5"/>
      <c r="O3365" s="5"/>
      <c r="P3365" s="5"/>
      <c r="Q3365" s="5"/>
      <c r="R3365" s="8"/>
      <c r="S3365" s="8"/>
      <c r="T3365" s="3"/>
    </row>
    <row r="3366" spans="14:20" x14ac:dyDescent="0.3">
      <c r="N3366" s="5"/>
      <c r="O3366" s="5"/>
      <c r="P3366" s="5"/>
      <c r="Q3366" s="5"/>
      <c r="R3366" s="8"/>
      <c r="S3366" s="8"/>
      <c r="T3366" s="3"/>
    </row>
    <row r="3367" spans="14:20" x14ac:dyDescent="0.3">
      <c r="N3367" s="5"/>
      <c r="O3367" s="5"/>
      <c r="P3367" s="5"/>
      <c r="Q3367" s="5"/>
      <c r="R3367" s="8"/>
      <c r="S3367" s="8"/>
      <c r="T3367" s="3"/>
    </row>
    <row r="3368" spans="14:20" x14ac:dyDescent="0.3">
      <c r="N3368" s="5"/>
      <c r="O3368" s="5"/>
      <c r="P3368" s="5"/>
      <c r="Q3368" s="5"/>
      <c r="R3368" s="8"/>
      <c r="S3368" s="8"/>
      <c r="T3368" s="3"/>
    </row>
    <row r="3369" spans="14:20" x14ac:dyDescent="0.3">
      <c r="N3369" s="5"/>
      <c r="O3369" s="5"/>
      <c r="P3369" s="5"/>
      <c r="Q3369" s="5"/>
      <c r="R3369" s="8"/>
      <c r="S3369" s="8"/>
      <c r="T3369" s="3"/>
    </row>
    <row r="3370" spans="14:20" x14ac:dyDescent="0.3">
      <c r="N3370" s="5"/>
      <c r="O3370" s="5"/>
      <c r="P3370" s="5"/>
      <c r="Q3370" s="5"/>
      <c r="R3370" s="8"/>
      <c r="S3370" s="8"/>
      <c r="T3370" s="3"/>
    </row>
    <row r="3371" spans="14:20" x14ac:dyDescent="0.3">
      <c r="N3371" s="5"/>
      <c r="O3371" s="5"/>
      <c r="P3371" s="5"/>
      <c r="Q3371" s="5"/>
      <c r="R3371" s="8"/>
      <c r="S3371" s="8"/>
      <c r="T3371" s="3"/>
    </row>
    <row r="3372" spans="14:20" x14ac:dyDescent="0.3">
      <c r="N3372" s="5"/>
      <c r="O3372" s="5"/>
      <c r="P3372" s="5"/>
      <c r="Q3372" s="5"/>
      <c r="R3372" s="8"/>
      <c r="S3372" s="8"/>
      <c r="T3372" s="3"/>
    </row>
    <row r="3373" spans="14:20" x14ac:dyDescent="0.3">
      <c r="N3373" s="5"/>
      <c r="O3373" s="5"/>
      <c r="P3373" s="5"/>
      <c r="Q3373" s="5"/>
      <c r="R3373" s="8"/>
      <c r="S3373" s="8"/>
      <c r="T3373" s="3"/>
    </row>
    <row r="3374" spans="14:20" x14ac:dyDescent="0.3">
      <c r="N3374" s="5"/>
      <c r="O3374" s="5"/>
      <c r="P3374" s="5"/>
      <c r="Q3374" s="5"/>
      <c r="R3374" s="8"/>
      <c r="S3374" s="8"/>
      <c r="T3374" s="3"/>
    </row>
    <row r="3375" spans="14:20" x14ac:dyDescent="0.3">
      <c r="N3375" s="5"/>
      <c r="O3375" s="5"/>
      <c r="P3375" s="5"/>
      <c r="Q3375" s="5"/>
      <c r="R3375" s="8"/>
      <c r="S3375" s="8"/>
      <c r="T3375" s="3"/>
    </row>
    <row r="3376" spans="14:20" x14ac:dyDescent="0.3">
      <c r="N3376" s="5"/>
      <c r="O3376" s="5"/>
      <c r="P3376" s="5"/>
      <c r="Q3376" s="5"/>
      <c r="R3376" s="8"/>
      <c r="S3376" s="8"/>
      <c r="T3376" s="3"/>
    </row>
    <row r="3377" spans="14:20" x14ac:dyDescent="0.3">
      <c r="N3377" s="5"/>
      <c r="O3377" s="5"/>
      <c r="P3377" s="5"/>
      <c r="Q3377" s="5"/>
      <c r="R3377" s="8"/>
      <c r="S3377" s="8"/>
      <c r="T3377" s="3"/>
    </row>
    <row r="3378" spans="14:20" x14ac:dyDescent="0.3">
      <c r="N3378" s="5"/>
      <c r="O3378" s="5"/>
      <c r="P3378" s="5"/>
      <c r="Q3378" s="5"/>
      <c r="R3378" s="8"/>
      <c r="S3378" s="8"/>
      <c r="T3378" s="3"/>
    </row>
    <row r="3379" spans="14:20" x14ac:dyDescent="0.3">
      <c r="N3379" s="5"/>
      <c r="O3379" s="5"/>
      <c r="P3379" s="5"/>
      <c r="Q3379" s="5"/>
      <c r="R3379" s="8"/>
      <c r="S3379" s="8"/>
      <c r="T3379" s="3"/>
    </row>
    <row r="3380" spans="14:20" x14ac:dyDescent="0.3">
      <c r="N3380" s="5"/>
      <c r="O3380" s="5"/>
      <c r="P3380" s="5"/>
      <c r="Q3380" s="5"/>
      <c r="R3380" s="8"/>
      <c r="S3380" s="8"/>
      <c r="T3380" s="3"/>
    </row>
    <row r="3381" spans="14:20" x14ac:dyDescent="0.3">
      <c r="N3381" s="5"/>
      <c r="O3381" s="5"/>
      <c r="P3381" s="5"/>
      <c r="Q3381" s="5"/>
      <c r="R3381" s="8"/>
      <c r="S3381" s="8"/>
      <c r="T3381" s="3"/>
    </row>
    <row r="3382" spans="14:20" x14ac:dyDescent="0.3">
      <c r="N3382" s="5"/>
      <c r="O3382" s="5"/>
      <c r="P3382" s="5"/>
      <c r="Q3382" s="5"/>
      <c r="R3382" s="8"/>
      <c r="S3382" s="8"/>
      <c r="T3382" s="3"/>
    </row>
    <row r="3383" spans="14:20" x14ac:dyDescent="0.3">
      <c r="N3383" s="5"/>
      <c r="O3383" s="5"/>
      <c r="P3383" s="5"/>
      <c r="Q3383" s="5"/>
      <c r="R3383" s="8"/>
      <c r="S3383" s="8"/>
      <c r="T3383" s="3"/>
    </row>
    <row r="3384" spans="14:20" x14ac:dyDescent="0.3">
      <c r="N3384" s="5"/>
      <c r="O3384" s="5"/>
      <c r="P3384" s="5"/>
      <c r="Q3384" s="5"/>
      <c r="R3384" s="8"/>
      <c r="S3384" s="8"/>
      <c r="T3384" s="3"/>
    </row>
    <row r="3385" spans="14:20" x14ac:dyDescent="0.3">
      <c r="N3385" s="5"/>
      <c r="O3385" s="5"/>
      <c r="P3385" s="5"/>
      <c r="Q3385" s="5"/>
      <c r="R3385" s="8"/>
      <c r="S3385" s="8"/>
      <c r="T3385" s="3"/>
    </row>
    <row r="3386" spans="14:20" x14ac:dyDescent="0.3">
      <c r="N3386" s="5"/>
      <c r="O3386" s="5"/>
      <c r="P3386" s="5"/>
      <c r="Q3386" s="5"/>
      <c r="R3386" s="8"/>
      <c r="S3386" s="8"/>
      <c r="T3386" s="3"/>
    </row>
    <row r="3387" spans="14:20" x14ac:dyDescent="0.3">
      <c r="N3387" s="5"/>
      <c r="O3387" s="5"/>
      <c r="P3387" s="5"/>
      <c r="Q3387" s="5"/>
      <c r="R3387" s="8"/>
      <c r="S3387" s="8"/>
      <c r="T3387" s="3"/>
    </row>
    <row r="3388" spans="14:20" x14ac:dyDescent="0.3">
      <c r="N3388" s="5"/>
      <c r="O3388" s="5"/>
      <c r="P3388" s="5"/>
      <c r="Q3388" s="5"/>
      <c r="R3388" s="8"/>
      <c r="S3388" s="8"/>
      <c r="T3388" s="3"/>
    </row>
    <row r="3389" spans="14:20" x14ac:dyDescent="0.3">
      <c r="N3389" s="5"/>
      <c r="O3389" s="5"/>
      <c r="P3389" s="5"/>
      <c r="Q3389" s="5"/>
      <c r="R3389" s="8"/>
      <c r="S3389" s="8"/>
      <c r="T3389" s="3"/>
    </row>
    <row r="3390" spans="14:20" x14ac:dyDescent="0.3">
      <c r="N3390" s="5"/>
      <c r="O3390" s="5"/>
      <c r="P3390" s="5"/>
      <c r="Q3390" s="5"/>
      <c r="R3390" s="8"/>
      <c r="S3390" s="8"/>
      <c r="T3390" s="3"/>
    </row>
    <row r="3391" spans="14:20" x14ac:dyDescent="0.3">
      <c r="N3391" s="5"/>
      <c r="O3391" s="5"/>
      <c r="P3391" s="5"/>
      <c r="Q3391" s="5"/>
      <c r="R3391" s="8"/>
      <c r="S3391" s="8"/>
      <c r="T3391" s="3"/>
    </row>
    <row r="3392" spans="14:20" x14ac:dyDescent="0.3">
      <c r="N3392" s="5"/>
      <c r="O3392" s="5"/>
      <c r="P3392" s="5"/>
      <c r="Q3392" s="5"/>
      <c r="R3392" s="8"/>
      <c r="S3392" s="8"/>
      <c r="T3392" s="3"/>
    </row>
    <row r="3393" spans="14:20" x14ac:dyDescent="0.3">
      <c r="N3393" s="5"/>
      <c r="O3393" s="5"/>
      <c r="P3393" s="5"/>
      <c r="Q3393" s="5"/>
      <c r="R3393" s="8"/>
      <c r="S3393" s="8"/>
      <c r="T3393" s="3"/>
    </row>
    <row r="3394" spans="14:20" x14ac:dyDescent="0.3">
      <c r="N3394" s="5"/>
      <c r="O3394" s="5"/>
      <c r="P3394" s="5"/>
      <c r="Q3394" s="5"/>
      <c r="R3394" s="8"/>
      <c r="S3394" s="8"/>
      <c r="T3394" s="3"/>
    </row>
    <row r="3395" spans="14:20" x14ac:dyDescent="0.3">
      <c r="N3395" s="5"/>
      <c r="O3395" s="5"/>
      <c r="P3395" s="5"/>
      <c r="Q3395" s="5"/>
      <c r="R3395" s="8"/>
      <c r="S3395" s="8"/>
      <c r="T3395" s="3"/>
    </row>
    <row r="3396" spans="14:20" x14ac:dyDescent="0.3">
      <c r="N3396" s="5"/>
      <c r="O3396" s="5"/>
      <c r="P3396" s="5"/>
      <c r="Q3396" s="5"/>
      <c r="R3396" s="8"/>
      <c r="S3396" s="8"/>
      <c r="T3396" s="3"/>
    </row>
    <row r="3397" spans="14:20" x14ac:dyDescent="0.3">
      <c r="N3397" s="5"/>
      <c r="O3397" s="5"/>
      <c r="P3397" s="5"/>
      <c r="Q3397" s="5"/>
      <c r="R3397" s="8"/>
      <c r="S3397" s="8"/>
      <c r="T3397" s="3"/>
    </row>
    <row r="3398" spans="14:20" x14ac:dyDescent="0.3">
      <c r="N3398" s="5"/>
      <c r="O3398" s="5"/>
      <c r="P3398" s="5"/>
      <c r="Q3398" s="5"/>
      <c r="R3398" s="8"/>
      <c r="S3398" s="8"/>
      <c r="T3398" s="3"/>
    </row>
    <row r="3399" spans="14:20" x14ac:dyDescent="0.3">
      <c r="N3399" s="5"/>
      <c r="O3399" s="5"/>
      <c r="P3399" s="5"/>
      <c r="Q3399" s="5"/>
      <c r="R3399" s="8"/>
      <c r="S3399" s="8"/>
      <c r="T3399" s="3"/>
    </row>
    <row r="3400" spans="14:20" x14ac:dyDescent="0.3">
      <c r="N3400" s="5"/>
      <c r="O3400" s="5"/>
      <c r="P3400" s="5"/>
      <c r="Q3400" s="5"/>
      <c r="R3400" s="8"/>
      <c r="S3400" s="8"/>
      <c r="T3400" s="3"/>
    </row>
    <row r="3401" spans="14:20" x14ac:dyDescent="0.3">
      <c r="N3401" s="5"/>
      <c r="O3401" s="5"/>
      <c r="P3401" s="5"/>
      <c r="Q3401" s="5"/>
      <c r="R3401" s="8"/>
      <c r="S3401" s="8"/>
      <c r="T3401" s="3"/>
    </row>
    <row r="3402" spans="14:20" x14ac:dyDescent="0.3">
      <c r="N3402" s="5"/>
      <c r="O3402" s="5"/>
      <c r="P3402" s="5"/>
      <c r="Q3402" s="5"/>
      <c r="R3402" s="8"/>
      <c r="S3402" s="8"/>
      <c r="T3402" s="3"/>
    </row>
    <row r="3403" spans="14:20" x14ac:dyDescent="0.3">
      <c r="N3403" s="5"/>
      <c r="O3403" s="5"/>
      <c r="P3403" s="5"/>
      <c r="Q3403" s="5"/>
      <c r="R3403" s="8"/>
      <c r="S3403" s="8"/>
      <c r="T3403" s="3"/>
    </row>
    <row r="3404" spans="14:20" x14ac:dyDescent="0.3">
      <c r="N3404" s="5"/>
      <c r="O3404" s="5"/>
      <c r="P3404" s="5"/>
      <c r="Q3404" s="5"/>
      <c r="R3404" s="8"/>
      <c r="S3404" s="8"/>
      <c r="T3404" s="3"/>
    </row>
    <row r="3405" spans="14:20" x14ac:dyDescent="0.3">
      <c r="N3405" s="5"/>
      <c r="O3405" s="5"/>
      <c r="P3405" s="5"/>
      <c r="Q3405" s="5"/>
      <c r="R3405" s="8"/>
      <c r="S3405" s="8"/>
      <c r="T3405" s="3"/>
    </row>
    <row r="3406" spans="14:20" x14ac:dyDescent="0.3">
      <c r="N3406" s="5"/>
      <c r="O3406" s="5"/>
      <c r="P3406" s="5"/>
      <c r="Q3406" s="5"/>
      <c r="R3406" s="8"/>
      <c r="S3406" s="8"/>
      <c r="T3406" s="3"/>
    </row>
    <row r="3407" spans="14:20" x14ac:dyDescent="0.3">
      <c r="N3407" s="5"/>
      <c r="O3407" s="5"/>
      <c r="P3407" s="5"/>
      <c r="Q3407" s="5"/>
      <c r="R3407" s="8"/>
      <c r="S3407" s="8"/>
      <c r="T3407" s="3"/>
    </row>
    <row r="3408" spans="14:20" x14ac:dyDescent="0.3">
      <c r="N3408" s="5"/>
      <c r="O3408" s="5"/>
      <c r="P3408" s="5"/>
      <c r="Q3408" s="5"/>
      <c r="R3408" s="8"/>
      <c r="S3408" s="8"/>
      <c r="T3408" s="3"/>
    </row>
    <row r="3409" spans="14:20" x14ac:dyDescent="0.3">
      <c r="N3409" s="5"/>
      <c r="O3409" s="5"/>
      <c r="P3409" s="5"/>
      <c r="Q3409" s="5"/>
      <c r="R3409" s="8"/>
      <c r="S3409" s="8"/>
      <c r="T3409" s="3"/>
    </row>
    <row r="3410" spans="14:20" x14ac:dyDescent="0.3">
      <c r="N3410" s="5"/>
      <c r="O3410" s="5"/>
      <c r="P3410" s="5"/>
      <c r="Q3410" s="5"/>
      <c r="R3410" s="8"/>
      <c r="S3410" s="8"/>
      <c r="T3410" s="3"/>
    </row>
    <row r="3411" spans="14:20" x14ac:dyDescent="0.3">
      <c r="N3411" s="5"/>
      <c r="O3411" s="5"/>
      <c r="P3411" s="5"/>
      <c r="Q3411" s="5"/>
      <c r="R3411" s="8"/>
      <c r="S3411" s="8"/>
      <c r="T3411" s="3"/>
    </row>
    <row r="3412" spans="14:20" x14ac:dyDescent="0.3">
      <c r="N3412" s="5"/>
      <c r="O3412" s="5"/>
      <c r="P3412" s="5"/>
      <c r="Q3412" s="5"/>
      <c r="R3412" s="8"/>
      <c r="S3412" s="8"/>
      <c r="T3412" s="3"/>
    </row>
    <row r="3413" spans="14:20" x14ac:dyDescent="0.3">
      <c r="N3413" s="5"/>
      <c r="O3413" s="5"/>
      <c r="P3413" s="5"/>
      <c r="Q3413" s="5"/>
      <c r="R3413" s="8"/>
      <c r="S3413" s="8"/>
      <c r="T3413" s="3"/>
    </row>
    <row r="3414" spans="14:20" x14ac:dyDescent="0.3">
      <c r="N3414" s="5"/>
      <c r="O3414" s="5"/>
      <c r="P3414" s="5"/>
      <c r="Q3414" s="5"/>
      <c r="R3414" s="8"/>
      <c r="S3414" s="8"/>
      <c r="T3414" s="3"/>
    </row>
    <row r="3415" spans="14:20" x14ac:dyDescent="0.3">
      <c r="N3415" s="5"/>
      <c r="O3415" s="5"/>
      <c r="P3415" s="5"/>
      <c r="Q3415" s="5"/>
      <c r="R3415" s="8"/>
      <c r="S3415" s="8"/>
      <c r="T3415" s="3"/>
    </row>
    <row r="3416" spans="14:20" x14ac:dyDescent="0.3">
      <c r="N3416" s="5"/>
      <c r="O3416" s="5"/>
      <c r="P3416" s="5"/>
      <c r="Q3416" s="5"/>
      <c r="R3416" s="8"/>
      <c r="S3416" s="8"/>
      <c r="T3416" s="3"/>
    </row>
    <row r="3417" spans="14:20" x14ac:dyDescent="0.3">
      <c r="N3417" s="5"/>
      <c r="O3417" s="5"/>
      <c r="P3417" s="5"/>
      <c r="Q3417" s="5"/>
      <c r="R3417" s="8"/>
      <c r="S3417" s="8"/>
      <c r="T3417" s="3"/>
    </row>
    <row r="3418" spans="14:20" x14ac:dyDescent="0.3">
      <c r="N3418" s="5"/>
      <c r="O3418" s="5"/>
      <c r="P3418" s="5"/>
      <c r="Q3418" s="5"/>
      <c r="R3418" s="8"/>
      <c r="S3418" s="8"/>
      <c r="T3418" s="3"/>
    </row>
    <row r="3419" spans="14:20" x14ac:dyDescent="0.3">
      <c r="N3419" s="5"/>
      <c r="O3419" s="5"/>
      <c r="P3419" s="5"/>
      <c r="Q3419" s="5"/>
      <c r="R3419" s="8"/>
      <c r="S3419" s="8"/>
      <c r="T3419" s="3"/>
    </row>
    <row r="3420" spans="14:20" x14ac:dyDescent="0.3">
      <c r="N3420" s="5"/>
      <c r="O3420" s="5"/>
      <c r="P3420" s="5"/>
      <c r="Q3420" s="5"/>
      <c r="R3420" s="8"/>
      <c r="S3420" s="8"/>
      <c r="T3420" s="3"/>
    </row>
    <row r="3421" spans="14:20" x14ac:dyDescent="0.3">
      <c r="N3421" s="5"/>
      <c r="O3421" s="5"/>
      <c r="P3421" s="5"/>
      <c r="Q3421" s="5"/>
      <c r="R3421" s="8"/>
      <c r="S3421" s="8"/>
      <c r="T3421" s="3"/>
    </row>
    <row r="3422" spans="14:20" x14ac:dyDescent="0.3">
      <c r="N3422" s="5"/>
      <c r="O3422" s="5"/>
      <c r="P3422" s="5"/>
      <c r="Q3422" s="5"/>
      <c r="R3422" s="8"/>
      <c r="S3422" s="8"/>
      <c r="T3422" s="3"/>
    </row>
    <row r="3423" spans="14:20" x14ac:dyDescent="0.3">
      <c r="N3423" s="5"/>
      <c r="O3423" s="5"/>
      <c r="P3423" s="5"/>
      <c r="Q3423" s="5"/>
      <c r="R3423" s="8"/>
      <c r="S3423" s="8"/>
      <c r="T3423" s="3"/>
    </row>
    <row r="3424" spans="14:20" x14ac:dyDescent="0.3">
      <c r="N3424" s="5"/>
      <c r="O3424" s="5"/>
      <c r="P3424" s="5"/>
      <c r="Q3424" s="5"/>
      <c r="R3424" s="8"/>
      <c r="S3424" s="8"/>
      <c r="T3424" s="3"/>
    </row>
    <row r="3425" spans="14:20" x14ac:dyDescent="0.3">
      <c r="N3425" s="5"/>
      <c r="O3425" s="5"/>
      <c r="P3425" s="5"/>
      <c r="Q3425" s="5"/>
      <c r="R3425" s="8"/>
      <c r="S3425" s="8"/>
      <c r="T3425" s="3"/>
    </row>
    <row r="3426" spans="14:20" x14ac:dyDescent="0.3">
      <c r="N3426" s="5"/>
      <c r="O3426" s="5"/>
      <c r="P3426" s="5"/>
      <c r="Q3426" s="5"/>
      <c r="R3426" s="8"/>
      <c r="S3426" s="8"/>
      <c r="T3426" s="3"/>
    </row>
    <row r="3427" spans="14:20" x14ac:dyDescent="0.3">
      <c r="N3427" s="5"/>
      <c r="O3427" s="5"/>
      <c r="P3427" s="5"/>
      <c r="Q3427" s="5"/>
      <c r="R3427" s="8"/>
      <c r="S3427" s="8"/>
      <c r="T3427" s="3"/>
    </row>
    <row r="3428" spans="14:20" x14ac:dyDescent="0.3">
      <c r="N3428" s="5"/>
      <c r="O3428" s="5"/>
      <c r="P3428" s="5"/>
      <c r="Q3428" s="5"/>
      <c r="R3428" s="8"/>
      <c r="S3428" s="8"/>
      <c r="T3428" s="3"/>
    </row>
    <row r="3429" spans="14:20" x14ac:dyDescent="0.3">
      <c r="N3429" s="5"/>
      <c r="O3429" s="5"/>
      <c r="P3429" s="5"/>
      <c r="Q3429" s="5"/>
      <c r="R3429" s="8"/>
      <c r="S3429" s="8"/>
      <c r="T3429" s="3"/>
    </row>
    <row r="3430" spans="14:20" x14ac:dyDescent="0.3">
      <c r="N3430" s="5"/>
      <c r="O3430" s="5"/>
      <c r="P3430" s="5"/>
      <c r="Q3430" s="5"/>
      <c r="R3430" s="8"/>
      <c r="S3430" s="8"/>
      <c r="T3430" s="3"/>
    </row>
    <row r="3431" spans="14:20" x14ac:dyDescent="0.3">
      <c r="N3431" s="5"/>
      <c r="O3431" s="5"/>
      <c r="P3431" s="5"/>
      <c r="Q3431" s="5"/>
      <c r="R3431" s="8"/>
      <c r="S3431" s="8"/>
      <c r="T3431" s="3"/>
    </row>
    <row r="3432" spans="14:20" x14ac:dyDescent="0.3">
      <c r="N3432" s="5"/>
      <c r="O3432" s="5"/>
      <c r="P3432" s="5"/>
      <c r="Q3432" s="5"/>
      <c r="R3432" s="8"/>
      <c r="S3432" s="8"/>
      <c r="T3432" s="3"/>
    </row>
    <row r="3433" spans="14:20" x14ac:dyDescent="0.3">
      <c r="N3433" s="5"/>
      <c r="O3433" s="5"/>
      <c r="P3433" s="5"/>
      <c r="Q3433" s="5"/>
      <c r="R3433" s="8"/>
      <c r="S3433" s="8"/>
      <c r="T3433" s="3"/>
    </row>
    <row r="3434" spans="14:20" x14ac:dyDescent="0.3">
      <c r="N3434" s="5"/>
      <c r="O3434" s="5"/>
      <c r="P3434" s="5"/>
      <c r="Q3434" s="5"/>
      <c r="R3434" s="8"/>
      <c r="S3434" s="8"/>
      <c r="T3434" s="3"/>
    </row>
    <row r="3435" spans="14:20" x14ac:dyDescent="0.3">
      <c r="N3435" s="5"/>
      <c r="O3435" s="5"/>
      <c r="P3435" s="5"/>
      <c r="Q3435" s="5"/>
      <c r="R3435" s="8"/>
      <c r="S3435" s="8"/>
      <c r="T3435" s="3"/>
    </row>
    <row r="3436" spans="14:20" x14ac:dyDescent="0.3">
      <c r="N3436" s="5"/>
      <c r="O3436" s="5"/>
      <c r="P3436" s="5"/>
      <c r="Q3436" s="5"/>
      <c r="R3436" s="8"/>
      <c r="S3436" s="8"/>
      <c r="T3436" s="3"/>
    </row>
    <row r="3437" spans="14:20" x14ac:dyDescent="0.3">
      <c r="N3437" s="5"/>
      <c r="O3437" s="5"/>
      <c r="P3437" s="5"/>
      <c r="Q3437" s="5"/>
      <c r="R3437" s="8"/>
      <c r="S3437" s="8"/>
      <c r="T3437" s="3"/>
    </row>
    <row r="3438" spans="14:20" x14ac:dyDescent="0.3">
      <c r="N3438" s="5"/>
      <c r="O3438" s="5"/>
      <c r="P3438" s="5"/>
      <c r="Q3438" s="5"/>
      <c r="R3438" s="8"/>
      <c r="S3438" s="8"/>
      <c r="T3438" s="3"/>
    </row>
    <row r="3439" spans="14:20" x14ac:dyDescent="0.3">
      <c r="N3439" s="5"/>
      <c r="O3439" s="5"/>
      <c r="P3439" s="5"/>
      <c r="Q3439" s="5"/>
      <c r="R3439" s="8"/>
      <c r="S3439" s="8"/>
      <c r="T3439" s="3"/>
    </row>
    <row r="3440" spans="14:20" x14ac:dyDescent="0.3">
      <c r="N3440" s="5"/>
      <c r="O3440" s="5"/>
      <c r="P3440" s="5"/>
      <c r="Q3440" s="5"/>
      <c r="R3440" s="8"/>
      <c r="S3440" s="8"/>
      <c r="T3440" s="3"/>
    </row>
    <row r="3441" spans="14:20" x14ac:dyDescent="0.3">
      <c r="N3441" s="5"/>
      <c r="O3441" s="5"/>
      <c r="P3441" s="5"/>
      <c r="Q3441" s="5"/>
      <c r="R3441" s="8"/>
      <c r="S3441" s="8"/>
      <c r="T3441" s="3"/>
    </row>
    <row r="3442" spans="14:20" x14ac:dyDescent="0.3">
      <c r="N3442" s="5"/>
      <c r="O3442" s="5"/>
      <c r="P3442" s="5"/>
      <c r="Q3442" s="5"/>
      <c r="R3442" s="8"/>
      <c r="S3442" s="8"/>
      <c r="T3442" s="3"/>
    </row>
    <row r="3443" spans="14:20" x14ac:dyDescent="0.3">
      <c r="N3443" s="5"/>
      <c r="O3443" s="5"/>
      <c r="P3443" s="5"/>
      <c r="Q3443" s="5"/>
      <c r="R3443" s="8"/>
      <c r="S3443" s="8"/>
      <c r="T3443" s="3"/>
    </row>
    <row r="3444" spans="14:20" x14ac:dyDescent="0.3">
      <c r="N3444" s="5"/>
      <c r="O3444" s="5"/>
      <c r="P3444" s="5"/>
      <c r="Q3444" s="5"/>
      <c r="R3444" s="8"/>
      <c r="S3444" s="8"/>
      <c r="T3444" s="3"/>
    </row>
    <row r="3445" spans="14:20" x14ac:dyDescent="0.3">
      <c r="N3445" s="5"/>
      <c r="O3445" s="5"/>
      <c r="P3445" s="5"/>
      <c r="Q3445" s="5"/>
      <c r="R3445" s="8"/>
      <c r="S3445" s="8"/>
      <c r="T3445" s="3"/>
    </row>
    <row r="3446" spans="14:20" x14ac:dyDescent="0.3">
      <c r="N3446" s="5"/>
      <c r="O3446" s="5"/>
      <c r="P3446" s="5"/>
      <c r="Q3446" s="5"/>
      <c r="R3446" s="8"/>
      <c r="S3446" s="8"/>
      <c r="T3446" s="3"/>
    </row>
    <row r="3447" spans="14:20" x14ac:dyDescent="0.3">
      <c r="N3447" s="5"/>
      <c r="O3447" s="5"/>
      <c r="P3447" s="5"/>
      <c r="Q3447" s="5"/>
      <c r="R3447" s="8"/>
      <c r="S3447" s="8"/>
      <c r="T3447" s="3"/>
    </row>
    <row r="3448" spans="14:20" x14ac:dyDescent="0.3">
      <c r="N3448" s="5"/>
      <c r="O3448" s="5"/>
      <c r="P3448" s="5"/>
      <c r="Q3448" s="5"/>
      <c r="R3448" s="8"/>
      <c r="S3448" s="8"/>
      <c r="T3448" s="3"/>
    </row>
    <row r="3449" spans="14:20" x14ac:dyDescent="0.3">
      <c r="N3449" s="5"/>
      <c r="O3449" s="5"/>
      <c r="P3449" s="5"/>
      <c r="Q3449" s="5"/>
      <c r="R3449" s="8"/>
      <c r="S3449" s="8"/>
      <c r="T3449" s="3"/>
    </row>
    <row r="3450" spans="14:20" x14ac:dyDescent="0.3">
      <c r="N3450" s="5"/>
      <c r="O3450" s="5"/>
      <c r="P3450" s="5"/>
      <c r="Q3450" s="5"/>
      <c r="R3450" s="8"/>
      <c r="S3450" s="8"/>
      <c r="T3450" s="3"/>
    </row>
    <row r="3451" spans="14:20" x14ac:dyDescent="0.3">
      <c r="N3451" s="5"/>
      <c r="O3451" s="5"/>
      <c r="P3451" s="5"/>
      <c r="Q3451" s="5"/>
      <c r="R3451" s="8"/>
      <c r="S3451" s="8"/>
      <c r="T3451" s="3"/>
    </row>
    <row r="3452" spans="14:20" x14ac:dyDescent="0.3">
      <c r="N3452" s="5"/>
      <c r="O3452" s="5"/>
      <c r="P3452" s="5"/>
      <c r="Q3452" s="5"/>
      <c r="R3452" s="8"/>
      <c r="S3452" s="8"/>
      <c r="T3452" s="3"/>
    </row>
    <row r="3453" spans="14:20" x14ac:dyDescent="0.3">
      <c r="N3453" s="5"/>
      <c r="O3453" s="5"/>
      <c r="P3453" s="5"/>
      <c r="Q3453" s="5"/>
      <c r="R3453" s="8"/>
      <c r="S3453" s="8"/>
      <c r="T3453" s="3"/>
    </row>
    <row r="3454" spans="14:20" x14ac:dyDescent="0.3">
      <c r="N3454" s="5"/>
      <c r="O3454" s="5"/>
      <c r="P3454" s="5"/>
      <c r="Q3454" s="5"/>
      <c r="R3454" s="8"/>
      <c r="S3454" s="8"/>
      <c r="T3454" s="3"/>
    </row>
    <row r="3455" spans="14:20" x14ac:dyDescent="0.3">
      <c r="N3455" s="5"/>
      <c r="O3455" s="5"/>
      <c r="P3455" s="5"/>
      <c r="Q3455" s="5"/>
      <c r="R3455" s="8"/>
      <c r="S3455" s="8"/>
      <c r="T3455" s="3"/>
    </row>
    <row r="3456" spans="14:20" x14ac:dyDescent="0.3">
      <c r="N3456" s="5"/>
      <c r="O3456" s="5"/>
      <c r="P3456" s="5"/>
      <c r="Q3456" s="5"/>
      <c r="R3456" s="8"/>
      <c r="S3456" s="8"/>
      <c r="T3456" s="3"/>
    </row>
    <row r="3457" spans="14:20" x14ac:dyDescent="0.3">
      <c r="N3457" s="5"/>
      <c r="O3457" s="5"/>
      <c r="P3457" s="5"/>
      <c r="Q3457" s="5"/>
      <c r="R3457" s="8"/>
      <c r="S3457" s="8"/>
      <c r="T3457" s="3"/>
    </row>
    <row r="3458" spans="14:20" x14ac:dyDescent="0.3">
      <c r="N3458" s="5"/>
      <c r="O3458" s="5"/>
      <c r="P3458" s="5"/>
      <c r="Q3458" s="5"/>
      <c r="R3458" s="8"/>
      <c r="S3458" s="8"/>
      <c r="T3458" s="3"/>
    </row>
    <row r="3459" spans="14:20" x14ac:dyDescent="0.3">
      <c r="N3459" s="5"/>
      <c r="O3459" s="5"/>
      <c r="P3459" s="5"/>
      <c r="Q3459" s="5"/>
      <c r="R3459" s="8"/>
      <c r="S3459" s="8"/>
      <c r="T3459" s="3"/>
    </row>
    <row r="3460" spans="14:20" x14ac:dyDescent="0.3">
      <c r="N3460" s="5"/>
      <c r="O3460" s="5"/>
      <c r="P3460" s="5"/>
      <c r="Q3460" s="5"/>
      <c r="R3460" s="8"/>
      <c r="S3460" s="8"/>
      <c r="T3460" s="3"/>
    </row>
    <row r="3461" spans="14:20" x14ac:dyDescent="0.3">
      <c r="N3461" s="5"/>
      <c r="O3461" s="5"/>
      <c r="P3461" s="5"/>
      <c r="Q3461" s="5"/>
      <c r="R3461" s="8"/>
      <c r="S3461" s="8"/>
      <c r="T3461" s="3"/>
    </row>
    <row r="3462" spans="14:20" x14ac:dyDescent="0.3">
      <c r="N3462" s="5"/>
      <c r="O3462" s="5"/>
      <c r="P3462" s="5"/>
      <c r="Q3462" s="5"/>
      <c r="R3462" s="8"/>
      <c r="S3462" s="8"/>
      <c r="T3462" s="3"/>
    </row>
    <row r="3463" spans="14:20" x14ac:dyDescent="0.3">
      <c r="N3463" s="5"/>
      <c r="O3463" s="5"/>
      <c r="P3463" s="5"/>
      <c r="Q3463" s="5"/>
      <c r="R3463" s="8"/>
      <c r="S3463" s="8"/>
      <c r="T3463" s="3"/>
    </row>
    <row r="3464" spans="14:20" x14ac:dyDescent="0.3">
      <c r="N3464" s="5"/>
      <c r="O3464" s="5"/>
      <c r="P3464" s="5"/>
      <c r="Q3464" s="5"/>
      <c r="R3464" s="8"/>
      <c r="S3464" s="8"/>
      <c r="T3464" s="3"/>
    </row>
    <row r="3465" spans="14:20" x14ac:dyDescent="0.3">
      <c r="N3465" s="5"/>
      <c r="O3465" s="5"/>
      <c r="P3465" s="5"/>
      <c r="Q3465" s="5"/>
      <c r="R3465" s="8"/>
      <c r="S3465" s="8"/>
      <c r="T3465" s="3"/>
    </row>
    <row r="3466" spans="14:20" x14ac:dyDescent="0.3">
      <c r="N3466" s="5"/>
      <c r="O3466" s="5"/>
      <c r="P3466" s="5"/>
      <c r="Q3466" s="5"/>
      <c r="R3466" s="8"/>
      <c r="S3466" s="8"/>
      <c r="T3466" s="3"/>
    </row>
    <row r="3467" spans="14:20" x14ac:dyDescent="0.3">
      <c r="N3467" s="5"/>
      <c r="O3467" s="5"/>
      <c r="P3467" s="5"/>
      <c r="Q3467" s="5"/>
      <c r="R3467" s="8"/>
      <c r="S3467" s="8"/>
      <c r="T3467" s="3"/>
    </row>
    <row r="3468" spans="14:20" x14ac:dyDescent="0.3">
      <c r="N3468" s="5"/>
      <c r="O3468" s="5"/>
      <c r="P3468" s="5"/>
      <c r="Q3468" s="5"/>
      <c r="R3468" s="8"/>
      <c r="S3468" s="8"/>
      <c r="T3468" s="3"/>
    </row>
    <row r="3469" spans="14:20" x14ac:dyDescent="0.3">
      <c r="N3469" s="5"/>
      <c r="O3469" s="5"/>
      <c r="P3469" s="5"/>
      <c r="Q3469" s="5"/>
      <c r="R3469" s="8"/>
      <c r="S3469" s="8"/>
      <c r="T3469" s="3"/>
    </row>
    <row r="3470" spans="14:20" x14ac:dyDescent="0.3">
      <c r="N3470" s="5"/>
      <c r="O3470" s="5"/>
      <c r="P3470" s="5"/>
      <c r="Q3470" s="5"/>
      <c r="R3470" s="8"/>
      <c r="S3470" s="8"/>
      <c r="T3470" s="3"/>
    </row>
    <row r="3471" spans="14:20" x14ac:dyDescent="0.3">
      <c r="N3471" s="5"/>
      <c r="O3471" s="5"/>
      <c r="P3471" s="5"/>
      <c r="Q3471" s="5"/>
      <c r="R3471" s="8"/>
      <c r="S3471" s="8"/>
      <c r="T3471" s="3"/>
    </row>
    <row r="3472" spans="14:20" x14ac:dyDescent="0.3">
      <c r="N3472" s="5"/>
      <c r="O3472" s="5"/>
      <c r="P3472" s="5"/>
      <c r="Q3472" s="5"/>
      <c r="R3472" s="8"/>
      <c r="S3472" s="8"/>
      <c r="T3472" s="3"/>
    </row>
    <row r="3473" spans="14:20" x14ac:dyDescent="0.3">
      <c r="N3473" s="5"/>
      <c r="O3473" s="5"/>
      <c r="P3473" s="5"/>
      <c r="Q3473" s="5"/>
      <c r="R3473" s="8"/>
      <c r="S3473" s="8"/>
      <c r="T3473" s="3"/>
    </row>
    <row r="3474" spans="14:20" x14ac:dyDescent="0.3">
      <c r="N3474" s="5"/>
      <c r="O3474" s="5"/>
      <c r="P3474" s="5"/>
      <c r="Q3474" s="5"/>
      <c r="R3474" s="8"/>
      <c r="S3474" s="8"/>
      <c r="T3474" s="3"/>
    </row>
    <row r="3475" spans="14:20" x14ac:dyDescent="0.3">
      <c r="N3475" s="5"/>
      <c r="O3475" s="5"/>
      <c r="P3475" s="5"/>
      <c r="Q3475" s="5"/>
      <c r="R3475" s="8"/>
      <c r="S3475" s="8"/>
      <c r="T3475" s="3"/>
    </row>
    <row r="3476" spans="14:20" x14ac:dyDescent="0.3">
      <c r="N3476" s="5"/>
      <c r="O3476" s="5"/>
      <c r="P3476" s="5"/>
      <c r="Q3476" s="5"/>
      <c r="R3476" s="8"/>
      <c r="S3476" s="8"/>
      <c r="T3476" s="3"/>
    </row>
    <row r="3477" spans="14:20" x14ac:dyDescent="0.3">
      <c r="N3477" s="5"/>
      <c r="O3477" s="5"/>
      <c r="P3477" s="5"/>
      <c r="Q3477" s="5"/>
      <c r="R3477" s="8"/>
      <c r="S3477" s="8"/>
      <c r="T3477" s="3"/>
    </row>
    <row r="3478" spans="14:20" x14ac:dyDescent="0.3">
      <c r="N3478" s="5"/>
      <c r="O3478" s="5"/>
      <c r="P3478" s="5"/>
      <c r="Q3478" s="5"/>
      <c r="R3478" s="8"/>
      <c r="S3478" s="8"/>
      <c r="T3478" s="3"/>
    </row>
    <row r="3479" spans="14:20" x14ac:dyDescent="0.3">
      <c r="N3479" s="5"/>
      <c r="O3479" s="5"/>
      <c r="P3479" s="5"/>
      <c r="Q3479" s="5"/>
      <c r="R3479" s="8"/>
      <c r="S3479" s="8"/>
      <c r="T3479" s="3"/>
    </row>
    <row r="3480" spans="14:20" x14ac:dyDescent="0.3">
      <c r="N3480" s="5"/>
      <c r="O3480" s="5"/>
      <c r="P3480" s="5"/>
      <c r="Q3480" s="5"/>
      <c r="R3480" s="8"/>
      <c r="S3480" s="8"/>
      <c r="T3480" s="3"/>
    </row>
    <row r="3481" spans="14:20" x14ac:dyDescent="0.3">
      <c r="N3481" s="5"/>
      <c r="O3481" s="5"/>
      <c r="P3481" s="5"/>
      <c r="Q3481" s="5"/>
      <c r="R3481" s="8"/>
      <c r="S3481" s="8"/>
      <c r="T3481" s="3"/>
    </row>
    <row r="3482" spans="14:20" x14ac:dyDescent="0.3">
      <c r="N3482" s="5"/>
      <c r="O3482" s="5"/>
      <c r="P3482" s="5"/>
      <c r="Q3482" s="5"/>
      <c r="R3482" s="8"/>
      <c r="S3482" s="8"/>
      <c r="T3482" s="3"/>
    </row>
    <row r="3483" spans="14:20" x14ac:dyDescent="0.3">
      <c r="N3483" s="5"/>
      <c r="O3483" s="5"/>
      <c r="P3483" s="5"/>
      <c r="Q3483" s="5"/>
      <c r="R3483" s="8"/>
      <c r="S3483" s="8"/>
      <c r="T3483" s="3"/>
    </row>
    <row r="3484" spans="14:20" x14ac:dyDescent="0.3">
      <c r="N3484" s="5"/>
      <c r="O3484" s="5"/>
      <c r="P3484" s="5"/>
      <c r="Q3484" s="5"/>
      <c r="R3484" s="8"/>
      <c r="S3484" s="8"/>
      <c r="T3484" s="3"/>
    </row>
    <row r="3485" spans="14:20" x14ac:dyDescent="0.3">
      <c r="N3485" s="5"/>
      <c r="O3485" s="5"/>
      <c r="P3485" s="5"/>
      <c r="Q3485" s="5"/>
      <c r="R3485" s="8"/>
      <c r="S3485" s="8"/>
      <c r="T3485" s="3"/>
    </row>
    <row r="3486" spans="14:20" x14ac:dyDescent="0.3">
      <c r="N3486" s="5"/>
      <c r="O3486" s="5"/>
      <c r="P3486" s="5"/>
      <c r="Q3486" s="5"/>
      <c r="R3486" s="8"/>
      <c r="S3486" s="8"/>
      <c r="T3486" s="3"/>
    </row>
    <row r="3487" spans="14:20" x14ac:dyDescent="0.3">
      <c r="N3487" s="5"/>
      <c r="O3487" s="5"/>
      <c r="P3487" s="5"/>
      <c r="Q3487" s="5"/>
      <c r="R3487" s="8"/>
      <c r="S3487" s="8"/>
      <c r="T3487" s="3"/>
    </row>
    <row r="3488" spans="14:20" x14ac:dyDescent="0.3">
      <c r="N3488" s="5"/>
      <c r="O3488" s="5"/>
      <c r="P3488" s="5"/>
      <c r="Q3488" s="5"/>
      <c r="R3488" s="8"/>
      <c r="S3488" s="8"/>
      <c r="T3488" s="3"/>
    </row>
    <row r="3489" spans="14:20" x14ac:dyDescent="0.3">
      <c r="N3489" s="5"/>
      <c r="O3489" s="5"/>
      <c r="P3489" s="5"/>
      <c r="Q3489" s="5"/>
      <c r="R3489" s="8"/>
      <c r="S3489" s="8"/>
      <c r="T3489" s="3"/>
    </row>
    <row r="3490" spans="14:20" x14ac:dyDescent="0.3">
      <c r="N3490" s="5"/>
      <c r="O3490" s="5"/>
      <c r="P3490" s="5"/>
      <c r="Q3490" s="5"/>
      <c r="R3490" s="8"/>
      <c r="S3490" s="8"/>
      <c r="T3490" s="3"/>
    </row>
    <row r="3491" spans="14:20" x14ac:dyDescent="0.3">
      <c r="N3491" s="5"/>
      <c r="O3491" s="5"/>
      <c r="P3491" s="5"/>
      <c r="Q3491" s="5"/>
      <c r="R3491" s="8"/>
      <c r="S3491" s="8"/>
      <c r="T3491" s="3"/>
    </row>
    <row r="3492" spans="14:20" x14ac:dyDescent="0.3">
      <c r="N3492" s="5"/>
      <c r="O3492" s="5"/>
      <c r="P3492" s="5"/>
      <c r="Q3492" s="5"/>
      <c r="R3492" s="8"/>
      <c r="S3492" s="8"/>
      <c r="T3492" s="3"/>
    </row>
    <row r="3493" spans="14:20" x14ac:dyDescent="0.3">
      <c r="N3493" s="5"/>
      <c r="O3493" s="5"/>
      <c r="P3493" s="5"/>
      <c r="Q3493" s="5"/>
      <c r="R3493" s="8"/>
      <c r="S3493" s="8"/>
      <c r="T3493" s="3"/>
    </row>
    <row r="3494" spans="14:20" x14ac:dyDescent="0.3">
      <c r="N3494" s="5"/>
      <c r="O3494" s="5"/>
      <c r="P3494" s="5"/>
      <c r="Q3494" s="5"/>
      <c r="R3494" s="8"/>
      <c r="S3494" s="8"/>
      <c r="T3494" s="3"/>
    </row>
    <row r="3495" spans="14:20" x14ac:dyDescent="0.3">
      <c r="N3495" s="5"/>
      <c r="O3495" s="5"/>
      <c r="P3495" s="5"/>
      <c r="Q3495" s="5"/>
      <c r="R3495" s="8"/>
      <c r="S3495" s="8"/>
      <c r="T3495" s="3"/>
    </row>
    <row r="3496" spans="14:20" x14ac:dyDescent="0.3">
      <c r="N3496" s="5"/>
      <c r="O3496" s="5"/>
      <c r="P3496" s="5"/>
      <c r="Q3496" s="5"/>
      <c r="R3496" s="8"/>
      <c r="S3496" s="8"/>
      <c r="T3496" s="3"/>
    </row>
    <row r="3497" spans="14:20" x14ac:dyDescent="0.3">
      <c r="N3497" s="5"/>
      <c r="O3497" s="5"/>
      <c r="P3497" s="5"/>
      <c r="Q3497" s="5"/>
      <c r="R3497" s="8"/>
      <c r="S3497" s="8"/>
      <c r="T3497" s="3"/>
    </row>
    <row r="3498" spans="14:20" x14ac:dyDescent="0.3">
      <c r="N3498" s="5"/>
      <c r="O3498" s="5"/>
      <c r="P3498" s="5"/>
      <c r="Q3498" s="5"/>
      <c r="R3498" s="8"/>
      <c r="S3498" s="8"/>
      <c r="T3498" s="3"/>
    </row>
    <row r="3499" spans="14:20" x14ac:dyDescent="0.3">
      <c r="N3499" s="5"/>
      <c r="O3499" s="5"/>
      <c r="P3499" s="5"/>
      <c r="Q3499" s="5"/>
      <c r="R3499" s="8"/>
      <c r="S3499" s="8"/>
      <c r="T3499" s="3"/>
    </row>
    <row r="3500" spans="14:20" x14ac:dyDescent="0.3">
      <c r="N3500" s="5"/>
      <c r="O3500" s="5"/>
      <c r="P3500" s="5"/>
      <c r="Q3500" s="5"/>
      <c r="R3500" s="8"/>
      <c r="S3500" s="8"/>
      <c r="T3500" s="3"/>
    </row>
    <row r="3501" spans="14:20" x14ac:dyDescent="0.3">
      <c r="N3501" s="5"/>
      <c r="O3501" s="5"/>
      <c r="P3501" s="5"/>
      <c r="Q3501" s="5"/>
      <c r="R3501" s="8"/>
      <c r="S3501" s="8"/>
      <c r="T3501" s="3"/>
    </row>
    <row r="3502" spans="14:20" x14ac:dyDescent="0.3">
      <c r="N3502" s="5"/>
      <c r="O3502" s="5"/>
      <c r="P3502" s="5"/>
      <c r="Q3502" s="5"/>
      <c r="R3502" s="8"/>
      <c r="S3502" s="8"/>
      <c r="T3502" s="3"/>
    </row>
    <row r="3503" spans="14:20" x14ac:dyDescent="0.3">
      <c r="N3503" s="5"/>
      <c r="O3503" s="5"/>
      <c r="P3503" s="5"/>
      <c r="Q3503" s="5"/>
      <c r="R3503" s="8"/>
      <c r="S3503" s="8"/>
      <c r="T3503" s="3"/>
    </row>
    <row r="3504" spans="14:20" x14ac:dyDescent="0.3">
      <c r="N3504" s="5"/>
      <c r="O3504" s="5"/>
      <c r="P3504" s="5"/>
      <c r="Q3504" s="5"/>
      <c r="R3504" s="8"/>
      <c r="S3504" s="8"/>
      <c r="T3504" s="3"/>
    </row>
    <row r="3505" spans="14:20" x14ac:dyDescent="0.3">
      <c r="N3505" s="5"/>
      <c r="O3505" s="5"/>
      <c r="P3505" s="5"/>
      <c r="Q3505" s="5"/>
      <c r="R3505" s="8"/>
      <c r="S3505" s="8"/>
      <c r="T3505" s="3"/>
    </row>
    <row r="3506" spans="14:20" x14ac:dyDescent="0.3">
      <c r="N3506" s="5"/>
      <c r="O3506" s="5"/>
      <c r="P3506" s="5"/>
      <c r="Q3506" s="5"/>
      <c r="R3506" s="8"/>
      <c r="S3506" s="8"/>
      <c r="T3506" s="3"/>
    </row>
    <row r="3507" spans="14:20" x14ac:dyDescent="0.3">
      <c r="N3507" s="5"/>
      <c r="O3507" s="5"/>
      <c r="P3507" s="5"/>
      <c r="Q3507" s="5"/>
      <c r="R3507" s="8"/>
      <c r="S3507" s="8"/>
      <c r="T3507" s="3"/>
    </row>
    <row r="3508" spans="14:20" x14ac:dyDescent="0.3">
      <c r="N3508" s="5"/>
      <c r="O3508" s="5"/>
      <c r="P3508" s="5"/>
      <c r="Q3508" s="5"/>
      <c r="R3508" s="8"/>
      <c r="S3508" s="8"/>
      <c r="T3508" s="3"/>
    </row>
    <row r="3509" spans="14:20" x14ac:dyDescent="0.3">
      <c r="N3509" s="5"/>
      <c r="O3509" s="5"/>
      <c r="P3509" s="5"/>
      <c r="Q3509" s="5"/>
      <c r="R3509" s="8"/>
      <c r="S3509" s="8"/>
      <c r="T3509" s="3"/>
    </row>
    <row r="3510" spans="14:20" x14ac:dyDescent="0.3">
      <c r="N3510" s="5"/>
      <c r="O3510" s="5"/>
      <c r="P3510" s="5"/>
      <c r="Q3510" s="5"/>
      <c r="R3510" s="8"/>
      <c r="S3510" s="8"/>
      <c r="T3510" s="3"/>
    </row>
    <row r="3511" spans="14:20" x14ac:dyDescent="0.3">
      <c r="N3511" s="5"/>
      <c r="O3511" s="5"/>
      <c r="P3511" s="5"/>
      <c r="Q3511" s="5"/>
      <c r="R3511" s="8"/>
      <c r="S3511" s="8"/>
      <c r="T3511" s="3"/>
    </row>
    <row r="3512" spans="14:20" x14ac:dyDescent="0.3">
      <c r="N3512" s="5"/>
      <c r="O3512" s="5"/>
      <c r="P3512" s="5"/>
      <c r="Q3512" s="5"/>
      <c r="R3512" s="8"/>
      <c r="S3512" s="8"/>
      <c r="T3512" s="3"/>
    </row>
    <row r="3513" spans="14:20" x14ac:dyDescent="0.3">
      <c r="N3513" s="5"/>
      <c r="O3513" s="5"/>
      <c r="P3513" s="5"/>
      <c r="Q3513" s="5"/>
      <c r="R3513" s="8"/>
      <c r="S3513" s="8"/>
      <c r="T3513" s="3"/>
    </row>
    <row r="3514" spans="14:20" x14ac:dyDescent="0.3">
      <c r="N3514" s="5"/>
      <c r="O3514" s="5"/>
      <c r="P3514" s="5"/>
      <c r="Q3514" s="5"/>
      <c r="R3514" s="8"/>
      <c r="S3514" s="8"/>
      <c r="T3514" s="3"/>
    </row>
    <row r="3515" spans="14:20" x14ac:dyDescent="0.3">
      <c r="N3515" s="5"/>
      <c r="O3515" s="5"/>
      <c r="P3515" s="5"/>
      <c r="Q3515" s="5"/>
      <c r="R3515" s="8"/>
      <c r="S3515" s="8"/>
      <c r="T3515" s="3"/>
    </row>
    <row r="3516" spans="14:20" x14ac:dyDescent="0.3">
      <c r="N3516" s="5"/>
      <c r="O3516" s="5"/>
      <c r="P3516" s="5"/>
      <c r="Q3516" s="5"/>
      <c r="R3516" s="8"/>
      <c r="S3516" s="8"/>
      <c r="T3516" s="3"/>
    </row>
    <row r="3517" spans="14:20" x14ac:dyDescent="0.3">
      <c r="N3517" s="5"/>
      <c r="O3517" s="5"/>
      <c r="P3517" s="5"/>
      <c r="Q3517" s="5"/>
      <c r="R3517" s="8"/>
      <c r="S3517" s="8"/>
      <c r="T3517" s="3"/>
    </row>
    <row r="3518" spans="14:20" x14ac:dyDescent="0.3">
      <c r="N3518" s="5"/>
      <c r="O3518" s="5"/>
      <c r="P3518" s="5"/>
      <c r="Q3518" s="5"/>
      <c r="R3518" s="8"/>
      <c r="S3518" s="8"/>
      <c r="T3518" s="3"/>
    </row>
    <row r="3519" spans="14:20" x14ac:dyDescent="0.3">
      <c r="N3519" s="5"/>
      <c r="O3519" s="5"/>
      <c r="P3519" s="5"/>
      <c r="Q3519" s="5"/>
      <c r="R3519" s="8"/>
      <c r="S3519" s="8"/>
      <c r="T3519" s="3"/>
    </row>
    <row r="3520" spans="14:20" x14ac:dyDescent="0.3">
      <c r="N3520" s="5"/>
      <c r="O3520" s="5"/>
      <c r="P3520" s="5"/>
      <c r="Q3520" s="5"/>
      <c r="R3520" s="8"/>
      <c r="S3520" s="8"/>
      <c r="T3520" s="3"/>
    </row>
    <row r="3521" spans="14:20" x14ac:dyDescent="0.3">
      <c r="N3521" s="5"/>
      <c r="O3521" s="5"/>
      <c r="P3521" s="5"/>
      <c r="Q3521" s="5"/>
      <c r="R3521" s="8"/>
      <c r="S3521" s="8"/>
      <c r="T3521" s="3"/>
    </row>
    <row r="3522" spans="14:20" x14ac:dyDescent="0.3">
      <c r="N3522" s="5"/>
      <c r="O3522" s="5"/>
      <c r="P3522" s="5"/>
      <c r="Q3522" s="5"/>
      <c r="R3522" s="8"/>
      <c r="S3522" s="8"/>
      <c r="T3522" s="3"/>
    </row>
    <row r="3523" spans="14:20" x14ac:dyDescent="0.3">
      <c r="N3523" s="5"/>
      <c r="O3523" s="5"/>
      <c r="P3523" s="5"/>
      <c r="Q3523" s="5"/>
      <c r="R3523" s="8"/>
      <c r="S3523" s="8"/>
      <c r="T3523" s="3"/>
    </row>
    <row r="3524" spans="14:20" x14ac:dyDescent="0.3">
      <c r="N3524" s="5"/>
      <c r="O3524" s="5"/>
      <c r="P3524" s="5"/>
      <c r="Q3524" s="5"/>
      <c r="R3524" s="8"/>
      <c r="S3524" s="8"/>
      <c r="T3524" s="3"/>
    </row>
    <row r="3525" spans="14:20" x14ac:dyDescent="0.3">
      <c r="N3525" s="5"/>
      <c r="O3525" s="5"/>
      <c r="P3525" s="5"/>
      <c r="Q3525" s="5"/>
      <c r="R3525" s="8"/>
      <c r="S3525" s="8"/>
      <c r="T3525" s="3"/>
    </row>
    <row r="3526" spans="14:20" x14ac:dyDescent="0.3">
      <c r="N3526" s="5"/>
      <c r="O3526" s="5"/>
      <c r="P3526" s="5"/>
      <c r="Q3526" s="5"/>
      <c r="R3526" s="8"/>
      <c r="S3526" s="8"/>
      <c r="T3526" s="3"/>
    </row>
    <row r="3527" spans="14:20" x14ac:dyDescent="0.3">
      <c r="N3527" s="5"/>
      <c r="O3527" s="5"/>
      <c r="P3527" s="5"/>
      <c r="Q3527" s="5"/>
      <c r="R3527" s="8"/>
      <c r="S3527" s="8"/>
      <c r="T3527" s="3"/>
    </row>
    <row r="3528" spans="14:20" x14ac:dyDescent="0.3">
      <c r="N3528" s="5"/>
      <c r="O3528" s="5"/>
      <c r="P3528" s="5"/>
      <c r="Q3528" s="5"/>
      <c r="R3528" s="8"/>
      <c r="S3528" s="8"/>
      <c r="T3528" s="3"/>
    </row>
    <row r="3529" spans="14:20" x14ac:dyDescent="0.3">
      <c r="N3529" s="5"/>
      <c r="O3529" s="5"/>
      <c r="P3529" s="5"/>
      <c r="Q3529" s="5"/>
      <c r="R3529" s="8"/>
      <c r="S3529" s="8"/>
      <c r="T3529" s="3"/>
    </row>
    <row r="3530" spans="14:20" x14ac:dyDescent="0.3">
      <c r="N3530" s="5"/>
      <c r="O3530" s="5"/>
      <c r="P3530" s="5"/>
      <c r="Q3530" s="5"/>
      <c r="R3530" s="8"/>
      <c r="S3530" s="8"/>
      <c r="T3530" s="3"/>
    </row>
    <row r="3531" spans="14:20" x14ac:dyDescent="0.3">
      <c r="N3531" s="5"/>
      <c r="O3531" s="5"/>
      <c r="P3531" s="5"/>
      <c r="Q3531" s="5"/>
      <c r="R3531" s="8"/>
      <c r="S3531" s="8"/>
      <c r="T3531" s="3"/>
    </row>
    <row r="3532" spans="14:20" x14ac:dyDescent="0.3">
      <c r="N3532" s="5"/>
      <c r="O3532" s="5"/>
      <c r="P3532" s="5"/>
      <c r="Q3532" s="5"/>
      <c r="R3532" s="8"/>
      <c r="S3532" s="8"/>
      <c r="T3532" s="3"/>
    </row>
    <row r="3533" spans="14:20" x14ac:dyDescent="0.3">
      <c r="N3533" s="5"/>
      <c r="O3533" s="5"/>
      <c r="P3533" s="5"/>
      <c r="Q3533" s="5"/>
      <c r="R3533" s="8"/>
      <c r="S3533" s="8"/>
      <c r="T3533" s="3"/>
    </row>
    <row r="3534" spans="14:20" x14ac:dyDescent="0.3">
      <c r="N3534" s="5"/>
      <c r="O3534" s="5"/>
      <c r="P3534" s="5"/>
      <c r="Q3534" s="5"/>
      <c r="R3534" s="8"/>
      <c r="S3534" s="8"/>
      <c r="T3534" s="3"/>
    </row>
    <row r="3535" spans="14:20" x14ac:dyDescent="0.3">
      <c r="N3535" s="5"/>
      <c r="O3535" s="5"/>
      <c r="P3535" s="5"/>
      <c r="Q3535" s="5"/>
      <c r="R3535" s="8"/>
      <c r="S3535" s="8"/>
      <c r="T3535" s="3"/>
    </row>
    <row r="3536" spans="14:20" x14ac:dyDescent="0.3">
      <c r="N3536" s="5"/>
      <c r="O3536" s="5"/>
      <c r="P3536" s="5"/>
      <c r="Q3536" s="5"/>
      <c r="R3536" s="8"/>
      <c r="S3536" s="8"/>
      <c r="T3536" s="3"/>
    </row>
    <row r="3537" spans="14:20" x14ac:dyDescent="0.3">
      <c r="N3537" s="5"/>
      <c r="O3537" s="5"/>
      <c r="P3537" s="5"/>
      <c r="Q3537" s="5"/>
      <c r="R3537" s="8"/>
      <c r="S3537" s="8"/>
      <c r="T3537" s="3"/>
    </row>
    <row r="3538" spans="14:20" x14ac:dyDescent="0.3">
      <c r="N3538" s="5"/>
      <c r="O3538" s="5"/>
      <c r="P3538" s="5"/>
      <c r="Q3538" s="5"/>
      <c r="R3538" s="8"/>
      <c r="S3538" s="8"/>
      <c r="T3538" s="3"/>
    </row>
    <row r="3539" spans="14:20" x14ac:dyDescent="0.3">
      <c r="N3539" s="5"/>
      <c r="O3539" s="5"/>
      <c r="P3539" s="5"/>
      <c r="Q3539" s="5"/>
      <c r="R3539" s="8"/>
      <c r="S3539" s="8"/>
      <c r="T3539" s="3"/>
    </row>
    <row r="3540" spans="14:20" x14ac:dyDescent="0.3">
      <c r="N3540" s="5"/>
      <c r="O3540" s="5"/>
      <c r="P3540" s="5"/>
      <c r="Q3540" s="5"/>
      <c r="R3540" s="8"/>
      <c r="S3540" s="8"/>
      <c r="T3540" s="3"/>
    </row>
    <row r="3541" spans="14:20" x14ac:dyDescent="0.3">
      <c r="N3541" s="5"/>
      <c r="O3541" s="5"/>
      <c r="P3541" s="5"/>
      <c r="Q3541" s="5"/>
      <c r="R3541" s="8"/>
      <c r="S3541" s="8"/>
      <c r="T3541" s="3"/>
    </row>
    <row r="3542" spans="14:20" x14ac:dyDescent="0.3">
      <c r="N3542" s="5"/>
      <c r="O3542" s="5"/>
      <c r="P3542" s="5"/>
      <c r="Q3542" s="5"/>
      <c r="R3542" s="8"/>
      <c r="S3542" s="8"/>
      <c r="T3542" s="3"/>
    </row>
    <row r="3543" spans="14:20" x14ac:dyDescent="0.3">
      <c r="N3543" s="5"/>
      <c r="O3543" s="5"/>
      <c r="P3543" s="5"/>
      <c r="Q3543" s="5"/>
      <c r="R3543" s="8"/>
      <c r="S3543" s="8"/>
      <c r="T3543" s="3"/>
    </row>
    <row r="3544" spans="14:20" x14ac:dyDescent="0.3">
      <c r="N3544" s="5"/>
      <c r="O3544" s="5"/>
      <c r="P3544" s="5"/>
      <c r="Q3544" s="5"/>
      <c r="R3544" s="8"/>
      <c r="S3544" s="8"/>
      <c r="T3544" s="3"/>
    </row>
    <row r="3545" spans="14:20" x14ac:dyDescent="0.3">
      <c r="N3545" s="5"/>
      <c r="O3545" s="5"/>
      <c r="P3545" s="5"/>
      <c r="Q3545" s="5"/>
      <c r="R3545" s="8"/>
      <c r="S3545" s="8"/>
      <c r="T3545" s="3"/>
    </row>
    <row r="3546" spans="14:20" x14ac:dyDescent="0.3">
      <c r="N3546" s="5"/>
      <c r="O3546" s="5"/>
      <c r="P3546" s="5"/>
      <c r="Q3546" s="5"/>
      <c r="R3546" s="8"/>
      <c r="S3546" s="8"/>
      <c r="T3546" s="3"/>
    </row>
    <row r="3547" spans="14:20" x14ac:dyDescent="0.3">
      <c r="N3547" s="5"/>
      <c r="O3547" s="5"/>
      <c r="P3547" s="5"/>
      <c r="Q3547" s="5"/>
      <c r="R3547" s="8"/>
      <c r="S3547" s="8"/>
      <c r="T3547" s="3"/>
    </row>
    <row r="3548" spans="14:20" x14ac:dyDescent="0.3">
      <c r="N3548" s="5"/>
      <c r="O3548" s="5"/>
      <c r="P3548" s="5"/>
      <c r="Q3548" s="5"/>
      <c r="R3548" s="8"/>
      <c r="S3548" s="8"/>
      <c r="T3548" s="3"/>
    </row>
    <row r="3549" spans="14:20" x14ac:dyDescent="0.3">
      <c r="N3549" s="5"/>
      <c r="O3549" s="5"/>
      <c r="P3549" s="5"/>
      <c r="Q3549" s="5"/>
      <c r="R3549" s="8"/>
      <c r="S3549" s="8"/>
      <c r="T3549" s="3"/>
    </row>
    <row r="3550" spans="14:20" x14ac:dyDescent="0.3">
      <c r="N3550" s="5"/>
      <c r="O3550" s="5"/>
      <c r="P3550" s="5"/>
      <c r="Q3550" s="5"/>
      <c r="R3550" s="8"/>
      <c r="S3550" s="8"/>
      <c r="T3550" s="3"/>
    </row>
    <row r="3551" spans="14:20" x14ac:dyDescent="0.3">
      <c r="N3551" s="5"/>
      <c r="O3551" s="5"/>
      <c r="P3551" s="5"/>
      <c r="Q3551" s="5"/>
      <c r="R3551" s="8"/>
      <c r="S3551" s="8"/>
      <c r="T3551" s="3"/>
    </row>
    <row r="3552" spans="14:20" x14ac:dyDescent="0.3">
      <c r="N3552" s="5"/>
      <c r="O3552" s="5"/>
      <c r="P3552" s="5"/>
      <c r="Q3552" s="5"/>
      <c r="R3552" s="8"/>
      <c r="S3552" s="8"/>
      <c r="T3552" s="3"/>
    </row>
    <row r="3553" spans="14:20" x14ac:dyDescent="0.3">
      <c r="N3553" s="5"/>
      <c r="O3553" s="5"/>
      <c r="P3553" s="5"/>
      <c r="Q3553" s="5"/>
      <c r="R3553" s="8"/>
      <c r="S3553" s="8"/>
      <c r="T3553" s="3"/>
    </row>
    <row r="3554" spans="14:20" x14ac:dyDescent="0.3">
      <c r="N3554" s="5"/>
      <c r="O3554" s="5"/>
      <c r="P3554" s="5"/>
      <c r="Q3554" s="5"/>
      <c r="R3554" s="8"/>
      <c r="S3554" s="8"/>
      <c r="T3554" s="3"/>
    </row>
    <row r="3555" spans="14:20" x14ac:dyDescent="0.3">
      <c r="N3555" s="5"/>
      <c r="O3555" s="5"/>
      <c r="P3555" s="5"/>
      <c r="Q3555" s="5"/>
      <c r="R3555" s="8"/>
      <c r="S3555" s="8"/>
      <c r="T3555" s="3"/>
    </row>
    <row r="3556" spans="14:20" x14ac:dyDescent="0.3">
      <c r="N3556" s="5"/>
      <c r="O3556" s="5"/>
      <c r="P3556" s="5"/>
      <c r="Q3556" s="5"/>
      <c r="R3556" s="8"/>
      <c r="S3556" s="8"/>
      <c r="T3556" s="3"/>
    </row>
    <row r="3557" spans="14:20" x14ac:dyDescent="0.3">
      <c r="N3557" s="5"/>
      <c r="O3557" s="5"/>
      <c r="P3557" s="5"/>
      <c r="Q3557" s="5"/>
      <c r="R3557" s="8"/>
      <c r="S3557" s="8"/>
      <c r="T3557" s="3"/>
    </row>
    <row r="3558" spans="14:20" x14ac:dyDescent="0.3">
      <c r="N3558" s="5"/>
      <c r="O3558" s="5"/>
      <c r="P3558" s="5"/>
      <c r="Q3558" s="5"/>
      <c r="R3558" s="8"/>
      <c r="S3558" s="8"/>
      <c r="T3558" s="3"/>
    </row>
    <row r="3559" spans="14:20" x14ac:dyDescent="0.3">
      <c r="N3559" s="5"/>
      <c r="O3559" s="5"/>
      <c r="P3559" s="5"/>
      <c r="Q3559" s="5"/>
      <c r="R3559" s="8"/>
      <c r="S3559" s="8"/>
      <c r="T3559" s="3"/>
    </row>
    <row r="3560" spans="14:20" x14ac:dyDescent="0.3">
      <c r="N3560" s="5"/>
      <c r="O3560" s="5"/>
      <c r="P3560" s="5"/>
      <c r="Q3560" s="5"/>
      <c r="R3560" s="8"/>
      <c r="S3560" s="8"/>
      <c r="T3560" s="3"/>
    </row>
    <row r="3561" spans="14:20" x14ac:dyDescent="0.3">
      <c r="N3561" s="5"/>
      <c r="O3561" s="5"/>
      <c r="P3561" s="5"/>
      <c r="Q3561" s="5"/>
      <c r="R3561" s="8"/>
      <c r="S3561" s="8"/>
      <c r="T3561" s="3"/>
    </row>
    <row r="3562" spans="14:20" x14ac:dyDescent="0.3">
      <c r="N3562" s="5"/>
      <c r="O3562" s="5"/>
      <c r="P3562" s="5"/>
      <c r="Q3562" s="5"/>
      <c r="R3562" s="8"/>
      <c r="S3562" s="8"/>
      <c r="T3562" s="3"/>
    </row>
    <row r="3563" spans="14:20" x14ac:dyDescent="0.3">
      <c r="N3563" s="5"/>
      <c r="O3563" s="5"/>
      <c r="P3563" s="5"/>
      <c r="Q3563" s="5"/>
      <c r="R3563" s="8"/>
      <c r="S3563" s="8"/>
      <c r="T3563" s="3"/>
    </row>
    <row r="3564" spans="14:20" x14ac:dyDescent="0.3">
      <c r="N3564" s="5"/>
      <c r="O3564" s="5"/>
      <c r="P3564" s="5"/>
      <c r="Q3564" s="5"/>
      <c r="R3564" s="8"/>
      <c r="S3564" s="8"/>
      <c r="T3564" s="3"/>
    </row>
    <row r="3565" spans="14:20" x14ac:dyDescent="0.3">
      <c r="N3565" s="5"/>
      <c r="O3565" s="5"/>
      <c r="P3565" s="5"/>
      <c r="Q3565" s="5"/>
      <c r="R3565" s="8"/>
      <c r="S3565" s="8"/>
      <c r="T3565" s="3"/>
    </row>
    <row r="3566" spans="14:20" x14ac:dyDescent="0.3">
      <c r="N3566" s="5"/>
      <c r="O3566" s="5"/>
      <c r="P3566" s="5"/>
      <c r="Q3566" s="5"/>
      <c r="R3566" s="8"/>
      <c r="S3566" s="8"/>
      <c r="T3566" s="3"/>
    </row>
    <row r="3567" spans="14:20" x14ac:dyDescent="0.3">
      <c r="N3567" s="5"/>
      <c r="O3567" s="5"/>
      <c r="P3567" s="5"/>
      <c r="Q3567" s="5"/>
      <c r="R3567" s="8"/>
      <c r="S3567" s="8"/>
      <c r="T3567" s="3"/>
    </row>
    <row r="3568" spans="14:20" x14ac:dyDescent="0.3">
      <c r="N3568" s="5"/>
      <c r="O3568" s="5"/>
      <c r="P3568" s="5"/>
      <c r="Q3568" s="5"/>
      <c r="R3568" s="8"/>
      <c r="S3568" s="8"/>
      <c r="T3568" s="3"/>
    </row>
    <row r="3569" spans="14:20" x14ac:dyDescent="0.3">
      <c r="N3569" s="5"/>
      <c r="O3569" s="5"/>
      <c r="P3569" s="5"/>
      <c r="Q3569" s="5"/>
      <c r="R3569" s="8"/>
      <c r="S3569" s="8"/>
      <c r="T3569" s="3"/>
    </row>
    <row r="3570" spans="14:20" x14ac:dyDescent="0.3">
      <c r="N3570" s="5"/>
      <c r="O3570" s="5"/>
      <c r="P3570" s="5"/>
      <c r="Q3570" s="5"/>
      <c r="R3570" s="8"/>
      <c r="S3570" s="8"/>
      <c r="T3570" s="3"/>
    </row>
    <row r="3571" spans="14:20" x14ac:dyDescent="0.3">
      <c r="N3571" s="5"/>
      <c r="O3571" s="5"/>
      <c r="P3571" s="5"/>
      <c r="Q3571" s="5"/>
      <c r="R3571" s="8"/>
      <c r="S3571" s="8"/>
      <c r="T3571" s="3"/>
    </row>
    <row r="3572" spans="14:20" x14ac:dyDescent="0.3">
      <c r="N3572" s="5"/>
      <c r="O3572" s="5"/>
      <c r="P3572" s="5"/>
      <c r="Q3572" s="5"/>
      <c r="R3572" s="8"/>
      <c r="S3572" s="8"/>
      <c r="T3572" s="3"/>
    </row>
    <row r="3573" spans="14:20" x14ac:dyDescent="0.3">
      <c r="N3573" s="5"/>
      <c r="O3573" s="5"/>
      <c r="P3573" s="5"/>
      <c r="Q3573" s="5"/>
      <c r="R3573" s="8"/>
      <c r="S3573" s="8"/>
      <c r="T3573" s="3"/>
    </row>
    <row r="3574" spans="14:20" x14ac:dyDescent="0.3">
      <c r="N3574" s="5"/>
      <c r="O3574" s="5"/>
      <c r="P3574" s="5"/>
      <c r="Q3574" s="5"/>
      <c r="R3574" s="8"/>
      <c r="S3574" s="8"/>
      <c r="T3574" s="3"/>
    </row>
    <row r="3575" spans="14:20" x14ac:dyDescent="0.3">
      <c r="N3575" s="5"/>
      <c r="O3575" s="5"/>
      <c r="P3575" s="5"/>
      <c r="Q3575" s="5"/>
      <c r="R3575" s="8"/>
      <c r="S3575" s="8"/>
      <c r="T3575" s="3"/>
    </row>
    <row r="3576" spans="14:20" x14ac:dyDescent="0.3">
      <c r="N3576" s="5"/>
      <c r="O3576" s="5"/>
      <c r="P3576" s="5"/>
      <c r="Q3576" s="5"/>
      <c r="R3576" s="8"/>
      <c r="S3576" s="8"/>
      <c r="T3576" s="3"/>
    </row>
    <row r="3577" spans="14:20" x14ac:dyDescent="0.3">
      <c r="N3577" s="5"/>
      <c r="O3577" s="5"/>
      <c r="P3577" s="5"/>
      <c r="Q3577" s="5"/>
      <c r="R3577" s="8"/>
      <c r="S3577" s="8"/>
      <c r="T3577" s="3"/>
    </row>
    <row r="3578" spans="14:20" x14ac:dyDescent="0.3">
      <c r="N3578" s="5"/>
      <c r="O3578" s="5"/>
      <c r="P3578" s="5"/>
      <c r="Q3578" s="5"/>
      <c r="R3578" s="8"/>
      <c r="S3578" s="8"/>
      <c r="T3578" s="3"/>
    </row>
    <row r="3579" spans="14:20" x14ac:dyDescent="0.3">
      <c r="N3579" s="5"/>
      <c r="O3579" s="5"/>
      <c r="P3579" s="5"/>
      <c r="Q3579" s="5"/>
      <c r="R3579" s="8"/>
      <c r="S3579" s="8"/>
      <c r="T3579" s="3"/>
    </row>
    <row r="3580" spans="14:20" x14ac:dyDescent="0.3">
      <c r="N3580" s="5"/>
      <c r="O3580" s="5"/>
      <c r="P3580" s="5"/>
      <c r="Q3580" s="5"/>
      <c r="R3580" s="8"/>
      <c r="S3580" s="8"/>
      <c r="T3580" s="3"/>
    </row>
    <row r="3581" spans="14:20" x14ac:dyDescent="0.3">
      <c r="N3581" s="5"/>
      <c r="O3581" s="5"/>
      <c r="P3581" s="5"/>
      <c r="Q3581" s="5"/>
      <c r="R3581" s="8"/>
      <c r="S3581" s="8"/>
      <c r="T3581" s="3"/>
    </row>
    <row r="3582" spans="14:20" x14ac:dyDescent="0.3">
      <c r="N3582" s="5"/>
      <c r="O3582" s="5"/>
      <c r="P3582" s="5"/>
      <c r="Q3582" s="5"/>
      <c r="R3582" s="8"/>
      <c r="S3582" s="8"/>
      <c r="T3582" s="3"/>
    </row>
    <row r="3583" spans="14:20" x14ac:dyDescent="0.3">
      <c r="N3583" s="5"/>
      <c r="O3583" s="5"/>
      <c r="P3583" s="5"/>
      <c r="Q3583" s="5"/>
      <c r="R3583" s="8"/>
      <c r="S3583" s="8"/>
      <c r="T3583" s="3"/>
    </row>
    <row r="3584" spans="14:20" x14ac:dyDescent="0.3">
      <c r="N3584" s="5"/>
      <c r="O3584" s="5"/>
      <c r="P3584" s="5"/>
      <c r="Q3584" s="5"/>
      <c r="R3584" s="8"/>
      <c r="S3584" s="8"/>
      <c r="T3584" s="3"/>
    </row>
    <row r="3585" spans="14:20" x14ac:dyDescent="0.3">
      <c r="N3585" s="5"/>
      <c r="O3585" s="5"/>
      <c r="P3585" s="5"/>
      <c r="Q3585" s="5"/>
      <c r="R3585" s="8"/>
      <c r="S3585" s="8"/>
      <c r="T3585" s="3"/>
    </row>
    <row r="3586" spans="14:20" x14ac:dyDescent="0.3">
      <c r="N3586" s="5"/>
      <c r="O3586" s="5"/>
      <c r="P3586" s="5"/>
      <c r="Q3586" s="5"/>
      <c r="R3586" s="8"/>
      <c r="S3586" s="8"/>
      <c r="T3586" s="3"/>
    </row>
    <row r="3587" spans="14:20" x14ac:dyDescent="0.3">
      <c r="N3587" s="5"/>
      <c r="O3587" s="5"/>
      <c r="P3587" s="5"/>
      <c r="Q3587" s="5"/>
      <c r="R3587" s="8"/>
      <c r="S3587" s="8"/>
      <c r="T3587" s="3"/>
    </row>
    <row r="3588" spans="14:20" x14ac:dyDescent="0.3">
      <c r="N3588" s="5"/>
      <c r="O3588" s="5"/>
      <c r="P3588" s="5"/>
      <c r="Q3588" s="5"/>
      <c r="R3588" s="8"/>
      <c r="S3588" s="8"/>
      <c r="T3588" s="3"/>
    </row>
    <row r="3589" spans="14:20" x14ac:dyDescent="0.3">
      <c r="N3589" s="5"/>
      <c r="O3589" s="5"/>
      <c r="P3589" s="5"/>
      <c r="Q3589" s="5"/>
      <c r="R3589" s="8"/>
      <c r="S3589" s="8"/>
      <c r="T3589" s="3"/>
    </row>
    <row r="3590" spans="14:20" x14ac:dyDescent="0.3">
      <c r="N3590" s="5"/>
      <c r="O3590" s="5"/>
      <c r="P3590" s="5"/>
      <c r="Q3590" s="5"/>
      <c r="R3590" s="8"/>
      <c r="S3590" s="8"/>
      <c r="T3590" s="3"/>
    </row>
    <row r="3591" spans="14:20" x14ac:dyDescent="0.3">
      <c r="N3591" s="5"/>
      <c r="O3591" s="5"/>
      <c r="P3591" s="5"/>
      <c r="Q3591" s="5"/>
      <c r="R3591" s="8"/>
      <c r="S3591" s="8"/>
      <c r="T3591" s="3"/>
    </row>
    <row r="3592" spans="14:20" x14ac:dyDescent="0.3">
      <c r="N3592" s="5"/>
      <c r="O3592" s="5"/>
      <c r="P3592" s="5"/>
      <c r="Q3592" s="5"/>
      <c r="R3592" s="8"/>
      <c r="S3592" s="8"/>
      <c r="T3592" s="3"/>
    </row>
    <row r="3593" spans="14:20" x14ac:dyDescent="0.3">
      <c r="N3593" s="5"/>
      <c r="O3593" s="5"/>
      <c r="P3593" s="5"/>
      <c r="Q3593" s="5"/>
      <c r="R3593" s="8"/>
      <c r="S3593" s="8"/>
      <c r="T3593" s="3"/>
    </row>
    <row r="3594" spans="14:20" x14ac:dyDescent="0.3">
      <c r="N3594" s="5"/>
      <c r="O3594" s="5"/>
      <c r="P3594" s="5"/>
      <c r="Q3594" s="5"/>
      <c r="R3594" s="8"/>
      <c r="S3594" s="8"/>
      <c r="T3594" s="3"/>
    </row>
    <row r="3595" spans="14:20" x14ac:dyDescent="0.3">
      <c r="N3595" s="5"/>
      <c r="O3595" s="5"/>
      <c r="P3595" s="5"/>
      <c r="Q3595" s="5"/>
      <c r="R3595" s="8"/>
      <c r="S3595" s="8"/>
      <c r="T3595" s="3"/>
    </row>
    <row r="3596" spans="14:20" x14ac:dyDescent="0.3">
      <c r="N3596" s="5"/>
      <c r="O3596" s="5"/>
      <c r="P3596" s="5"/>
      <c r="Q3596" s="5"/>
      <c r="R3596" s="8"/>
      <c r="S3596" s="8"/>
      <c r="T3596" s="3"/>
    </row>
    <row r="3597" spans="14:20" x14ac:dyDescent="0.3">
      <c r="N3597" s="5"/>
      <c r="O3597" s="5"/>
      <c r="P3597" s="5"/>
      <c r="Q3597" s="5"/>
      <c r="R3597" s="8"/>
      <c r="S3597" s="8"/>
      <c r="T3597" s="3"/>
    </row>
    <row r="3598" spans="14:20" x14ac:dyDescent="0.3">
      <c r="N3598" s="5"/>
      <c r="O3598" s="5"/>
      <c r="P3598" s="5"/>
      <c r="Q3598" s="5"/>
      <c r="R3598" s="8"/>
      <c r="S3598" s="8"/>
      <c r="T3598" s="3"/>
    </row>
    <row r="3599" spans="14:20" x14ac:dyDescent="0.3">
      <c r="N3599" s="5"/>
      <c r="O3599" s="5"/>
      <c r="P3599" s="5"/>
      <c r="Q3599" s="5"/>
      <c r="R3599" s="8"/>
      <c r="S3599" s="8"/>
      <c r="T3599" s="3"/>
    </row>
    <row r="3600" spans="14:20" x14ac:dyDescent="0.3">
      <c r="N3600" s="5"/>
      <c r="O3600" s="5"/>
      <c r="P3600" s="5"/>
      <c r="Q3600" s="5"/>
      <c r="R3600" s="8"/>
      <c r="S3600" s="8"/>
      <c r="T3600" s="3"/>
    </row>
    <row r="3601" spans="14:20" x14ac:dyDescent="0.3">
      <c r="N3601" s="5"/>
      <c r="O3601" s="5"/>
      <c r="P3601" s="5"/>
      <c r="Q3601" s="5"/>
      <c r="R3601" s="8"/>
      <c r="S3601" s="8"/>
      <c r="T3601" s="3"/>
    </row>
    <row r="3602" spans="14:20" x14ac:dyDescent="0.3">
      <c r="N3602" s="5"/>
      <c r="O3602" s="5"/>
      <c r="P3602" s="5"/>
      <c r="Q3602" s="5"/>
      <c r="R3602" s="8"/>
      <c r="S3602" s="8"/>
      <c r="T3602" s="3"/>
    </row>
    <row r="3603" spans="14:20" x14ac:dyDescent="0.3">
      <c r="N3603" s="5"/>
      <c r="O3603" s="5"/>
      <c r="P3603" s="5"/>
      <c r="Q3603" s="5"/>
      <c r="R3603" s="8"/>
      <c r="S3603" s="8"/>
      <c r="T3603" s="3"/>
    </row>
    <row r="3604" spans="14:20" x14ac:dyDescent="0.3">
      <c r="N3604" s="5"/>
      <c r="O3604" s="5"/>
      <c r="P3604" s="5"/>
      <c r="Q3604" s="5"/>
      <c r="R3604" s="8"/>
      <c r="S3604" s="8"/>
      <c r="T3604" s="3"/>
    </row>
    <row r="3605" spans="14:20" x14ac:dyDescent="0.3">
      <c r="N3605" s="5"/>
      <c r="O3605" s="5"/>
      <c r="P3605" s="5"/>
      <c r="Q3605" s="5"/>
      <c r="R3605" s="8"/>
      <c r="S3605" s="8"/>
      <c r="T3605" s="3"/>
    </row>
    <row r="3606" spans="14:20" x14ac:dyDescent="0.3">
      <c r="N3606" s="5"/>
      <c r="O3606" s="5"/>
      <c r="P3606" s="5"/>
      <c r="Q3606" s="5"/>
      <c r="R3606" s="8"/>
      <c r="S3606" s="8"/>
      <c r="T3606" s="3"/>
    </row>
    <row r="3607" spans="14:20" x14ac:dyDescent="0.3">
      <c r="N3607" s="5"/>
      <c r="O3607" s="5"/>
      <c r="P3607" s="5"/>
      <c r="Q3607" s="5"/>
      <c r="R3607" s="8"/>
      <c r="S3607" s="8"/>
      <c r="T3607" s="3"/>
    </row>
    <row r="3608" spans="14:20" x14ac:dyDescent="0.3">
      <c r="N3608" s="5"/>
      <c r="O3608" s="5"/>
      <c r="P3608" s="5"/>
      <c r="Q3608" s="5"/>
      <c r="R3608" s="8"/>
      <c r="S3608" s="8"/>
      <c r="T3608" s="3"/>
    </row>
    <row r="3609" spans="14:20" x14ac:dyDescent="0.3">
      <c r="N3609" s="5"/>
      <c r="O3609" s="5"/>
      <c r="P3609" s="5"/>
      <c r="Q3609" s="5"/>
      <c r="R3609" s="8"/>
      <c r="S3609" s="8"/>
      <c r="T3609" s="3"/>
    </row>
    <row r="3610" spans="14:20" x14ac:dyDescent="0.3">
      <c r="N3610" s="5"/>
      <c r="O3610" s="5"/>
      <c r="P3610" s="5"/>
      <c r="Q3610" s="5"/>
      <c r="R3610" s="8"/>
      <c r="S3610" s="8"/>
      <c r="T3610" s="3"/>
    </row>
    <row r="3611" spans="14:20" x14ac:dyDescent="0.3">
      <c r="N3611" s="5"/>
      <c r="O3611" s="5"/>
      <c r="P3611" s="5"/>
      <c r="Q3611" s="5"/>
      <c r="R3611" s="8"/>
      <c r="S3611" s="8"/>
      <c r="T3611" s="3"/>
    </row>
    <row r="3612" spans="14:20" x14ac:dyDescent="0.3">
      <c r="N3612" s="5"/>
      <c r="O3612" s="5"/>
      <c r="P3612" s="5"/>
      <c r="Q3612" s="5"/>
      <c r="R3612" s="8"/>
      <c r="S3612" s="8"/>
      <c r="T3612" s="3"/>
    </row>
    <row r="3613" spans="14:20" x14ac:dyDescent="0.3">
      <c r="N3613" s="5"/>
      <c r="O3613" s="5"/>
      <c r="P3613" s="5"/>
      <c r="Q3613" s="5"/>
      <c r="R3613" s="8"/>
      <c r="S3613" s="8"/>
      <c r="T3613" s="3"/>
    </row>
    <row r="3614" spans="14:20" x14ac:dyDescent="0.3">
      <c r="N3614" s="5"/>
      <c r="O3614" s="5"/>
      <c r="P3614" s="5"/>
      <c r="Q3614" s="5"/>
      <c r="R3614" s="8"/>
      <c r="S3614" s="8"/>
      <c r="T3614" s="3"/>
    </row>
    <row r="3615" spans="14:20" x14ac:dyDescent="0.3">
      <c r="N3615" s="5"/>
      <c r="O3615" s="5"/>
      <c r="P3615" s="5"/>
      <c r="Q3615" s="5"/>
      <c r="R3615" s="8"/>
      <c r="S3615" s="8"/>
      <c r="T3615" s="3"/>
    </row>
    <row r="3616" spans="14:20" x14ac:dyDescent="0.3">
      <c r="N3616" s="5"/>
      <c r="O3616" s="5"/>
      <c r="P3616" s="5"/>
      <c r="Q3616" s="5"/>
      <c r="R3616" s="8"/>
      <c r="S3616" s="8"/>
      <c r="T3616" s="3"/>
    </row>
    <row r="3617" spans="14:20" x14ac:dyDescent="0.3">
      <c r="N3617" s="5"/>
      <c r="O3617" s="5"/>
      <c r="P3617" s="5"/>
      <c r="Q3617" s="5"/>
      <c r="R3617" s="8"/>
      <c r="S3617" s="8"/>
      <c r="T3617" s="3"/>
    </row>
    <row r="3618" spans="14:20" x14ac:dyDescent="0.3">
      <c r="N3618" s="5"/>
      <c r="O3618" s="5"/>
      <c r="P3618" s="5"/>
      <c r="Q3618" s="5"/>
      <c r="R3618" s="8"/>
      <c r="S3618" s="8"/>
      <c r="T3618" s="3"/>
    </row>
    <row r="3619" spans="14:20" x14ac:dyDescent="0.3">
      <c r="N3619" s="5"/>
      <c r="O3619" s="5"/>
      <c r="P3619" s="5"/>
      <c r="Q3619" s="5"/>
      <c r="R3619" s="8"/>
      <c r="S3619" s="8"/>
      <c r="T3619" s="3"/>
    </row>
    <row r="3620" spans="14:20" x14ac:dyDescent="0.3">
      <c r="N3620" s="5"/>
      <c r="O3620" s="5"/>
      <c r="P3620" s="5"/>
      <c r="Q3620" s="5"/>
      <c r="R3620" s="8"/>
      <c r="S3620" s="8"/>
      <c r="T3620" s="3"/>
    </row>
    <row r="3621" spans="14:20" x14ac:dyDescent="0.3">
      <c r="N3621" s="5"/>
      <c r="O3621" s="5"/>
      <c r="P3621" s="5"/>
      <c r="Q3621" s="5"/>
      <c r="R3621" s="8"/>
      <c r="S3621" s="8"/>
      <c r="T3621" s="3"/>
    </row>
    <row r="3622" spans="14:20" x14ac:dyDescent="0.3">
      <c r="N3622" s="5"/>
      <c r="O3622" s="5"/>
      <c r="P3622" s="5"/>
      <c r="Q3622" s="5"/>
      <c r="R3622" s="8"/>
      <c r="S3622" s="8"/>
      <c r="T3622" s="3"/>
    </row>
    <row r="3623" spans="14:20" x14ac:dyDescent="0.3">
      <c r="N3623" s="5"/>
      <c r="O3623" s="5"/>
      <c r="P3623" s="5"/>
      <c r="Q3623" s="5"/>
      <c r="R3623" s="8"/>
      <c r="S3623" s="8"/>
      <c r="T3623" s="3"/>
    </row>
    <row r="3624" spans="14:20" x14ac:dyDescent="0.3">
      <c r="N3624" s="5"/>
      <c r="O3624" s="5"/>
      <c r="P3624" s="5"/>
      <c r="Q3624" s="5"/>
      <c r="R3624" s="8"/>
      <c r="S3624" s="8"/>
      <c r="T3624" s="3"/>
    </row>
    <row r="3625" spans="14:20" x14ac:dyDescent="0.3">
      <c r="N3625" s="5"/>
      <c r="O3625" s="5"/>
      <c r="P3625" s="5"/>
      <c r="Q3625" s="5"/>
      <c r="R3625" s="8"/>
      <c r="S3625" s="8"/>
      <c r="T3625" s="3"/>
    </row>
    <row r="3626" spans="14:20" x14ac:dyDescent="0.3">
      <c r="N3626" s="5"/>
      <c r="O3626" s="5"/>
      <c r="P3626" s="5"/>
      <c r="Q3626" s="5"/>
      <c r="R3626" s="8"/>
      <c r="S3626" s="8"/>
      <c r="T3626" s="3"/>
    </row>
    <row r="3627" spans="14:20" x14ac:dyDescent="0.3">
      <c r="N3627" s="5"/>
      <c r="O3627" s="5"/>
      <c r="P3627" s="5"/>
      <c r="Q3627" s="5"/>
      <c r="R3627" s="8"/>
      <c r="S3627" s="8"/>
      <c r="T3627" s="3"/>
    </row>
    <row r="3628" spans="14:20" x14ac:dyDescent="0.3">
      <c r="N3628" s="5"/>
      <c r="O3628" s="5"/>
      <c r="P3628" s="5"/>
      <c r="Q3628" s="5"/>
      <c r="R3628" s="8"/>
      <c r="S3628" s="8"/>
      <c r="T3628" s="3"/>
    </row>
    <row r="3629" spans="14:20" x14ac:dyDescent="0.3">
      <c r="N3629" s="5"/>
      <c r="O3629" s="5"/>
      <c r="P3629" s="5"/>
      <c r="Q3629" s="5"/>
      <c r="R3629" s="8"/>
      <c r="S3629" s="8"/>
      <c r="T3629" s="3"/>
    </row>
    <row r="3630" spans="14:20" x14ac:dyDescent="0.3">
      <c r="N3630" s="5"/>
      <c r="O3630" s="5"/>
      <c r="P3630" s="5"/>
      <c r="Q3630" s="5"/>
      <c r="R3630" s="8"/>
      <c r="S3630" s="8"/>
      <c r="T3630" s="3"/>
    </row>
    <row r="3631" spans="14:20" x14ac:dyDescent="0.3">
      <c r="N3631" s="5"/>
      <c r="O3631" s="5"/>
      <c r="P3631" s="5"/>
      <c r="Q3631" s="5"/>
      <c r="R3631" s="8"/>
      <c r="S3631" s="8"/>
      <c r="T3631" s="3"/>
    </row>
    <row r="3632" spans="14:20" x14ac:dyDescent="0.3">
      <c r="N3632" s="5"/>
      <c r="O3632" s="5"/>
      <c r="P3632" s="5"/>
      <c r="Q3632" s="5"/>
      <c r="R3632" s="8"/>
      <c r="S3632" s="8"/>
      <c r="T3632" s="3"/>
    </row>
    <row r="3633" spans="14:20" x14ac:dyDescent="0.3">
      <c r="N3633" s="5"/>
      <c r="O3633" s="5"/>
      <c r="P3633" s="5"/>
      <c r="Q3633" s="5"/>
      <c r="R3633" s="8"/>
      <c r="S3633" s="8"/>
      <c r="T3633" s="3"/>
    </row>
    <row r="3634" spans="14:20" x14ac:dyDescent="0.3">
      <c r="N3634" s="5"/>
      <c r="O3634" s="5"/>
      <c r="P3634" s="5"/>
      <c r="Q3634" s="5"/>
      <c r="R3634" s="8"/>
      <c r="S3634" s="8"/>
      <c r="T3634" s="3"/>
    </row>
    <row r="3635" spans="14:20" x14ac:dyDescent="0.3">
      <c r="N3635" s="5"/>
      <c r="O3635" s="5"/>
      <c r="P3635" s="5"/>
      <c r="Q3635" s="5"/>
      <c r="R3635" s="8"/>
      <c r="S3635" s="8"/>
      <c r="T3635" s="3"/>
    </row>
    <row r="3636" spans="14:20" x14ac:dyDescent="0.3">
      <c r="N3636" s="5"/>
      <c r="O3636" s="5"/>
      <c r="P3636" s="5"/>
      <c r="Q3636" s="5"/>
      <c r="R3636" s="8"/>
      <c r="S3636" s="8"/>
      <c r="T3636" s="3"/>
    </row>
    <row r="3637" spans="14:20" x14ac:dyDescent="0.3">
      <c r="N3637" s="5"/>
      <c r="O3637" s="5"/>
      <c r="P3637" s="5"/>
      <c r="Q3637" s="5"/>
      <c r="R3637" s="8"/>
      <c r="S3637" s="8"/>
      <c r="T3637" s="3"/>
    </row>
    <row r="3638" spans="14:20" x14ac:dyDescent="0.3">
      <c r="N3638" s="5"/>
      <c r="O3638" s="5"/>
      <c r="P3638" s="5"/>
      <c r="Q3638" s="5"/>
      <c r="R3638" s="8"/>
      <c r="S3638" s="8"/>
      <c r="T3638" s="3"/>
    </row>
    <row r="3639" spans="14:20" x14ac:dyDescent="0.3">
      <c r="N3639" s="5"/>
      <c r="O3639" s="5"/>
      <c r="P3639" s="5"/>
      <c r="Q3639" s="5"/>
      <c r="R3639" s="8"/>
      <c r="S3639" s="8"/>
      <c r="T3639" s="3"/>
    </row>
    <row r="3640" spans="14:20" x14ac:dyDescent="0.3">
      <c r="N3640" s="5"/>
      <c r="O3640" s="5"/>
      <c r="P3640" s="5"/>
      <c r="Q3640" s="5"/>
      <c r="R3640" s="8"/>
      <c r="S3640" s="8"/>
      <c r="T3640" s="3"/>
    </row>
    <row r="3641" spans="14:20" x14ac:dyDescent="0.3">
      <c r="N3641" s="5"/>
      <c r="O3641" s="5"/>
      <c r="P3641" s="5"/>
      <c r="Q3641" s="5"/>
      <c r="R3641" s="8"/>
      <c r="S3641" s="8"/>
      <c r="T3641" s="3"/>
    </row>
    <row r="3642" spans="14:20" x14ac:dyDescent="0.3">
      <c r="N3642" s="5"/>
      <c r="O3642" s="5"/>
      <c r="P3642" s="5"/>
      <c r="Q3642" s="5"/>
      <c r="R3642" s="8"/>
      <c r="S3642" s="8"/>
      <c r="T3642" s="3"/>
    </row>
    <row r="3643" spans="14:20" x14ac:dyDescent="0.3">
      <c r="N3643" s="5"/>
      <c r="O3643" s="5"/>
      <c r="P3643" s="5"/>
      <c r="Q3643" s="5"/>
      <c r="R3643" s="8"/>
      <c r="S3643" s="8"/>
      <c r="T3643" s="3"/>
    </row>
    <row r="3644" spans="14:20" x14ac:dyDescent="0.3">
      <c r="N3644" s="5"/>
      <c r="O3644" s="5"/>
      <c r="P3644" s="5"/>
      <c r="Q3644" s="5"/>
      <c r="R3644" s="8"/>
      <c r="S3644" s="8"/>
      <c r="T3644" s="3"/>
    </row>
    <row r="3645" spans="14:20" x14ac:dyDescent="0.3">
      <c r="N3645" s="5"/>
      <c r="O3645" s="5"/>
      <c r="P3645" s="5"/>
      <c r="Q3645" s="5"/>
      <c r="R3645" s="8"/>
      <c r="S3645" s="8"/>
      <c r="T3645" s="3"/>
    </row>
    <row r="3646" spans="14:20" x14ac:dyDescent="0.3">
      <c r="N3646" s="5"/>
      <c r="O3646" s="5"/>
      <c r="P3646" s="5"/>
      <c r="Q3646" s="5"/>
      <c r="R3646" s="8"/>
      <c r="S3646" s="8"/>
      <c r="T3646" s="3"/>
    </row>
    <row r="3647" spans="14:20" x14ac:dyDescent="0.3">
      <c r="N3647" s="5"/>
      <c r="O3647" s="5"/>
      <c r="P3647" s="5"/>
      <c r="Q3647" s="5"/>
      <c r="R3647" s="8"/>
      <c r="S3647" s="8"/>
      <c r="T3647" s="3"/>
    </row>
    <row r="3648" spans="14:20" x14ac:dyDescent="0.3">
      <c r="N3648" s="5"/>
      <c r="O3648" s="5"/>
      <c r="P3648" s="5"/>
      <c r="Q3648" s="5"/>
      <c r="R3648" s="8"/>
      <c r="S3648" s="8"/>
      <c r="T3648" s="3"/>
    </row>
    <row r="3649" spans="14:20" x14ac:dyDescent="0.3">
      <c r="N3649" s="5"/>
      <c r="O3649" s="5"/>
      <c r="P3649" s="5"/>
      <c r="Q3649" s="5"/>
      <c r="R3649" s="8"/>
      <c r="S3649" s="8"/>
      <c r="T3649" s="3"/>
    </row>
    <row r="3650" spans="14:20" x14ac:dyDescent="0.3">
      <c r="N3650" s="5"/>
      <c r="O3650" s="5"/>
      <c r="P3650" s="5"/>
      <c r="Q3650" s="5"/>
      <c r="R3650" s="8"/>
      <c r="S3650" s="8"/>
      <c r="T3650" s="3"/>
    </row>
    <row r="3651" spans="14:20" x14ac:dyDescent="0.3">
      <c r="N3651" s="5"/>
      <c r="O3651" s="5"/>
      <c r="P3651" s="5"/>
      <c r="Q3651" s="5"/>
      <c r="R3651" s="8"/>
      <c r="S3651" s="8"/>
      <c r="T3651" s="3"/>
    </row>
    <row r="3652" spans="14:20" x14ac:dyDescent="0.3">
      <c r="N3652" s="5"/>
      <c r="O3652" s="5"/>
      <c r="P3652" s="5"/>
      <c r="Q3652" s="5"/>
      <c r="R3652" s="8"/>
      <c r="S3652" s="8"/>
      <c r="T3652" s="3"/>
    </row>
    <row r="3653" spans="14:20" x14ac:dyDescent="0.3">
      <c r="N3653" s="5"/>
      <c r="O3653" s="5"/>
      <c r="P3653" s="5"/>
      <c r="Q3653" s="5"/>
      <c r="R3653" s="8"/>
      <c r="S3653" s="8"/>
      <c r="T3653" s="3"/>
    </row>
    <row r="3654" spans="14:20" x14ac:dyDescent="0.3">
      <c r="N3654" s="5"/>
      <c r="O3654" s="5"/>
      <c r="P3654" s="5"/>
      <c r="Q3654" s="5"/>
      <c r="R3654" s="8"/>
      <c r="S3654" s="8"/>
      <c r="T3654" s="3"/>
    </row>
    <row r="3655" spans="14:20" x14ac:dyDescent="0.3">
      <c r="N3655" s="5"/>
      <c r="O3655" s="5"/>
      <c r="P3655" s="5"/>
      <c r="Q3655" s="5"/>
      <c r="R3655" s="8"/>
      <c r="S3655" s="8"/>
      <c r="T3655" s="3"/>
    </row>
    <row r="3656" spans="14:20" x14ac:dyDescent="0.3">
      <c r="N3656" s="5"/>
      <c r="O3656" s="5"/>
      <c r="P3656" s="5"/>
      <c r="Q3656" s="5"/>
      <c r="R3656" s="8"/>
      <c r="S3656" s="8"/>
      <c r="T3656" s="3"/>
    </row>
    <row r="3657" spans="14:20" x14ac:dyDescent="0.3">
      <c r="N3657" s="5"/>
      <c r="O3657" s="5"/>
      <c r="P3657" s="5"/>
      <c r="Q3657" s="5"/>
      <c r="R3657" s="8"/>
      <c r="S3657" s="8"/>
      <c r="T3657" s="3"/>
    </row>
    <row r="3658" spans="14:20" x14ac:dyDescent="0.3">
      <c r="N3658" s="5"/>
      <c r="O3658" s="5"/>
      <c r="P3658" s="5"/>
      <c r="Q3658" s="5"/>
      <c r="R3658" s="8"/>
      <c r="S3658" s="8"/>
      <c r="T3658" s="3"/>
    </row>
    <row r="3659" spans="14:20" x14ac:dyDescent="0.3">
      <c r="N3659" s="5"/>
      <c r="O3659" s="5"/>
      <c r="P3659" s="5"/>
      <c r="Q3659" s="5"/>
      <c r="R3659" s="8"/>
      <c r="S3659" s="8"/>
      <c r="T3659" s="3"/>
    </row>
    <row r="3660" spans="14:20" x14ac:dyDescent="0.3">
      <c r="N3660" s="5"/>
      <c r="O3660" s="5"/>
      <c r="P3660" s="5"/>
      <c r="Q3660" s="5"/>
      <c r="R3660" s="8"/>
      <c r="S3660" s="8"/>
      <c r="T3660" s="3"/>
    </row>
    <row r="3661" spans="14:20" x14ac:dyDescent="0.3">
      <c r="N3661" s="5"/>
      <c r="O3661" s="5"/>
      <c r="P3661" s="5"/>
      <c r="Q3661" s="5"/>
      <c r="R3661" s="8"/>
      <c r="S3661" s="8"/>
      <c r="T3661" s="3"/>
    </row>
    <row r="3662" spans="14:20" x14ac:dyDescent="0.3">
      <c r="N3662" s="5"/>
      <c r="O3662" s="5"/>
      <c r="P3662" s="5"/>
      <c r="Q3662" s="5"/>
      <c r="R3662" s="8"/>
      <c r="S3662" s="8"/>
      <c r="T3662" s="3"/>
    </row>
    <row r="3663" spans="14:20" x14ac:dyDescent="0.3">
      <c r="N3663" s="5"/>
      <c r="O3663" s="5"/>
      <c r="P3663" s="5"/>
      <c r="Q3663" s="5"/>
      <c r="R3663" s="8"/>
      <c r="S3663" s="8"/>
      <c r="T3663" s="3"/>
    </row>
    <row r="3664" spans="14:20" x14ac:dyDescent="0.3">
      <c r="N3664" s="5"/>
      <c r="O3664" s="5"/>
      <c r="P3664" s="5"/>
      <c r="Q3664" s="5"/>
      <c r="R3664" s="8"/>
      <c r="S3664" s="8"/>
      <c r="T3664" s="3"/>
    </row>
    <row r="3665" spans="14:20" x14ac:dyDescent="0.3">
      <c r="N3665" s="5"/>
      <c r="O3665" s="5"/>
      <c r="P3665" s="5"/>
      <c r="Q3665" s="5"/>
      <c r="R3665" s="8"/>
      <c r="S3665" s="8"/>
      <c r="T3665" s="3"/>
    </row>
    <row r="3666" spans="14:20" x14ac:dyDescent="0.3">
      <c r="N3666" s="5"/>
      <c r="O3666" s="5"/>
      <c r="P3666" s="5"/>
      <c r="Q3666" s="5"/>
      <c r="R3666" s="8"/>
      <c r="S3666" s="8"/>
      <c r="T3666" s="3"/>
    </row>
    <row r="3667" spans="14:20" x14ac:dyDescent="0.3">
      <c r="N3667" s="5"/>
      <c r="O3667" s="5"/>
      <c r="P3667" s="5"/>
      <c r="Q3667" s="5"/>
      <c r="R3667" s="8"/>
      <c r="S3667" s="8"/>
      <c r="T3667" s="3"/>
    </row>
    <row r="3668" spans="14:20" x14ac:dyDescent="0.3">
      <c r="N3668" s="5"/>
      <c r="O3668" s="5"/>
      <c r="P3668" s="5"/>
      <c r="Q3668" s="5"/>
      <c r="R3668" s="8"/>
      <c r="S3668" s="8"/>
      <c r="T3668" s="3"/>
    </row>
    <row r="3669" spans="14:20" x14ac:dyDescent="0.3">
      <c r="N3669" s="5"/>
      <c r="O3669" s="5"/>
      <c r="P3669" s="5"/>
      <c r="Q3669" s="5"/>
      <c r="R3669" s="8"/>
      <c r="S3669" s="8"/>
      <c r="T3669" s="3"/>
    </row>
    <row r="3670" spans="14:20" x14ac:dyDescent="0.3">
      <c r="N3670" s="5"/>
      <c r="O3670" s="5"/>
      <c r="P3670" s="5"/>
      <c r="Q3670" s="5"/>
      <c r="R3670" s="8"/>
      <c r="S3670" s="8"/>
      <c r="T3670" s="3"/>
    </row>
    <row r="3671" spans="14:20" x14ac:dyDescent="0.3">
      <c r="N3671" s="5"/>
      <c r="O3671" s="5"/>
      <c r="P3671" s="5"/>
      <c r="Q3671" s="5"/>
      <c r="R3671" s="8"/>
      <c r="S3671" s="8"/>
      <c r="T3671" s="3"/>
    </row>
    <row r="3672" spans="14:20" x14ac:dyDescent="0.3">
      <c r="N3672" s="5"/>
      <c r="O3672" s="5"/>
      <c r="P3672" s="5"/>
      <c r="Q3672" s="5"/>
      <c r="R3672" s="8"/>
      <c r="S3672" s="8"/>
      <c r="T3672" s="3"/>
    </row>
    <row r="3673" spans="14:20" x14ac:dyDescent="0.3">
      <c r="N3673" s="5"/>
      <c r="O3673" s="5"/>
      <c r="P3673" s="5"/>
      <c r="Q3673" s="5"/>
      <c r="R3673" s="8"/>
      <c r="S3673" s="8"/>
      <c r="T3673" s="3"/>
    </row>
    <row r="3674" spans="14:20" x14ac:dyDescent="0.3">
      <c r="N3674" s="5"/>
      <c r="O3674" s="5"/>
      <c r="P3674" s="5"/>
      <c r="Q3674" s="5"/>
      <c r="R3674" s="8"/>
      <c r="S3674" s="8"/>
      <c r="T3674" s="3"/>
    </row>
    <row r="3675" spans="14:20" x14ac:dyDescent="0.3">
      <c r="N3675" s="5"/>
      <c r="O3675" s="5"/>
      <c r="P3675" s="5"/>
      <c r="Q3675" s="5"/>
      <c r="R3675" s="8"/>
      <c r="S3675" s="8"/>
      <c r="T3675" s="3"/>
    </row>
    <row r="3676" spans="14:20" x14ac:dyDescent="0.3">
      <c r="N3676" s="5"/>
      <c r="O3676" s="5"/>
      <c r="P3676" s="5"/>
      <c r="Q3676" s="5"/>
      <c r="R3676" s="8"/>
      <c r="S3676" s="8"/>
      <c r="T3676" s="3"/>
    </row>
    <row r="3677" spans="14:20" x14ac:dyDescent="0.3">
      <c r="N3677" s="5"/>
      <c r="O3677" s="5"/>
      <c r="P3677" s="5"/>
      <c r="Q3677" s="5"/>
      <c r="R3677" s="8"/>
      <c r="S3677" s="8"/>
      <c r="T3677" s="3"/>
    </row>
    <row r="3678" spans="14:20" x14ac:dyDescent="0.3">
      <c r="N3678" s="5"/>
      <c r="O3678" s="5"/>
      <c r="P3678" s="5"/>
      <c r="Q3678" s="5"/>
      <c r="R3678" s="8"/>
      <c r="S3678" s="8"/>
      <c r="T3678" s="3"/>
    </row>
    <row r="3679" spans="14:20" x14ac:dyDescent="0.3">
      <c r="N3679" s="5"/>
      <c r="O3679" s="5"/>
      <c r="P3679" s="5"/>
      <c r="Q3679" s="5"/>
      <c r="R3679" s="8"/>
      <c r="S3679" s="8"/>
      <c r="T3679" s="3"/>
    </row>
    <row r="3680" spans="14:20" x14ac:dyDescent="0.3">
      <c r="N3680" s="5"/>
      <c r="O3680" s="5"/>
      <c r="P3680" s="5"/>
      <c r="Q3680" s="5"/>
      <c r="R3680" s="8"/>
      <c r="S3680" s="8"/>
      <c r="T3680" s="3"/>
    </row>
    <row r="3681" spans="14:20" x14ac:dyDescent="0.3">
      <c r="N3681" s="5"/>
      <c r="O3681" s="5"/>
      <c r="P3681" s="5"/>
      <c r="Q3681" s="5"/>
      <c r="R3681" s="8"/>
      <c r="S3681" s="8"/>
      <c r="T3681" s="3"/>
    </row>
    <row r="3682" spans="14:20" x14ac:dyDescent="0.3">
      <c r="N3682" s="5"/>
      <c r="O3682" s="5"/>
      <c r="P3682" s="5"/>
      <c r="Q3682" s="5"/>
      <c r="R3682" s="8"/>
      <c r="S3682" s="8"/>
      <c r="T3682" s="3"/>
    </row>
    <row r="3683" spans="14:20" x14ac:dyDescent="0.3">
      <c r="N3683" s="5"/>
      <c r="O3683" s="5"/>
      <c r="P3683" s="5"/>
      <c r="Q3683" s="5"/>
      <c r="R3683" s="8"/>
      <c r="S3683" s="8"/>
      <c r="T3683" s="3"/>
    </row>
    <row r="3684" spans="14:20" x14ac:dyDescent="0.3">
      <c r="N3684" s="5"/>
      <c r="O3684" s="5"/>
      <c r="P3684" s="5"/>
      <c r="Q3684" s="5"/>
      <c r="R3684" s="8"/>
      <c r="S3684" s="8"/>
      <c r="T3684" s="3"/>
    </row>
    <row r="3685" spans="14:20" x14ac:dyDescent="0.3">
      <c r="N3685" s="5"/>
      <c r="O3685" s="5"/>
      <c r="P3685" s="5"/>
      <c r="Q3685" s="5"/>
      <c r="R3685" s="8"/>
      <c r="S3685" s="8"/>
      <c r="T3685" s="3"/>
    </row>
    <row r="3686" spans="14:20" x14ac:dyDescent="0.3">
      <c r="N3686" s="5"/>
      <c r="O3686" s="5"/>
      <c r="P3686" s="5"/>
      <c r="Q3686" s="5"/>
      <c r="R3686" s="8"/>
      <c r="S3686" s="8"/>
      <c r="T3686" s="3"/>
    </row>
    <row r="3687" spans="14:20" x14ac:dyDescent="0.3">
      <c r="N3687" s="5"/>
      <c r="O3687" s="5"/>
      <c r="P3687" s="5"/>
      <c r="Q3687" s="5"/>
      <c r="R3687" s="8"/>
      <c r="S3687" s="8"/>
      <c r="T3687" s="3"/>
    </row>
    <row r="3688" spans="14:20" x14ac:dyDescent="0.3">
      <c r="N3688" s="5"/>
      <c r="O3688" s="5"/>
      <c r="P3688" s="5"/>
      <c r="Q3688" s="5"/>
      <c r="R3688" s="8"/>
      <c r="S3688" s="8"/>
      <c r="T3688" s="3"/>
    </row>
    <row r="3689" spans="14:20" x14ac:dyDescent="0.3">
      <c r="N3689" s="5"/>
      <c r="O3689" s="5"/>
      <c r="P3689" s="5"/>
      <c r="Q3689" s="5"/>
      <c r="R3689" s="8"/>
      <c r="S3689" s="8"/>
      <c r="T3689" s="3"/>
    </row>
    <row r="3690" spans="14:20" x14ac:dyDescent="0.3">
      <c r="N3690" s="5"/>
      <c r="O3690" s="5"/>
      <c r="P3690" s="5"/>
      <c r="Q3690" s="5"/>
      <c r="R3690" s="8"/>
      <c r="S3690" s="8"/>
      <c r="T3690" s="3"/>
    </row>
    <row r="3691" spans="14:20" x14ac:dyDescent="0.3">
      <c r="N3691" s="5"/>
      <c r="O3691" s="5"/>
      <c r="P3691" s="5"/>
      <c r="Q3691" s="5"/>
      <c r="R3691" s="8"/>
      <c r="S3691" s="8"/>
      <c r="T3691" s="3"/>
    </row>
    <row r="3692" spans="14:20" x14ac:dyDescent="0.3">
      <c r="N3692" s="5"/>
      <c r="O3692" s="5"/>
      <c r="P3692" s="5"/>
      <c r="Q3692" s="5"/>
      <c r="R3692" s="8"/>
      <c r="S3692" s="8"/>
      <c r="T3692" s="3"/>
    </row>
    <row r="3693" spans="14:20" x14ac:dyDescent="0.3">
      <c r="N3693" s="5"/>
      <c r="O3693" s="5"/>
      <c r="P3693" s="5"/>
      <c r="Q3693" s="5"/>
      <c r="R3693" s="8"/>
      <c r="S3693" s="8"/>
      <c r="T3693" s="3"/>
    </row>
    <row r="3694" spans="14:20" x14ac:dyDescent="0.3">
      <c r="N3694" s="5"/>
      <c r="O3694" s="5"/>
      <c r="P3694" s="5"/>
      <c r="Q3694" s="5"/>
      <c r="R3694" s="8"/>
      <c r="S3694" s="8"/>
      <c r="T3694" s="3"/>
    </row>
    <row r="3695" spans="14:20" x14ac:dyDescent="0.3">
      <c r="N3695" s="5"/>
      <c r="O3695" s="5"/>
      <c r="P3695" s="5"/>
      <c r="Q3695" s="5"/>
      <c r="R3695" s="8"/>
      <c r="S3695" s="8"/>
      <c r="T3695" s="3"/>
    </row>
    <row r="3696" spans="14:20" x14ac:dyDescent="0.3">
      <c r="N3696" s="5"/>
      <c r="O3696" s="5"/>
      <c r="P3696" s="5"/>
      <c r="Q3696" s="5"/>
      <c r="R3696" s="8"/>
      <c r="S3696" s="8"/>
      <c r="T3696" s="3"/>
    </row>
    <row r="3697" spans="14:20" x14ac:dyDescent="0.3">
      <c r="N3697" s="5"/>
      <c r="O3697" s="5"/>
      <c r="P3697" s="5"/>
      <c r="Q3697" s="5"/>
      <c r="R3697" s="8"/>
      <c r="S3697" s="8"/>
      <c r="T3697" s="3"/>
    </row>
    <row r="3698" spans="14:20" x14ac:dyDescent="0.3">
      <c r="N3698" s="5"/>
      <c r="O3698" s="5"/>
      <c r="P3698" s="5"/>
      <c r="Q3698" s="5"/>
      <c r="R3698" s="8"/>
      <c r="S3698" s="8"/>
      <c r="T3698" s="3"/>
    </row>
    <row r="3699" spans="14:20" x14ac:dyDescent="0.3">
      <c r="N3699" s="5"/>
      <c r="O3699" s="5"/>
      <c r="P3699" s="5"/>
      <c r="Q3699" s="5"/>
      <c r="R3699" s="8"/>
      <c r="S3699" s="8"/>
      <c r="T3699" s="3"/>
    </row>
    <row r="3700" spans="14:20" x14ac:dyDescent="0.3">
      <c r="N3700" s="5"/>
      <c r="O3700" s="5"/>
      <c r="P3700" s="5"/>
      <c r="Q3700" s="5"/>
      <c r="R3700" s="8"/>
      <c r="S3700" s="8"/>
      <c r="T3700" s="3"/>
    </row>
    <row r="3701" spans="14:20" x14ac:dyDescent="0.3">
      <c r="N3701" s="5"/>
      <c r="O3701" s="5"/>
      <c r="P3701" s="5"/>
      <c r="Q3701" s="5"/>
      <c r="R3701" s="8"/>
      <c r="S3701" s="8"/>
      <c r="T3701" s="3"/>
    </row>
    <row r="3702" spans="14:20" x14ac:dyDescent="0.3">
      <c r="N3702" s="5"/>
      <c r="O3702" s="5"/>
      <c r="P3702" s="5"/>
      <c r="Q3702" s="5"/>
      <c r="R3702" s="8"/>
      <c r="S3702" s="8"/>
      <c r="T3702" s="3"/>
    </row>
    <row r="3703" spans="14:20" x14ac:dyDescent="0.3">
      <c r="N3703" s="5"/>
      <c r="O3703" s="5"/>
      <c r="P3703" s="5"/>
      <c r="Q3703" s="5"/>
      <c r="R3703" s="8"/>
      <c r="S3703" s="8"/>
      <c r="T3703" s="3"/>
    </row>
    <row r="3704" spans="14:20" x14ac:dyDescent="0.3">
      <c r="N3704" s="5"/>
      <c r="O3704" s="5"/>
      <c r="P3704" s="5"/>
      <c r="Q3704" s="5"/>
      <c r="R3704" s="8"/>
      <c r="S3704" s="8"/>
      <c r="T3704" s="3"/>
    </row>
    <row r="3705" spans="14:20" x14ac:dyDescent="0.3">
      <c r="N3705" s="5"/>
      <c r="O3705" s="5"/>
      <c r="P3705" s="5"/>
      <c r="Q3705" s="5"/>
      <c r="R3705" s="8"/>
      <c r="S3705" s="8"/>
      <c r="T3705" s="3"/>
    </row>
    <row r="3706" spans="14:20" x14ac:dyDescent="0.3">
      <c r="N3706" s="5"/>
      <c r="O3706" s="5"/>
      <c r="P3706" s="5"/>
      <c r="Q3706" s="5"/>
      <c r="R3706" s="8"/>
      <c r="S3706" s="8"/>
      <c r="T3706" s="3"/>
    </row>
    <row r="3707" spans="14:20" x14ac:dyDescent="0.3">
      <c r="N3707" s="5"/>
      <c r="O3707" s="5"/>
      <c r="P3707" s="5"/>
      <c r="Q3707" s="5"/>
      <c r="R3707" s="8"/>
      <c r="S3707" s="8"/>
      <c r="T3707" s="3"/>
    </row>
    <row r="3708" spans="14:20" x14ac:dyDescent="0.3">
      <c r="N3708" s="5"/>
      <c r="O3708" s="5"/>
      <c r="P3708" s="5"/>
      <c r="Q3708" s="5"/>
      <c r="R3708" s="8"/>
      <c r="S3708" s="8"/>
      <c r="T3708" s="3"/>
    </row>
    <row r="3709" spans="14:20" x14ac:dyDescent="0.3">
      <c r="N3709" s="5"/>
      <c r="O3709" s="5"/>
      <c r="P3709" s="5"/>
      <c r="Q3709" s="5"/>
      <c r="R3709" s="8"/>
      <c r="S3709" s="8"/>
      <c r="T3709" s="3"/>
    </row>
    <row r="3710" spans="14:20" x14ac:dyDescent="0.3">
      <c r="N3710" s="5"/>
      <c r="O3710" s="5"/>
      <c r="P3710" s="5"/>
      <c r="Q3710" s="5"/>
      <c r="R3710" s="8"/>
      <c r="S3710" s="8"/>
      <c r="T3710" s="3"/>
    </row>
    <row r="3711" spans="14:20" x14ac:dyDescent="0.3">
      <c r="N3711" s="5"/>
      <c r="O3711" s="5"/>
      <c r="P3711" s="5"/>
      <c r="Q3711" s="5"/>
      <c r="R3711" s="8"/>
      <c r="S3711" s="8"/>
      <c r="T3711" s="3"/>
    </row>
    <row r="3712" spans="14:20" x14ac:dyDescent="0.3">
      <c r="N3712" s="5"/>
      <c r="O3712" s="5"/>
      <c r="P3712" s="5"/>
      <c r="Q3712" s="5"/>
      <c r="R3712" s="8"/>
      <c r="S3712" s="8"/>
      <c r="T3712" s="3"/>
    </row>
    <row r="3713" spans="14:20" x14ac:dyDescent="0.3">
      <c r="N3713" s="5"/>
      <c r="O3713" s="5"/>
      <c r="P3713" s="5"/>
      <c r="Q3713" s="5"/>
      <c r="R3713" s="8"/>
      <c r="S3713" s="8"/>
      <c r="T3713" s="3"/>
    </row>
    <row r="3714" spans="14:20" x14ac:dyDescent="0.3">
      <c r="N3714" s="5"/>
      <c r="O3714" s="5"/>
      <c r="P3714" s="5"/>
      <c r="Q3714" s="5"/>
      <c r="R3714" s="8"/>
      <c r="S3714" s="8"/>
      <c r="T3714" s="3"/>
    </row>
    <row r="3715" spans="14:20" x14ac:dyDescent="0.3">
      <c r="N3715" s="5"/>
      <c r="O3715" s="5"/>
      <c r="P3715" s="5"/>
      <c r="Q3715" s="5"/>
      <c r="R3715" s="8"/>
      <c r="S3715" s="8"/>
      <c r="T3715" s="3"/>
    </row>
    <row r="3716" spans="14:20" x14ac:dyDescent="0.3">
      <c r="N3716" s="5"/>
      <c r="O3716" s="5"/>
      <c r="P3716" s="5"/>
      <c r="Q3716" s="5"/>
      <c r="R3716" s="8"/>
      <c r="S3716" s="8"/>
      <c r="T3716" s="3"/>
    </row>
    <row r="3717" spans="14:20" x14ac:dyDescent="0.3">
      <c r="N3717" s="5"/>
      <c r="O3717" s="5"/>
      <c r="P3717" s="5"/>
      <c r="Q3717" s="5"/>
      <c r="R3717" s="8"/>
      <c r="S3717" s="8"/>
      <c r="T3717" s="3"/>
    </row>
    <row r="3718" spans="14:20" x14ac:dyDescent="0.3">
      <c r="N3718" s="5"/>
      <c r="O3718" s="5"/>
      <c r="P3718" s="5"/>
      <c r="Q3718" s="5"/>
      <c r="R3718" s="8"/>
      <c r="S3718" s="8"/>
      <c r="T3718" s="3"/>
    </row>
    <row r="3719" spans="14:20" x14ac:dyDescent="0.3">
      <c r="N3719" s="5"/>
      <c r="O3719" s="5"/>
      <c r="P3719" s="5"/>
      <c r="Q3719" s="5"/>
      <c r="R3719" s="8"/>
      <c r="S3719" s="8"/>
      <c r="T3719" s="3"/>
    </row>
    <row r="3720" spans="14:20" x14ac:dyDescent="0.3">
      <c r="N3720" s="5"/>
      <c r="O3720" s="5"/>
      <c r="P3720" s="5"/>
      <c r="Q3720" s="5"/>
      <c r="R3720" s="8"/>
      <c r="S3720" s="8"/>
      <c r="T3720" s="3"/>
    </row>
    <row r="3721" spans="14:20" x14ac:dyDescent="0.3">
      <c r="N3721" s="5"/>
      <c r="O3721" s="5"/>
      <c r="P3721" s="5"/>
      <c r="Q3721" s="5"/>
      <c r="R3721" s="8"/>
      <c r="S3721" s="8"/>
      <c r="T3721" s="3"/>
    </row>
    <row r="3722" spans="14:20" x14ac:dyDescent="0.3">
      <c r="N3722" s="5"/>
      <c r="O3722" s="5"/>
      <c r="P3722" s="5"/>
      <c r="Q3722" s="5"/>
      <c r="R3722" s="8"/>
      <c r="S3722" s="8"/>
      <c r="T3722" s="3"/>
    </row>
    <row r="3723" spans="14:20" x14ac:dyDescent="0.3">
      <c r="N3723" s="5"/>
      <c r="O3723" s="5"/>
      <c r="P3723" s="5"/>
      <c r="Q3723" s="5"/>
      <c r="R3723" s="8"/>
      <c r="S3723" s="8"/>
      <c r="T3723" s="3"/>
    </row>
    <row r="3724" spans="14:20" x14ac:dyDescent="0.3">
      <c r="N3724" s="5"/>
      <c r="O3724" s="5"/>
      <c r="P3724" s="5"/>
      <c r="Q3724" s="5"/>
      <c r="R3724" s="8"/>
      <c r="S3724" s="8"/>
      <c r="T3724" s="3"/>
    </row>
    <row r="3725" spans="14:20" x14ac:dyDescent="0.3">
      <c r="N3725" s="5"/>
      <c r="O3725" s="5"/>
      <c r="P3725" s="5"/>
      <c r="Q3725" s="5"/>
      <c r="R3725" s="8"/>
      <c r="S3725" s="8"/>
      <c r="T3725" s="3"/>
    </row>
    <row r="3726" spans="14:20" x14ac:dyDescent="0.3">
      <c r="N3726" s="5"/>
      <c r="O3726" s="5"/>
      <c r="P3726" s="5"/>
      <c r="Q3726" s="5"/>
      <c r="R3726" s="8"/>
      <c r="S3726" s="8"/>
      <c r="T3726" s="3"/>
    </row>
    <row r="3727" spans="14:20" x14ac:dyDescent="0.3">
      <c r="N3727" s="5"/>
      <c r="O3727" s="5"/>
      <c r="P3727" s="5"/>
      <c r="Q3727" s="5"/>
      <c r="R3727" s="8"/>
      <c r="S3727" s="8"/>
      <c r="T3727" s="3"/>
    </row>
    <row r="3728" spans="14:20" x14ac:dyDescent="0.3">
      <c r="N3728" s="5"/>
      <c r="O3728" s="5"/>
      <c r="P3728" s="5"/>
      <c r="Q3728" s="5"/>
      <c r="R3728" s="8"/>
      <c r="S3728" s="8"/>
      <c r="T3728" s="3"/>
    </row>
    <row r="3729" spans="14:20" x14ac:dyDescent="0.3">
      <c r="N3729" s="5"/>
      <c r="O3729" s="5"/>
      <c r="P3729" s="5"/>
      <c r="Q3729" s="5"/>
      <c r="R3729" s="8"/>
      <c r="S3729" s="8"/>
      <c r="T3729" s="3"/>
    </row>
    <row r="3730" spans="14:20" x14ac:dyDescent="0.3">
      <c r="N3730" s="5"/>
      <c r="O3730" s="5"/>
      <c r="P3730" s="5"/>
      <c r="Q3730" s="5"/>
      <c r="R3730" s="8"/>
      <c r="S3730" s="8"/>
      <c r="T3730" s="3"/>
    </row>
    <row r="3731" spans="14:20" x14ac:dyDescent="0.3">
      <c r="N3731" s="5"/>
      <c r="O3731" s="5"/>
      <c r="P3731" s="5"/>
      <c r="Q3731" s="5"/>
      <c r="R3731" s="8"/>
      <c r="S3731" s="8"/>
      <c r="T3731" s="3"/>
    </row>
    <row r="3732" spans="14:20" x14ac:dyDescent="0.3">
      <c r="N3732" s="5"/>
      <c r="O3732" s="5"/>
      <c r="P3732" s="5"/>
      <c r="Q3732" s="5"/>
      <c r="R3732" s="8"/>
      <c r="S3732" s="8"/>
      <c r="T3732" s="3"/>
    </row>
    <row r="3733" spans="14:20" x14ac:dyDescent="0.3">
      <c r="N3733" s="5"/>
      <c r="O3733" s="5"/>
      <c r="P3733" s="5"/>
      <c r="Q3733" s="5"/>
      <c r="R3733" s="8"/>
      <c r="S3733" s="8"/>
      <c r="T3733" s="3"/>
    </row>
    <row r="3734" spans="14:20" x14ac:dyDescent="0.3">
      <c r="N3734" s="5"/>
      <c r="O3734" s="5"/>
      <c r="P3734" s="5"/>
      <c r="Q3734" s="5"/>
      <c r="R3734" s="8"/>
      <c r="S3734" s="8"/>
      <c r="T3734" s="3"/>
    </row>
    <row r="3735" spans="14:20" x14ac:dyDescent="0.3">
      <c r="N3735" s="5"/>
      <c r="O3735" s="5"/>
      <c r="P3735" s="5"/>
      <c r="Q3735" s="5"/>
      <c r="R3735" s="8"/>
      <c r="S3735" s="8"/>
      <c r="T3735" s="3"/>
    </row>
    <row r="3736" spans="14:20" x14ac:dyDescent="0.3">
      <c r="N3736" s="5"/>
      <c r="O3736" s="5"/>
      <c r="P3736" s="5"/>
      <c r="Q3736" s="5"/>
      <c r="R3736" s="8"/>
      <c r="S3736" s="8"/>
      <c r="T3736" s="3"/>
    </row>
    <row r="3737" spans="14:20" x14ac:dyDescent="0.3">
      <c r="N3737" s="5"/>
      <c r="O3737" s="5"/>
      <c r="P3737" s="5"/>
      <c r="Q3737" s="5"/>
      <c r="R3737" s="8"/>
      <c r="S3737" s="8"/>
      <c r="T3737" s="3"/>
    </row>
    <row r="3738" spans="14:20" x14ac:dyDescent="0.3">
      <c r="N3738" s="5"/>
      <c r="O3738" s="5"/>
      <c r="P3738" s="5"/>
      <c r="Q3738" s="5"/>
      <c r="R3738" s="8"/>
      <c r="S3738" s="8"/>
      <c r="T3738" s="3"/>
    </row>
    <row r="3739" spans="14:20" x14ac:dyDescent="0.3">
      <c r="N3739" s="5"/>
      <c r="O3739" s="5"/>
      <c r="P3739" s="5"/>
      <c r="Q3739" s="5"/>
      <c r="R3739" s="8"/>
      <c r="S3739" s="8"/>
      <c r="T3739" s="3"/>
    </row>
    <row r="3740" spans="14:20" x14ac:dyDescent="0.3">
      <c r="N3740" s="5"/>
      <c r="O3740" s="5"/>
      <c r="P3740" s="5"/>
      <c r="Q3740" s="5"/>
      <c r="R3740" s="8"/>
      <c r="S3740" s="8"/>
      <c r="T3740" s="3"/>
    </row>
    <row r="3741" spans="14:20" x14ac:dyDescent="0.3">
      <c r="N3741" s="5"/>
      <c r="O3741" s="5"/>
      <c r="P3741" s="5"/>
      <c r="Q3741" s="5"/>
      <c r="R3741" s="8"/>
      <c r="S3741" s="8"/>
      <c r="T3741" s="3"/>
    </row>
    <row r="3742" spans="14:20" x14ac:dyDescent="0.3">
      <c r="N3742" s="5"/>
      <c r="O3742" s="5"/>
      <c r="P3742" s="5"/>
      <c r="Q3742" s="5"/>
      <c r="R3742" s="8"/>
      <c r="S3742" s="8"/>
      <c r="T3742" s="3"/>
    </row>
    <row r="3743" spans="14:20" x14ac:dyDescent="0.3">
      <c r="N3743" s="5"/>
      <c r="O3743" s="5"/>
      <c r="P3743" s="5"/>
      <c r="Q3743" s="5"/>
      <c r="R3743" s="8"/>
      <c r="S3743" s="8"/>
      <c r="T3743" s="3"/>
    </row>
    <row r="3744" spans="14:20" x14ac:dyDescent="0.3">
      <c r="N3744" s="5"/>
      <c r="O3744" s="5"/>
      <c r="P3744" s="5"/>
      <c r="Q3744" s="5"/>
      <c r="R3744" s="8"/>
      <c r="S3744" s="8"/>
      <c r="T3744" s="3"/>
    </row>
    <row r="3745" spans="14:20" x14ac:dyDescent="0.3">
      <c r="N3745" s="5"/>
      <c r="O3745" s="5"/>
      <c r="P3745" s="5"/>
      <c r="Q3745" s="5"/>
      <c r="R3745" s="8"/>
      <c r="S3745" s="8"/>
      <c r="T3745" s="3"/>
    </row>
    <row r="3746" spans="14:20" x14ac:dyDescent="0.3">
      <c r="N3746" s="5"/>
      <c r="O3746" s="5"/>
      <c r="P3746" s="5"/>
      <c r="Q3746" s="5"/>
      <c r="R3746" s="8"/>
      <c r="S3746" s="8"/>
      <c r="T3746" s="3"/>
    </row>
    <row r="3747" spans="14:20" x14ac:dyDescent="0.3">
      <c r="N3747" s="5"/>
      <c r="O3747" s="5"/>
      <c r="P3747" s="5"/>
      <c r="Q3747" s="5"/>
      <c r="R3747" s="8"/>
      <c r="S3747" s="8"/>
      <c r="T3747" s="3"/>
    </row>
    <row r="3748" spans="14:20" x14ac:dyDescent="0.3">
      <c r="N3748" s="5"/>
      <c r="O3748" s="5"/>
      <c r="P3748" s="5"/>
      <c r="Q3748" s="5"/>
      <c r="R3748" s="8"/>
      <c r="S3748" s="8"/>
      <c r="T3748" s="3"/>
    </row>
    <row r="3749" spans="14:20" x14ac:dyDescent="0.3">
      <c r="N3749" s="5"/>
      <c r="O3749" s="5"/>
      <c r="P3749" s="5"/>
      <c r="Q3749" s="5"/>
      <c r="R3749" s="8"/>
      <c r="S3749" s="8"/>
      <c r="T3749" s="3"/>
    </row>
    <row r="3750" spans="14:20" x14ac:dyDescent="0.3">
      <c r="N3750" s="5"/>
      <c r="O3750" s="5"/>
      <c r="P3750" s="5"/>
      <c r="Q3750" s="5"/>
      <c r="R3750" s="8"/>
      <c r="S3750" s="8"/>
      <c r="T3750" s="3"/>
    </row>
    <row r="3751" spans="14:20" x14ac:dyDescent="0.3">
      <c r="N3751" s="5"/>
      <c r="O3751" s="5"/>
      <c r="P3751" s="5"/>
      <c r="Q3751" s="5"/>
      <c r="R3751" s="8"/>
      <c r="S3751" s="8"/>
      <c r="T3751" s="3"/>
    </row>
    <row r="3752" spans="14:20" x14ac:dyDescent="0.3">
      <c r="N3752" s="5"/>
      <c r="O3752" s="5"/>
      <c r="P3752" s="5"/>
      <c r="Q3752" s="5"/>
      <c r="R3752" s="8"/>
      <c r="S3752" s="8"/>
      <c r="T3752" s="3"/>
    </row>
    <row r="3753" spans="14:20" x14ac:dyDescent="0.3">
      <c r="N3753" s="5"/>
      <c r="O3753" s="5"/>
      <c r="P3753" s="5"/>
      <c r="Q3753" s="5"/>
      <c r="R3753" s="8"/>
      <c r="S3753" s="8"/>
      <c r="T3753" s="3"/>
    </row>
    <row r="3754" spans="14:20" x14ac:dyDescent="0.3">
      <c r="N3754" s="5"/>
      <c r="O3754" s="5"/>
      <c r="P3754" s="5"/>
      <c r="Q3754" s="5"/>
      <c r="R3754" s="8"/>
      <c r="S3754" s="8"/>
      <c r="T3754" s="3"/>
    </row>
    <row r="3755" spans="14:20" x14ac:dyDescent="0.3">
      <c r="N3755" s="5"/>
      <c r="O3755" s="5"/>
      <c r="P3755" s="5"/>
      <c r="Q3755" s="5"/>
      <c r="R3755" s="8"/>
      <c r="S3755" s="8"/>
      <c r="T3755" s="3"/>
    </row>
    <row r="3756" spans="14:20" x14ac:dyDescent="0.3">
      <c r="N3756" s="5"/>
      <c r="O3756" s="5"/>
      <c r="P3756" s="5"/>
      <c r="Q3756" s="5"/>
      <c r="R3756" s="8"/>
      <c r="S3756" s="8"/>
      <c r="T3756" s="3"/>
    </row>
    <row r="3757" spans="14:20" x14ac:dyDescent="0.3">
      <c r="N3757" s="5"/>
      <c r="O3757" s="5"/>
      <c r="P3757" s="5"/>
      <c r="Q3757" s="5"/>
      <c r="R3757" s="8"/>
      <c r="S3757" s="8"/>
      <c r="T3757" s="3"/>
    </row>
    <row r="3758" spans="14:20" x14ac:dyDescent="0.3">
      <c r="N3758" s="5"/>
      <c r="O3758" s="5"/>
      <c r="P3758" s="5"/>
      <c r="Q3758" s="5"/>
      <c r="R3758" s="8"/>
      <c r="S3758" s="8"/>
      <c r="T3758" s="3"/>
    </row>
    <row r="3759" spans="14:20" x14ac:dyDescent="0.3">
      <c r="N3759" s="5"/>
      <c r="O3759" s="5"/>
      <c r="P3759" s="5"/>
      <c r="Q3759" s="5"/>
      <c r="R3759" s="8"/>
      <c r="S3759" s="8"/>
      <c r="T3759" s="3"/>
    </row>
    <row r="3760" spans="14:20" x14ac:dyDescent="0.3">
      <c r="N3760" s="5"/>
      <c r="O3760" s="5"/>
      <c r="P3760" s="5"/>
      <c r="Q3760" s="5"/>
      <c r="R3760" s="8"/>
      <c r="S3760" s="8"/>
      <c r="T3760" s="3"/>
    </row>
    <row r="3761" spans="14:20" x14ac:dyDescent="0.3">
      <c r="N3761" s="5"/>
      <c r="O3761" s="5"/>
      <c r="P3761" s="5"/>
      <c r="Q3761" s="5"/>
      <c r="R3761" s="8"/>
      <c r="S3761" s="8"/>
      <c r="T3761" s="3"/>
    </row>
    <row r="3762" spans="14:20" x14ac:dyDescent="0.3">
      <c r="N3762" s="5"/>
      <c r="O3762" s="5"/>
      <c r="P3762" s="5"/>
      <c r="Q3762" s="5"/>
      <c r="R3762" s="8"/>
      <c r="S3762" s="8"/>
      <c r="T3762" s="3"/>
    </row>
    <row r="3763" spans="14:20" x14ac:dyDescent="0.3">
      <c r="N3763" s="5"/>
      <c r="O3763" s="5"/>
      <c r="P3763" s="5"/>
      <c r="Q3763" s="5"/>
      <c r="R3763" s="8"/>
      <c r="S3763" s="8"/>
      <c r="T3763" s="3"/>
    </row>
    <row r="3764" spans="14:20" x14ac:dyDescent="0.3">
      <c r="N3764" s="5"/>
      <c r="O3764" s="5"/>
      <c r="P3764" s="5"/>
      <c r="Q3764" s="5"/>
      <c r="R3764" s="8"/>
      <c r="S3764" s="8"/>
      <c r="T3764" s="3"/>
    </row>
    <row r="3765" spans="14:20" x14ac:dyDescent="0.3">
      <c r="N3765" s="5"/>
      <c r="O3765" s="5"/>
      <c r="P3765" s="5"/>
      <c r="Q3765" s="5"/>
      <c r="R3765" s="8"/>
      <c r="S3765" s="8"/>
      <c r="T3765" s="3"/>
    </row>
    <row r="3766" spans="14:20" x14ac:dyDescent="0.3">
      <c r="N3766" s="5"/>
      <c r="O3766" s="5"/>
      <c r="P3766" s="5"/>
      <c r="Q3766" s="5"/>
      <c r="R3766" s="8"/>
      <c r="S3766" s="8"/>
      <c r="T3766" s="3"/>
    </row>
    <row r="3767" spans="14:20" x14ac:dyDescent="0.3">
      <c r="N3767" s="5"/>
      <c r="O3767" s="5"/>
      <c r="P3767" s="5"/>
      <c r="Q3767" s="5"/>
      <c r="R3767" s="8"/>
      <c r="S3767" s="8"/>
      <c r="T3767" s="3"/>
    </row>
    <row r="3768" spans="14:20" x14ac:dyDescent="0.3">
      <c r="N3768" s="5"/>
      <c r="O3768" s="5"/>
      <c r="P3768" s="5"/>
      <c r="Q3768" s="5"/>
      <c r="R3768" s="8"/>
      <c r="S3768" s="8"/>
      <c r="T3768" s="3"/>
    </row>
    <row r="3769" spans="14:20" x14ac:dyDescent="0.3">
      <c r="N3769" s="5"/>
      <c r="O3769" s="5"/>
      <c r="P3769" s="5"/>
      <c r="Q3769" s="5"/>
      <c r="R3769" s="8"/>
      <c r="S3769" s="8"/>
      <c r="T3769" s="3"/>
    </row>
    <row r="3770" spans="14:20" x14ac:dyDescent="0.3">
      <c r="N3770" s="5"/>
      <c r="O3770" s="5"/>
      <c r="P3770" s="5"/>
      <c r="Q3770" s="5"/>
      <c r="R3770" s="8"/>
      <c r="S3770" s="8"/>
      <c r="T3770" s="3"/>
    </row>
    <row r="3771" spans="14:20" x14ac:dyDescent="0.3">
      <c r="N3771" s="5"/>
      <c r="O3771" s="5"/>
      <c r="P3771" s="5"/>
      <c r="Q3771" s="5"/>
      <c r="R3771" s="8"/>
      <c r="S3771" s="8"/>
      <c r="T3771" s="3"/>
    </row>
    <row r="3772" spans="14:20" x14ac:dyDescent="0.3">
      <c r="N3772" s="5"/>
      <c r="O3772" s="5"/>
      <c r="P3772" s="5"/>
      <c r="Q3772" s="5"/>
      <c r="R3772" s="8"/>
      <c r="S3772" s="8"/>
      <c r="T3772" s="3"/>
    </row>
    <row r="3773" spans="14:20" x14ac:dyDescent="0.3">
      <c r="N3773" s="5"/>
      <c r="O3773" s="5"/>
      <c r="P3773" s="5"/>
      <c r="Q3773" s="5"/>
      <c r="R3773" s="8"/>
      <c r="S3773" s="8"/>
      <c r="T3773" s="3"/>
    </row>
    <row r="3774" spans="14:20" x14ac:dyDescent="0.3">
      <c r="N3774" s="5"/>
      <c r="O3774" s="5"/>
      <c r="P3774" s="5"/>
      <c r="Q3774" s="5"/>
      <c r="R3774" s="8"/>
      <c r="S3774" s="8"/>
      <c r="T3774" s="3"/>
    </row>
    <row r="3775" spans="14:20" x14ac:dyDescent="0.3">
      <c r="N3775" s="5"/>
      <c r="O3775" s="5"/>
      <c r="P3775" s="5"/>
      <c r="Q3775" s="5"/>
      <c r="R3775" s="8"/>
      <c r="S3775" s="8"/>
      <c r="T3775" s="3"/>
    </row>
    <row r="3776" spans="14:20" x14ac:dyDescent="0.3">
      <c r="N3776" s="5"/>
      <c r="O3776" s="5"/>
      <c r="P3776" s="5"/>
      <c r="Q3776" s="5"/>
      <c r="R3776" s="8"/>
      <c r="S3776" s="8"/>
      <c r="T3776" s="3"/>
    </row>
    <row r="3777" spans="14:20" x14ac:dyDescent="0.3">
      <c r="N3777" s="5"/>
      <c r="O3777" s="5"/>
      <c r="P3777" s="5"/>
      <c r="Q3777" s="5"/>
      <c r="R3777" s="8"/>
      <c r="S3777" s="8"/>
      <c r="T3777" s="3"/>
    </row>
    <row r="3778" spans="14:20" x14ac:dyDescent="0.3">
      <c r="N3778" s="5"/>
      <c r="O3778" s="5"/>
      <c r="P3778" s="5"/>
      <c r="Q3778" s="5"/>
      <c r="R3778" s="8"/>
      <c r="S3778" s="8"/>
      <c r="T3778" s="3"/>
    </row>
    <row r="3779" spans="14:20" x14ac:dyDescent="0.3">
      <c r="N3779" s="5"/>
      <c r="O3779" s="5"/>
      <c r="P3779" s="5"/>
      <c r="Q3779" s="5"/>
      <c r="R3779" s="8"/>
      <c r="S3779" s="8"/>
      <c r="T3779" s="3"/>
    </row>
    <row r="3780" spans="14:20" x14ac:dyDescent="0.3">
      <c r="N3780" s="5"/>
      <c r="O3780" s="5"/>
      <c r="P3780" s="5"/>
      <c r="Q3780" s="5"/>
      <c r="R3780" s="8"/>
      <c r="S3780" s="8"/>
      <c r="T3780" s="3"/>
    </row>
    <row r="3781" spans="14:20" x14ac:dyDescent="0.3">
      <c r="N3781" s="5"/>
      <c r="O3781" s="5"/>
      <c r="P3781" s="5"/>
      <c r="Q3781" s="5"/>
      <c r="R3781" s="8"/>
      <c r="S3781" s="8"/>
      <c r="T3781" s="3"/>
    </row>
    <row r="3782" spans="14:20" x14ac:dyDescent="0.3">
      <c r="N3782" s="5"/>
      <c r="O3782" s="5"/>
      <c r="P3782" s="5"/>
      <c r="Q3782" s="5"/>
      <c r="R3782" s="8"/>
      <c r="S3782" s="8"/>
      <c r="T3782" s="3"/>
    </row>
    <row r="3783" spans="14:20" x14ac:dyDescent="0.3">
      <c r="N3783" s="5"/>
      <c r="O3783" s="5"/>
      <c r="P3783" s="5"/>
      <c r="Q3783" s="5"/>
      <c r="R3783" s="8"/>
      <c r="S3783" s="8"/>
      <c r="T3783" s="3"/>
    </row>
    <row r="3784" spans="14:20" x14ac:dyDescent="0.3">
      <c r="N3784" s="5"/>
      <c r="O3784" s="5"/>
      <c r="P3784" s="5"/>
      <c r="Q3784" s="5"/>
      <c r="R3784" s="8"/>
      <c r="S3784" s="8"/>
      <c r="T3784" s="3"/>
    </row>
    <row r="3785" spans="14:20" x14ac:dyDescent="0.3">
      <c r="N3785" s="5"/>
      <c r="O3785" s="5"/>
      <c r="P3785" s="5"/>
      <c r="Q3785" s="5"/>
      <c r="R3785" s="8"/>
      <c r="S3785" s="8"/>
      <c r="T3785" s="3"/>
    </row>
    <row r="3786" spans="14:20" x14ac:dyDescent="0.3">
      <c r="N3786" s="5"/>
      <c r="O3786" s="5"/>
      <c r="P3786" s="5"/>
      <c r="Q3786" s="5"/>
      <c r="R3786" s="8"/>
      <c r="S3786" s="8"/>
      <c r="T3786" s="3"/>
    </row>
    <row r="3787" spans="14:20" x14ac:dyDescent="0.3">
      <c r="N3787" s="5"/>
      <c r="O3787" s="5"/>
      <c r="P3787" s="5"/>
      <c r="Q3787" s="5"/>
      <c r="R3787" s="8"/>
      <c r="S3787" s="8"/>
      <c r="T3787" s="3"/>
    </row>
    <row r="3788" spans="14:20" x14ac:dyDescent="0.3">
      <c r="N3788" s="5"/>
      <c r="O3788" s="5"/>
      <c r="P3788" s="5"/>
      <c r="Q3788" s="5"/>
      <c r="R3788" s="8"/>
      <c r="S3788" s="8"/>
      <c r="T3788" s="3"/>
    </row>
    <row r="3789" spans="14:20" x14ac:dyDescent="0.3">
      <c r="N3789" s="5"/>
      <c r="O3789" s="5"/>
      <c r="P3789" s="5"/>
      <c r="Q3789" s="5"/>
      <c r="R3789" s="8"/>
      <c r="S3789" s="8"/>
      <c r="T3789" s="3"/>
    </row>
    <row r="3790" spans="14:20" x14ac:dyDescent="0.3">
      <c r="N3790" s="5"/>
      <c r="O3790" s="5"/>
      <c r="P3790" s="5"/>
      <c r="Q3790" s="5"/>
      <c r="R3790" s="8"/>
      <c r="S3790" s="8"/>
      <c r="T3790" s="3"/>
    </row>
    <row r="3791" spans="14:20" x14ac:dyDescent="0.3">
      <c r="N3791" s="5"/>
      <c r="O3791" s="5"/>
      <c r="P3791" s="5"/>
      <c r="Q3791" s="5"/>
      <c r="R3791" s="8"/>
      <c r="S3791" s="8"/>
      <c r="T3791" s="3"/>
    </row>
    <row r="3792" spans="14:20" x14ac:dyDescent="0.3">
      <c r="N3792" s="5"/>
      <c r="O3792" s="5"/>
      <c r="P3792" s="5"/>
      <c r="Q3792" s="5"/>
      <c r="R3792" s="8"/>
      <c r="S3792" s="8"/>
      <c r="T3792" s="3"/>
    </row>
    <row r="3793" spans="14:20" x14ac:dyDescent="0.3">
      <c r="N3793" s="5"/>
      <c r="O3793" s="5"/>
      <c r="P3793" s="5"/>
      <c r="Q3793" s="5"/>
      <c r="R3793" s="8"/>
      <c r="S3793" s="8"/>
      <c r="T3793" s="3"/>
    </row>
    <row r="3794" spans="14:20" x14ac:dyDescent="0.3">
      <c r="N3794" s="5"/>
      <c r="O3794" s="5"/>
      <c r="P3794" s="5"/>
      <c r="Q3794" s="5"/>
      <c r="R3794" s="8"/>
      <c r="S3794" s="8"/>
      <c r="T3794" s="3"/>
    </row>
    <row r="3795" spans="14:20" x14ac:dyDescent="0.3">
      <c r="N3795" s="5"/>
      <c r="O3795" s="5"/>
      <c r="P3795" s="5"/>
      <c r="Q3795" s="5"/>
      <c r="R3795" s="8"/>
      <c r="S3795" s="8"/>
      <c r="T3795" s="3"/>
    </row>
    <row r="3796" spans="14:20" x14ac:dyDescent="0.3">
      <c r="N3796" s="5"/>
      <c r="O3796" s="5"/>
      <c r="P3796" s="5"/>
      <c r="Q3796" s="5"/>
      <c r="R3796" s="8"/>
      <c r="S3796" s="8"/>
      <c r="T3796" s="3"/>
    </row>
    <row r="3797" spans="14:20" x14ac:dyDescent="0.3">
      <c r="N3797" s="5"/>
      <c r="O3797" s="5"/>
      <c r="P3797" s="5"/>
      <c r="Q3797" s="5"/>
      <c r="R3797" s="8"/>
      <c r="S3797" s="8"/>
      <c r="T3797" s="3"/>
    </row>
    <row r="3798" spans="14:20" x14ac:dyDescent="0.3">
      <c r="N3798" s="5"/>
      <c r="O3798" s="5"/>
      <c r="P3798" s="5"/>
      <c r="Q3798" s="5"/>
      <c r="R3798" s="8"/>
      <c r="S3798" s="8"/>
      <c r="T3798" s="3"/>
    </row>
    <row r="3799" spans="14:20" x14ac:dyDescent="0.3">
      <c r="N3799" s="5"/>
      <c r="O3799" s="5"/>
      <c r="P3799" s="5"/>
      <c r="Q3799" s="5"/>
      <c r="R3799" s="8"/>
      <c r="S3799" s="8"/>
      <c r="T3799" s="3"/>
    </row>
    <row r="3800" spans="14:20" x14ac:dyDescent="0.3">
      <c r="N3800" s="5"/>
      <c r="O3800" s="5"/>
      <c r="P3800" s="5"/>
      <c r="Q3800" s="5"/>
      <c r="R3800" s="8"/>
      <c r="S3800" s="8"/>
      <c r="T3800" s="3"/>
    </row>
    <row r="3801" spans="14:20" x14ac:dyDescent="0.3">
      <c r="N3801" s="5"/>
      <c r="O3801" s="5"/>
      <c r="P3801" s="5"/>
      <c r="Q3801" s="5"/>
      <c r="R3801" s="8"/>
      <c r="S3801" s="8"/>
      <c r="T3801" s="3"/>
    </row>
    <row r="3802" spans="14:20" x14ac:dyDescent="0.3">
      <c r="N3802" s="5"/>
      <c r="O3802" s="5"/>
      <c r="P3802" s="5"/>
      <c r="Q3802" s="5"/>
      <c r="R3802" s="8"/>
      <c r="S3802" s="8"/>
      <c r="T3802" s="3"/>
    </row>
    <row r="3803" spans="14:20" x14ac:dyDescent="0.3">
      <c r="N3803" s="5"/>
      <c r="O3803" s="5"/>
      <c r="P3803" s="5"/>
      <c r="Q3803" s="5"/>
      <c r="R3803" s="8"/>
      <c r="S3803" s="8"/>
      <c r="T3803" s="3"/>
    </row>
    <row r="3804" spans="14:20" x14ac:dyDescent="0.3">
      <c r="N3804" s="5"/>
      <c r="O3804" s="5"/>
      <c r="P3804" s="5"/>
      <c r="Q3804" s="5"/>
      <c r="R3804" s="8"/>
      <c r="S3804" s="8"/>
      <c r="T3804" s="3"/>
    </row>
    <row r="3805" spans="14:20" x14ac:dyDescent="0.3">
      <c r="N3805" s="5"/>
      <c r="O3805" s="5"/>
      <c r="P3805" s="5"/>
      <c r="Q3805" s="5"/>
      <c r="R3805" s="8"/>
      <c r="S3805" s="8"/>
      <c r="T3805" s="3"/>
    </row>
    <row r="3806" spans="14:20" x14ac:dyDescent="0.3">
      <c r="N3806" s="5"/>
      <c r="O3806" s="5"/>
      <c r="P3806" s="5"/>
      <c r="Q3806" s="5"/>
      <c r="R3806" s="8"/>
      <c r="S3806" s="8"/>
      <c r="T3806" s="3"/>
    </row>
    <row r="3807" spans="14:20" x14ac:dyDescent="0.3">
      <c r="N3807" s="5"/>
      <c r="O3807" s="5"/>
      <c r="P3807" s="5"/>
      <c r="Q3807" s="5"/>
      <c r="R3807" s="8"/>
      <c r="S3807" s="8"/>
      <c r="T3807" s="3"/>
    </row>
    <row r="3808" spans="14:20" x14ac:dyDescent="0.3">
      <c r="N3808" s="5"/>
      <c r="O3808" s="5"/>
      <c r="P3808" s="5"/>
      <c r="Q3808" s="5"/>
      <c r="R3808" s="8"/>
      <c r="S3808" s="8"/>
      <c r="T3808" s="3"/>
    </row>
    <row r="3809" spans="14:20" x14ac:dyDescent="0.3">
      <c r="N3809" s="5"/>
      <c r="O3809" s="5"/>
      <c r="P3809" s="5"/>
      <c r="Q3809" s="5"/>
      <c r="R3809" s="8"/>
      <c r="S3809" s="8"/>
      <c r="T3809" s="3"/>
    </row>
    <row r="3810" spans="14:20" x14ac:dyDescent="0.3">
      <c r="N3810" s="5"/>
      <c r="O3810" s="5"/>
      <c r="P3810" s="5"/>
      <c r="Q3810" s="5"/>
      <c r="R3810" s="8"/>
      <c r="S3810" s="8"/>
      <c r="T3810" s="3"/>
    </row>
    <row r="3811" spans="14:20" x14ac:dyDescent="0.3">
      <c r="N3811" s="5"/>
      <c r="O3811" s="5"/>
      <c r="P3811" s="5"/>
      <c r="Q3811" s="5"/>
      <c r="R3811" s="8"/>
      <c r="S3811" s="8"/>
      <c r="T3811" s="3"/>
    </row>
    <row r="3812" spans="14:20" x14ac:dyDescent="0.3">
      <c r="N3812" s="5"/>
      <c r="O3812" s="5"/>
      <c r="P3812" s="5"/>
      <c r="Q3812" s="5"/>
      <c r="R3812" s="8"/>
      <c r="S3812" s="8"/>
      <c r="T3812" s="3"/>
    </row>
    <row r="3813" spans="14:20" x14ac:dyDescent="0.3">
      <c r="N3813" s="5"/>
      <c r="O3813" s="5"/>
      <c r="P3813" s="5"/>
      <c r="Q3813" s="5"/>
      <c r="R3813" s="8"/>
      <c r="S3813" s="8"/>
      <c r="T3813" s="3"/>
    </row>
    <row r="3814" spans="14:20" x14ac:dyDescent="0.3">
      <c r="N3814" s="5"/>
      <c r="O3814" s="5"/>
      <c r="P3814" s="5"/>
      <c r="Q3814" s="5"/>
      <c r="R3814" s="8"/>
      <c r="S3814" s="8"/>
      <c r="T3814" s="3"/>
    </row>
    <row r="3815" spans="14:20" x14ac:dyDescent="0.3">
      <c r="N3815" s="5"/>
      <c r="O3815" s="5"/>
      <c r="P3815" s="5"/>
      <c r="Q3815" s="5"/>
      <c r="R3815" s="8"/>
      <c r="S3815" s="8"/>
      <c r="T3815" s="3"/>
    </row>
    <row r="3816" spans="14:20" x14ac:dyDescent="0.3">
      <c r="N3816" s="5"/>
      <c r="O3816" s="5"/>
      <c r="P3816" s="5"/>
      <c r="Q3816" s="5"/>
      <c r="R3816" s="8"/>
      <c r="S3816" s="8"/>
      <c r="T3816" s="3"/>
    </row>
    <row r="3817" spans="14:20" x14ac:dyDescent="0.3">
      <c r="N3817" s="5"/>
      <c r="O3817" s="5"/>
      <c r="P3817" s="5"/>
      <c r="Q3817" s="5"/>
      <c r="R3817" s="8"/>
      <c r="S3817" s="8"/>
      <c r="T3817" s="3"/>
    </row>
    <row r="3818" spans="14:20" x14ac:dyDescent="0.3">
      <c r="N3818" s="5"/>
      <c r="O3818" s="5"/>
      <c r="P3818" s="5"/>
      <c r="Q3818" s="5"/>
      <c r="R3818" s="8"/>
      <c r="S3818" s="8"/>
      <c r="T3818" s="3"/>
    </row>
    <row r="3819" spans="14:20" x14ac:dyDescent="0.3">
      <c r="N3819" s="5"/>
      <c r="O3819" s="5"/>
      <c r="P3819" s="5"/>
      <c r="Q3819" s="5"/>
      <c r="R3819" s="8"/>
      <c r="S3819" s="8"/>
      <c r="T3819" s="3"/>
    </row>
    <row r="3820" spans="14:20" x14ac:dyDescent="0.3">
      <c r="N3820" s="5"/>
      <c r="O3820" s="5"/>
      <c r="P3820" s="5"/>
      <c r="Q3820" s="5"/>
      <c r="R3820" s="8"/>
      <c r="S3820" s="8"/>
      <c r="T3820" s="3"/>
    </row>
    <row r="3821" spans="14:20" x14ac:dyDescent="0.3">
      <c r="N3821" s="5"/>
      <c r="O3821" s="5"/>
      <c r="P3821" s="5"/>
      <c r="Q3821" s="5"/>
      <c r="R3821" s="8"/>
      <c r="S3821" s="8"/>
      <c r="T3821" s="3"/>
    </row>
    <row r="3822" spans="14:20" x14ac:dyDescent="0.3">
      <c r="N3822" s="5"/>
      <c r="O3822" s="5"/>
      <c r="P3822" s="5"/>
      <c r="Q3822" s="5"/>
      <c r="R3822" s="8"/>
      <c r="S3822" s="8"/>
      <c r="T3822" s="3"/>
    </row>
    <row r="3823" spans="14:20" x14ac:dyDescent="0.3">
      <c r="N3823" s="5"/>
      <c r="O3823" s="5"/>
      <c r="P3823" s="5"/>
      <c r="Q3823" s="5"/>
      <c r="R3823" s="8"/>
      <c r="S3823" s="8"/>
      <c r="T3823" s="3"/>
    </row>
    <row r="3824" spans="14:20" x14ac:dyDescent="0.3">
      <c r="N3824" s="5"/>
      <c r="O3824" s="5"/>
      <c r="P3824" s="5"/>
      <c r="Q3824" s="5"/>
      <c r="R3824" s="8"/>
      <c r="S3824" s="8"/>
      <c r="T3824" s="3"/>
    </row>
    <row r="3825" spans="14:20" x14ac:dyDescent="0.3">
      <c r="N3825" s="5"/>
      <c r="O3825" s="5"/>
      <c r="P3825" s="5"/>
      <c r="Q3825" s="5"/>
      <c r="R3825" s="8"/>
      <c r="S3825" s="8"/>
      <c r="T3825" s="3"/>
    </row>
    <row r="3826" spans="14:20" x14ac:dyDescent="0.3">
      <c r="N3826" s="5"/>
      <c r="O3826" s="5"/>
      <c r="P3826" s="5"/>
      <c r="Q3826" s="5"/>
      <c r="R3826" s="8"/>
      <c r="S3826" s="8"/>
      <c r="T3826" s="3"/>
    </row>
    <row r="3827" spans="14:20" x14ac:dyDescent="0.3">
      <c r="N3827" s="5"/>
      <c r="O3827" s="5"/>
      <c r="P3827" s="5"/>
      <c r="Q3827" s="5"/>
      <c r="R3827" s="8"/>
      <c r="S3827" s="8"/>
      <c r="T3827" s="3"/>
    </row>
    <row r="3828" spans="14:20" x14ac:dyDescent="0.3">
      <c r="N3828" s="5"/>
      <c r="O3828" s="5"/>
      <c r="P3828" s="5"/>
      <c r="Q3828" s="5"/>
      <c r="R3828" s="8"/>
      <c r="S3828" s="8"/>
      <c r="T3828" s="3"/>
    </row>
    <row r="3829" spans="14:20" x14ac:dyDescent="0.3">
      <c r="N3829" s="5"/>
      <c r="O3829" s="5"/>
      <c r="P3829" s="5"/>
      <c r="Q3829" s="5"/>
      <c r="R3829" s="8"/>
      <c r="S3829" s="8"/>
      <c r="T3829" s="3"/>
    </row>
    <row r="3830" spans="14:20" x14ac:dyDescent="0.3">
      <c r="N3830" s="5"/>
      <c r="O3830" s="5"/>
      <c r="P3830" s="5"/>
      <c r="Q3830" s="5"/>
      <c r="R3830" s="8"/>
      <c r="S3830" s="8"/>
      <c r="T3830" s="3"/>
    </row>
    <row r="3831" spans="14:20" x14ac:dyDescent="0.3">
      <c r="N3831" s="5"/>
      <c r="O3831" s="5"/>
      <c r="P3831" s="5"/>
      <c r="Q3831" s="5"/>
      <c r="R3831" s="8"/>
      <c r="S3831" s="8"/>
      <c r="T3831" s="3"/>
    </row>
    <row r="3832" spans="14:20" x14ac:dyDescent="0.3">
      <c r="N3832" s="5"/>
      <c r="O3832" s="5"/>
      <c r="P3832" s="5"/>
      <c r="Q3832" s="5"/>
      <c r="R3832" s="8"/>
      <c r="S3832" s="8"/>
      <c r="T3832" s="3"/>
    </row>
    <row r="3833" spans="14:20" x14ac:dyDescent="0.3">
      <c r="N3833" s="5"/>
      <c r="O3833" s="5"/>
      <c r="P3833" s="5"/>
      <c r="Q3833" s="5"/>
      <c r="R3833" s="8"/>
      <c r="S3833" s="8"/>
      <c r="T3833" s="3"/>
    </row>
    <row r="3834" spans="14:20" x14ac:dyDescent="0.3">
      <c r="N3834" s="5"/>
      <c r="O3834" s="5"/>
      <c r="P3834" s="5"/>
      <c r="Q3834" s="5"/>
      <c r="R3834" s="8"/>
      <c r="S3834" s="8"/>
      <c r="T3834" s="3"/>
    </row>
    <row r="3835" spans="14:20" x14ac:dyDescent="0.3">
      <c r="N3835" s="5"/>
      <c r="O3835" s="5"/>
      <c r="P3835" s="5"/>
      <c r="Q3835" s="5"/>
      <c r="R3835" s="8"/>
      <c r="S3835" s="8"/>
      <c r="T3835" s="3"/>
    </row>
    <row r="3836" spans="14:20" x14ac:dyDescent="0.3">
      <c r="N3836" s="5"/>
      <c r="O3836" s="5"/>
      <c r="P3836" s="5"/>
      <c r="Q3836" s="5"/>
      <c r="R3836" s="8"/>
      <c r="S3836" s="8"/>
      <c r="T3836" s="3"/>
    </row>
    <row r="3837" spans="14:20" x14ac:dyDescent="0.3">
      <c r="N3837" s="5"/>
      <c r="O3837" s="5"/>
      <c r="P3837" s="5"/>
      <c r="Q3837" s="5"/>
      <c r="R3837" s="8"/>
      <c r="S3837" s="8"/>
      <c r="T3837" s="3"/>
    </row>
    <row r="3838" spans="14:20" x14ac:dyDescent="0.3">
      <c r="N3838" s="5"/>
      <c r="O3838" s="5"/>
      <c r="P3838" s="5"/>
      <c r="Q3838" s="5"/>
      <c r="R3838" s="8"/>
      <c r="S3838" s="8"/>
      <c r="T3838" s="3"/>
    </row>
    <row r="3839" spans="14:20" x14ac:dyDescent="0.3">
      <c r="N3839" s="5"/>
      <c r="O3839" s="5"/>
      <c r="P3839" s="5"/>
      <c r="Q3839" s="5"/>
      <c r="R3839" s="8"/>
      <c r="S3839" s="8"/>
      <c r="T3839" s="3"/>
    </row>
    <row r="3840" spans="14:20" x14ac:dyDescent="0.3">
      <c r="N3840" s="5"/>
      <c r="O3840" s="5"/>
      <c r="P3840" s="5"/>
      <c r="Q3840" s="5"/>
      <c r="R3840" s="8"/>
      <c r="S3840" s="8"/>
      <c r="T3840" s="3"/>
    </row>
    <row r="3841" spans="14:20" x14ac:dyDescent="0.3">
      <c r="N3841" s="5"/>
      <c r="O3841" s="5"/>
      <c r="P3841" s="5"/>
      <c r="Q3841" s="5"/>
      <c r="R3841" s="8"/>
      <c r="S3841" s="8"/>
      <c r="T3841" s="3"/>
    </row>
    <row r="3842" spans="14:20" x14ac:dyDescent="0.3">
      <c r="N3842" s="5"/>
      <c r="O3842" s="5"/>
      <c r="P3842" s="5"/>
      <c r="Q3842" s="5"/>
      <c r="R3842" s="8"/>
      <c r="S3842" s="8"/>
      <c r="T3842" s="3"/>
    </row>
    <row r="3843" spans="14:20" x14ac:dyDescent="0.3">
      <c r="N3843" s="5"/>
      <c r="O3843" s="5"/>
      <c r="P3843" s="5"/>
      <c r="Q3843" s="5"/>
      <c r="R3843" s="8"/>
      <c r="S3843" s="8"/>
      <c r="T3843" s="3"/>
    </row>
    <row r="3844" spans="14:20" x14ac:dyDescent="0.3">
      <c r="N3844" s="5"/>
      <c r="O3844" s="5"/>
      <c r="P3844" s="5"/>
      <c r="Q3844" s="5"/>
      <c r="R3844" s="8"/>
      <c r="S3844" s="8"/>
      <c r="T3844" s="3"/>
    </row>
    <row r="3845" spans="14:20" x14ac:dyDescent="0.3">
      <c r="N3845" s="5"/>
      <c r="O3845" s="5"/>
      <c r="P3845" s="5"/>
      <c r="Q3845" s="5"/>
      <c r="R3845" s="8"/>
      <c r="S3845" s="8"/>
      <c r="T3845" s="3"/>
    </row>
    <row r="3846" spans="14:20" x14ac:dyDescent="0.3">
      <c r="N3846" s="5"/>
      <c r="O3846" s="5"/>
      <c r="P3846" s="5"/>
      <c r="Q3846" s="5"/>
      <c r="R3846" s="8"/>
      <c r="S3846" s="8"/>
      <c r="T3846" s="3"/>
    </row>
    <row r="3847" spans="14:20" x14ac:dyDescent="0.3">
      <c r="N3847" s="5"/>
      <c r="O3847" s="5"/>
      <c r="P3847" s="5"/>
      <c r="Q3847" s="5"/>
      <c r="R3847" s="8"/>
      <c r="S3847" s="8"/>
      <c r="T3847" s="3"/>
    </row>
    <row r="3848" spans="14:20" x14ac:dyDescent="0.3">
      <c r="N3848" s="5"/>
      <c r="O3848" s="5"/>
      <c r="P3848" s="5"/>
      <c r="Q3848" s="5"/>
      <c r="R3848" s="8"/>
      <c r="S3848" s="8"/>
      <c r="T3848" s="3"/>
    </row>
    <row r="3849" spans="14:20" x14ac:dyDescent="0.3">
      <c r="N3849" s="5"/>
      <c r="O3849" s="5"/>
      <c r="P3849" s="5"/>
      <c r="Q3849" s="5"/>
      <c r="R3849" s="8"/>
      <c r="S3849" s="8"/>
      <c r="T3849" s="3"/>
    </row>
    <row r="3850" spans="14:20" x14ac:dyDescent="0.3">
      <c r="N3850" s="5"/>
      <c r="O3850" s="5"/>
      <c r="P3850" s="5"/>
      <c r="Q3850" s="5"/>
      <c r="R3850" s="8"/>
      <c r="S3850" s="8"/>
      <c r="T3850" s="3"/>
    </row>
    <row r="3851" spans="14:20" x14ac:dyDescent="0.3">
      <c r="N3851" s="5"/>
      <c r="O3851" s="5"/>
      <c r="P3851" s="5"/>
      <c r="Q3851" s="5"/>
      <c r="R3851" s="8"/>
      <c r="S3851" s="8"/>
      <c r="T3851" s="3"/>
    </row>
    <row r="3852" spans="14:20" x14ac:dyDescent="0.3">
      <c r="N3852" s="5"/>
      <c r="O3852" s="5"/>
      <c r="P3852" s="5"/>
      <c r="Q3852" s="5"/>
      <c r="R3852" s="8"/>
      <c r="S3852" s="8"/>
      <c r="T3852" s="3"/>
    </row>
    <row r="3853" spans="14:20" x14ac:dyDescent="0.3">
      <c r="N3853" s="5"/>
      <c r="O3853" s="5"/>
      <c r="P3853" s="5"/>
      <c r="Q3853" s="5"/>
      <c r="R3853" s="8"/>
      <c r="S3853" s="8"/>
      <c r="T3853" s="3"/>
    </row>
    <row r="3854" spans="14:20" x14ac:dyDescent="0.3">
      <c r="N3854" s="5"/>
      <c r="O3854" s="5"/>
      <c r="P3854" s="5"/>
      <c r="Q3854" s="5"/>
      <c r="R3854" s="8"/>
      <c r="S3854" s="8"/>
      <c r="T3854" s="3"/>
    </row>
    <row r="3855" spans="14:20" x14ac:dyDescent="0.3">
      <c r="N3855" s="5"/>
      <c r="O3855" s="5"/>
      <c r="P3855" s="5"/>
      <c r="Q3855" s="5"/>
      <c r="R3855" s="8"/>
      <c r="S3855" s="8"/>
      <c r="T3855" s="3"/>
    </row>
    <row r="3856" spans="14:20" x14ac:dyDescent="0.3">
      <c r="N3856" s="5"/>
      <c r="O3856" s="5"/>
      <c r="P3856" s="5"/>
      <c r="Q3856" s="5"/>
      <c r="R3856" s="8"/>
      <c r="S3856" s="8"/>
      <c r="T3856" s="3"/>
    </row>
    <row r="3857" spans="14:20" x14ac:dyDescent="0.3">
      <c r="N3857" s="5"/>
      <c r="O3857" s="5"/>
      <c r="P3857" s="5"/>
      <c r="Q3857" s="5"/>
      <c r="R3857" s="8"/>
      <c r="S3857" s="8"/>
      <c r="T3857" s="3"/>
    </row>
    <row r="3858" spans="14:20" x14ac:dyDescent="0.3">
      <c r="N3858" s="5"/>
      <c r="O3858" s="5"/>
      <c r="P3858" s="5"/>
      <c r="Q3858" s="5"/>
      <c r="R3858" s="8"/>
      <c r="S3858" s="8"/>
      <c r="T3858" s="3"/>
    </row>
    <row r="3859" spans="14:20" x14ac:dyDescent="0.3">
      <c r="N3859" s="5"/>
      <c r="O3859" s="5"/>
      <c r="P3859" s="5"/>
      <c r="Q3859" s="5"/>
      <c r="R3859" s="8"/>
      <c r="S3859" s="8"/>
      <c r="T3859" s="3"/>
    </row>
    <row r="3860" spans="14:20" x14ac:dyDescent="0.3">
      <c r="N3860" s="5"/>
      <c r="O3860" s="5"/>
      <c r="P3860" s="5"/>
      <c r="Q3860" s="5"/>
      <c r="R3860" s="8"/>
      <c r="S3860" s="8"/>
      <c r="T3860" s="3"/>
    </row>
    <row r="3861" spans="14:20" x14ac:dyDescent="0.3">
      <c r="N3861" s="5"/>
      <c r="O3861" s="5"/>
      <c r="P3861" s="5"/>
      <c r="Q3861" s="5"/>
      <c r="R3861" s="8"/>
      <c r="S3861" s="8"/>
      <c r="T3861" s="3"/>
    </row>
    <row r="3862" spans="14:20" x14ac:dyDescent="0.3">
      <c r="N3862" s="5"/>
      <c r="O3862" s="5"/>
      <c r="P3862" s="5"/>
      <c r="Q3862" s="5"/>
      <c r="R3862" s="8"/>
      <c r="S3862" s="8"/>
      <c r="T3862" s="3"/>
    </row>
    <row r="3863" spans="14:20" x14ac:dyDescent="0.3">
      <c r="N3863" s="5"/>
      <c r="O3863" s="5"/>
      <c r="P3863" s="5"/>
      <c r="Q3863" s="5"/>
      <c r="R3863" s="8"/>
      <c r="S3863" s="8"/>
      <c r="T3863" s="3"/>
    </row>
    <row r="3864" spans="14:20" x14ac:dyDescent="0.3">
      <c r="N3864" s="5"/>
      <c r="O3864" s="5"/>
      <c r="P3864" s="5"/>
      <c r="Q3864" s="5"/>
      <c r="R3864" s="8"/>
      <c r="S3864" s="8"/>
      <c r="T3864" s="3"/>
    </row>
    <row r="3865" spans="14:20" x14ac:dyDescent="0.3">
      <c r="N3865" s="5"/>
      <c r="O3865" s="5"/>
      <c r="P3865" s="5"/>
      <c r="Q3865" s="5"/>
      <c r="R3865" s="8"/>
      <c r="S3865" s="8"/>
      <c r="T3865" s="3"/>
    </row>
    <row r="3866" spans="14:20" x14ac:dyDescent="0.3">
      <c r="N3866" s="5"/>
      <c r="O3866" s="5"/>
      <c r="P3866" s="5"/>
      <c r="Q3866" s="5"/>
      <c r="R3866" s="8"/>
      <c r="S3866" s="8"/>
      <c r="T3866" s="3"/>
    </row>
    <row r="3867" spans="14:20" x14ac:dyDescent="0.3">
      <c r="N3867" s="5"/>
      <c r="O3867" s="5"/>
      <c r="P3867" s="5"/>
      <c r="Q3867" s="5"/>
      <c r="R3867" s="8"/>
      <c r="S3867" s="8"/>
      <c r="T3867" s="3"/>
    </row>
    <row r="3868" spans="14:20" x14ac:dyDescent="0.3">
      <c r="N3868" s="5"/>
      <c r="O3868" s="5"/>
      <c r="P3868" s="5"/>
      <c r="Q3868" s="5"/>
      <c r="R3868" s="8"/>
      <c r="S3868" s="8"/>
      <c r="T3868" s="3"/>
    </row>
    <row r="3869" spans="14:20" x14ac:dyDescent="0.3">
      <c r="N3869" s="5"/>
      <c r="O3869" s="5"/>
      <c r="P3869" s="5"/>
      <c r="Q3869" s="5"/>
      <c r="R3869" s="8"/>
      <c r="S3869" s="8"/>
      <c r="T3869" s="3"/>
    </row>
    <row r="3870" spans="14:20" x14ac:dyDescent="0.3">
      <c r="N3870" s="5"/>
      <c r="O3870" s="5"/>
      <c r="P3870" s="5"/>
      <c r="Q3870" s="5"/>
      <c r="R3870" s="8"/>
      <c r="S3870" s="8"/>
      <c r="T3870" s="3"/>
    </row>
    <row r="3871" spans="14:20" x14ac:dyDescent="0.3">
      <c r="N3871" s="5"/>
      <c r="O3871" s="5"/>
      <c r="P3871" s="5"/>
      <c r="Q3871" s="5"/>
      <c r="R3871" s="8"/>
      <c r="S3871" s="8"/>
      <c r="T3871" s="3"/>
    </row>
    <row r="3872" spans="14:20" x14ac:dyDescent="0.3">
      <c r="N3872" s="5"/>
      <c r="O3872" s="5"/>
      <c r="P3872" s="5"/>
      <c r="Q3872" s="5"/>
      <c r="R3872" s="8"/>
      <c r="S3872" s="8"/>
      <c r="T3872" s="3"/>
    </row>
    <row r="3873" spans="14:20" x14ac:dyDescent="0.3">
      <c r="N3873" s="5"/>
      <c r="O3873" s="5"/>
      <c r="P3873" s="5"/>
      <c r="Q3873" s="5"/>
      <c r="R3873" s="8"/>
      <c r="S3873" s="8"/>
      <c r="T3873" s="3"/>
    </row>
    <row r="3874" spans="14:20" x14ac:dyDescent="0.3">
      <c r="N3874" s="5"/>
      <c r="O3874" s="5"/>
      <c r="P3874" s="5"/>
      <c r="Q3874" s="5"/>
      <c r="R3874" s="8"/>
      <c r="S3874" s="8"/>
      <c r="T3874" s="3"/>
    </row>
    <row r="3875" spans="14:20" x14ac:dyDescent="0.3">
      <c r="N3875" s="5"/>
      <c r="O3875" s="5"/>
      <c r="P3875" s="5"/>
      <c r="Q3875" s="5"/>
      <c r="R3875" s="8"/>
      <c r="S3875" s="8"/>
      <c r="T3875" s="3"/>
    </row>
    <row r="3876" spans="14:20" x14ac:dyDescent="0.3">
      <c r="N3876" s="5"/>
      <c r="O3876" s="5"/>
      <c r="P3876" s="5"/>
      <c r="Q3876" s="5"/>
      <c r="R3876" s="8"/>
      <c r="S3876" s="8"/>
      <c r="T3876" s="3"/>
    </row>
    <row r="3877" spans="14:20" x14ac:dyDescent="0.3">
      <c r="N3877" s="5"/>
      <c r="O3877" s="5"/>
      <c r="P3877" s="5"/>
      <c r="Q3877" s="5"/>
      <c r="R3877" s="8"/>
      <c r="S3877" s="8"/>
      <c r="T3877" s="3"/>
    </row>
    <row r="3878" spans="14:20" x14ac:dyDescent="0.3">
      <c r="N3878" s="5"/>
      <c r="O3878" s="5"/>
      <c r="P3878" s="5"/>
      <c r="Q3878" s="5"/>
      <c r="R3878" s="8"/>
      <c r="S3878" s="8"/>
      <c r="T3878" s="3"/>
    </row>
    <row r="3879" spans="14:20" x14ac:dyDescent="0.3">
      <c r="N3879" s="5"/>
      <c r="O3879" s="5"/>
      <c r="P3879" s="5"/>
      <c r="Q3879" s="5"/>
      <c r="R3879" s="8"/>
      <c r="S3879" s="8"/>
      <c r="T3879" s="3"/>
    </row>
    <row r="3880" spans="14:20" x14ac:dyDescent="0.3">
      <c r="N3880" s="5"/>
      <c r="O3880" s="5"/>
      <c r="P3880" s="5"/>
      <c r="Q3880" s="5"/>
      <c r="R3880" s="8"/>
      <c r="S3880" s="8"/>
      <c r="T3880" s="3"/>
    </row>
    <row r="3881" spans="14:20" x14ac:dyDescent="0.3">
      <c r="N3881" s="5"/>
      <c r="O3881" s="5"/>
      <c r="P3881" s="5"/>
      <c r="Q3881" s="5"/>
      <c r="R3881" s="8"/>
      <c r="S3881" s="8"/>
      <c r="T3881" s="3"/>
    </row>
    <row r="3882" spans="14:20" x14ac:dyDescent="0.3">
      <c r="N3882" s="5"/>
      <c r="O3882" s="5"/>
      <c r="P3882" s="5"/>
      <c r="Q3882" s="5"/>
      <c r="R3882" s="8"/>
      <c r="S3882" s="8"/>
      <c r="T3882" s="3"/>
    </row>
    <row r="3883" spans="14:20" x14ac:dyDescent="0.3">
      <c r="N3883" s="5"/>
      <c r="O3883" s="5"/>
      <c r="P3883" s="5"/>
      <c r="Q3883" s="5"/>
      <c r="R3883" s="8"/>
      <c r="S3883" s="8"/>
      <c r="T3883" s="3"/>
    </row>
    <row r="3884" spans="14:20" x14ac:dyDescent="0.3">
      <c r="N3884" s="5"/>
      <c r="O3884" s="5"/>
      <c r="P3884" s="5"/>
      <c r="Q3884" s="5"/>
      <c r="R3884" s="8"/>
      <c r="S3884" s="8"/>
      <c r="T3884" s="3"/>
    </row>
    <row r="3885" spans="14:20" x14ac:dyDescent="0.3">
      <c r="N3885" s="5"/>
      <c r="O3885" s="5"/>
      <c r="P3885" s="5"/>
      <c r="Q3885" s="5"/>
      <c r="R3885" s="8"/>
      <c r="S3885" s="8"/>
      <c r="T3885" s="3"/>
    </row>
    <row r="3886" spans="14:20" x14ac:dyDescent="0.3">
      <c r="N3886" s="5"/>
      <c r="O3886" s="5"/>
      <c r="P3886" s="5"/>
      <c r="Q3886" s="5"/>
      <c r="R3886" s="8"/>
      <c r="S3886" s="8"/>
      <c r="T3886" s="3"/>
    </row>
    <row r="3887" spans="14:20" x14ac:dyDescent="0.3">
      <c r="N3887" s="5"/>
      <c r="O3887" s="5"/>
      <c r="P3887" s="5"/>
      <c r="Q3887" s="5"/>
      <c r="R3887" s="8"/>
      <c r="S3887" s="8"/>
      <c r="T3887" s="3"/>
    </row>
    <row r="3888" spans="14:20" x14ac:dyDescent="0.3">
      <c r="N3888" s="5"/>
      <c r="O3888" s="5"/>
      <c r="P3888" s="5"/>
      <c r="Q3888" s="5"/>
      <c r="R3888" s="8"/>
      <c r="S3888" s="8"/>
      <c r="T3888" s="3"/>
    </row>
    <row r="3889" spans="14:20" x14ac:dyDescent="0.3">
      <c r="N3889" s="5"/>
      <c r="O3889" s="5"/>
      <c r="P3889" s="5"/>
      <c r="Q3889" s="5"/>
      <c r="R3889" s="8"/>
      <c r="S3889" s="8"/>
      <c r="T3889" s="3"/>
    </row>
    <row r="3890" spans="14:20" x14ac:dyDescent="0.3">
      <c r="N3890" s="5"/>
      <c r="O3890" s="5"/>
      <c r="P3890" s="5"/>
      <c r="Q3890" s="5"/>
      <c r="R3890" s="8"/>
      <c r="S3890" s="8"/>
      <c r="T3890" s="3"/>
    </row>
    <row r="3891" spans="14:20" x14ac:dyDescent="0.3">
      <c r="N3891" s="5"/>
      <c r="O3891" s="5"/>
      <c r="P3891" s="5"/>
      <c r="Q3891" s="5"/>
      <c r="R3891" s="8"/>
      <c r="S3891" s="8"/>
      <c r="T3891" s="3"/>
    </row>
    <row r="3892" spans="14:20" x14ac:dyDescent="0.3">
      <c r="N3892" s="5"/>
      <c r="O3892" s="5"/>
      <c r="P3892" s="5"/>
      <c r="Q3892" s="5"/>
      <c r="R3892" s="8"/>
      <c r="S3892" s="8"/>
      <c r="T3892" s="3"/>
    </row>
    <row r="3893" spans="14:20" x14ac:dyDescent="0.3">
      <c r="N3893" s="5"/>
      <c r="O3893" s="5"/>
      <c r="P3893" s="5"/>
      <c r="Q3893" s="5"/>
      <c r="R3893" s="8"/>
      <c r="S3893" s="8"/>
      <c r="T3893" s="3"/>
    </row>
    <row r="3894" spans="14:20" x14ac:dyDescent="0.3">
      <c r="N3894" s="5"/>
      <c r="O3894" s="5"/>
      <c r="P3894" s="5"/>
      <c r="Q3894" s="5"/>
      <c r="R3894" s="8"/>
      <c r="S3894" s="8"/>
      <c r="T3894" s="3"/>
    </row>
    <row r="3895" spans="14:20" x14ac:dyDescent="0.3">
      <c r="N3895" s="5"/>
      <c r="O3895" s="5"/>
      <c r="P3895" s="5"/>
      <c r="Q3895" s="5"/>
      <c r="R3895" s="8"/>
      <c r="S3895" s="8"/>
      <c r="T3895" s="3"/>
    </row>
    <row r="3896" spans="14:20" x14ac:dyDescent="0.3">
      <c r="N3896" s="5"/>
      <c r="O3896" s="5"/>
      <c r="P3896" s="5"/>
      <c r="Q3896" s="5"/>
      <c r="R3896" s="8"/>
      <c r="S3896" s="8"/>
      <c r="T3896" s="3"/>
    </row>
    <row r="3897" spans="14:20" x14ac:dyDescent="0.3">
      <c r="N3897" s="5"/>
      <c r="O3897" s="5"/>
      <c r="P3897" s="5"/>
      <c r="Q3897" s="5"/>
      <c r="R3897" s="8"/>
      <c r="S3897" s="8"/>
      <c r="T3897" s="3"/>
    </row>
    <row r="3898" spans="14:20" x14ac:dyDescent="0.3">
      <c r="N3898" s="5"/>
      <c r="O3898" s="5"/>
      <c r="P3898" s="5"/>
      <c r="Q3898" s="5"/>
      <c r="R3898" s="8"/>
      <c r="S3898" s="8"/>
      <c r="T3898" s="3"/>
    </row>
    <row r="3899" spans="14:20" x14ac:dyDescent="0.3">
      <c r="N3899" s="5"/>
      <c r="O3899" s="5"/>
      <c r="P3899" s="5"/>
      <c r="Q3899" s="5"/>
      <c r="R3899" s="8"/>
      <c r="S3899" s="8"/>
      <c r="T3899" s="3"/>
    </row>
    <row r="3900" spans="14:20" x14ac:dyDescent="0.3">
      <c r="N3900" s="5"/>
      <c r="O3900" s="5"/>
      <c r="P3900" s="5"/>
      <c r="Q3900" s="5"/>
      <c r="R3900" s="8"/>
      <c r="S3900" s="8"/>
      <c r="T3900" s="3"/>
    </row>
    <row r="3901" spans="14:20" x14ac:dyDescent="0.3">
      <c r="N3901" s="5"/>
      <c r="O3901" s="5"/>
      <c r="P3901" s="5"/>
      <c r="Q3901" s="5"/>
      <c r="R3901" s="8"/>
      <c r="S3901" s="8"/>
      <c r="T3901" s="3"/>
    </row>
    <row r="3902" spans="14:20" x14ac:dyDescent="0.3">
      <c r="N3902" s="5"/>
      <c r="O3902" s="5"/>
      <c r="P3902" s="5"/>
      <c r="Q3902" s="5"/>
      <c r="R3902" s="8"/>
      <c r="S3902" s="8"/>
      <c r="T3902" s="3"/>
    </row>
    <row r="3903" spans="14:20" x14ac:dyDescent="0.3">
      <c r="N3903" s="5"/>
      <c r="O3903" s="5"/>
      <c r="P3903" s="5"/>
      <c r="Q3903" s="5"/>
      <c r="R3903" s="8"/>
      <c r="S3903" s="8"/>
      <c r="T3903" s="3"/>
    </row>
    <row r="3904" spans="14:20" x14ac:dyDescent="0.3">
      <c r="N3904" s="5"/>
      <c r="O3904" s="5"/>
      <c r="P3904" s="5"/>
      <c r="Q3904" s="5"/>
      <c r="R3904" s="8"/>
      <c r="S3904" s="8"/>
      <c r="T3904" s="3"/>
    </row>
    <row r="3905" spans="14:20" x14ac:dyDescent="0.3">
      <c r="N3905" s="5"/>
      <c r="O3905" s="5"/>
      <c r="P3905" s="5"/>
      <c r="Q3905" s="5"/>
      <c r="R3905" s="8"/>
      <c r="S3905" s="8"/>
      <c r="T3905" s="3"/>
    </row>
    <row r="3906" spans="14:20" x14ac:dyDescent="0.3">
      <c r="N3906" s="5"/>
      <c r="O3906" s="5"/>
      <c r="P3906" s="5"/>
      <c r="Q3906" s="5"/>
      <c r="R3906" s="8"/>
      <c r="S3906" s="8"/>
      <c r="T3906" s="3"/>
    </row>
    <row r="3907" spans="14:20" x14ac:dyDescent="0.3">
      <c r="N3907" s="5"/>
      <c r="O3907" s="5"/>
      <c r="P3907" s="5"/>
      <c r="Q3907" s="5"/>
      <c r="R3907" s="8"/>
      <c r="S3907" s="8"/>
      <c r="T3907" s="3"/>
    </row>
    <row r="3908" spans="14:20" x14ac:dyDescent="0.3">
      <c r="N3908" s="5"/>
      <c r="O3908" s="5"/>
      <c r="P3908" s="5"/>
      <c r="Q3908" s="5"/>
      <c r="R3908" s="8"/>
      <c r="S3908" s="8"/>
      <c r="T3908" s="3"/>
    </row>
    <row r="3909" spans="14:20" x14ac:dyDescent="0.3">
      <c r="N3909" s="5"/>
      <c r="O3909" s="5"/>
      <c r="P3909" s="5"/>
      <c r="Q3909" s="5"/>
      <c r="R3909" s="8"/>
      <c r="S3909" s="8"/>
      <c r="T3909" s="3"/>
    </row>
    <row r="3910" spans="14:20" x14ac:dyDescent="0.3">
      <c r="N3910" s="5"/>
      <c r="O3910" s="5"/>
      <c r="P3910" s="5"/>
      <c r="Q3910" s="5"/>
      <c r="R3910" s="8"/>
      <c r="S3910" s="8"/>
      <c r="T3910" s="3"/>
    </row>
    <row r="3911" spans="14:20" x14ac:dyDescent="0.3">
      <c r="N3911" s="5"/>
      <c r="O3911" s="5"/>
      <c r="P3911" s="5"/>
      <c r="Q3911" s="5"/>
      <c r="R3911" s="8"/>
      <c r="S3911" s="8"/>
      <c r="T3911" s="3"/>
    </row>
    <row r="3912" spans="14:20" x14ac:dyDescent="0.3">
      <c r="N3912" s="5"/>
      <c r="O3912" s="5"/>
      <c r="P3912" s="5"/>
      <c r="Q3912" s="5"/>
      <c r="R3912" s="8"/>
      <c r="S3912" s="8"/>
      <c r="T3912" s="3"/>
    </row>
    <row r="3913" spans="14:20" x14ac:dyDescent="0.3">
      <c r="N3913" s="5"/>
      <c r="O3913" s="5"/>
      <c r="P3913" s="5"/>
      <c r="Q3913" s="5"/>
      <c r="R3913" s="8"/>
      <c r="S3913" s="8"/>
      <c r="T3913" s="3"/>
    </row>
    <row r="3914" spans="14:20" x14ac:dyDescent="0.3">
      <c r="N3914" s="5"/>
      <c r="O3914" s="5"/>
      <c r="P3914" s="5"/>
      <c r="Q3914" s="5"/>
      <c r="R3914" s="8"/>
      <c r="S3914" s="8"/>
      <c r="T3914" s="3"/>
    </row>
    <row r="3915" spans="14:20" x14ac:dyDescent="0.3">
      <c r="N3915" s="5"/>
      <c r="O3915" s="5"/>
      <c r="P3915" s="5"/>
      <c r="Q3915" s="5"/>
      <c r="R3915" s="8"/>
      <c r="S3915" s="8"/>
      <c r="T3915" s="3"/>
    </row>
    <row r="3916" spans="14:20" x14ac:dyDescent="0.3">
      <c r="N3916" s="5"/>
      <c r="O3916" s="5"/>
      <c r="P3916" s="5"/>
      <c r="Q3916" s="5"/>
      <c r="R3916" s="8"/>
      <c r="S3916" s="8"/>
      <c r="T3916" s="3"/>
    </row>
    <row r="3917" spans="14:20" x14ac:dyDescent="0.3">
      <c r="N3917" s="5"/>
      <c r="O3917" s="5"/>
      <c r="P3917" s="5"/>
      <c r="Q3917" s="5"/>
      <c r="R3917" s="8"/>
      <c r="S3917" s="8"/>
      <c r="T3917" s="3"/>
    </row>
    <row r="3918" spans="14:20" x14ac:dyDescent="0.3">
      <c r="N3918" s="5"/>
      <c r="O3918" s="5"/>
      <c r="P3918" s="5"/>
      <c r="Q3918" s="5"/>
      <c r="R3918" s="8"/>
      <c r="S3918" s="8"/>
      <c r="T3918" s="3"/>
    </row>
    <row r="3919" spans="14:20" x14ac:dyDescent="0.3">
      <c r="N3919" s="5"/>
      <c r="O3919" s="5"/>
      <c r="P3919" s="5"/>
      <c r="Q3919" s="5"/>
      <c r="R3919" s="8"/>
      <c r="S3919" s="8"/>
      <c r="T3919" s="3"/>
    </row>
    <row r="3920" spans="14:20" x14ac:dyDescent="0.3">
      <c r="N3920" s="5"/>
      <c r="O3920" s="5"/>
      <c r="P3920" s="5"/>
      <c r="Q3920" s="5"/>
      <c r="R3920" s="8"/>
      <c r="S3920" s="8"/>
      <c r="T3920" s="3"/>
    </row>
    <row r="3921" spans="14:20" x14ac:dyDescent="0.3">
      <c r="N3921" s="5"/>
      <c r="O3921" s="5"/>
      <c r="P3921" s="5"/>
      <c r="Q3921" s="5"/>
      <c r="R3921" s="8"/>
      <c r="S3921" s="8"/>
      <c r="T3921" s="3"/>
    </row>
    <row r="3922" spans="14:20" x14ac:dyDescent="0.3">
      <c r="N3922" s="5"/>
      <c r="O3922" s="5"/>
      <c r="P3922" s="5"/>
      <c r="Q3922" s="5"/>
      <c r="R3922" s="8"/>
      <c r="S3922" s="8"/>
      <c r="T3922" s="3"/>
    </row>
    <row r="3923" spans="14:20" x14ac:dyDescent="0.3">
      <c r="N3923" s="5"/>
      <c r="O3923" s="5"/>
      <c r="P3923" s="5"/>
      <c r="Q3923" s="5"/>
      <c r="R3923" s="8"/>
      <c r="S3923" s="8"/>
      <c r="T3923" s="3"/>
    </row>
    <row r="3924" spans="14:20" x14ac:dyDescent="0.3">
      <c r="N3924" s="5"/>
      <c r="O3924" s="5"/>
      <c r="P3924" s="5"/>
      <c r="Q3924" s="5"/>
      <c r="R3924" s="8"/>
      <c r="S3924" s="8"/>
      <c r="T3924" s="3"/>
    </row>
    <row r="3925" spans="14:20" x14ac:dyDescent="0.3">
      <c r="N3925" s="5"/>
      <c r="O3925" s="5"/>
      <c r="P3925" s="5"/>
      <c r="Q3925" s="5"/>
      <c r="R3925" s="8"/>
      <c r="S3925" s="8"/>
      <c r="T3925" s="3"/>
    </row>
    <row r="3926" spans="14:20" x14ac:dyDescent="0.3">
      <c r="N3926" s="5"/>
      <c r="O3926" s="5"/>
      <c r="P3926" s="5"/>
      <c r="Q3926" s="5"/>
      <c r="R3926" s="8"/>
      <c r="S3926" s="8"/>
      <c r="T3926" s="3"/>
    </row>
    <row r="3927" spans="14:20" x14ac:dyDescent="0.3">
      <c r="N3927" s="5"/>
      <c r="O3927" s="5"/>
      <c r="P3927" s="5"/>
      <c r="Q3927" s="5"/>
      <c r="R3927" s="8"/>
      <c r="S3927" s="8"/>
      <c r="T3927" s="3"/>
    </row>
    <row r="3928" spans="14:20" x14ac:dyDescent="0.3">
      <c r="N3928" s="5"/>
      <c r="O3928" s="5"/>
      <c r="P3928" s="5"/>
      <c r="Q3928" s="5"/>
      <c r="R3928" s="8"/>
      <c r="S3928" s="8"/>
      <c r="T3928" s="3"/>
    </row>
    <row r="3929" spans="14:20" x14ac:dyDescent="0.3">
      <c r="N3929" s="5"/>
      <c r="O3929" s="5"/>
      <c r="P3929" s="5"/>
      <c r="Q3929" s="5"/>
      <c r="R3929" s="8"/>
      <c r="S3929" s="8"/>
      <c r="T3929" s="3"/>
    </row>
    <row r="3930" spans="14:20" x14ac:dyDescent="0.3">
      <c r="N3930" s="5"/>
      <c r="O3930" s="5"/>
      <c r="P3930" s="5"/>
      <c r="Q3930" s="5"/>
      <c r="R3930" s="8"/>
      <c r="S3930" s="8"/>
      <c r="T3930" s="3"/>
    </row>
    <row r="3931" spans="14:20" x14ac:dyDescent="0.3">
      <c r="N3931" s="5"/>
      <c r="O3931" s="5"/>
      <c r="P3931" s="5"/>
      <c r="Q3931" s="5"/>
      <c r="R3931" s="8"/>
      <c r="S3931" s="8"/>
      <c r="T3931" s="3"/>
    </row>
    <row r="3932" spans="14:20" x14ac:dyDescent="0.3">
      <c r="N3932" s="5"/>
      <c r="O3932" s="5"/>
      <c r="P3932" s="5"/>
      <c r="Q3932" s="5"/>
      <c r="R3932" s="8"/>
      <c r="S3932" s="8"/>
      <c r="T3932" s="3"/>
    </row>
    <row r="3933" spans="14:20" x14ac:dyDescent="0.3">
      <c r="N3933" s="5"/>
      <c r="O3933" s="5"/>
      <c r="P3933" s="5"/>
      <c r="Q3933" s="5"/>
      <c r="R3933" s="8"/>
      <c r="S3933" s="8"/>
      <c r="T3933" s="3"/>
    </row>
    <row r="3934" spans="14:20" x14ac:dyDescent="0.3">
      <c r="N3934" s="5"/>
      <c r="O3934" s="5"/>
      <c r="P3934" s="5"/>
      <c r="Q3934" s="5"/>
      <c r="R3934" s="8"/>
      <c r="S3934" s="8"/>
      <c r="T3934" s="3"/>
    </row>
    <row r="3935" spans="14:20" x14ac:dyDescent="0.3">
      <c r="N3935" s="5"/>
      <c r="O3935" s="5"/>
      <c r="P3935" s="5"/>
      <c r="Q3935" s="5"/>
      <c r="R3935" s="8"/>
      <c r="S3935" s="8"/>
      <c r="T3935" s="3"/>
    </row>
    <row r="3936" spans="14:20" x14ac:dyDescent="0.3">
      <c r="N3936" s="5"/>
      <c r="O3936" s="5"/>
      <c r="P3936" s="5"/>
      <c r="Q3936" s="5"/>
      <c r="R3936" s="8"/>
      <c r="S3936" s="8"/>
      <c r="T3936" s="3"/>
    </row>
    <row r="3937" spans="14:20" x14ac:dyDescent="0.3">
      <c r="N3937" s="5"/>
      <c r="O3937" s="5"/>
      <c r="P3937" s="5"/>
      <c r="Q3937" s="5"/>
      <c r="R3937" s="8"/>
      <c r="S3937" s="8"/>
      <c r="T3937" s="3"/>
    </row>
    <row r="3938" spans="14:20" x14ac:dyDescent="0.3">
      <c r="N3938" s="5"/>
      <c r="O3938" s="5"/>
      <c r="P3938" s="5"/>
      <c r="Q3938" s="5"/>
      <c r="R3938" s="8"/>
      <c r="S3938" s="8"/>
      <c r="T3938" s="3"/>
    </row>
    <row r="3939" spans="14:20" x14ac:dyDescent="0.3">
      <c r="N3939" s="5"/>
      <c r="O3939" s="5"/>
      <c r="P3939" s="5"/>
      <c r="Q3939" s="5"/>
      <c r="R3939" s="8"/>
      <c r="S3939" s="8"/>
      <c r="T3939" s="3"/>
    </row>
    <row r="3940" spans="14:20" x14ac:dyDescent="0.3">
      <c r="N3940" s="5"/>
      <c r="O3940" s="5"/>
      <c r="P3940" s="5"/>
      <c r="Q3940" s="5"/>
      <c r="R3940" s="8"/>
      <c r="S3940" s="8"/>
      <c r="T3940" s="3"/>
    </row>
    <row r="3941" spans="14:20" x14ac:dyDescent="0.3">
      <c r="N3941" s="5"/>
      <c r="O3941" s="5"/>
      <c r="P3941" s="5"/>
      <c r="Q3941" s="5"/>
      <c r="R3941" s="8"/>
      <c r="S3941" s="8"/>
      <c r="T3941" s="3"/>
    </row>
    <row r="3942" spans="14:20" x14ac:dyDescent="0.3">
      <c r="N3942" s="5"/>
      <c r="O3942" s="5"/>
      <c r="P3942" s="5"/>
      <c r="Q3942" s="5"/>
      <c r="R3942" s="8"/>
      <c r="S3942" s="8"/>
      <c r="T3942" s="3"/>
    </row>
    <row r="3943" spans="14:20" x14ac:dyDescent="0.3">
      <c r="N3943" s="5"/>
      <c r="O3943" s="5"/>
      <c r="P3943" s="5"/>
      <c r="Q3943" s="5"/>
      <c r="R3943" s="8"/>
      <c r="S3943" s="8"/>
      <c r="T3943" s="3"/>
    </row>
    <row r="3944" spans="14:20" x14ac:dyDescent="0.3">
      <c r="N3944" s="5"/>
      <c r="O3944" s="5"/>
      <c r="P3944" s="5"/>
      <c r="Q3944" s="5"/>
      <c r="R3944" s="8"/>
      <c r="S3944" s="8"/>
      <c r="T3944" s="3"/>
    </row>
    <row r="3945" spans="14:20" x14ac:dyDescent="0.3">
      <c r="N3945" s="5"/>
      <c r="O3945" s="5"/>
      <c r="P3945" s="5"/>
      <c r="Q3945" s="5"/>
      <c r="R3945" s="8"/>
      <c r="S3945" s="8"/>
      <c r="T3945" s="3"/>
    </row>
    <row r="3946" spans="14:20" x14ac:dyDescent="0.3">
      <c r="N3946" s="5"/>
      <c r="O3946" s="5"/>
      <c r="P3946" s="5"/>
      <c r="Q3946" s="5"/>
      <c r="R3946" s="8"/>
      <c r="S3946" s="8"/>
      <c r="T3946" s="3"/>
    </row>
    <row r="3947" spans="14:20" x14ac:dyDescent="0.3">
      <c r="N3947" s="5"/>
      <c r="O3947" s="5"/>
      <c r="P3947" s="5"/>
      <c r="Q3947" s="5"/>
      <c r="R3947" s="8"/>
      <c r="S3947" s="8"/>
      <c r="T3947" s="3"/>
    </row>
    <row r="3948" spans="14:20" x14ac:dyDescent="0.3">
      <c r="N3948" s="5"/>
      <c r="O3948" s="5"/>
      <c r="P3948" s="5"/>
      <c r="Q3948" s="5"/>
      <c r="R3948" s="8"/>
      <c r="S3948" s="8"/>
      <c r="T3948" s="3"/>
    </row>
    <row r="3949" spans="14:20" x14ac:dyDescent="0.3">
      <c r="N3949" s="5"/>
      <c r="O3949" s="5"/>
      <c r="P3949" s="5"/>
      <c r="Q3949" s="5"/>
      <c r="R3949" s="8"/>
      <c r="S3949" s="8"/>
      <c r="T3949" s="3"/>
    </row>
    <row r="3950" spans="14:20" x14ac:dyDescent="0.3">
      <c r="N3950" s="5"/>
      <c r="O3950" s="5"/>
      <c r="P3950" s="5"/>
      <c r="Q3950" s="5"/>
      <c r="R3950" s="8"/>
      <c r="S3950" s="8"/>
      <c r="T3950" s="3"/>
    </row>
    <row r="3951" spans="14:20" x14ac:dyDescent="0.3">
      <c r="N3951" s="5"/>
      <c r="O3951" s="5"/>
      <c r="P3951" s="5"/>
      <c r="Q3951" s="5"/>
      <c r="R3951" s="8"/>
      <c r="S3951" s="8"/>
      <c r="T3951" s="3"/>
    </row>
    <row r="3952" spans="14:20" x14ac:dyDescent="0.3">
      <c r="N3952" s="5"/>
      <c r="O3952" s="5"/>
      <c r="P3952" s="5"/>
      <c r="Q3952" s="5"/>
      <c r="R3952" s="8"/>
      <c r="S3952" s="8"/>
      <c r="T3952" s="3"/>
    </row>
    <row r="3953" spans="14:20" x14ac:dyDescent="0.3">
      <c r="N3953" s="5"/>
      <c r="O3953" s="5"/>
      <c r="P3953" s="5"/>
      <c r="Q3953" s="5"/>
      <c r="R3953" s="8"/>
      <c r="S3953" s="8"/>
      <c r="T3953" s="3"/>
    </row>
    <row r="3954" spans="14:20" x14ac:dyDescent="0.3">
      <c r="N3954" s="5"/>
      <c r="O3954" s="5"/>
      <c r="P3954" s="5"/>
      <c r="Q3954" s="5"/>
      <c r="R3954" s="8"/>
      <c r="S3954" s="8"/>
      <c r="T3954" s="3"/>
    </row>
    <row r="3955" spans="14:20" x14ac:dyDescent="0.3">
      <c r="N3955" s="5"/>
      <c r="O3955" s="5"/>
      <c r="P3955" s="5"/>
      <c r="Q3955" s="5"/>
      <c r="R3955" s="8"/>
      <c r="S3955" s="8"/>
      <c r="T3955" s="3"/>
    </row>
    <row r="3956" spans="14:20" x14ac:dyDescent="0.3">
      <c r="N3956" s="5"/>
      <c r="O3956" s="5"/>
      <c r="P3956" s="5"/>
      <c r="Q3956" s="5"/>
      <c r="R3956" s="8"/>
      <c r="S3956" s="8"/>
      <c r="T3956" s="3"/>
    </row>
    <row r="3957" spans="14:20" x14ac:dyDescent="0.3">
      <c r="N3957" s="5"/>
      <c r="O3957" s="5"/>
      <c r="P3957" s="5"/>
      <c r="Q3957" s="5"/>
      <c r="R3957" s="8"/>
      <c r="S3957" s="8"/>
      <c r="T3957" s="3"/>
    </row>
    <row r="3958" spans="14:20" x14ac:dyDescent="0.3">
      <c r="N3958" s="5"/>
      <c r="O3958" s="5"/>
      <c r="P3958" s="5"/>
      <c r="Q3958" s="5"/>
      <c r="R3958" s="8"/>
      <c r="S3958" s="8"/>
      <c r="T3958" s="3"/>
    </row>
    <row r="3959" spans="14:20" x14ac:dyDescent="0.3">
      <c r="N3959" s="5"/>
      <c r="O3959" s="5"/>
      <c r="P3959" s="5"/>
      <c r="Q3959" s="5"/>
      <c r="R3959" s="8"/>
      <c r="S3959" s="8"/>
      <c r="T3959" s="3"/>
    </row>
    <row r="3960" spans="14:20" x14ac:dyDescent="0.3">
      <c r="N3960" s="5"/>
      <c r="O3960" s="5"/>
      <c r="P3960" s="5"/>
      <c r="Q3960" s="5"/>
      <c r="R3960" s="8"/>
      <c r="S3960" s="8"/>
      <c r="T3960" s="3"/>
    </row>
    <row r="3961" spans="14:20" x14ac:dyDescent="0.3">
      <c r="N3961" s="5"/>
      <c r="O3961" s="5"/>
      <c r="P3961" s="5"/>
      <c r="Q3961" s="5"/>
      <c r="R3961" s="8"/>
      <c r="S3961" s="8"/>
      <c r="T3961" s="3"/>
    </row>
    <row r="3962" spans="14:20" x14ac:dyDescent="0.3">
      <c r="N3962" s="5"/>
      <c r="O3962" s="5"/>
      <c r="P3962" s="5"/>
      <c r="Q3962" s="5"/>
      <c r="R3962" s="8"/>
      <c r="S3962" s="8"/>
      <c r="T3962" s="3"/>
    </row>
    <row r="3963" spans="14:20" x14ac:dyDescent="0.3">
      <c r="N3963" s="5"/>
      <c r="O3963" s="5"/>
      <c r="P3963" s="5"/>
      <c r="Q3963" s="5"/>
      <c r="R3963" s="8"/>
      <c r="S3963" s="8"/>
      <c r="T3963" s="3"/>
    </row>
    <row r="3964" spans="14:20" x14ac:dyDescent="0.3">
      <c r="N3964" s="5"/>
      <c r="O3964" s="5"/>
      <c r="P3964" s="5"/>
      <c r="Q3964" s="5"/>
      <c r="R3964" s="8"/>
      <c r="S3964" s="8"/>
      <c r="T3964" s="3"/>
    </row>
    <row r="3965" spans="14:20" x14ac:dyDescent="0.3">
      <c r="N3965" s="5"/>
      <c r="O3965" s="5"/>
      <c r="P3965" s="5"/>
      <c r="Q3965" s="5"/>
      <c r="R3965" s="8"/>
      <c r="S3965" s="8"/>
      <c r="T3965" s="3"/>
    </row>
    <row r="3966" spans="14:20" x14ac:dyDescent="0.3">
      <c r="N3966" s="5"/>
      <c r="O3966" s="5"/>
      <c r="P3966" s="5"/>
      <c r="Q3966" s="5"/>
      <c r="R3966" s="8"/>
      <c r="S3966" s="8"/>
      <c r="T3966" s="3"/>
    </row>
    <row r="3967" spans="14:20" x14ac:dyDescent="0.3">
      <c r="N3967" s="5"/>
      <c r="O3967" s="5"/>
      <c r="P3967" s="5"/>
      <c r="Q3967" s="5"/>
      <c r="R3967" s="8"/>
      <c r="S3967" s="8"/>
      <c r="T3967" s="3"/>
    </row>
    <row r="3968" spans="14:20" x14ac:dyDescent="0.3">
      <c r="N3968" s="5"/>
      <c r="O3968" s="5"/>
      <c r="P3968" s="5"/>
      <c r="Q3968" s="5"/>
      <c r="R3968" s="8"/>
      <c r="S3968" s="8"/>
      <c r="T3968" s="3"/>
    </row>
    <row r="3969" spans="14:20" x14ac:dyDescent="0.3">
      <c r="N3969" s="5"/>
      <c r="O3969" s="5"/>
      <c r="P3969" s="5"/>
      <c r="Q3969" s="5"/>
      <c r="R3969" s="8"/>
      <c r="S3969" s="8"/>
      <c r="T3969" s="3"/>
    </row>
    <row r="3970" spans="14:20" x14ac:dyDescent="0.3">
      <c r="N3970" s="5"/>
      <c r="O3970" s="5"/>
      <c r="P3970" s="5"/>
      <c r="Q3970" s="5"/>
      <c r="R3970" s="8"/>
      <c r="S3970" s="8"/>
      <c r="T3970" s="3"/>
    </row>
    <row r="3971" spans="14:20" x14ac:dyDescent="0.3">
      <c r="N3971" s="5"/>
      <c r="O3971" s="5"/>
      <c r="P3971" s="5"/>
      <c r="Q3971" s="5"/>
      <c r="R3971" s="8"/>
      <c r="S3971" s="8"/>
      <c r="T3971" s="3"/>
    </row>
    <row r="3972" spans="14:20" x14ac:dyDescent="0.3">
      <c r="N3972" s="5"/>
      <c r="O3972" s="5"/>
      <c r="P3972" s="5"/>
      <c r="Q3972" s="5"/>
      <c r="R3972" s="8"/>
      <c r="S3972" s="8"/>
      <c r="T3972" s="3"/>
    </row>
    <row r="3973" spans="14:20" x14ac:dyDescent="0.3">
      <c r="N3973" s="5"/>
      <c r="O3973" s="5"/>
      <c r="P3973" s="5"/>
      <c r="Q3973" s="5"/>
      <c r="R3973" s="8"/>
      <c r="S3973" s="8"/>
      <c r="T3973" s="3"/>
    </row>
    <row r="3974" spans="14:20" x14ac:dyDescent="0.3">
      <c r="N3974" s="5"/>
      <c r="O3974" s="5"/>
      <c r="P3974" s="5"/>
      <c r="Q3974" s="5"/>
      <c r="R3974" s="8"/>
      <c r="S3974" s="8"/>
      <c r="T3974" s="3"/>
    </row>
    <row r="3975" spans="14:20" x14ac:dyDescent="0.3">
      <c r="N3975" s="5"/>
      <c r="O3975" s="5"/>
      <c r="P3975" s="5"/>
      <c r="Q3975" s="5"/>
      <c r="R3975" s="8"/>
      <c r="S3975" s="8"/>
      <c r="T3975" s="3"/>
    </row>
    <row r="3976" spans="14:20" x14ac:dyDescent="0.3">
      <c r="N3976" s="5"/>
      <c r="O3976" s="5"/>
      <c r="P3976" s="5"/>
      <c r="Q3976" s="5"/>
      <c r="R3976" s="8"/>
      <c r="S3976" s="8"/>
      <c r="T3976" s="3"/>
    </row>
    <row r="3977" spans="14:20" x14ac:dyDescent="0.3">
      <c r="N3977" s="5"/>
      <c r="O3977" s="5"/>
      <c r="P3977" s="5"/>
      <c r="Q3977" s="5"/>
      <c r="R3977" s="8"/>
      <c r="S3977" s="8"/>
      <c r="T3977" s="3"/>
    </row>
    <row r="3978" spans="14:20" x14ac:dyDescent="0.3">
      <c r="N3978" s="5"/>
      <c r="O3978" s="5"/>
      <c r="P3978" s="5"/>
      <c r="Q3978" s="5"/>
      <c r="R3978" s="8"/>
      <c r="S3978" s="8"/>
      <c r="T3978" s="3"/>
    </row>
    <row r="3979" spans="14:20" x14ac:dyDescent="0.3">
      <c r="N3979" s="5"/>
      <c r="O3979" s="5"/>
      <c r="P3979" s="5"/>
      <c r="Q3979" s="5"/>
      <c r="R3979" s="8"/>
      <c r="S3979" s="8"/>
      <c r="T3979" s="3"/>
    </row>
    <row r="3980" spans="14:20" x14ac:dyDescent="0.3">
      <c r="N3980" s="5"/>
      <c r="O3980" s="5"/>
      <c r="P3980" s="5"/>
      <c r="Q3980" s="5"/>
      <c r="R3980" s="8"/>
      <c r="S3980" s="8"/>
      <c r="T3980" s="3"/>
    </row>
    <row r="3981" spans="14:20" x14ac:dyDescent="0.3">
      <c r="N3981" s="5"/>
      <c r="O3981" s="5"/>
      <c r="P3981" s="5"/>
      <c r="Q3981" s="5"/>
      <c r="R3981" s="8"/>
      <c r="S3981" s="8"/>
      <c r="T3981" s="3"/>
    </row>
    <row r="3982" spans="14:20" x14ac:dyDescent="0.3">
      <c r="N3982" s="5"/>
      <c r="O3982" s="5"/>
      <c r="P3982" s="5"/>
      <c r="Q3982" s="5"/>
      <c r="R3982" s="8"/>
      <c r="S3982" s="8"/>
      <c r="T3982" s="3"/>
    </row>
    <row r="3983" spans="14:20" x14ac:dyDescent="0.3">
      <c r="N3983" s="5"/>
      <c r="O3983" s="5"/>
      <c r="P3983" s="5"/>
      <c r="Q3983" s="5"/>
      <c r="R3983" s="8"/>
      <c r="S3983" s="8"/>
      <c r="T3983" s="3"/>
    </row>
    <row r="3984" spans="14:20" x14ac:dyDescent="0.3">
      <c r="N3984" s="5"/>
      <c r="O3984" s="5"/>
      <c r="P3984" s="5"/>
      <c r="Q3984" s="5"/>
      <c r="R3984" s="8"/>
      <c r="S3984" s="8"/>
      <c r="T3984" s="3"/>
    </row>
    <row r="3985" spans="14:20" x14ac:dyDescent="0.3">
      <c r="N3985" s="5"/>
      <c r="O3985" s="5"/>
      <c r="P3985" s="5"/>
      <c r="Q3985" s="5"/>
      <c r="R3985" s="8"/>
      <c r="S3985" s="8"/>
      <c r="T3985" s="3"/>
    </row>
    <row r="3986" spans="14:20" x14ac:dyDescent="0.3">
      <c r="N3986" s="5"/>
      <c r="O3986" s="5"/>
      <c r="P3986" s="5"/>
      <c r="Q3986" s="5"/>
      <c r="R3986" s="8"/>
      <c r="S3986" s="8"/>
      <c r="T3986" s="3"/>
    </row>
    <row r="3987" spans="14:20" x14ac:dyDescent="0.3">
      <c r="N3987" s="5"/>
      <c r="O3987" s="5"/>
      <c r="P3987" s="5"/>
      <c r="Q3987" s="5"/>
      <c r="R3987" s="8"/>
      <c r="S3987" s="8"/>
      <c r="T3987" s="3"/>
    </row>
    <row r="3988" spans="14:20" x14ac:dyDescent="0.3">
      <c r="N3988" s="5"/>
      <c r="O3988" s="5"/>
      <c r="P3988" s="5"/>
      <c r="Q3988" s="5"/>
      <c r="R3988" s="8"/>
      <c r="S3988" s="8"/>
      <c r="T3988" s="3"/>
    </row>
    <row r="3989" spans="14:20" x14ac:dyDescent="0.3">
      <c r="N3989" s="5"/>
      <c r="O3989" s="5"/>
      <c r="P3989" s="5"/>
      <c r="Q3989" s="5"/>
      <c r="R3989" s="8"/>
      <c r="S3989" s="8"/>
      <c r="T3989" s="3"/>
    </row>
    <row r="3990" spans="14:20" x14ac:dyDescent="0.3">
      <c r="N3990" s="5"/>
      <c r="O3990" s="5"/>
      <c r="P3990" s="5"/>
      <c r="Q3990" s="5"/>
      <c r="R3990" s="8"/>
      <c r="S3990" s="8"/>
      <c r="T3990" s="3"/>
    </row>
    <row r="3991" spans="14:20" x14ac:dyDescent="0.3">
      <c r="N3991" s="5"/>
      <c r="O3991" s="5"/>
      <c r="P3991" s="5"/>
      <c r="Q3991" s="5"/>
      <c r="R3991" s="8"/>
      <c r="S3991" s="8"/>
      <c r="T3991" s="3"/>
    </row>
    <row r="3992" spans="14:20" x14ac:dyDescent="0.3">
      <c r="N3992" s="5"/>
      <c r="O3992" s="5"/>
      <c r="P3992" s="5"/>
      <c r="Q3992" s="5"/>
      <c r="R3992" s="8"/>
      <c r="S3992" s="8"/>
      <c r="T3992" s="3"/>
    </row>
    <row r="3993" spans="14:20" x14ac:dyDescent="0.3">
      <c r="N3993" s="5"/>
      <c r="O3993" s="5"/>
      <c r="P3993" s="5"/>
      <c r="Q3993" s="5"/>
      <c r="R3993" s="8"/>
      <c r="S3993" s="8"/>
      <c r="T3993" s="3"/>
    </row>
    <row r="3994" spans="14:20" x14ac:dyDescent="0.3">
      <c r="N3994" s="5"/>
      <c r="O3994" s="5"/>
      <c r="P3994" s="5"/>
      <c r="Q3994" s="5"/>
      <c r="R3994" s="8"/>
      <c r="S3994" s="8"/>
      <c r="T3994" s="3"/>
    </row>
    <row r="3995" spans="14:20" x14ac:dyDescent="0.3">
      <c r="N3995" s="5"/>
      <c r="O3995" s="5"/>
      <c r="P3995" s="5"/>
      <c r="Q3995" s="5"/>
      <c r="R3995" s="8"/>
      <c r="S3995" s="8"/>
      <c r="T3995" s="3"/>
    </row>
    <row r="3996" spans="14:20" x14ac:dyDescent="0.3">
      <c r="N3996" s="5"/>
      <c r="O3996" s="5"/>
      <c r="P3996" s="5"/>
      <c r="Q3996" s="5"/>
      <c r="R3996" s="8"/>
      <c r="S3996" s="8"/>
      <c r="T3996" s="3"/>
    </row>
    <row r="3997" spans="14:20" x14ac:dyDescent="0.3">
      <c r="N3997" s="5"/>
      <c r="O3997" s="5"/>
      <c r="P3997" s="5"/>
      <c r="Q3997" s="5"/>
      <c r="R3997" s="8"/>
      <c r="S3997" s="8"/>
      <c r="T3997" s="3"/>
    </row>
    <row r="3998" spans="14:20" x14ac:dyDescent="0.3">
      <c r="N3998" s="5"/>
      <c r="O3998" s="5"/>
      <c r="P3998" s="5"/>
      <c r="Q3998" s="5"/>
      <c r="R3998" s="8"/>
      <c r="S3998" s="8"/>
      <c r="T3998" s="3"/>
    </row>
    <row r="3999" spans="14:20" x14ac:dyDescent="0.3">
      <c r="N3999" s="5"/>
      <c r="O3999" s="5"/>
      <c r="P3999" s="5"/>
      <c r="Q3999" s="5"/>
      <c r="R3999" s="8"/>
      <c r="S3999" s="8"/>
      <c r="T3999" s="3"/>
    </row>
    <row r="4000" spans="14:20" x14ac:dyDescent="0.3">
      <c r="N4000" s="5"/>
      <c r="O4000" s="5"/>
      <c r="P4000" s="5"/>
      <c r="Q4000" s="5"/>
      <c r="R4000" s="8"/>
      <c r="S4000" s="8"/>
      <c r="T4000" s="3"/>
    </row>
    <row r="4001" spans="14:20" x14ac:dyDescent="0.3">
      <c r="N4001" s="5"/>
      <c r="O4001" s="5"/>
      <c r="P4001" s="5"/>
      <c r="Q4001" s="5"/>
      <c r="R4001" s="8"/>
      <c r="S4001" s="8"/>
      <c r="T4001" s="3"/>
    </row>
    <row r="4002" spans="14:20" x14ac:dyDescent="0.3">
      <c r="N4002" s="5"/>
      <c r="O4002" s="5"/>
      <c r="P4002" s="5"/>
      <c r="Q4002" s="5"/>
      <c r="R4002" s="8"/>
      <c r="S4002" s="8"/>
      <c r="T4002" s="3"/>
    </row>
    <row r="4003" spans="14:20" x14ac:dyDescent="0.3">
      <c r="N4003" s="5"/>
      <c r="O4003" s="5"/>
      <c r="P4003" s="5"/>
      <c r="Q4003" s="5"/>
      <c r="R4003" s="8"/>
      <c r="S4003" s="8"/>
      <c r="T4003" s="3"/>
    </row>
    <row r="4004" spans="14:20" x14ac:dyDescent="0.3">
      <c r="N4004" s="5"/>
      <c r="O4004" s="5"/>
      <c r="P4004" s="5"/>
      <c r="Q4004" s="5"/>
      <c r="R4004" s="8"/>
      <c r="S4004" s="8"/>
      <c r="T4004" s="3"/>
    </row>
    <row r="4005" spans="14:20" x14ac:dyDescent="0.3">
      <c r="N4005" s="5"/>
      <c r="O4005" s="5"/>
      <c r="P4005" s="5"/>
      <c r="Q4005" s="5"/>
      <c r="R4005" s="8"/>
      <c r="S4005" s="8"/>
      <c r="T4005" s="3"/>
    </row>
    <row r="4006" spans="14:20" x14ac:dyDescent="0.3">
      <c r="N4006" s="5"/>
      <c r="O4006" s="5"/>
      <c r="P4006" s="5"/>
      <c r="Q4006" s="5"/>
      <c r="R4006" s="8"/>
      <c r="S4006" s="8"/>
      <c r="T4006" s="3"/>
    </row>
    <row r="4007" spans="14:20" x14ac:dyDescent="0.3">
      <c r="N4007" s="5"/>
      <c r="O4007" s="5"/>
      <c r="P4007" s="5"/>
      <c r="Q4007" s="5"/>
      <c r="R4007" s="8"/>
      <c r="S4007" s="8"/>
      <c r="T4007" s="3"/>
    </row>
    <row r="4008" spans="14:20" x14ac:dyDescent="0.3">
      <c r="N4008" s="5"/>
      <c r="O4008" s="5"/>
      <c r="P4008" s="5"/>
      <c r="Q4008" s="5"/>
      <c r="R4008" s="8"/>
      <c r="S4008" s="8"/>
      <c r="T4008" s="3"/>
    </row>
    <row r="4009" spans="14:20" x14ac:dyDescent="0.3">
      <c r="N4009" s="5"/>
      <c r="O4009" s="5"/>
      <c r="P4009" s="5"/>
      <c r="Q4009" s="5"/>
      <c r="R4009" s="8"/>
      <c r="S4009" s="8"/>
      <c r="T4009" s="3"/>
    </row>
    <row r="4010" spans="14:20" x14ac:dyDescent="0.3">
      <c r="N4010" s="5"/>
      <c r="O4010" s="5"/>
      <c r="P4010" s="5"/>
      <c r="Q4010" s="5"/>
      <c r="R4010" s="8"/>
      <c r="S4010" s="8"/>
      <c r="T4010" s="3"/>
    </row>
    <row r="4011" spans="14:20" x14ac:dyDescent="0.3">
      <c r="N4011" s="5"/>
      <c r="O4011" s="5"/>
      <c r="P4011" s="5"/>
      <c r="Q4011" s="5"/>
      <c r="R4011" s="8"/>
      <c r="S4011" s="8"/>
      <c r="T4011" s="3"/>
    </row>
    <row r="4012" spans="14:20" x14ac:dyDescent="0.3">
      <c r="N4012" s="5"/>
      <c r="O4012" s="5"/>
      <c r="P4012" s="5"/>
      <c r="Q4012" s="5"/>
      <c r="R4012" s="8"/>
      <c r="S4012" s="8"/>
      <c r="T4012" s="3"/>
    </row>
    <row r="4013" spans="14:20" x14ac:dyDescent="0.3">
      <c r="N4013" s="5"/>
      <c r="O4013" s="5"/>
      <c r="P4013" s="5"/>
      <c r="Q4013" s="5"/>
      <c r="R4013" s="8"/>
      <c r="S4013" s="8"/>
      <c r="T4013" s="3"/>
    </row>
    <row r="4014" spans="14:20" x14ac:dyDescent="0.3">
      <c r="N4014" s="5"/>
      <c r="O4014" s="5"/>
      <c r="P4014" s="5"/>
      <c r="Q4014" s="5"/>
      <c r="R4014" s="8"/>
      <c r="S4014" s="8"/>
      <c r="T4014" s="3"/>
    </row>
    <row r="4015" spans="14:20" x14ac:dyDescent="0.3">
      <c r="N4015" s="5"/>
      <c r="O4015" s="5"/>
      <c r="P4015" s="5"/>
      <c r="Q4015" s="5"/>
      <c r="R4015" s="8"/>
      <c r="S4015" s="8"/>
      <c r="T4015" s="3"/>
    </row>
    <row r="4016" spans="14:20" x14ac:dyDescent="0.3">
      <c r="N4016" s="5"/>
      <c r="O4016" s="5"/>
      <c r="P4016" s="5"/>
      <c r="Q4016" s="5"/>
      <c r="R4016" s="8"/>
      <c r="S4016" s="8"/>
      <c r="T4016" s="3"/>
    </row>
    <row r="4017" spans="14:20" x14ac:dyDescent="0.3">
      <c r="N4017" s="5"/>
      <c r="O4017" s="5"/>
      <c r="P4017" s="5"/>
      <c r="Q4017" s="5"/>
      <c r="R4017" s="8"/>
      <c r="S4017" s="8"/>
      <c r="T4017" s="3"/>
    </row>
    <row r="4018" spans="14:20" x14ac:dyDescent="0.3">
      <c r="N4018" s="5"/>
      <c r="O4018" s="5"/>
      <c r="P4018" s="5"/>
      <c r="Q4018" s="5"/>
      <c r="R4018" s="8"/>
      <c r="S4018" s="8"/>
      <c r="T4018" s="3"/>
    </row>
    <row r="4019" spans="14:20" x14ac:dyDescent="0.3">
      <c r="N4019" s="5"/>
      <c r="O4019" s="5"/>
      <c r="P4019" s="5"/>
      <c r="Q4019" s="5"/>
      <c r="R4019" s="8"/>
      <c r="S4019" s="8"/>
      <c r="T4019" s="3"/>
    </row>
    <row r="4020" spans="14:20" x14ac:dyDescent="0.3">
      <c r="N4020" s="5"/>
      <c r="O4020" s="5"/>
      <c r="P4020" s="5"/>
      <c r="Q4020" s="5"/>
      <c r="R4020" s="8"/>
      <c r="S4020" s="8"/>
      <c r="T4020" s="3"/>
    </row>
    <row r="4021" spans="14:20" x14ac:dyDescent="0.3">
      <c r="N4021" s="5"/>
      <c r="O4021" s="5"/>
      <c r="P4021" s="5"/>
      <c r="Q4021" s="5"/>
      <c r="R4021" s="8"/>
      <c r="S4021" s="8"/>
      <c r="T4021" s="3"/>
    </row>
    <row r="4022" spans="14:20" x14ac:dyDescent="0.3">
      <c r="N4022" s="5"/>
      <c r="O4022" s="5"/>
      <c r="P4022" s="5"/>
      <c r="Q4022" s="5"/>
      <c r="R4022" s="8"/>
      <c r="S4022" s="8"/>
      <c r="T4022" s="3"/>
    </row>
    <row r="4023" spans="14:20" x14ac:dyDescent="0.3">
      <c r="N4023" s="5"/>
      <c r="O4023" s="5"/>
      <c r="P4023" s="5"/>
      <c r="Q4023" s="5"/>
      <c r="R4023" s="8"/>
      <c r="S4023" s="8"/>
      <c r="T4023" s="3"/>
    </row>
    <row r="4024" spans="14:20" x14ac:dyDescent="0.3">
      <c r="N4024" s="5"/>
      <c r="O4024" s="5"/>
      <c r="P4024" s="5"/>
      <c r="Q4024" s="5"/>
      <c r="R4024" s="8"/>
      <c r="S4024" s="8"/>
      <c r="T4024" s="3"/>
    </row>
    <row r="4025" spans="14:20" x14ac:dyDescent="0.3">
      <c r="N4025" s="5"/>
      <c r="O4025" s="5"/>
      <c r="P4025" s="5"/>
      <c r="Q4025" s="5"/>
      <c r="R4025" s="8"/>
      <c r="S4025" s="8"/>
      <c r="T4025" s="3"/>
    </row>
    <row r="4026" spans="14:20" x14ac:dyDescent="0.3">
      <c r="N4026" s="5"/>
      <c r="O4026" s="5"/>
      <c r="P4026" s="5"/>
      <c r="Q4026" s="5"/>
      <c r="R4026" s="8"/>
      <c r="S4026" s="8"/>
      <c r="T4026" s="3"/>
    </row>
    <row r="4027" spans="14:20" x14ac:dyDescent="0.3">
      <c r="N4027" s="5"/>
      <c r="O4027" s="5"/>
      <c r="P4027" s="5"/>
      <c r="Q4027" s="5"/>
      <c r="R4027" s="8"/>
      <c r="S4027" s="8"/>
      <c r="T4027" s="3"/>
    </row>
    <row r="4028" spans="14:20" x14ac:dyDescent="0.3">
      <c r="N4028" s="5"/>
      <c r="O4028" s="5"/>
      <c r="P4028" s="5"/>
      <c r="Q4028" s="5"/>
      <c r="R4028" s="8"/>
      <c r="S4028" s="8"/>
      <c r="T4028" s="3"/>
    </row>
    <row r="4029" spans="14:20" x14ac:dyDescent="0.3">
      <c r="N4029" s="5"/>
      <c r="O4029" s="5"/>
      <c r="P4029" s="5"/>
      <c r="Q4029" s="5"/>
      <c r="R4029" s="8"/>
      <c r="S4029" s="8"/>
      <c r="T4029" s="3"/>
    </row>
    <row r="4030" spans="14:20" x14ac:dyDescent="0.3">
      <c r="N4030" s="5"/>
      <c r="O4030" s="5"/>
      <c r="P4030" s="5"/>
      <c r="Q4030" s="5"/>
      <c r="R4030" s="8"/>
      <c r="S4030" s="8"/>
      <c r="T4030" s="3"/>
    </row>
    <row r="4031" spans="14:20" x14ac:dyDescent="0.3">
      <c r="N4031" s="5"/>
      <c r="O4031" s="5"/>
      <c r="P4031" s="5"/>
      <c r="Q4031" s="5"/>
      <c r="R4031" s="8"/>
      <c r="S4031" s="8"/>
      <c r="T4031" s="3"/>
    </row>
    <row r="4032" spans="14:20" x14ac:dyDescent="0.3">
      <c r="N4032" s="5"/>
      <c r="O4032" s="5"/>
      <c r="P4032" s="5"/>
      <c r="Q4032" s="5"/>
      <c r="R4032" s="8"/>
      <c r="S4032" s="8"/>
      <c r="T4032" s="3"/>
    </row>
    <row r="4033" spans="14:20" x14ac:dyDescent="0.3">
      <c r="N4033" s="5"/>
      <c r="O4033" s="5"/>
      <c r="P4033" s="5"/>
      <c r="Q4033" s="5"/>
      <c r="R4033" s="8"/>
      <c r="S4033" s="8"/>
      <c r="T4033" s="3"/>
    </row>
    <row r="4034" spans="14:20" x14ac:dyDescent="0.3">
      <c r="N4034" s="5"/>
      <c r="O4034" s="5"/>
      <c r="P4034" s="5"/>
      <c r="Q4034" s="5"/>
      <c r="R4034" s="8"/>
      <c r="S4034" s="8"/>
      <c r="T4034" s="3"/>
    </row>
    <row r="4035" spans="14:20" x14ac:dyDescent="0.3">
      <c r="N4035" s="5"/>
      <c r="O4035" s="5"/>
      <c r="P4035" s="5"/>
      <c r="Q4035" s="5"/>
      <c r="R4035" s="8"/>
      <c r="S4035" s="8"/>
      <c r="T4035" s="3"/>
    </row>
    <row r="4036" spans="14:20" x14ac:dyDescent="0.3">
      <c r="N4036" s="5"/>
      <c r="O4036" s="5"/>
      <c r="P4036" s="5"/>
      <c r="Q4036" s="5"/>
      <c r="R4036" s="8"/>
      <c r="S4036" s="8"/>
      <c r="T4036" s="3"/>
    </row>
    <row r="4037" spans="14:20" x14ac:dyDescent="0.3">
      <c r="N4037" s="5"/>
      <c r="O4037" s="5"/>
      <c r="P4037" s="5"/>
      <c r="Q4037" s="5"/>
      <c r="R4037" s="8"/>
      <c r="S4037" s="8"/>
      <c r="T4037" s="3"/>
    </row>
    <row r="4038" spans="14:20" x14ac:dyDescent="0.3">
      <c r="N4038" s="5"/>
      <c r="O4038" s="5"/>
      <c r="P4038" s="5"/>
      <c r="Q4038" s="5"/>
      <c r="R4038" s="8"/>
      <c r="S4038" s="8"/>
      <c r="T4038" s="3"/>
    </row>
    <row r="4039" spans="14:20" x14ac:dyDescent="0.3">
      <c r="N4039" s="5"/>
      <c r="O4039" s="5"/>
      <c r="P4039" s="5"/>
      <c r="Q4039" s="5"/>
      <c r="R4039" s="8"/>
      <c r="S4039" s="8"/>
      <c r="T4039" s="3"/>
    </row>
    <row r="4040" spans="14:20" x14ac:dyDescent="0.3">
      <c r="N4040" s="5"/>
      <c r="O4040" s="5"/>
      <c r="P4040" s="5"/>
      <c r="Q4040" s="5"/>
      <c r="R4040" s="8"/>
      <c r="S4040" s="8"/>
      <c r="T4040" s="3"/>
    </row>
    <row r="4041" spans="14:20" x14ac:dyDescent="0.3">
      <c r="N4041" s="5"/>
      <c r="O4041" s="5"/>
      <c r="P4041" s="5"/>
      <c r="Q4041" s="5"/>
      <c r="R4041" s="8"/>
      <c r="S4041" s="8"/>
      <c r="T4041" s="3"/>
    </row>
    <row r="4042" spans="14:20" x14ac:dyDescent="0.3">
      <c r="N4042" s="5"/>
      <c r="O4042" s="5"/>
      <c r="P4042" s="5"/>
      <c r="Q4042" s="5"/>
      <c r="R4042" s="8"/>
      <c r="S4042" s="8"/>
      <c r="T4042" s="3"/>
    </row>
    <row r="4043" spans="14:20" x14ac:dyDescent="0.3">
      <c r="N4043" s="5"/>
      <c r="O4043" s="5"/>
      <c r="P4043" s="5"/>
      <c r="Q4043" s="5"/>
      <c r="R4043" s="8"/>
      <c r="S4043" s="8"/>
      <c r="T4043" s="3"/>
    </row>
    <row r="4044" spans="14:20" x14ac:dyDescent="0.3">
      <c r="N4044" s="5"/>
      <c r="O4044" s="5"/>
      <c r="P4044" s="5"/>
      <c r="Q4044" s="5"/>
      <c r="R4044" s="8"/>
      <c r="S4044" s="8"/>
      <c r="T4044" s="3"/>
    </row>
    <row r="4045" spans="14:20" x14ac:dyDescent="0.3">
      <c r="N4045" s="5"/>
      <c r="O4045" s="5"/>
      <c r="P4045" s="5"/>
      <c r="Q4045" s="5"/>
      <c r="R4045" s="8"/>
      <c r="S4045" s="8"/>
      <c r="T4045" s="3"/>
    </row>
    <row r="4046" spans="14:20" x14ac:dyDescent="0.3">
      <c r="N4046" s="5"/>
      <c r="O4046" s="5"/>
      <c r="P4046" s="5"/>
      <c r="Q4046" s="5"/>
      <c r="R4046" s="8"/>
      <c r="S4046" s="8"/>
      <c r="T4046" s="3"/>
    </row>
    <row r="4047" spans="14:20" x14ac:dyDescent="0.3">
      <c r="N4047" s="5"/>
      <c r="O4047" s="5"/>
      <c r="P4047" s="5"/>
      <c r="Q4047" s="5"/>
      <c r="R4047" s="8"/>
      <c r="S4047" s="8"/>
      <c r="T4047" s="3"/>
    </row>
    <row r="4048" spans="14:20" x14ac:dyDescent="0.3">
      <c r="N4048" s="5"/>
      <c r="O4048" s="5"/>
      <c r="P4048" s="5"/>
      <c r="Q4048" s="5"/>
      <c r="R4048" s="8"/>
      <c r="S4048" s="8"/>
      <c r="T4048" s="3"/>
    </row>
    <row r="4049" spans="14:20" x14ac:dyDescent="0.3">
      <c r="N4049" s="5"/>
      <c r="O4049" s="5"/>
      <c r="P4049" s="5"/>
      <c r="Q4049" s="5"/>
      <c r="R4049" s="8"/>
      <c r="S4049" s="8"/>
      <c r="T4049" s="3"/>
    </row>
    <row r="4050" spans="14:20" x14ac:dyDescent="0.3">
      <c r="N4050" s="5"/>
      <c r="O4050" s="5"/>
      <c r="P4050" s="5"/>
      <c r="Q4050" s="5"/>
      <c r="R4050" s="8"/>
      <c r="S4050" s="8"/>
      <c r="T4050" s="3"/>
    </row>
    <row r="4051" spans="14:20" x14ac:dyDescent="0.3">
      <c r="N4051" s="5"/>
      <c r="O4051" s="5"/>
      <c r="P4051" s="5"/>
      <c r="Q4051" s="5"/>
      <c r="R4051" s="8"/>
      <c r="S4051" s="8"/>
      <c r="T4051" s="3"/>
    </row>
    <row r="4052" spans="14:20" x14ac:dyDescent="0.3">
      <c r="N4052" s="5"/>
      <c r="O4052" s="5"/>
      <c r="P4052" s="5"/>
      <c r="Q4052" s="5"/>
      <c r="R4052" s="8"/>
      <c r="S4052" s="8"/>
      <c r="T4052" s="3"/>
    </row>
    <row r="4053" spans="14:20" x14ac:dyDescent="0.3">
      <c r="N4053" s="5"/>
      <c r="O4053" s="5"/>
      <c r="P4053" s="5"/>
      <c r="Q4053" s="5"/>
      <c r="R4053" s="8"/>
      <c r="S4053" s="8"/>
      <c r="T4053" s="3"/>
    </row>
    <row r="4054" spans="14:20" x14ac:dyDescent="0.3">
      <c r="N4054" s="5"/>
      <c r="O4054" s="5"/>
      <c r="P4054" s="5"/>
      <c r="Q4054" s="5"/>
      <c r="R4054" s="8"/>
      <c r="S4054" s="8"/>
      <c r="T4054" s="3"/>
    </row>
    <row r="4055" spans="14:20" x14ac:dyDescent="0.3">
      <c r="N4055" s="5"/>
      <c r="O4055" s="5"/>
      <c r="P4055" s="5"/>
      <c r="Q4055" s="5"/>
      <c r="R4055" s="8"/>
      <c r="S4055" s="8"/>
      <c r="T4055" s="3"/>
    </row>
    <row r="4056" spans="14:20" x14ac:dyDescent="0.3">
      <c r="N4056" s="5"/>
      <c r="O4056" s="5"/>
      <c r="P4056" s="5"/>
      <c r="Q4056" s="5"/>
      <c r="R4056" s="8"/>
      <c r="S4056" s="8"/>
      <c r="T4056" s="3"/>
    </row>
    <row r="4057" spans="14:20" x14ac:dyDescent="0.3">
      <c r="N4057" s="5"/>
      <c r="O4057" s="5"/>
      <c r="P4057" s="5"/>
      <c r="Q4057" s="5"/>
      <c r="R4057" s="8"/>
      <c r="S4057" s="8"/>
      <c r="T4057" s="3"/>
    </row>
    <row r="4058" spans="14:20" x14ac:dyDescent="0.3">
      <c r="N4058" s="5"/>
      <c r="O4058" s="5"/>
      <c r="P4058" s="5"/>
      <c r="Q4058" s="5"/>
      <c r="R4058" s="8"/>
      <c r="S4058" s="8"/>
      <c r="T4058" s="3"/>
    </row>
    <row r="4059" spans="14:20" x14ac:dyDescent="0.3">
      <c r="N4059" s="5"/>
      <c r="O4059" s="5"/>
      <c r="P4059" s="5"/>
      <c r="Q4059" s="5"/>
      <c r="R4059" s="8"/>
      <c r="S4059" s="8"/>
      <c r="T4059" s="3"/>
    </row>
    <row r="4060" spans="14:20" x14ac:dyDescent="0.3">
      <c r="N4060" s="5"/>
      <c r="O4060" s="5"/>
      <c r="P4060" s="5"/>
      <c r="Q4060" s="5"/>
      <c r="R4060" s="8"/>
      <c r="S4060" s="8"/>
      <c r="T4060" s="3"/>
    </row>
    <row r="4061" spans="14:20" x14ac:dyDescent="0.3">
      <c r="N4061" s="5"/>
      <c r="O4061" s="5"/>
      <c r="P4061" s="5"/>
      <c r="Q4061" s="5"/>
      <c r="R4061" s="8"/>
      <c r="S4061" s="8"/>
      <c r="T4061" s="3"/>
    </row>
    <row r="4062" spans="14:20" x14ac:dyDescent="0.3">
      <c r="N4062" s="5"/>
      <c r="O4062" s="5"/>
      <c r="P4062" s="5"/>
      <c r="Q4062" s="5"/>
      <c r="R4062" s="8"/>
      <c r="S4062" s="8"/>
      <c r="T4062" s="3"/>
    </row>
    <row r="4063" spans="14:20" x14ac:dyDescent="0.3">
      <c r="N4063" s="5"/>
      <c r="O4063" s="5"/>
      <c r="P4063" s="5"/>
      <c r="Q4063" s="5"/>
      <c r="R4063" s="8"/>
      <c r="S4063" s="8"/>
      <c r="T4063" s="3"/>
    </row>
    <row r="4064" spans="14:20" x14ac:dyDescent="0.3">
      <c r="N4064" s="5"/>
      <c r="O4064" s="5"/>
      <c r="P4064" s="5"/>
      <c r="Q4064" s="5"/>
      <c r="R4064" s="8"/>
      <c r="S4064" s="8"/>
      <c r="T4064" s="3"/>
    </row>
    <row r="4065" spans="14:20" x14ac:dyDescent="0.3">
      <c r="N4065" s="5"/>
      <c r="O4065" s="5"/>
      <c r="P4065" s="5"/>
      <c r="Q4065" s="5"/>
      <c r="R4065" s="8"/>
      <c r="S4065" s="8"/>
      <c r="T4065" s="3"/>
    </row>
    <row r="4066" spans="14:20" x14ac:dyDescent="0.3">
      <c r="N4066" s="5"/>
      <c r="O4066" s="5"/>
      <c r="P4066" s="5"/>
      <c r="Q4066" s="5"/>
      <c r="R4066" s="8"/>
      <c r="S4066" s="8"/>
      <c r="T4066" s="3"/>
    </row>
    <row r="4067" spans="14:20" x14ac:dyDescent="0.3">
      <c r="N4067" s="5"/>
      <c r="O4067" s="5"/>
      <c r="P4067" s="5"/>
      <c r="Q4067" s="5"/>
      <c r="R4067" s="8"/>
      <c r="S4067" s="8"/>
      <c r="T4067" s="3"/>
    </row>
    <row r="4068" spans="14:20" x14ac:dyDescent="0.3">
      <c r="N4068" s="5"/>
      <c r="O4068" s="5"/>
      <c r="P4068" s="5"/>
      <c r="Q4068" s="5"/>
      <c r="R4068" s="8"/>
      <c r="S4068" s="8"/>
      <c r="T4068" s="3"/>
    </row>
    <row r="4069" spans="14:20" x14ac:dyDescent="0.3">
      <c r="N4069" s="5"/>
      <c r="O4069" s="5"/>
      <c r="P4069" s="5"/>
      <c r="Q4069" s="5"/>
      <c r="R4069" s="8"/>
      <c r="S4069" s="8"/>
      <c r="T4069" s="3"/>
    </row>
    <row r="4070" spans="14:20" x14ac:dyDescent="0.3">
      <c r="N4070" s="5"/>
      <c r="O4070" s="5"/>
      <c r="P4070" s="5"/>
      <c r="Q4070" s="5"/>
      <c r="R4070" s="8"/>
      <c r="S4070" s="8"/>
      <c r="T4070" s="3"/>
    </row>
    <row r="4071" spans="14:20" x14ac:dyDescent="0.3">
      <c r="N4071" s="5"/>
      <c r="O4071" s="5"/>
      <c r="P4071" s="5"/>
      <c r="Q4071" s="5"/>
      <c r="R4071" s="8"/>
      <c r="S4071" s="8"/>
      <c r="T4071" s="3"/>
    </row>
    <row r="4072" spans="14:20" x14ac:dyDescent="0.3">
      <c r="N4072" s="5"/>
      <c r="O4072" s="5"/>
      <c r="P4072" s="5"/>
      <c r="Q4072" s="5"/>
      <c r="R4072" s="8"/>
      <c r="S4072" s="8"/>
      <c r="T4072" s="3"/>
    </row>
    <row r="4073" spans="14:20" x14ac:dyDescent="0.3">
      <c r="N4073" s="5"/>
      <c r="O4073" s="5"/>
      <c r="P4073" s="5"/>
      <c r="Q4073" s="5"/>
      <c r="R4073" s="8"/>
      <c r="S4073" s="8"/>
      <c r="T4073" s="3"/>
    </row>
    <row r="4074" spans="14:20" x14ac:dyDescent="0.3">
      <c r="N4074" s="5"/>
      <c r="O4074" s="5"/>
      <c r="P4074" s="5"/>
      <c r="Q4074" s="5"/>
      <c r="R4074" s="8"/>
      <c r="S4074" s="8"/>
      <c r="T4074" s="3"/>
    </row>
    <row r="4075" spans="14:20" x14ac:dyDescent="0.3">
      <c r="N4075" s="5"/>
      <c r="O4075" s="5"/>
      <c r="P4075" s="5"/>
      <c r="Q4075" s="5"/>
      <c r="R4075" s="8"/>
      <c r="S4075" s="8"/>
      <c r="T4075" s="3"/>
    </row>
    <row r="4076" spans="14:20" x14ac:dyDescent="0.3">
      <c r="N4076" s="5"/>
      <c r="O4076" s="5"/>
      <c r="P4076" s="5"/>
      <c r="Q4076" s="5"/>
      <c r="R4076" s="8"/>
      <c r="S4076" s="8"/>
      <c r="T4076" s="3"/>
    </row>
    <row r="4077" spans="14:20" x14ac:dyDescent="0.3">
      <c r="N4077" s="5"/>
      <c r="O4077" s="5"/>
      <c r="P4077" s="5"/>
      <c r="Q4077" s="5"/>
      <c r="R4077" s="8"/>
      <c r="S4077" s="8"/>
      <c r="T4077" s="3"/>
    </row>
    <row r="4078" spans="14:20" x14ac:dyDescent="0.3">
      <c r="N4078" s="5"/>
      <c r="O4078" s="5"/>
      <c r="P4078" s="5"/>
      <c r="Q4078" s="5"/>
      <c r="R4078" s="8"/>
      <c r="S4078" s="8"/>
      <c r="T4078" s="3"/>
    </row>
    <row r="4079" spans="14:20" x14ac:dyDescent="0.3">
      <c r="N4079" s="5"/>
      <c r="O4079" s="5"/>
      <c r="P4079" s="5"/>
      <c r="Q4079" s="5"/>
      <c r="R4079" s="8"/>
      <c r="S4079" s="8"/>
      <c r="T4079" s="3"/>
    </row>
    <row r="4080" spans="14:20" x14ac:dyDescent="0.3">
      <c r="N4080" s="5"/>
      <c r="O4080" s="5"/>
      <c r="P4080" s="5"/>
      <c r="Q4080" s="5"/>
      <c r="R4080" s="8"/>
      <c r="S4080" s="8"/>
      <c r="T4080" s="3"/>
    </row>
    <row r="4081" spans="14:20" x14ac:dyDescent="0.3">
      <c r="N4081" s="5"/>
      <c r="O4081" s="5"/>
      <c r="P4081" s="5"/>
      <c r="Q4081" s="5"/>
      <c r="R4081" s="8"/>
      <c r="S4081" s="8"/>
      <c r="T4081" s="3"/>
    </row>
    <row r="4082" spans="14:20" x14ac:dyDescent="0.3">
      <c r="N4082" s="5"/>
      <c r="O4082" s="5"/>
      <c r="P4082" s="5"/>
      <c r="Q4082" s="5"/>
      <c r="R4082" s="8"/>
      <c r="S4082" s="8"/>
      <c r="T4082" s="3"/>
    </row>
    <row r="4083" spans="14:20" x14ac:dyDescent="0.3">
      <c r="N4083" s="5"/>
      <c r="O4083" s="5"/>
      <c r="P4083" s="5"/>
      <c r="Q4083" s="5"/>
      <c r="R4083" s="8"/>
      <c r="S4083" s="8"/>
      <c r="T4083" s="3"/>
    </row>
    <row r="4084" spans="14:20" x14ac:dyDescent="0.3">
      <c r="N4084" s="5"/>
      <c r="O4084" s="5"/>
      <c r="P4084" s="5"/>
      <c r="Q4084" s="5"/>
      <c r="R4084" s="8"/>
      <c r="S4084" s="8"/>
      <c r="T4084" s="3"/>
    </row>
    <row r="4085" spans="14:20" x14ac:dyDescent="0.3">
      <c r="N4085" s="5"/>
      <c r="O4085" s="5"/>
      <c r="P4085" s="5"/>
      <c r="Q4085" s="5"/>
      <c r="R4085" s="8"/>
      <c r="S4085" s="8"/>
      <c r="T4085" s="3"/>
    </row>
    <row r="4086" spans="14:20" x14ac:dyDescent="0.3">
      <c r="N4086" s="5"/>
      <c r="O4086" s="5"/>
      <c r="P4086" s="5"/>
      <c r="Q4086" s="5"/>
      <c r="R4086" s="8"/>
      <c r="S4086" s="8"/>
      <c r="T4086" s="3"/>
    </row>
    <row r="4087" spans="14:20" x14ac:dyDescent="0.3">
      <c r="N4087" s="5"/>
      <c r="O4087" s="5"/>
      <c r="P4087" s="5"/>
      <c r="Q4087" s="5"/>
      <c r="R4087" s="8"/>
      <c r="S4087" s="8"/>
      <c r="T4087" s="3"/>
    </row>
    <row r="4088" spans="14:20" x14ac:dyDescent="0.3">
      <c r="N4088" s="5"/>
      <c r="O4088" s="5"/>
      <c r="P4088" s="5"/>
      <c r="Q4088" s="5"/>
      <c r="R4088" s="8"/>
      <c r="S4088" s="8"/>
      <c r="T4088" s="3"/>
    </row>
    <row r="4089" spans="14:20" x14ac:dyDescent="0.3">
      <c r="N4089" s="5"/>
      <c r="O4089" s="5"/>
      <c r="P4089" s="5"/>
      <c r="Q4089" s="5"/>
      <c r="R4089" s="8"/>
      <c r="S4089" s="8"/>
      <c r="T4089" s="3"/>
    </row>
    <row r="4090" spans="14:20" x14ac:dyDescent="0.3">
      <c r="N4090" s="5"/>
      <c r="O4090" s="5"/>
      <c r="P4090" s="5"/>
      <c r="Q4090" s="5"/>
      <c r="R4090" s="8"/>
      <c r="S4090" s="8"/>
      <c r="T4090" s="3"/>
    </row>
    <row r="4091" spans="14:20" x14ac:dyDescent="0.3">
      <c r="N4091" s="5"/>
      <c r="O4091" s="5"/>
      <c r="P4091" s="5"/>
      <c r="Q4091" s="5"/>
      <c r="R4091" s="8"/>
      <c r="S4091" s="8"/>
      <c r="T4091" s="3"/>
    </row>
    <row r="4092" spans="14:20" x14ac:dyDescent="0.3">
      <c r="N4092" s="5"/>
      <c r="O4092" s="5"/>
      <c r="P4092" s="5"/>
      <c r="Q4092" s="5"/>
      <c r="R4092" s="8"/>
      <c r="S4092" s="8"/>
      <c r="T4092" s="3"/>
    </row>
    <row r="4093" spans="14:20" x14ac:dyDescent="0.3">
      <c r="N4093" s="5"/>
      <c r="O4093" s="5"/>
      <c r="P4093" s="5"/>
      <c r="Q4093" s="5"/>
      <c r="R4093" s="8"/>
      <c r="S4093" s="8"/>
      <c r="T4093" s="3"/>
    </row>
    <row r="4094" spans="14:20" x14ac:dyDescent="0.3">
      <c r="N4094" s="5"/>
      <c r="O4094" s="5"/>
      <c r="P4094" s="5"/>
      <c r="Q4094" s="5"/>
      <c r="R4094" s="8"/>
      <c r="S4094" s="8"/>
      <c r="T4094" s="3"/>
    </row>
    <row r="4095" spans="14:20" x14ac:dyDescent="0.3">
      <c r="N4095" s="5"/>
      <c r="O4095" s="5"/>
      <c r="P4095" s="5"/>
      <c r="Q4095" s="5"/>
      <c r="R4095" s="8"/>
      <c r="S4095" s="8"/>
      <c r="T4095" s="3"/>
    </row>
    <row r="4096" spans="14:20" x14ac:dyDescent="0.3">
      <c r="N4096" s="5"/>
      <c r="O4096" s="5"/>
      <c r="P4096" s="5"/>
      <c r="Q4096" s="5"/>
      <c r="R4096" s="8"/>
      <c r="S4096" s="8"/>
      <c r="T4096" s="3"/>
    </row>
    <row r="4097" spans="14:20" x14ac:dyDescent="0.3">
      <c r="N4097" s="5"/>
      <c r="O4097" s="5"/>
      <c r="P4097" s="5"/>
      <c r="Q4097" s="5"/>
      <c r="R4097" s="8"/>
      <c r="S4097" s="8"/>
      <c r="T4097" s="3"/>
    </row>
    <row r="4098" spans="14:20" x14ac:dyDescent="0.3">
      <c r="N4098" s="5"/>
      <c r="O4098" s="5"/>
      <c r="P4098" s="5"/>
      <c r="Q4098" s="5"/>
      <c r="R4098" s="8"/>
      <c r="S4098" s="8"/>
      <c r="T4098" s="3"/>
    </row>
    <row r="4099" spans="14:20" x14ac:dyDescent="0.3">
      <c r="N4099" s="5"/>
      <c r="O4099" s="5"/>
      <c r="P4099" s="5"/>
      <c r="Q4099" s="5"/>
      <c r="R4099" s="8"/>
      <c r="S4099" s="8"/>
      <c r="T4099" s="3"/>
    </row>
    <row r="4100" spans="14:20" x14ac:dyDescent="0.3">
      <c r="N4100" s="5"/>
      <c r="O4100" s="5"/>
      <c r="P4100" s="5"/>
      <c r="Q4100" s="5"/>
      <c r="R4100" s="8"/>
      <c r="S4100" s="8"/>
      <c r="T4100" s="3"/>
    </row>
    <row r="4101" spans="14:20" x14ac:dyDescent="0.3">
      <c r="N4101" s="5"/>
      <c r="O4101" s="5"/>
      <c r="P4101" s="5"/>
      <c r="Q4101" s="5"/>
      <c r="R4101" s="8"/>
      <c r="S4101" s="8"/>
      <c r="T4101" s="3"/>
    </row>
    <row r="4102" spans="14:20" x14ac:dyDescent="0.3">
      <c r="N4102" s="5"/>
      <c r="O4102" s="5"/>
      <c r="P4102" s="5"/>
      <c r="Q4102" s="5"/>
      <c r="R4102" s="8"/>
      <c r="S4102" s="8"/>
      <c r="T4102" s="3"/>
    </row>
    <row r="4103" spans="14:20" x14ac:dyDescent="0.3">
      <c r="N4103" s="5"/>
      <c r="O4103" s="5"/>
      <c r="P4103" s="5"/>
      <c r="Q4103" s="5"/>
      <c r="R4103" s="8"/>
      <c r="S4103" s="8"/>
      <c r="T4103" s="3"/>
    </row>
    <row r="4104" spans="14:20" x14ac:dyDescent="0.3">
      <c r="N4104" s="5"/>
      <c r="O4104" s="5"/>
      <c r="P4104" s="5"/>
      <c r="Q4104" s="5"/>
      <c r="R4104" s="8"/>
      <c r="S4104" s="8"/>
      <c r="T4104" s="3"/>
    </row>
    <row r="4105" spans="14:20" x14ac:dyDescent="0.3">
      <c r="N4105" s="5"/>
      <c r="O4105" s="5"/>
      <c r="P4105" s="5"/>
      <c r="Q4105" s="5"/>
      <c r="R4105" s="8"/>
      <c r="S4105" s="8"/>
      <c r="T4105" s="3"/>
    </row>
    <row r="4106" spans="14:20" x14ac:dyDescent="0.3">
      <c r="N4106" s="5"/>
      <c r="O4106" s="5"/>
      <c r="P4106" s="5"/>
      <c r="Q4106" s="5"/>
      <c r="R4106" s="8"/>
      <c r="S4106" s="8"/>
      <c r="T4106" s="3"/>
    </row>
    <row r="4107" spans="14:20" x14ac:dyDescent="0.3">
      <c r="N4107" s="5"/>
      <c r="O4107" s="5"/>
      <c r="P4107" s="5"/>
      <c r="Q4107" s="5"/>
      <c r="R4107" s="8"/>
      <c r="S4107" s="8"/>
      <c r="T4107" s="3"/>
    </row>
    <row r="4108" spans="14:20" x14ac:dyDescent="0.3">
      <c r="N4108" s="5"/>
      <c r="O4108" s="5"/>
      <c r="P4108" s="5"/>
      <c r="Q4108" s="5"/>
      <c r="R4108" s="8"/>
      <c r="S4108" s="8"/>
      <c r="T4108" s="3"/>
    </row>
    <row r="4109" spans="14:20" x14ac:dyDescent="0.3">
      <c r="N4109" s="5"/>
      <c r="O4109" s="5"/>
      <c r="P4109" s="5"/>
      <c r="Q4109" s="5"/>
      <c r="R4109" s="8"/>
      <c r="S4109" s="8"/>
      <c r="T4109" s="3"/>
    </row>
    <row r="4110" spans="14:20" x14ac:dyDescent="0.3">
      <c r="N4110" s="5"/>
      <c r="O4110" s="5"/>
      <c r="P4110" s="5"/>
      <c r="Q4110" s="5"/>
      <c r="R4110" s="8"/>
      <c r="S4110" s="8"/>
      <c r="T4110" s="3"/>
    </row>
    <row r="4111" spans="14:20" x14ac:dyDescent="0.3">
      <c r="N4111" s="5"/>
      <c r="O4111" s="5"/>
      <c r="P4111" s="5"/>
      <c r="Q4111" s="5"/>
      <c r="R4111" s="8"/>
      <c r="S4111" s="8"/>
      <c r="T4111" s="3"/>
    </row>
    <row r="4112" spans="14:20" x14ac:dyDescent="0.3">
      <c r="N4112" s="5"/>
      <c r="O4112" s="5"/>
      <c r="P4112" s="5"/>
      <c r="Q4112" s="5"/>
      <c r="R4112" s="8"/>
      <c r="S4112" s="8"/>
      <c r="T4112" s="3"/>
    </row>
    <row r="4113" spans="14:20" x14ac:dyDescent="0.3">
      <c r="N4113" s="5"/>
      <c r="O4113" s="5"/>
      <c r="P4113" s="5"/>
      <c r="Q4113" s="5"/>
      <c r="R4113" s="8"/>
      <c r="S4113" s="8"/>
      <c r="T4113" s="3"/>
    </row>
    <row r="4114" spans="14:20" x14ac:dyDescent="0.3">
      <c r="N4114" s="5"/>
      <c r="O4114" s="5"/>
      <c r="P4114" s="5"/>
      <c r="Q4114" s="5"/>
      <c r="R4114" s="8"/>
      <c r="S4114" s="8"/>
      <c r="T4114" s="3"/>
    </row>
    <row r="4115" spans="14:20" x14ac:dyDescent="0.3">
      <c r="N4115" s="5"/>
      <c r="O4115" s="5"/>
      <c r="P4115" s="5"/>
      <c r="Q4115" s="5"/>
      <c r="R4115" s="8"/>
      <c r="S4115" s="8"/>
      <c r="T4115" s="3"/>
    </row>
    <row r="4116" spans="14:20" x14ac:dyDescent="0.3">
      <c r="N4116" s="5"/>
      <c r="O4116" s="5"/>
      <c r="P4116" s="5"/>
      <c r="Q4116" s="5"/>
      <c r="R4116" s="8"/>
      <c r="S4116" s="8"/>
      <c r="T4116" s="3"/>
    </row>
    <row r="4117" spans="14:20" x14ac:dyDescent="0.3">
      <c r="N4117" s="5"/>
      <c r="O4117" s="5"/>
      <c r="P4117" s="5"/>
      <c r="Q4117" s="5"/>
      <c r="R4117" s="8"/>
      <c r="S4117" s="8"/>
      <c r="T4117" s="3"/>
    </row>
    <row r="4118" spans="14:20" x14ac:dyDescent="0.3">
      <c r="N4118" s="5"/>
      <c r="O4118" s="5"/>
      <c r="P4118" s="5"/>
      <c r="Q4118" s="5"/>
      <c r="R4118" s="8"/>
      <c r="S4118" s="8"/>
      <c r="T4118" s="3"/>
    </row>
    <row r="4119" spans="14:20" x14ac:dyDescent="0.3">
      <c r="N4119" s="5"/>
      <c r="O4119" s="5"/>
      <c r="P4119" s="5"/>
      <c r="Q4119" s="5"/>
      <c r="R4119" s="8"/>
      <c r="S4119" s="8"/>
      <c r="T4119" s="3"/>
    </row>
    <row r="4120" spans="14:20" x14ac:dyDescent="0.3">
      <c r="N4120" s="5"/>
      <c r="O4120" s="5"/>
      <c r="P4120" s="5"/>
      <c r="Q4120" s="5"/>
      <c r="R4120" s="8"/>
      <c r="S4120" s="8"/>
      <c r="T4120" s="3"/>
    </row>
    <row r="4121" spans="14:20" x14ac:dyDescent="0.3">
      <c r="N4121" s="5"/>
      <c r="O4121" s="5"/>
      <c r="P4121" s="5"/>
      <c r="Q4121" s="5"/>
      <c r="R4121" s="8"/>
      <c r="S4121" s="8"/>
      <c r="T4121" s="3"/>
    </row>
    <row r="4122" spans="14:20" x14ac:dyDescent="0.3">
      <c r="N4122" s="5"/>
      <c r="O4122" s="5"/>
      <c r="P4122" s="5"/>
      <c r="Q4122" s="5"/>
      <c r="R4122" s="8"/>
      <c r="S4122" s="8"/>
      <c r="T4122" s="3"/>
    </row>
    <row r="4123" spans="14:20" x14ac:dyDescent="0.3">
      <c r="N4123" s="5"/>
      <c r="O4123" s="5"/>
      <c r="P4123" s="5"/>
      <c r="Q4123" s="5"/>
      <c r="R4123" s="8"/>
      <c r="S4123" s="8"/>
      <c r="T4123" s="3"/>
    </row>
    <row r="4124" spans="14:20" x14ac:dyDescent="0.3">
      <c r="N4124" s="5"/>
      <c r="O4124" s="5"/>
      <c r="P4124" s="5"/>
      <c r="Q4124" s="5"/>
      <c r="R4124" s="8"/>
      <c r="S4124" s="8"/>
      <c r="T4124" s="3"/>
    </row>
    <row r="4125" spans="14:20" x14ac:dyDescent="0.3">
      <c r="N4125" s="5"/>
      <c r="O4125" s="5"/>
      <c r="P4125" s="5"/>
      <c r="Q4125" s="5"/>
      <c r="R4125" s="8"/>
      <c r="S4125" s="8"/>
      <c r="T4125" s="3"/>
    </row>
    <row r="4126" spans="14:20" x14ac:dyDescent="0.3">
      <c r="N4126" s="5"/>
      <c r="O4126" s="5"/>
      <c r="P4126" s="5"/>
      <c r="Q4126" s="5"/>
      <c r="R4126" s="8"/>
      <c r="S4126" s="8"/>
      <c r="T4126" s="3"/>
    </row>
    <row r="4127" spans="14:20" x14ac:dyDescent="0.3">
      <c r="N4127" s="5"/>
      <c r="O4127" s="5"/>
      <c r="P4127" s="5"/>
      <c r="Q4127" s="5"/>
      <c r="R4127" s="8"/>
      <c r="S4127" s="8"/>
      <c r="T4127" s="3"/>
    </row>
    <row r="4128" spans="14:20" x14ac:dyDescent="0.3">
      <c r="N4128" s="5"/>
      <c r="O4128" s="5"/>
      <c r="P4128" s="5"/>
      <c r="Q4128" s="5"/>
      <c r="R4128" s="8"/>
      <c r="S4128" s="8"/>
      <c r="T4128" s="3"/>
    </row>
    <row r="4129" spans="14:20" x14ac:dyDescent="0.3">
      <c r="N4129" s="5"/>
      <c r="O4129" s="5"/>
      <c r="P4129" s="5"/>
      <c r="Q4129" s="5"/>
      <c r="R4129" s="8"/>
      <c r="S4129" s="8"/>
      <c r="T4129" s="3"/>
    </row>
    <row r="4130" spans="14:20" x14ac:dyDescent="0.3">
      <c r="N4130" s="5"/>
      <c r="O4130" s="5"/>
      <c r="P4130" s="5"/>
      <c r="Q4130" s="5"/>
      <c r="R4130" s="8"/>
      <c r="S4130" s="8"/>
      <c r="T4130" s="3"/>
    </row>
    <row r="4131" spans="14:20" x14ac:dyDescent="0.3">
      <c r="N4131" s="5"/>
      <c r="O4131" s="5"/>
      <c r="P4131" s="5"/>
      <c r="Q4131" s="5"/>
      <c r="R4131" s="8"/>
      <c r="S4131" s="8"/>
      <c r="T4131" s="3"/>
    </row>
    <row r="4132" spans="14:20" x14ac:dyDescent="0.3">
      <c r="N4132" s="5"/>
      <c r="O4132" s="5"/>
      <c r="P4132" s="5"/>
      <c r="Q4132" s="5"/>
      <c r="R4132" s="8"/>
      <c r="S4132" s="8"/>
      <c r="T4132" s="3"/>
    </row>
    <row r="4133" spans="14:20" x14ac:dyDescent="0.3">
      <c r="N4133" s="5"/>
      <c r="O4133" s="5"/>
      <c r="P4133" s="5"/>
      <c r="Q4133" s="5"/>
      <c r="R4133" s="8"/>
      <c r="S4133" s="8"/>
      <c r="T4133" s="3"/>
    </row>
    <row r="4134" spans="14:20" x14ac:dyDescent="0.3">
      <c r="N4134" s="5"/>
      <c r="O4134" s="5"/>
      <c r="P4134" s="5"/>
      <c r="Q4134" s="5"/>
      <c r="R4134" s="8"/>
      <c r="S4134" s="8"/>
      <c r="T4134" s="3"/>
    </row>
    <row r="4135" spans="14:20" x14ac:dyDescent="0.3">
      <c r="N4135" s="5"/>
      <c r="O4135" s="5"/>
      <c r="P4135" s="5"/>
      <c r="Q4135" s="5"/>
      <c r="R4135" s="8"/>
      <c r="S4135" s="8"/>
      <c r="T4135" s="3"/>
    </row>
    <row r="4136" spans="14:20" x14ac:dyDescent="0.3">
      <c r="N4136" s="5"/>
      <c r="O4136" s="5"/>
      <c r="P4136" s="5"/>
      <c r="Q4136" s="5"/>
      <c r="R4136" s="8"/>
      <c r="S4136" s="8"/>
      <c r="T4136" s="3"/>
    </row>
    <row r="4137" spans="14:20" x14ac:dyDescent="0.3">
      <c r="N4137" s="5"/>
      <c r="O4137" s="5"/>
      <c r="P4137" s="5"/>
      <c r="Q4137" s="5"/>
      <c r="R4137" s="8"/>
      <c r="S4137" s="8"/>
      <c r="T4137" s="3"/>
    </row>
    <row r="4138" spans="14:20" x14ac:dyDescent="0.3">
      <c r="N4138" s="5"/>
      <c r="O4138" s="5"/>
      <c r="P4138" s="5"/>
      <c r="Q4138" s="5"/>
      <c r="R4138" s="8"/>
      <c r="S4138" s="8"/>
      <c r="T4138" s="3"/>
    </row>
    <row r="4139" spans="14:20" x14ac:dyDescent="0.3">
      <c r="N4139" s="5"/>
      <c r="O4139" s="5"/>
      <c r="P4139" s="5"/>
      <c r="Q4139" s="5"/>
      <c r="R4139" s="8"/>
      <c r="S4139" s="8"/>
      <c r="T4139" s="3"/>
    </row>
    <row r="4140" spans="14:20" x14ac:dyDescent="0.3">
      <c r="N4140" s="5"/>
      <c r="O4140" s="5"/>
      <c r="P4140" s="5"/>
      <c r="Q4140" s="5"/>
      <c r="R4140" s="8"/>
      <c r="S4140" s="8"/>
      <c r="T4140" s="3"/>
    </row>
    <row r="4141" spans="14:20" x14ac:dyDescent="0.3">
      <c r="N4141" s="5"/>
      <c r="O4141" s="5"/>
      <c r="P4141" s="5"/>
      <c r="Q4141" s="5"/>
      <c r="R4141" s="8"/>
      <c r="S4141" s="8"/>
      <c r="T4141" s="3"/>
    </row>
    <row r="4142" spans="14:20" x14ac:dyDescent="0.3">
      <c r="N4142" s="5"/>
      <c r="O4142" s="5"/>
      <c r="P4142" s="5"/>
      <c r="Q4142" s="5"/>
      <c r="R4142" s="8"/>
      <c r="S4142" s="8"/>
      <c r="T4142" s="3"/>
    </row>
    <row r="4143" spans="14:20" x14ac:dyDescent="0.3">
      <c r="N4143" s="5"/>
      <c r="O4143" s="5"/>
      <c r="P4143" s="5"/>
      <c r="Q4143" s="5"/>
      <c r="R4143" s="8"/>
      <c r="S4143" s="8"/>
      <c r="T4143" s="3"/>
    </row>
    <row r="4144" spans="14:20" x14ac:dyDescent="0.3">
      <c r="N4144" s="5"/>
      <c r="O4144" s="5"/>
      <c r="P4144" s="5"/>
      <c r="Q4144" s="5"/>
      <c r="R4144" s="8"/>
      <c r="S4144" s="8"/>
      <c r="T4144" s="3"/>
    </row>
    <row r="4145" spans="14:20" x14ac:dyDescent="0.3">
      <c r="N4145" s="5"/>
      <c r="O4145" s="5"/>
      <c r="P4145" s="5"/>
      <c r="Q4145" s="5"/>
      <c r="R4145" s="8"/>
      <c r="S4145" s="8"/>
      <c r="T4145" s="3"/>
    </row>
    <row r="4146" spans="14:20" x14ac:dyDescent="0.3">
      <c r="N4146" s="5"/>
      <c r="O4146" s="5"/>
      <c r="P4146" s="5"/>
      <c r="Q4146" s="5"/>
      <c r="R4146" s="8"/>
      <c r="S4146" s="8"/>
      <c r="T4146" s="3"/>
    </row>
    <row r="4147" spans="14:20" x14ac:dyDescent="0.3">
      <c r="N4147" s="5"/>
      <c r="O4147" s="5"/>
      <c r="P4147" s="5"/>
      <c r="Q4147" s="5"/>
      <c r="R4147" s="8"/>
      <c r="S4147" s="8"/>
      <c r="T4147" s="3"/>
    </row>
    <row r="4148" spans="14:20" x14ac:dyDescent="0.3">
      <c r="N4148" s="5"/>
      <c r="O4148" s="5"/>
      <c r="P4148" s="5"/>
      <c r="Q4148" s="5"/>
      <c r="R4148" s="8"/>
      <c r="S4148" s="8"/>
      <c r="T4148" s="3"/>
    </row>
    <row r="4149" spans="14:20" x14ac:dyDescent="0.3">
      <c r="N4149" s="5"/>
      <c r="O4149" s="5"/>
      <c r="P4149" s="5"/>
      <c r="Q4149" s="5"/>
      <c r="R4149" s="8"/>
      <c r="S4149" s="8"/>
      <c r="T4149" s="3"/>
    </row>
    <row r="4150" spans="14:20" x14ac:dyDescent="0.3">
      <c r="N4150" s="5"/>
      <c r="O4150" s="5"/>
      <c r="P4150" s="5"/>
      <c r="Q4150" s="5"/>
      <c r="R4150" s="8"/>
      <c r="S4150" s="8"/>
      <c r="T4150" s="3"/>
    </row>
    <row r="4151" spans="14:20" x14ac:dyDescent="0.3">
      <c r="N4151" s="5"/>
      <c r="O4151" s="5"/>
      <c r="P4151" s="5"/>
      <c r="Q4151" s="5"/>
      <c r="R4151" s="8"/>
      <c r="S4151" s="8"/>
      <c r="T4151" s="3"/>
    </row>
    <row r="4152" spans="14:20" x14ac:dyDescent="0.3">
      <c r="N4152" s="5"/>
      <c r="O4152" s="5"/>
      <c r="P4152" s="5"/>
      <c r="Q4152" s="5"/>
      <c r="R4152" s="8"/>
      <c r="S4152" s="8"/>
      <c r="T4152" s="3"/>
    </row>
    <row r="4153" spans="14:20" x14ac:dyDescent="0.3">
      <c r="N4153" s="5"/>
      <c r="O4153" s="5"/>
      <c r="P4153" s="5"/>
      <c r="Q4153" s="5"/>
      <c r="R4153" s="8"/>
      <c r="S4153" s="8"/>
      <c r="T4153" s="3"/>
    </row>
    <row r="4154" spans="14:20" x14ac:dyDescent="0.3">
      <c r="N4154" s="5"/>
      <c r="O4154" s="5"/>
      <c r="P4154" s="5"/>
      <c r="Q4154" s="5"/>
      <c r="R4154" s="8"/>
      <c r="S4154" s="8"/>
      <c r="T4154" s="3"/>
    </row>
    <row r="4155" spans="14:20" x14ac:dyDescent="0.3">
      <c r="N4155" s="5"/>
      <c r="O4155" s="5"/>
      <c r="P4155" s="5"/>
      <c r="Q4155" s="5"/>
      <c r="R4155" s="8"/>
      <c r="S4155" s="8"/>
      <c r="T4155" s="3"/>
    </row>
    <row r="4156" spans="14:20" x14ac:dyDescent="0.3">
      <c r="N4156" s="5"/>
      <c r="O4156" s="5"/>
      <c r="P4156" s="5"/>
      <c r="Q4156" s="5"/>
      <c r="R4156" s="8"/>
      <c r="S4156" s="8"/>
      <c r="T4156" s="3"/>
    </row>
    <row r="4157" spans="14:20" x14ac:dyDescent="0.3">
      <c r="N4157" s="5"/>
      <c r="O4157" s="5"/>
      <c r="P4157" s="5"/>
      <c r="Q4157" s="5"/>
      <c r="R4157" s="8"/>
      <c r="S4157" s="8"/>
      <c r="T4157" s="3"/>
    </row>
    <row r="4158" spans="14:20" x14ac:dyDescent="0.3">
      <c r="N4158" s="5"/>
      <c r="O4158" s="5"/>
      <c r="P4158" s="5"/>
      <c r="Q4158" s="5"/>
      <c r="R4158" s="8"/>
      <c r="S4158" s="8"/>
      <c r="T4158" s="3"/>
    </row>
    <row r="4159" spans="14:20" x14ac:dyDescent="0.3">
      <c r="N4159" s="5"/>
      <c r="O4159" s="5"/>
      <c r="P4159" s="5"/>
      <c r="Q4159" s="5"/>
      <c r="R4159" s="8"/>
      <c r="S4159" s="8"/>
      <c r="T4159" s="3"/>
    </row>
    <row r="4160" spans="14:20" x14ac:dyDescent="0.3">
      <c r="N4160" s="5"/>
      <c r="O4160" s="5"/>
      <c r="P4160" s="5"/>
      <c r="Q4160" s="5"/>
      <c r="R4160" s="8"/>
      <c r="S4160" s="8"/>
      <c r="T4160" s="3"/>
    </row>
    <row r="4161" spans="14:20" x14ac:dyDescent="0.3">
      <c r="N4161" s="5"/>
      <c r="O4161" s="5"/>
      <c r="P4161" s="5"/>
      <c r="Q4161" s="5"/>
      <c r="R4161" s="8"/>
      <c r="S4161" s="8"/>
      <c r="T4161" s="3"/>
    </row>
    <row r="4162" spans="14:20" x14ac:dyDescent="0.3">
      <c r="N4162" s="5"/>
      <c r="O4162" s="5"/>
      <c r="P4162" s="5"/>
      <c r="Q4162" s="5"/>
      <c r="R4162" s="8"/>
      <c r="S4162" s="8"/>
      <c r="T4162" s="3"/>
    </row>
    <row r="4163" spans="14:20" x14ac:dyDescent="0.3">
      <c r="N4163" s="5"/>
      <c r="O4163" s="5"/>
      <c r="P4163" s="5"/>
      <c r="Q4163" s="5"/>
      <c r="R4163" s="8"/>
      <c r="S4163" s="8"/>
      <c r="T4163" s="3"/>
    </row>
    <row r="4164" spans="14:20" x14ac:dyDescent="0.3">
      <c r="N4164" s="5"/>
      <c r="O4164" s="5"/>
      <c r="P4164" s="5"/>
      <c r="Q4164" s="5"/>
      <c r="R4164" s="8"/>
      <c r="S4164" s="8"/>
      <c r="T4164" s="3"/>
    </row>
    <row r="4165" spans="14:20" x14ac:dyDescent="0.3">
      <c r="N4165" s="5"/>
      <c r="O4165" s="5"/>
      <c r="P4165" s="5"/>
      <c r="Q4165" s="5"/>
      <c r="R4165" s="8"/>
      <c r="S4165" s="8"/>
      <c r="T4165" s="3"/>
    </row>
    <row r="4166" spans="14:20" x14ac:dyDescent="0.3">
      <c r="N4166" s="5"/>
      <c r="O4166" s="5"/>
      <c r="P4166" s="5"/>
      <c r="Q4166" s="5"/>
      <c r="R4166" s="8"/>
      <c r="S4166" s="8"/>
      <c r="T4166" s="3"/>
    </row>
    <row r="4167" spans="14:20" x14ac:dyDescent="0.3">
      <c r="N4167" s="5"/>
      <c r="O4167" s="5"/>
      <c r="P4167" s="5"/>
      <c r="Q4167" s="5"/>
      <c r="R4167" s="8"/>
      <c r="S4167" s="8"/>
      <c r="T4167" s="3"/>
    </row>
    <row r="4168" spans="14:20" x14ac:dyDescent="0.3">
      <c r="N4168" s="5"/>
      <c r="O4168" s="5"/>
      <c r="P4168" s="5"/>
      <c r="Q4168" s="5"/>
      <c r="R4168" s="8"/>
      <c r="S4168" s="8"/>
      <c r="T4168" s="3"/>
    </row>
    <row r="4169" spans="14:20" x14ac:dyDescent="0.3">
      <c r="N4169" s="5"/>
      <c r="O4169" s="5"/>
      <c r="P4169" s="5"/>
      <c r="Q4169" s="5"/>
      <c r="R4169" s="8"/>
      <c r="S4169" s="8"/>
      <c r="T4169" s="3"/>
    </row>
    <row r="4170" spans="14:20" x14ac:dyDescent="0.3">
      <c r="N4170" s="5"/>
      <c r="O4170" s="5"/>
      <c r="P4170" s="5"/>
      <c r="Q4170" s="5"/>
      <c r="R4170" s="8"/>
      <c r="S4170" s="8"/>
      <c r="T4170" s="3"/>
    </row>
    <row r="4171" spans="14:20" x14ac:dyDescent="0.3">
      <c r="N4171" s="5"/>
      <c r="O4171" s="5"/>
      <c r="P4171" s="5"/>
      <c r="Q4171" s="5"/>
      <c r="R4171" s="8"/>
      <c r="S4171" s="8"/>
      <c r="T4171" s="3"/>
    </row>
    <row r="4172" spans="14:20" x14ac:dyDescent="0.3">
      <c r="N4172" s="5"/>
      <c r="O4172" s="5"/>
      <c r="P4172" s="5"/>
      <c r="Q4172" s="5"/>
      <c r="R4172" s="8"/>
      <c r="S4172" s="8"/>
      <c r="T4172" s="3"/>
    </row>
    <row r="4173" spans="14:20" x14ac:dyDescent="0.3">
      <c r="N4173" s="5"/>
      <c r="O4173" s="5"/>
      <c r="P4173" s="5"/>
      <c r="Q4173" s="5"/>
      <c r="R4173" s="8"/>
      <c r="S4173" s="8"/>
      <c r="T4173" s="3"/>
    </row>
    <row r="4174" spans="14:20" x14ac:dyDescent="0.3">
      <c r="N4174" s="5"/>
      <c r="O4174" s="5"/>
      <c r="P4174" s="5"/>
      <c r="Q4174" s="5"/>
      <c r="R4174" s="8"/>
      <c r="S4174" s="8"/>
      <c r="T4174" s="3"/>
    </row>
    <row r="4175" spans="14:20" x14ac:dyDescent="0.3">
      <c r="N4175" s="5"/>
      <c r="O4175" s="5"/>
      <c r="P4175" s="5"/>
      <c r="Q4175" s="5"/>
      <c r="R4175" s="8"/>
      <c r="S4175" s="8"/>
      <c r="T4175" s="3"/>
    </row>
    <row r="4176" spans="14:20" x14ac:dyDescent="0.3">
      <c r="N4176" s="5"/>
      <c r="O4176" s="5"/>
      <c r="P4176" s="5"/>
      <c r="Q4176" s="5"/>
      <c r="R4176" s="8"/>
      <c r="S4176" s="8"/>
      <c r="T4176" s="3"/>
    </row>
    <row r="4177" spans="14:20" x14ac:dyDescent="0.3">
      <c r="N4177" s="5"/>
      <c r="O4177" s="5"/>
      <c r="P4177" s="5"/>
      <c r="Q4177" s="5"/>
      <c r="R4177" s="8"/>
      <c r="S4177" s="8"/>
      <c r="T4177" s="3"/>
    </row>
    <row r="4178" spans="14:20" x14ac:dyDescent="0.3">
      <c r="N4178" s="5"/>
      <c r="O4178" s="5"/>
      <c r="P4178" s="5"/>
      <c r="Q4178" s="5"/>
      <c r="R4178" s="8"/>
      <c r="S4178" s="8"/>
      <c r="T4178" s="3"/>
    </row>
    <row r="4179" spans="14:20" x14ac:dyDescent="0.3">
      <c r="N4179" s="5"/>
      <c r="O4179" s="5"/>
      <c r="P4179" s="5"/>
      <c r="Q4179" s="5"/>
      <c r="R4179" s="8"/>
      <c r="S4179" s="8"/>
      <c r="T4179" s="3"/>
    </row>
    <row r="4180" spans="14:20" x14ac:dyDescent="0.3">
      <c r="N4180" s="5"/>
      <c r="O4180" s="5"/>
      <c r="P4180" s="5"/>
      <c r="Q4180" s="5"/>
      <c r="R4180" s="8"/>
      <c r="S4180" s="8"/>
      <c r="T4180" s="3"/>
    </row>
    <row r="4181" spans="14:20" x14ac:dyDescent="0.3">
      <c r="N4181" s="5"/>
      <c r="O4181" s="5"/>
      <c r="P4181" s="5"/>
      <c r="Q4181" s="5"/>
      <c r="R4181" s="8"/>
      <c r="S4181" s="8"/>
      <c r="T4181" s="3"/>
    </row>
    <row r="4182" spans="14:20" x14ac:dyDescent="0.3">
      <c r="N4182" s="5"/>
      <c r="O4182" s="5"/>
      <c r="P4182" s="5"/>
      <c r="Q4182" s="5"/>
      <c r="R4182" s="8"/>
      <c r="S4182" s="8"/>
      <c r="T4182" s="3"/>
    </row>
    <row r="4183" spans="14:20" x14ac:dyDescent="0.3">
      <c r="N4183" s="5"/>
      <c r="O4183" s="5"/>
      <c r="P4183" s="5"/>
      <c r="Q4183" s="5"/>
      <c r="R4183" s="8"/>
      <c r="S4183" s="8"/>
      <c r="T4183" s="3"/>
    </row>
    <row r="4184" spans="14:20" x14ac:dyDescent="0.3">
      <c r="N4184" s="5"/>
      <c r="O4184" s="5"/>
      <c r="P4184" s="5"/>
      <c r="Q4184" s="5"/>
      <c r="R4184" s="8"/>
      <c r="S4184" s="8"/>
      <c r="T4184" s="3"/>
    </row>
    <row r="4185" spans="14:20" x14ac:dyDescent="0.3">
      <c r="N4185" s="5"/>
      <c r="O4185" s="5"/>
      <c r="P4185" s="5"/>
      <c r="Q4185" s="5"/>
      <c r="R4185" s="8"/>
      <c r="S4185" s="8"/>
      <c r="T4185" s="3"/>
    </row>
    <row r="4186" spans="14:20" x14ac:dyDescent="0.3">
      <c r="N4186" s="5"/>
      <c r="O4186" s="5"/>
      <c r="P4186" s="5"/>
      <c r="Q4186" s="5"/>
      <c r="R4186" s="8"/>
      <c r="S4186" s="8"/>
      <c r="T4186" s="3"/>
    </row>
    <row r="4187" spans="14:20" x14ac:dyDescent="0.3">
      <c r="N4187" s="5"/>
      <c r="O4187" s="5"/>
      <c r="P4187" s="5"/>
      <c r="Q4187" s="5"/>
      <c r="R4187" s="8"/>
      <c r="S4187" s="8"/>
      <c r="T4187" s="3"/>
    </row>
    <row r="4188" spans="14:20" x14ac:dyDescent="0.3">
      <c r="N4188" s="5"/>
      <c r="O4188" s="5"/>
      <c r="P4188" s="5"/>
      <c r="Q4188" s="5"/>
      <c r="R4188" s="8"/>
      <c r="S4188" s="8"/>
      <c r="T4188" s="3"/>
    </row>
    <row r="4189" spans="14:20" x14ac:dyDescent="0.3">
      <c r="N4189" s="5"/>
      <c r="O4189" s="5"/>
      <c r="P4189" s="5"/>
      <c r="Q4189" s="5"/>
      <c r="R4189" s="8"/>
      <c r="S4189" s="8"/>
      <c r="T4189" s="3"/>
    </row>
    <row r="4190" spans="14:20" x14ac:dyDescent="0.3">
      <c r="N4190" s="5"/>
      <c r="O4190" s="5"/>
      <c r="P4190" s="5"/>
      <c r="Q4190" s="5"/>
      <c r="R4190" s="8"/>
      <c r="S4190" s="8"/>
      <c r="T4190" s="3"/>
    </row>
    <row r="4191" spans="14:20" x14ac:dyDescent="0.3">
      <c r="N4191" s="5"/>
      <c r="O4191" s="5"/>
      <c r="P4191" s="5"/>
      <c r="Q4191" s="5"/>
      <c r="R4191" s="8"/>
      <c r="S4191" s="8"/>
      <c r="T4191" s="3"/>
    </row>
    <row r="4192" spans="14:20" x14ac:dyDescent="0.3">
      <c r="N4192" s="5"/>
      <c r="O4192" s="5"/>
      <c r="P4192" s="5"/>
      <c r="Q4192" s="5"/>
      <c r="R4192" s="8"/>
      <c r="S4192" s="8"/>
      <c r="T4192" s="3"/>
    </row>
    <row r="4193" spans="14:20" x14ac:dyDescent="0.3">
      <c r="N4193" s="5"/>
      <c r="O4193" s="5"/>
      <c r="P4193" s="5"/>
      <c r="Q4193" s="5"/>
      <c r="R4193" s="8"/>
      <c r="S4193" s="8"/>
      <c r="T4193" s="3"/>
    </row>
    <row r="4194" spans="14:20" x14ac:dyDescent="0.3">
      <c r="N4194" s="5"/>
      <c r="O4194" s="5"/>
      <c r="P4194" s="5"/>
      <c r="Q4194" s="5"/>
      <c r="R4194" s="8"/>
      <c r="S4194" s="8"/>
      <c r="T4194" s="3"/>
    </row>
    <row r="4195" spans="14:20" x14ac:dyDescent="0.3">
      <c r="N4195" s="5"/>
      <c r="O4195" s="5"/>
      <c r="P4195" s="5"/>
      <c r="Q4195" s="5"/>
      <c r="R4195" s="8"/>
      <c r="S4195" s="8"/>
      <c r="T4195" s="3"/>
    </row>
    <row r="4196" spans="14:20" x14ac:dyDescent="0.3">
      <c r="N4196" s="5"/>
      <c r="O4196" s="5"/>
      <c r="P4196" s="5"/>
      <c r="Q4196" s="5"/>
      <c r="R4196" s="8"/>
      <c r="S4196" s="8"/>
      <c r="T4196" s="3"/>
    </row>
    <row r="4197" spans="14:20" x14ac:dyDescent="0.3">
      <c r="N4197" s="5"/>
      <c r="O4197" s="5"/>
      <c r="P4197" s="5"/>
      <c r="Q4197" s="5"/>
      <c r="R4197" s="8"/>
      <c r="S4197" s="8"/>
      <c r="T4197" s="3"/>
    </row>
    <row r="4198" spans="14:20" x14ac:dyDescent="0.3">
      <c r="N4198" s="5"/>
      <c r="O4198" s="5"/>
      <c r="P4198" s="5"/>
      <c r="Q4198" s="5"/>
      <c r="R4198" s="8"/>
      <c r="S4198" s="8"/>
      <c r="T4198" s="3"/>
    </row>
    <row r="4199" spans="14:20" x14ac:dyDescent="0.3">
      <c r="N4199" s="5"/>
      <c r="O4199" s="5"/>
      <c r="P4199" s="5"/>
      <c r="Q4199" s="5"/>
      <c r="R4199" s="8"/>
      <c r="S4199" s="8"/>
      <c r="T4199" s="3"/>
    </row>
    <row r="4200" spans="14:20" x14ac:dyDescent="0.3">
      <c r="N4200" s="5"/>
      <c r="O4200" s="5"/>
      <c r="P4200" s="5"/>
      <c r="Q4200" s="5"/>
      <c r="R4200" s="8"/>
      <c r="S4200" s="8"/>
      <c r="T4200" s="3"/>
    </row>
    <row r="4201" spans="14:20" x14ac:dyDescent="0.3">
      <c r="N4201" s="5"/>
      <c r="O4201" s="5"/>
      <c r="P4201" s="5"/>
      <c r="Q4201" s="5"/>
      <c r="R4201" s="8"/>
      <c r="S4201" s="8"/>
      <c r="T4201" s="3"/>
    </row>
    <row r="4202" spans="14:20" x14ac:dyDescent="0.3">
      <c r="N4202" s="5"/>
      <c r="O4202" s="5"/>
      <c r="P4202" s="5"/>
      <c r="Q4202" s="5"/>
      <c r="R4202" s="8"/>
      <c r="S4202" s="8"/>
      <c r="T4202" s="3"/>
    </row>
    <row r="4203" spans="14:20" x14ac:dyDescent="0.3">
      <c r="N4203" s="5"/>
      <c r="O4203" s="5"/>
      <c r="P4203" s="5"/>
      <c r="Q4203" s="5"/>
      <c r="R4203" s="8"/>
      <c r="S4203" s="8"/>
      <c r="T4203" s="3"/>
    </row>
    <row r="4204" spans="14:20" x14ac:dyDescent="0.3">
      <c r="N4204" s="5"/>
      <c r="O4204" s="5"/>
      <c r="P4204" s="5"/>
      <c r="Q4204" s="5"/>
      <c r="R4204" s="8"/>
      <c r="S4204" s="8"/>
      <c r="T4204" s="3"/>
    </row>
    <row r="4205" spans="14:20" x14ac:dyDescent="0.3">
      <c r="N4205" s="5"/>
      <c r="O4205" s="5"/>
      <c r="P4205" s="5"/>
      <c r="Q4205" s="5"/>
      <c r="R4205" s="8"/>
      <c r="S4205" s="8"/>
      <c r="T4205" s="3"/>
    </row>
    <row r="4206" spans="14:20" x14ac:dyDescent="0.3">
      <c r="N4206" s="5"/>
      <c r="O4206" s="5"/>
      <c r="P4206" s="5"/>
      <c r="Q4206" s="5"/>
      <c r="R4206" s="8"/>
      <c r="S4206" s="8"/>
      <c r="T4206" s="3"/>
    </row>
    <row r="4207" spans="14:20" x14ac:dyDescent="0.3">
      <c r="N4207" s="5"/>
      <c r="O4207" s="5"/>
      <c r="P4207" s="5"/>
      <c r="Q4207" s="5"/>
      <c r="R4207" s="8"/>
      <c r="S4207" s="8"/>
      <c r="T4207" s="3"/>
    </row>
    <row r="4208" spans="14:20" x14ac:dyDescent="0.3">
      <c r="N4208" s="5"/>
      <c r="O4208" s="5"/>
      <c r="P4208" s="5"/>
      <c r="Q4208" s="5"/>
      <c r="R4208" s="8"/>
      <c r="S4208" s="8"/>
      <c r="T4208" s="3"/>
    </row>
    <row r="4209" spans="14:20" x14ac:dyDescent="0.3">
      <c r="N4209" s="5"/>
      <c r="O4209" s="5"/>
      <c r="P4209" s="5"/>
      <c r="Q4209" s="5"/>
      <c r="R4209" s="8"/>
      <c r="S4209" s="8"/>
      <c r="T4209" s="3"/>
    </row>
    <row r="4210" spans="14:20" x14ac:dyDescent="0.3">
      <c r="N4210" s="5"/>
      <c r="O4210" s="5"/>
      <c r="P4210" s="5"/>
      <c r="Q4210" s="5"/>
      <c r="R4210" s="8"/>
      <c r="S4210" s="8"/>
      <c r="T4210" s="3"/>
    </row>
    <row r="4211" spans="14:20" x14ac:dyDescent="0.3">
      <c r="N4211" s="5"/>
      <c r="O4211" s="5"/>
      <c r="P4211" s="5"/>
      <c r="Q4211" s="5"/>
      <c r="R4211" s="8"/>
      <c r="S4211" s="8"/>
      <c r="T4211" s="3"/>
    </row>
    <row r="4212" spans="14:20" x14ac:dyDescent="0.3">
      <c r="N4212" s="5"/>
      <c r="O4212" s="5"/>
      <c r="P4212" s="5"/>
      <c r="Q4212" s="5"/>
      <c r="R4212" s="8"/>
      <c r="S4212" s="8"/>
      <c r="T4212" s="3"/>
    </row>
    <row r="4213" spans="14:20" x14ac:dyDescent="0.3">
      <c r="N4213" s="5"/>
      <c r="O4213" s="5"/>
      <c r="P4213" s="5"/>
      <c r="Q4213" s="5"/>
      <c r="R4213" s="8"/>
      <c r="S4213" s="8"/>
      <c r="T4213" s="3"/>
    </row>
    <row r="4214" spans="14:20" x14ac:dyDescent="0.3">
      <c r="N4214" s="5"/>
      <c r="O4214" s="5"/>
      <c r="P4214" s="5"/>
      <c r="Q4214" s="5"/>
      <c r="R4214" s="8"/>
      <c r="S4214" s="8"/>
      <c r="T4214" s="3"/>
    </row>
    <row r="4215" spans="14:20" x14ac:dyDescent="0.3">
      <c r="N4215" s="5"/>
      <c r="O4215" s="5"/>
      <c r="P4215" s="5"/>
      <c r="Q4215" s="5"/>
      <c r="R4215" s="8"/>
      <c r="S4215" s="8"/>
      <c r="T4215" s="3"/>
    </row>
    <row r="4216" spans="14:20" x14ac:dyDescent="0.3">
      <c r="N4216" s="5"/>
      <c r="O4216" s="5"/>
      <c r="P4216" s="5"/>
      <c r="Q4216" s="5"/>
      <c r="R4216" s="8"/>
      <c r="S4216" s="8"/>
      <c r="T4216" s="3"/>
    </row>
    <row r="4217" spans="14:20" x14ac:dyDescent="0.3">
      <c r="N4217" s="5"/>
      <c r="O4217" s="5"/>
      <c r="P4217" s="5"/>
      <c r="Q4217" s="5"/>
      <c r="R4217" s="8"/>
      <c r="S4217" s="8"/>
      <c r="T4217" s="3"/>
    </row>
    <row r="4218" spans="14:20" x14ac:dyDescent="0.3">
      <c r="N4218" s="5"/>
      <c r="O4218" s="5"/>
      <c r="P4218" s="5"/>
      <c r="Q4218" s="5"/>
      <c r="R4218" s="8"/>
      <c r="S4218" s="8"/>
      <c r="T4218" s="3"/>
    </row>
    <row r="4219" spans="14:20" x14ac:dyDescent="0.3">
      <c r="N4219" s="5"/>
      <c r="O4219" s="5"/>
      <c r="P4219" s="5"/>
      <c r="Q4219" s="5"/>
      <c r="R4219" s="8"/>
      <c r="S4219" s="8"/>
      <c r="T4219" s="3"/>
    </row>
    <row r="4220" spans="14:20" x14ac:dyDescent="0.3">
      <c r="N4220" s="5"/>
      <c r="O4220" s="5"/>
      <c r="P4220" s="5"/>
      <c r="Q4220" s="5"/>
      <c r="R4220" s="8"/>
      <c r="S4220" s="8"/>
      <c r="T4220" s="3"/>
    </row>
    <row r="4221" spans="14:20" x14ac:dyDescent="0.3">
      <c r="N4221" s="5"/>
      <c r="O4221" s="5"/>
      <c r="P4221" s="5"/>
      <c r="Q4221" s="5"/>
      <c r="R4221" s="8"/>
      <c r="S4221" s="8"/>
      <c r="T4221" s="3"/>
    </row>
    <row r="4222" spans="14:20" x14ac:dyDescent="0.3">
      <c r="N4222" s="5"/>
      <c r="O4222" s="5"/>
      <c r="P4222" s="5"/>
      <c r="Q4222" s="5"/>
      <c r="R4222" s="8"/>
      <c r="S4222" s="8"/>
      <c r="T4222" s="3"/>
    </row>
    <row r="4223" spans="14:20" x14ac:dyDescent="0.3">
      <c r="N4223" s="5"/>
      <c r="O4223" s="5"/>
      <c r="P4223" s="5"/>
      <c r="Q4223" s="5"/>
      <c r="R4223" s="8"/>
      <c r="S4223" s="8"/>
      <c r="T4223" s="3"/>
    </row>
    <row r="4224" spans="14:20" x14ac:dyDescent="0.3">
      <c r="N4224" s="5"/>
      <c r="O4224" s="5"/>
      <c r="P4224" s="5"/>
      <c r="Q4224" s="5"/>
      <c r="R4224" s="8"/>
      <c r="S4224" s="8"/>
      <c r="T4224" s="3"/>
    </row>
    <row r="4225" spans="14:20" x14ac:dyDescent="0.3">
      <c r="N4225" s="5"/>
      <c r="O4225" s="5"/>
      <c r="P4225" s="5"/>
      <c r="Q4225" s="5"/>
      <c r="R4225" s="8"/>
      <c r="S4225" s="8"/>
      <c r="T4225" s="3"/>
    </row>
    <row r="4226" spans="14:20" x14ac:dyDescent="0.3">
      <c r="N4226" s="5"/>
      <c r="O4226" s="5"/>
      <c r="P4226" s="5"/>
      <c r="Q4226" s="5"/>
      <c r="R4226" s="8"/>
      <c r="S4226" s="8"/>
      <c r="T4226" s="3"/>
    </row>
    <row r="4227" spans="14:20" x14ac:dyDescent="0.3">
      <c r="N4227" s="5"/>
      <c r="O4227" s="5"/>
      <c r="P4227" s="5"/>
      <c r="Q4227" s="5"/>
      <c r="R4227" s="8"/>
      <c r="S4227" s="8"/>
      <c r="T4227" s="3"/>
    </row>
    <row r="4228" spans="14:20" x14ac:dyDescent="0.3">
      <c r="N4228" s="5"/>
      <c r="O4228" s="5"/>
      <c r="P4228" s="5"/>
      <c r="Q4228" s="5"/>
      <c r="R4228" s="8"/>
      <c r="S4228" s="8"/>
      <c r="T4228" s="3"/>
    </row>
    <row r="4229" spans="14:20" x14ac:dyDescent="0.3">
      <c r="N4229" s="5"/>
      <c r="O4229" s="5"/>
      <c r="P4229" s="5"/>
      <c r="Q4229" s="5"/>
      <c r="R4229" s="8"/>
      <c r="S4229" s="8"/>
      <c r="T4229" s="3"/>
    </row>
    <row r="4230" spans="14:20" x14ac:dyDescent="0.3">
      <c r="N4230" s="5"/>
      <c r="O4230" s="5"/>
      <c r="P4230" s="5"/>
      <c r="Q4230" s="5"/>
      <c r="R4230" s="8"/>
      <c r="S4230" s="8"/>
      <c r="T4230" s="3"/>
    </row>
    <row r="4231" spans="14:20" x14ac:dyDescent="0.3">
      <c r="N4231" s="5"/>
      <c r="O4231" s="5"/>
      <c r="P4231" s="5"/>
      <c r="Q4231" s="5"/>
      <c r="R4231" s="8"/>
      <c r="S4231" s="8"/>
      <c r="T4231" s="3"/>
    </row>
    <row r="4232" spans="14:20" x14ac:dyDescent="0.3">
      <c r="N4232" s="5"/>
      <c r="O4232" s="5"/>
      <c r="P4232" s="5"/>
      <c r="Q4232" s="5"/>
      <c r="R4232" s="8"/>
      <c r="S4232" s="8"/>
      <c r="T4232" s="3"/>
    </row>
    <row r="4233" spans="14:20" x14ac:dyDescent="0.3">
      <c r="N4233" s="5"/>
      <c r="O4233" s="5"/>
      <c r="P4233" s="5"/>
      <c r="Q4233" s="5"/>
      <c r="R4233" s="8"/>
      <c r="S4233" s="8"/>
      <c r="T4233" s="3"/>
    </row>
    <row r="4234" spans="14:20" x14ac:dyDescent="0.3">
      <c r="N4234" s="5"/>
      <c r="O4234" s="5"/>
      <c r="P4234" s="5"/>
      <c r="Q4234" s="5"/>
      <c r="R4234" s="8"/>
      <c r="S4234" s="8"/>
      <c r="T4234" s="3"/>
    </row>
    <row r="4235" spans="14:20" x14ac:dyDescent="0.3">
      <c r="N4235" s="5"/>
      <c r="O4235" s="5"/>
      <c r="P4235" s="5"/>
      <c r="Q4235" s="5"/>
      <c r="R4235" s="8"/>
      <c r="S4235" s="8"/>
      <c r="T4235" s="3"/>
    </row>
    <row r="4236" spans="14:20" x14ac:dyDescent="0.3">
      <c r="N4236" s="5"/>
      <c r="O4236" s="5"/>
      <c r="P4236" s="5"/>
      <c r="Q4236" s="5"/>
      <c r="R4236" s="8"/>
      <c r="S4236" s="8"/>
      <c r="T4236" s="3"/>
    </row>
    <row r="4237" spans="14:20" x14ac:dyDescent="0.3">
      <c r="N4237" s="5"/>
      <c r="O4237" s="5"/>
      <c r="P4237" s="5"/>
      <c r="Q4237" s="5"/>
      <c r="R4237" s="8"/>
      <c r="S4237" s="8"/>
      <c r="T4237" s="3"/>
    </row>
    <row r="4238" spans="14:20" x14ac:dyDescent="0.3">
      <c r="N4238" s="5"/>
      <c r="O4238" s="5"/>
      <c r="P4238" s="5"/>
      <c r="Q4238" s="5"/>
      <c r="R4238" s="8"/>
      <c r="S4238" s="8"/>
      <c r="T4238" s="3"/>
    </row>
    <row r="4239" spans="14:20" x14ac:dyDescent="0.3">
      <c r="N4239" s="5"/>
      <c r="O4239" s="5"/>
      <c r="P4239" s="5"/>
      <c r="Q4239" s="5"/>
      <c r="R4239" s="8"/>
      <c r="S4239" s="8"/>
      <c r="T4239" s="3"/>
    </row>
    <row r="4240" spans="14:20" x14ac:dyDescent="0.3">
      <c r="N4240" s="5"/>
      <c r="O4240" s="5"/>
      <c r="P4240" s="5"/>
      <c r="Q4240" s="5"/>
      <c r="R4240" s="8"/>
      <c r="S4240" s="8"/>
      <c r="T4240" s="3"/>
    </row>
    <row r="4241" spans="14:20" x14ac:dyDescent="0.3">
      <c r="N4241" s="5"/>
      <c r="O4241" s="5"/>
      <c r="P4241" s="5"/>
      <c r="Q4241" s="5"/>
      <c r="R4241" s="8"/>
      <c r="S4241" s="8"/>
      <c r="T4241" s="3"/>
    </row>
    <row r="4242" spans="14:20" x14ac:dyDescent="0.3">
      <c r="N4242" s="5"/>
      <c r="O4242" s="5"/>
      <c r="P4242" s="5"/>
      <c r="Q4242" s="5"/>
      <c r="R4242" s="8"/>
      <c r="S4242" s="8"/>
      <c r="T4242" s="3"/>
    </row>
    <row r="4243" spans="14:20" x14ac:dyDescent="0.3">
      <c r="N4243" s="5"/>
      <c r="O4243" s="5"/>
      <c r="P4243" s="5"/>
      <c r="Q4243" s="5"/>
      <c r="R4243" s="8"/>
      <c r="S4243" s="8"/>
      <c r="T4243" s="3"/>
    </row>
    <row r="4244" spans="14:20" x14ac:dyDescent="0.3">
      <c r="N4244" s="5"/>
      <c r="O4244" s="5"/>
      <c r="P4244" s="5"/>
      <c r="Q4244" s="5"/>
      <c r="R4244" s="8"/>
      <c r="S4244" s="8"/>
      <c r="T4244" s="3"/>
    </row>
    <row r="4245" spans="14:20" x14ac:dyDescent="0.3">
      <c r="N4245" s="5"/>
      <c r="O4245" s="5"/>
      <c r="P4245" s="5"/>
      <c r="Q4245" s="5"/>
      <c r="R4245" s="8"/>
      <c r="S4245" s="8"/>
      <c r="T4245" s="3"/>
    </row>
    <row r="4246" spans="14:20" x14ac:dyDescent="0.3">
      <c r="N4246" s="5"/>
      <c r="O4246" s="5"/>
      <c r="P4246" s="5"/>
      <c r="Q4246" s="5"/>
      <c r="R4246" s="8"/>
      <c r="S4246" s="8"/>
      <c r="T4246" s="3"/>
    </row>
    <row r="4247" spans="14:20" x14ac:dyDescent="0.3">
      <c r="N4247" s="5"/>
      <c r="O4247" s="5"/>
      <c r="P4247" s="5"/>
      <c r="Q4247" s="5"/>
      <c r="R4247" s="8"/>
      <c r="S4247" s="8"/>
      <c r="T4247" s="3"/>
    </row>
    <row r="4248" spans="14:20" x14ac:dyDescent="0.3">
      <c r="N4248" s="5"/>
      <c r="O4248" s="5"/>
      <c r="P4248" s="5"/>
      <c r="Q4248" s="5"/>
      <c r="R4248" s="8"/>
      <c r="S4248" s="8"/>
      <c r="T4248" s="3"/>
    </row>
    <row r="4249" spans="14:20" x14ac:dyDescent="0.3">
      <c r="N4249" s="5"/>
      <c r="O4249" s="5"/>
      <c r="P4249" s="5"/>
      <c r="Q4249" s="5"/>
      <c r="R4249" s="8"/>
      <c r="S4249" s="8"/>
      <c r="T4249" s="3"/>
    </row>
    <row r="4250" spans="14:20" x14ac:dyDescent="0.3">
      <c r="N4250" s="5"/>
      <c r="O4250" s="5"/>
      <c r="P4250" s="5"/>
      <c r="Q4250" s="5"/>
      <c r="R4250" s="8"/>
      <c r="S4250" s="8"/>
      <c r="T4250" s="3"/>
    </row>
    <row r="4251" spans="14:20" x14ac:dyDescent="0.3">
      <c r="N4251" s="5"/>
      <c r="O4251" s="5"/>
      <c r="P4251" s="5"/>
      <c r="Q4251" s="5"/>
      <c r="R4251" s="8"/>
      <c r="S4251" s="8"/>
      <c r="T4251" s="3"/>
    </row>
    <row r="4252" spans="14:20" x14ac:dyDescent="0.3">
      <c r="N4252" s="5"/>
      <c r="O4252" s="5"/>
      <c r="P4252" s="5"/>
      <c r="Q4252" s="5"/>
      <c r="R4252" s="8"/>
      <c r="S4252" s="8"/>
      <c r="T4252" s="3"/>
    </row>
    <row r="4253" spans="14:20" x14ac:dyDescent="0.3">
      <c r="N4253" s="5"/>
      <c r="O4253" s="5"/>
      <c r="P4253" s="5"/>
      <c r="Q4253" s="5"/>
      <c r="R4253" s="8"/>
      <c r="S4253" s="8"/>
      <c r="T4253" s="3"/>
    </row>
    <row r="4254" spans="14:20" x14ac:dyDescent="0.3">
      <c r="N4254" s="5"/>
      <c r="O4254" s="5"/>
      <c r="P4254" s="5"/>
      <c r="Q4254" s="5"/>
      <c r="R4254" s="8"/>
      <c r="S4254" s="8"/>
      <c r="T4254" s="3"/>
    </row>
    <row r="4255" spans="14:20" x14ac:dyDescent="0.3">
      <c r="N4255" s="5"/>
      <c r="O4255" s="5"/>
      <c r="P4255" s="5"/>
      <c r="Q4255" s="5"/>
      <c r="R4255" s="8"/>
      <c r="S4255" s="8"/>
      <c r="T4255" s="3"/>
    </row>
    <row r="4256" spans="14:20" x14ac:dyDescent="0.3">
      <c r="N4256" s="5"/>
      <c r="O4256" s="5"/>
      <c r="P4256" s="5"/>
      <c r="Q4256" s="5"/>
      <c r="R4256" s="8"/>
      <c r="S4256" s="8"/>
      <c r="T4256" s="3"/>
    </row>
    <row r="4257" spans="14:20" x14ac:dyDescent="0.3">
      <c r="N4257" s="5"/>
      <c r="O4257" s="5"/>
      <c r="P4257" s="5"/>
      <c r="Q4257" s="5"/>
      <c r="R4257" s="8"/>
      <c r="S4257" s="8"/>
      <c r="T4257" s="3"/>
    </row>
    <row r="4258" spans="14:20" x14ac:dyDescent="0.3">
      <c r="N4258" s="5"/>
      <c r="O4258" s="5"/>
      <c r="P4258" s="5"/>
      <c r="Q4258" s="5"/>
      <c r="R4258" s="8"/>
      <c r="S4258" s="8"/>
      <c r="T4258" s="3"/>
    </row>
    <row r="4259" spans="14:20" x14ac:dyDescent="0.3">
      <c r="N4259" s="5"/>
      <c r="O4259" s="5"/>
      <c r="P4259" s="5"/>
      <c r="Q4259" s="5"/>
      <c r="R4259" s="8"/>
      <c r="S4259" s="8"/>
      <c r="T4259" s="3"/>
    </row>
    <row r="4260" spans="14:20" x14ac:dyDescent="0.3">
      <c r="N4260" s="5"/>
      <c r="O4260" s="5"/>
      <c r="P4260" s="5"/>
      <c r="Q4260" s="5"/>
      <c r="R4260" s="8"/>
      <c r="S4260" s="8"/>
      <c r="T4260" s="3"/>
    </row>
    <row r="4261" spans="14:20" x14ac:dyDescent="0.3">
      <c r="N4261" s="5"/>
      <c r="O4261" s="5"/>
      <c r="P4261" s="5"/>
      <c r="Q4261" s="5"/>
      <c r="R4261" s="8"/>
      <c r="S4261" s="8"/>
      <c r="T4261" s="3"/>
    </row>
    <row r="4262" spans="14:20" x14ac:dyDescent="0.3">
      <c r="N4262" s="5"/>
      <c r="O4262" s="5"/>
      <c r="P4262" s="5"/>
      <c r="Q4262" s="5"/>
      <c r="R4262" s="8"/>
      <c r="S4262" s="8"/>
      <c r="T4262" s="3"/>
    </row>
    <row r="4263" spans="14:20" x14ac:dyDescent="0.3">
      <c r="N4263" s="5"/>
      <c r="O4263" s="5"/>
      <c r="P4263" s="5"/>
      <c r="Q4263" s="5"/>
      <c r="R4263" s="8"/>
      <c r="S4263" s="8"/>
      <c r="T4263" s="3"/>
    </row>
    <row r="4264" spans="14:20" x14ac:dyDescent="0.3">
      <c r="N4264" s="5"/>
      <c r="O4264" s="5"/>
      <c r="P4264" s="5"/>
      <c r="Q4264" s="5"/>
      <c r="R4264" s="8"/>
      <c r="S4264" s="8"/>
      <c r="T4264" s="3"/>
    </row>
    <row r="4265" spans="14:20" x14ac:dyDescent="0.3">
      <c r="N4265" s="5"/>
      <c r="O4265" s="5"/>
      <c r="P4265" s="5"/>
      <c r="Q4265" s="5"/>
      <c r="R4265" s="8"/>
      <c r="S4265" s="8"/>
      <c r="T4265" s="3"/>
    </row>
    <row r="4266" spans="14:20" x14ac:dyDescent="0.3">
      <c r="N4266" s="5"/>
      <c r="O4266" s="5"/>
      <c r="P4266" s="5"/>
      <c r="Q4266" s="5"/>
      <c r="R4266" s="8"/>
      <c r="S4266" s="8"/>
      <c r="T4266" s="3"/>
    </row>
    <row r="4267" spans="14:20" x14ac:dyDescent="0.3">
      <c r="N4267" s="5"/>
      <c r="O4267" s="5"/>
      <c r="P4267" s="5"/>
      <c r="Q4267" s="5"/>
      <c r="R4267" s="8"/>
      <c r="S4267" s="8"/>
      <c r="T4267" s="3"/>
    </row>
    <row r="4268" spans="14:20" x14ac:dyDescent="0.3">
      <c r="N4268" s="5"/>
      <c r="O4268" s="5"/>
      <c r="P4268" s="5"/>
      <c r="Q4268" s="5"/>
      <c r="R4268" s="8"/>
      <c r="S4268" s="8"/>
      <c r="T4268" s="3"/>
    </row>
    <row r="4269" spans="14:20" x14ac:dyDescent="0.3">
      <c r="N4269" s="5"/>
      <c r="O4269" s="5"/>
      <c r="P4269" s="5"/>
      <c r="Q4269" s="5"/>
      <c r="R4269" s="8"/>
      <c r="S4269" s="8"/>
      <c r="T4269" s="3"/>
    </row>
    <row r="4270" spans="14:20" x14ac:dyDescent="0.3">
      <c r="N4270" s="5"/>
      <c r="O4270" s="5"/>
      <c r="P4270" s="5"/>
      <c r="Q4270" s="5"/>
      <c r="R4270" s="8"/>
      <c r="S4270" s="8"/>
      <c r="T4270" s="3"/>
    </row>
    <row r="4271" spans="14:20" x14ac:dyDescent="0.3">
      <c r="N4271" s="5"/>
      <c r="O4271" s="5"/>
      <c r="P4271" s="5"/>
      <c r="Q4271" s="5"/>
      <c r="R4271" s="8"/>
      <c r="S4271" s="8"/>
      <c r="T4271" s="3"/>
    </row>
    <row r="4272" spans="14:20" x14ac:dyDescent="0.3">
      <c r="N4272" s="5"/>
      <c r="O4272" s="5"/>
      <c r="P4272" s="5"/>
      <c r="Q4272" s="5"/>
      <c r="R4272" s="8"/>
      <c r="S4272" s="8"/>
      <c r="T4272" s="3"/>
    </row>
    <row r="4273" spans="14:20" x14ac:dyDescent="0.3">
      <c r="N4273" s="5"/>
      <c r="O4273" s="5"/>
      <c r="P4273" s="5"/>
      <c r="Q4273" s="5"/>
      <c r="R4273" s="8"/>
      <c r="S4273" s="8"/>
      <c r="T4273" s="3"/>
    </row>
    <row r="4274" spans="14:20" x14ac:dyDescent="0.3">
      <c r="N4274" s="5"/>
      <c r="O4274" s="5"/>
      <c r="P4274" s="5"/>
      <c r="Q4274" s="5"/>
      <c r="R4274" s="8"/>
      <c r="S4274" s="8"/>
      <c r="T4274" s="3"/>
    </row>
    <row r="4275" spans="14:20" x14ac:dyDescent="0.3">
      <c r="N4275" s="5"/>
      <c r="O4275" s="5"/>
      <c r="P4275" s="5"/>
      <c r="Q4275" s="5"/>
      <c r="R4275" s="8"/>
      <c r="S4275" s="8"/>
      <c r="T4275" s="3"/>
    </row>
    <row r="4276" spans="14:20" x14ac:dyDescent="0.3">
      <c r="N4276" s="5"/>
      <c r="O4276" s="5"/>
      <c r="P4276" s="5"/>
      <c r="Q4276" s="5"/>
      <c r="R4276" s="8"/>
      <c r="S4276" s="8"/>
      <c r="T4276" s="3"/>
    </row>
    <row r="4277" spans="14:20" x14ac:dyDescent="0.3">
      <c r="N4277" s="5"/>
      <c r="O4277" s="5"/>
      <c r="P4277" s="5"/>
      <c r="Q4277" s="5"/>
      <c r="R4277" s="8"/>
      <c r="S4277" s="8"/>
      <c r="T4277" s="3"/>
    </row>
    <row r="4278" spans="14:20" x14ac:dyDescent="0.3">
      <c r="N4278" s="5"/>
      <c r="O4278" s="5"/>
      <c r="P4278" s="5"/>
      <c r="Q4278" s="5"/>
      <c r="R4278" s="8"/>
      <c r="S4278" s="8"/>
      <c r="T4278" s="3"/>
    </row>
    <row r="4279" spans="14:20" x14ac:dyDescent="0.3">
      <c r="N4279" s="5"/>
      <c r="O4279" s="5"/>
      <c r="P4279" s="5"/>
      <c r="Q4279" s="5"/>
      <c r="R4279" s="8"/>
      <c r="S4279" s="8"/>
      <c r="T4279" s="3"/>
    </row>
    <row r="4280" spans="14:20" x14ac:dyDescent="0.3">
      <c r="N4280" s="5"/>
      <c r="O4280" s="5"/>
      <c r="P4280" s="5"/>
      <c r="Q4280" s="5"/>
      <c r="R4280" s="8"/>
      <c r="S4280" s="8"/>
      <c r="T4280" s="3"/>
    </row>
    <row r="4281" spans="14:20" x14ac:dyDescent="0.3">
      <c r="N4281" s="5"/>
      <c r="O4281" s="5"/>
      <c r="P4281" s="5"/>
      <c r="Q4281" s="5"/>
      <c r="R4281" s="8"/>
      <c r="S4281" s="8"/>
      <c r="T4281" s="3"/>
    </row>
    <row r="4282" spans="14:20" x14ac:dyDescent="0.3">
      <c r="N4282" s="5"/>
      <c r="O4282" s="5"/>
      <c r="P4282" s="5"/>
      <c r="Q4282" s="5"/>
      <c r="R4282" s="8"/>
      <c r="S4282" s="8"/>
      <c r="T4282" s="3"/>
    </row>
    <row r="4283" spans="14:20" x14ac:dyDescent="0.3">
      <c r="N4283" s="5"/>
      <c r="O4283" s="5"/>
      <c r="P4283" s="5"/>
      <c r="Q4283" s="5"/>
      <c r="R4283" s="8"/>
      <c r="S4283" s="8"/>
      <c r="T4283" s="3"/>
    </row>
    <row r="4284" spans="14:20" x14ac:dyDescent="0.3">
      <c r="N4284" s="5"/>
      <c r="O4284" s="5"/>
      <c r="P4284" s="5"/>
      <c r="Q4284" s="5"/>
      <c r="R4284" s="8"/>
      <c r="S4284" s="8"/>
      <c r="T4284" s="3"/>
    </row>
    <row r="4285" spans="14:20" x14ac:dyDescent="0.3">
      <c r="N4285" s="5"/>
      <c r="O4285" s="5"/>
      <c r="P4285" s="5"/>
      <c r="Q4285" s="5"/>
      <c r="R4285" s="8"/>
      <c r="S4285" s="8"/>
      <c r="T4285" s="3"/>
    </row>
    <row r="4286" spans="14:20" x14ac:dyDescent="0.3">
      <c r="N4286" s="5"/>
      <c r="O4286" s="5"/>
      <c r="P4286" s="5"/>
      <c r="Q4286" s="5"/>
      <c r="R4286" s="8"/>
      <c r="S4286" s="8"/>
      <c r="T4286" s="3"/>
    </row>
    <row r="4287" spans="14:20" x14ac:dyDescent="0.3">
      <c r="N4287" s="5"/>
      <c r="O4287" s="5"/>
      <c r="P4287" s="5"/>
      <c r="Q4287" s="5"/>
      <c r="R4287" s="8"/>
      <c r="S4287" s="8"/>
      <c r="T4287" s="3"/>
    </row>
    <row r="4288" spans="14:20" x14ac:dyDescent="0.3">
      <c r="N4288" s="5"/>
      <c r="O4288" s="5"/>
      <c r="P4288" s="5"/>
      <c r="Q4288" s="5"/>
      <c r="R4288" s="8"/>
      <c r="S4288" s="8"/>
      <c r="T4288" s="3"/>
    </row>
    <row r="4289" spans="14:20" x14ac:dyDescent="0.3">
      <c r="N4289" s="5"/>
      <c r="O4289" s="5"/>
      <c r="P4289" s="5"/>
      <c r="Q4289" s="5"/>
      <c r="R4289" s="8"/>
      <c r="S4289" s="8"/>
      <c r="T4289" s="3"/>
    </row>
    <row r="4290" spans="14:20" x14ac:dyDescent="0.3">
      <c r="N4290" s="5"/>
      <c r="O4290" s="5"/>
      <c r="P4290" s="5"/>
      <c r="Q4290" s="5"/>
      <c r="R4290" s="8"/>
      <c r="S4290" s="8"/>
      <c r="T4290" s="3"/>
    </row>
    <row r="4291" spans="14:20" x14ac:dyDescent="0.3">
      <c r="N4291" s="5"/>
      <c r="O4291" s="5"/>
      <c r="P4291" s="5"/>
      <c r="Q4291" s="5"/>
      <c r="R4291" s="8"/>
      <c r="S4291" s="8"/>
      <c r="T4291" s="3"/>
    </row>
    <row r="4292" spans="14:20" x14ac:dyDescent="0.3">
      <c r="N4292" s="5"/>
      <c r="O4292" s="5"/>
      <c r="P4292" s="5"/>
      <c r="Q4292" s="5"/>
      <c r="R4292" s="8"/>
      <c r="S4292" s="8"/>
      <c r="T4292" s="3"/>
    </row>
    <row r="4293" spans="14:20" x14ac:dyDescent="0.3">
      <c r="N4293" s="5"/>
      <c r="O4293" s="5"/>
      <c r="P4293" s="5"/>
      <c r="Q4293" s="5"/>
      <c r="R4293" s="8"/>
      <c r="S4293" s="8"/>
      <c r="T4293" s="3"/>
    </row>
    <row r="4294" spans="14:20" x14ac:dyDescent="0.3">
      <c r="N4294" s="5"/>
      <c r="O4294" s="5"/>
      <c r="P4294" s="5"/>
      <c r="Q4294" s="5"/>
      <c r="R4294" s="8"/>
      <c r="S4294" s="8"/>
      <c r="T4294" s="3"/>
    </row>
    <row r="4295" spans="14:20" x14ac:dyDescent="0.3">
      <c r="N4295" s="5"/>
      <c r="O4295" s="5"/>
      <c r="P4295" s="5"/>
      <c r="Q4295" s="5"/>
      <c r="R4295" s="8"/>
      <c r="S4295" s="8"/>
      <c r="T4295" s="3"/>
    </row>
    <row r="4296" spans="14:20" x14ac:dyDescent="0.3">
      <c r="N4296" s="5"/>
      <c r="O4296" s="5"/>
      <c r="P4296" s="5"/>
      <c r="Q4296" s="5"/>
      <c r="R4296" s="8"/>
      <c r="S4296" s="8"/>
      <c r="T4296" s="3"/>
    </row>
    <row r="4297" spans="14:20" x14ac:dyDescent="0.3">
      <c r="N4297" s="5"/>
      <c r="O4297" s="5"/>
      <c r="P4297" s="5"/>
      <c r="Q4297" s="5"/>
      <c r="R4297" s="8"/>
      <c r="S4297" s="8"/>
      <c r="T4297" s="3"/>
    </row>
    <row r="4298" spans="14:20" x14ac:dyDescent="0.3">
      <c r="N4298" s="5"/>
      <c r="O4298" s="5"/>
      <c r="P4298" s="5"/>
      <c r="Q4298" s="5"/>
      <c r="R4298" s="8"/>
      <c r="S4298" s="8"/>
      <c r="T4298" s="3"/>
    </row>
    <row r="4299" spans="14:20" x14ac:dyDescent="0.3">
      <c r="N4299" s="5"/>
      <c r="O4299" s="5"/>
      <c r="P4299" s="5"/>
      <c r="Q4299" s="5"/>
      <c r="R4299" s="8"/>
      <c r="S4299" s="8"/>
      <c r="T4299" s="3"/>
    </row>
    <row r="4300" spans="14:20" x14ac:dyDescent="0.3">
      <c r="N4300" s="5"/>
      <c r="O4300" s="5"/>
      <c r="P4300" s="5"/>
      <c r="Q4300" s="5"/>
      <c r="R4300" s="8"/>
      <c r="S4300" s="8"/>
      <c r="T4300" s="3"/>
    </row>
    <row r="4301" spans="14:20" x14ac:dyDescent="0.3">
      <c r="N4301" s="5"/>
      <c r="O4301" s="5"/>
      <c r="P4301" s="5"/>
      <c r="Q4301" s="5"/>
      <c r="R4301" s="8"/>
      <c r="S4301" s="8"/>
      <c r="T4301" s="3"/>
    </row>
    <row r="4302" spans="14:20" x14ac:dyDescent="0.3">
      <c r="N4302" s="5"/>
      <c r="O4302" s="5"/>
      <c r="P4302" s="5"/>
      <c r="Q4302" s="5"/>
      <c r="R4302" s="8"/>
      <c r="S4302" s="8"/>
      <c r="T4302" s="3"/>
    </row>
    <row r="4303" spans="14:20" x14ac:dyDescent="0.3">
      <c r="N4303" s="5"/>
      <c r="O4303" s="5"/>
      <c r="P4303" s="5"/>
      <c r="Q4303" s="5"/>
      <c r="R4303" s="8"/>
      <c r="S4303" s="8"/>
      <c r="T4303" s="3"/>
    </row>
    <row r="4304" spans="14:20" x14ac:dyDescent="0.3">
      <c r="N4304" s="5"/>
      <c r="O4304" s="5"/>
      <c r="P4304" s="5"/>
      <c r="Q4304" s="5"/>
      <c r="R4304" s="8"/>
      <c r="S4304" s="8"/>
      <c r="T4304" s="3"/>
    </row>
    <row r="4305" spans="14:20" x14ac:dyDescent="0.3">
      <c r="N4305" s="5"/>
      <c r="O4305" s="5"/>
      <c r="P4305" s="5"/>
      <c r="Q4305" s="5"/>
      <c r="R4305" s="8"/>
      <c r="S4305" s="8"/>
      <c r="T4305" s="3"/>
    </row>
    <row r="4306" spans="14:20" x14ac:dyDescent="0.3">
      <c r="N4306" s="5"/>
      <c r="O4306" s="5"/>
      <c r="P4306" s="5"/>
      <c r="Q4306" s="5"/>
      <c r="R4306" s="8"/>
      <c r="S4306" s="8"/>
      <c r="T4306" s="3"/>
    </row>
    <row r="4307" spans="14:20" x14ac:dyDescent="0.3">
      <c r="N4307" s="5"/>
      <c r="O4307" s="5"/>
      <c r="P4307" s="5"/>
      <c r="Q4307" s="5"/>
      <c r="R4307" s="8"/>
      <c r="S4307" s="8"/>
      <c r="T4307" s="3"/>
    </row>
    <row r="4308" spans="14:20" x14ac:dyDescent="0.3">
      <c r="N4308" s="5"/>
      <c r="O4308" s="5"/>
      <c r="P4308" s="5"/>
      <c r="Q4308" s="5"/>
      <c r="R4308" s="8"/>
      <c r="S4308" s="8"/>
      <c r="T4308" s="3"/>
    </row>
    <row r="4309" spans="14:20" x14ac:dyDescent="0.3">
      <c r="N4309" s="5"/>
      <c r="O4309" s="5"/>
      <c r="P4309" s="5"/>
      <c r="Q4309" s="5"/>
      <c r="R4309" s="8"/>
      <c r="S4309" s="8"/>
      <c r="T4309" s="3"/>
    </row>
    <row r="4310" spans="14:20" x14ac:dyDescent="0.3">
      <c r="N4310" s="5"/>
      <c r="O4310" s="5"/>
      <c r="P4310" s="5"/>
      <c r="Q4310" s="5"/>
      <c r="R4310" s="8"/>
      <c r="S4310" s="8"/>
      <c r="T4310" s="3"/>
    </row>
    <row r="4311" spans="14:20" x14ac:dyDescent="0.3">
      <c r="N4311" s="5"/>
      <c r="O4311" s="5"/>
      <c r="P4311" s="5"/>
      <c r="Q4311" s="5"/>
      <c r="R4311" s="8"/>
      <c r="S4311" s="8"/>
      <c r="T4311" s="3"/>
    </row>
    <row r="4312" spans="14:20" x14ac:dyDescent="0.3">
      <c r="N4312" s="5"/>
      <c r="O4312" s="5"/>
      <c r="P4312" s="5"/>
      <c r="Q4312" s="5"/>
      <c r="R4312" s="8"/>
      <c r="S4312" s="8"/>
      <c r="T4312" s="3"/>
    </row>
    <row r="4313" spans="14:20" x14ac:dyDescent="0.3">
      <c r="N4313" s="5"/>
      <c r="O4313" s="5"/>
      <c r="P4313" s="5"/>
      <c r="Q4313" s="5"/>
      <c r="R4313" s="8"/>
      <c r="S4313" s="8"/>
      <c r="T4313" s="3"/>
    </row>
    <row r="4314" spans="14:20" x14ac:dyDescent="0.3">
      <c r="N4314" s="5"/>
      <c r="O4314" s="5"/>
      <c r="P4314" s="5"/>
      <c r="Q4314" s="5"/>
      <c r="R4314" s="8"/>
      <c r="S4314" s="8"/>
      <c r="T4314" s="3"/>
    </row>
    <row r="4315" spans="14:20" x14ac:dyDescent="0.3">
      <c r="N4315" s="5"/>
      <c r="O4315" s="5"/>
      <c r="P4315" s="5"/>
      <c r="Q4315" s="5"/>
      <c r="R4315" s="8"/>
      <c r="S4315" s="8"/>
      <c r="T4315" s="3"/>
    </row>
    <row r="4316" spans="14:20" x14ac:dyDescent="0.3">
      <c r="N4316" s="5"/>
      <c r="O4316" s="5"/>
      <c r="P4316" s="5"/>
      <c r="Q4316" s="5"/>
      <c r="R4316" s="8"/>
      <c r="S4316" s="8"/>
      <c r="T4316" s="3"/>
    </row>
    <row r="4317" spans="14:20" x14ac:dyDescent="0.3">
      <c r="N4317" s="5"/>
      <c r="O4317" s="5"/>
      <c r="P4317" s="5"/>
      <c r="Q4317" s="5"/>
      <c r="R4317" s="8"/>
      <c r="S4317" s="8"/>
      <c r="T4317" s="3"/>
    </row>
    <row r="4318" spans="14:20" x14ac:dyDescent="0.3">
      <c r="N4318" s="5"/>
      <c r="O4318" s="5"/>
      <c r="P4318" s="5"/>
      <c r="Q4318" s="5"/>
      <c r="R4318" s="8"/>
      <c r="S4318" s="8"/>
      <c r="T4318" s="3"/>
    </row>
    <row r="4319" spans="14:20" x14ac:dyDescent="0.3">
      <c r="N4319" s="5"/>
      <c r="O4319" s="5"/>
      <c r="P4319" s="5"/>
      <c r="Q4319" s="5"/>
      <c r="R4319" s="8"/>
      <c r="S4319" s="8"/>
      <c r="T4319" s="3"/>
    </row>
    <row r="4320" spans="14:20" x14ac:dyDescent="0.3">
      <c r="N4320" s="5"/>
      <c r="O4320" s="5"/>
      <c r="P4320" s="5"/>
      <c r="Q4320" s="5"/>
      <c r="R4320" s="8"/>
      <c r="S4320" s="8"/>
      <c r="T4320" s="3"/>
    </row>
    <row r="4321" spans="14:20" x14ac:dyDescent="0.3">
      <c r="N4321" s="5"/>
      <c r="O4321" s="5"/>
      <c r="P4321" s="5"/>
      <c r="Q4321" s="5"/>
      <c r="R4321" s="8"/>
      <c r="S4321" s="8"/>
      <c r="T4321" s="3"/>
    </row>
    <row r="4322" spans="14:20" x14ac:dyDescent="0.3">
      <c r="N4322" s="5"/>
      <c r="O4322" s="5"/>
      <c r="P4322" s="5"/>
      <c r="Q4322" s="5"/>
      <c r="R4322" s="8"/>
      <c r="S4322" s="8"/>
      <c r="T4322" s="3"/>
    </row>
    <row r="4323" spans="14:20" x14ac:dyDescent="0.3">
      <c r="N4323" s="5"/>
      <c r="O4323" s="5"/>
      <c r="P4323" s="5"/>
      <c r="Q4323" s="5"/>
      <c r="R4323" s="8"/>
      <c r="S4323" s="8"/>
      <c r="T4323" s="3"/>
    </row>
    <row r="4324" spans="14:20" x14ac:dyDescent="0.3">
      <c r="N4324" s="5"/>
      <c r="O4324" s="5"/>
      <c r="P4324" s="5"/>
      <c r="Q4324" s="5"/>
      <c r="R4324" s="8"/>
      <c r="S4324" s="8"/>
      <c r="T4324" s="3"/>
    </row>
    <row r="4325" spans="14:20" x14ac:dyDescent="0.3">
      <c r="N4325" s="5"/>
      <c r="O4325" s="5"/>
      <c r="P4325" s="5"/>
      <c r="Q4325" s="5"/>
      <c r="R4325" s="8"/>
      <c r="S4325" s="8"/>
      <c r="T4325" s="3"/>
    </row>
    <row r="4326" spans="14:20" x14ac:dyDescent="0.3">
      <c r="N4326" s="5"/>
      <c r="O4326" s="5"/>
      <c r="P4326" s="5"/>
      <c r="Q4326" s="5"/>
      <c r="R4326" s="8"/>
      <c r="S4326" s="8"/>
      <c r="T4326" s="3"/>
    </row>
    <row r="4327" spans="14:20" x14ac:dyDescent="0.3">
      <c r="N4327" s="5"/>
      <c r="O4327" s="5"/>
      <c r="P4327" s="5"/>
      <c r="Q4327" s="5"/>
      <c r="R4327" s="8"/>
      <c r="S4327" s="8"/>
      <c r="T4327" s="3"/>
    </row>
    <row r="4328" spans="14:20" x14ac:dyDescent="0.3">
      <c r="N4328" s="5"/>
      <c r="O4328" s="5"/>
      <c r="P4328" s="5"/>
      <c r="Q4328" s="5"/>
      <c r="R4328" s="8"/>
      <c r="S4328" s="8"/>
      <c r="T4328" s="3"/>
    </row>
    <row r="4329" spans="14:20" x14ac:dyDescent="0.3">
      <c r="N4329" s="5"/>
      <c r="O4329" s="5"/>
      <c r="P4329" s="5"/>
      <c r="Q4329" s="5"/>
      <c r="R4329" s="8"/>
      <c r="S4329" s="8"/>
      <c r="T4329" s="3"/>
    </row>
    <row r="4330" spans="14:20" x14ac:dyDescent="0.3">
      <c r="N4330" s="5"/>
      <c r="O4330" s="5"/>
      <c r="P4330" s="5"/>
      <c r="Q4330" s="5"/>
      <c r="R4330" s="8"/>
      <c r="S4330" s="8"/>
      <c r="T4330" s="3"/>
    </row>
    <row r="4331" spans="14:20" x14ac:dyDescent="0.3">
      <c r="N4331" s="5"/>
      <c r="O4331" s="5"/>
      <c r="P4331" s="5"/>
      <c r="Q4331" s="5"/>
      <c r="R4331" s="8"/>
      <c r="S4331" s="8"/>
      <c r="T4331" s="3"/>
    </row>
    <row r="4332" spans="14:20" x14ac:dyDescent="0.3">
      <c r="N4332" s="5"/>
      <c r="O4332" s="5"/>
      <c r="P4332" s="5"/>
      <c r="Q4332" s="5"/>
      <c r="R4332" s="8"/>
      <c r="S4332" s="8"/>
      <c r="T4332" s="3"/>
    </row>
    <row r="4333" spans="14:20" x14ac:dyDescent="0.3">
      <c r="N4333" s="5"/>
      <c r="O4333" s="5"/>
      <c r="P4333" s="5"/>
      <c r="Q4333" s="5"/>
      <c r="R4333" s="8"/>
      <c r="S4333" s="8"/>
      <c r="T4333" s="3"/>
    </row>
    <row r="4334" spans="14:20" x14ac:dyDescent="0.3">
      <c r="N4334" s="5"/>
      <c r="O4334" s="5"/>
      <c r="P4334" s="5"/>
      <c r="Q4334" s="5"/>
      <c r="R4334" s="8"/>
      <c r="S4334" s="8"/>
      <c r="T4334" s="3"/>
    </row>
    <row r="4335" spans="14:20" x14ac:dyDescent="0.3">
      <c r="N4335" s="5"/>
      <c r="O4335" s="5"/>
      <c r="P4335" s="5"/>
      <c r="Q4335" s="5"/>
      <c r="R4335" s="8"/>
      <c r="S4335" s="8"/>
      <c r="T4335" s="3"/>
    </row>
    <row r="4336" spans="14:20" x14ac:dyDescent="0.3">
      <c r="N4336" s="5"/>
      <c r="O4336" s="5"/>
      <c r="P4336" s="5"/>
      <c r="Q4336" s="5"/>
      <c r="R4336" s="8"/>
      <c r="S4336" s="8"/>
      <c r="T4336" s="3"/>
    </row>
    <row r="4337" spans="14:20" x14ac:dyDescent="0.3">
      <c r="N4337" s="5"/>
      <c r="O4337" s="5"/>
      <c r="P4337" s="5"/>
      <c r="Q4337" s="5"/>
      <c r="R4337" s="8"/>
      <c r="S4337" s="8"/>
      <c r="T4337" s="3"/>
    </row>
    <row r="4338" spans="14:20" x14ac:dyDescent="0.3">
      <c r="N4338" s="5"/>
      <c r="O4338" s="5"/>
      <c r="P4338" s="5"/>
      <c r="Q4338" s="5"/>
      <c r="R4338" s="8"/>
      <c r="S4338" s="8"/>
      <c r="T4338" s="3"/>
    </row>
    <row r="4339" spans="14:20" x14ac:dyDescent="0.3">
      <c r="N4339" s="5"/>
      <c r="O4339" s="5"/>
      <c r="P4339" s="5"/>
      <c r="Q4339" s="5"/>
      <c r="R4339" s="8"/>
      <c r="S4339" s="8"/>
      <c r="T4339" s="3"/>
    </row>
    <row r="4340" spans="14:20" x14ac:dyDescent="0.3">
      <c r="N4340" s="5"/>
      <c r="O4340" s="5"/>
      <c r="P4340" s="5"/>
      <c r="Q4340" s="5"/>
      <c r="R4340" s="8"/>
      <c r="S4340" s="8"/>
      <c r="T4340" s="3"/>
    </row>
    <row r="4341" spans="14:20" x14ac:dyDescent="0.3">
      <c r="N4341" s="5"/>
      <c r="O4341" s="5"/>
      <c r="P4341" s="5"/>
      <c r="Q4341" s="5"/>
      <c r="R4341" s="8"/>
      <c r="S4341" s="8"/>
      <c r="T4341" s="3"/>
    </row>
    <row r="4342" spans="14:20" x14ac:dyDescent="0.3">
      <c r="N4342" s="5"/>
      <c r="O4342" s="5"/>
      <c r="P4342" s="5"/>
      <c r="Q4342" s="5"/>
      <c r="R4342" s="8"/>
      <c r="S4342" s="8"/>
      <c r="T4342" s="3"/>
    </row>
    <row r="4343" spans="14:20" x14ac:dyDescent="0.3">
      <c r="N4343" s="5"/>
      <c r="O4343" s="5"/>
      <c r="P4343" s="5"/>
      <c r="Q4343" s="5"/>
      <c r="R4343" s="8"/>
      <c r="S4343" s="8"/>
      <c r="T4343" s="3"/>
    </row>
    <row r="4344" spans="14:20" x14ac:dyDescent="0.3">
      <c r="N4344" s="5"/>
      <c r="O4344" s="5"/>
      <c r="P4344" s="5"/>
      <c r="Q4344" s="5"/>
      <c r="R4344" s="8"/>
      <c r="S4344" s="8"/>
      <c r="T4344" s="3"/>
    </row>
    <row r="4345" spans="14:20" x14ac:dyDescent="0.3">
      <c r="N4345" s="5"/>
      <c r="O4345" s="5"/>
      <c r="P4345" s="5"/>
      <c r="Q4345" s="5"/>
      <c r="R4345" s="8"/>
      <c r="S4345" s="8"/>
      <c r="T4345" s="3"/>
    </row>
    <row r="4346" spans="14:20" x14ac:dyDescent="0.3">
      <c r="N4346" s="5"/>
      <c r="O4346" s="5"/>
      <c r="P4346" s="5"/>
      <c r="Q4346" s="5"/>
      <c r="R4346" s="8"/>
      <c r="S4346" s="8"/>
      <c r="T4346" s="3"/>
    </row>
    <row r="4347" spans="14:20" x14ac:dyDescent="0.3">
      <c r="N4347" s="5"/>
      <c r="O4347" s="5"/>
      <c r="P4347" s="5"/>
      <c r="Q4347" s="5"/>
      <c r="R4347" s="8"/>
      <c r="S4347" s="8"/>
      <c r="T4347" s="3"/>
    </row>
    <row r="4348" spans="14:20" x14ac:dyDescent="0.3">
      <c r="N4348" s="5"/>
      <c r="O4348" s="5"/>
      <c r="P4348" s="5"/>
      <c r="Q4348" s="5"/>
      <c r="R4348" s="8"/>
      <c r="S4348" s="8"/>
      <c r="T4348" s="3"/>
    </row>
    <row r="4349" spans="14:20" x14ac:dyDescent="0.3">
      <c r="N4349" s="5"/>
      <c r="O4349" s="5"/>
      <c r="P4349" s="5"/>
      <c r="Q4349" s="5"/>
      <c r="R4349" s="8"/>
      <c r="S4349" s="8"/>
      <c r="T4349" s="3"/>
    </row>
    <row r="4350" spans="14:20" x14ac:dyDescent="0.3">
      <c r="N4350" s="5"/>
      <c r="O4350" s="5"/>
      <c r="P4350" s="5"/>
      <c r="Q4350" s="5"/>
      <c r="R4350" s="8"/>
      <c r="S4350" s="8"/>
      <c r="T4350" s="3"/>
    </row>
    <row r="4351" spans="14:20" x14ac:dyDescent="0.3">
      <c r="N4351" s="5"/>
      <c r="O4351" s="5"/>
      <c r="P4351" s="5"/>
      <c r="Q4351" s="5"/>
      <c r="R4351" s="8"/>
      <c r="S4351" s="8"/>
      <c r="T4351" s="3"/>
    </row>
    <row r="4352" spans="14:20" x14ac:dyDescent="0.3">
      <c r="N4352" s="5"/>
      <c r="O4352" s="5"/>
      <c r="P4352" s="5"/>
      <c r="Q4352" s="5"/>
      <c r="R4352" s="8"/>
      <c r="S4352" s="8"/>
      <c r="T4352" s="3"/>
    </row>
    <row r="4353" spans="14:20" x14ac:dyDescent="0.3">
      <c r="N4353" s="5"/>
      <c r="O4353" s="5"/>
      <c r="P4353" s="5"/>
      <c r="Q4353" s="5"/>
      <c r="R4353" s="8"/>
      <c r="S4353" s="8"/>
      <c r="T4353" s="3"/>
    </row>
    <row r="4354" spans="14:20" x14ac:dyDescent="0.3">
      <c r="N4354" s="5"/>
      <c r="O4354" s="5"/>
      <c r="P4354" s="5"/>
      <c r="Q4354" s="5"/>
      <c r="R4354" s="8"/>
      <c r="S4354" s="8"/>
      <c r="T4354" s="3"/>
    </row>
    <row r="4355" spans="14:20" x14ac:dyDescent="0.3">
      <c r="N4355" s="5"/>
      <c r="O4355" s="5"/>
      <c r="P4355" s="5"/>
      <c r="Q4355" s="5"/>
      <c r="R4355" s="8"/>
      <c r="S4355" s="8"/>
      <c r="T4355" s="3"/>
    </row>
    <row r="4356" spans="14:20" x14ac:dyDescent="0.3">
      <c r="N4356" s="5"/>
      <c r="O4356" s="5"/>
      <c r="P4356" s="5"/>
      <c r="Q4356" s="5"/>
      <c r="R4356" s="8"/>
      <c r="S4356" s="8"/>
      <c r="T4356" s="3"/>
    </row>
    <row r="4357" spans="14:20" x14ac:dyDescent="0.3">
      <c r="N4357" s="5"/>
      <c r="O4357" s="5"/>
      <c r="P4357" s="5"/>
      <c r="Q4357" s="5"/>
      <c r="R4357" s="8"/>
      <c r="S4357" s="8"/>
      <c r="T4357" s="3"/>
    </row>
    <row r="4358" spans="14:20" x14ac:dyDescent="0.3">
      <c r="N4358" s="5"/>
      <c r="O4358" s="5"/>
      <c r="P4358" s="5"/>
      <c r="Q4358" s="5"/>
      <c r="R4358" s="8"/>
      <c r="S4358" s="8"/>
      <c r="T4358" s="3"/>
    </row>
    <row r="4359" spans="14:20" x14ac:dyDescent="0.3">
      <c r="N4359" s="5"/>
      <c r="O4359" s="5"/>
      <c r="P4359" s="5"/>
      <c r="Q4359" s="5"/>
      <c r="R4359" s="8"/>
      <c r="S4359" s="8"/>
      <c r="T4359" s="3"/>
    </row>
    <row r="4360" spans="14:20" x14ac:dyDescent="0.3">
      <c r="N4360" s="5"/>
      <c r="O4360" s="5"/>
      <c r="P4360" s="5"/>
      <c r="Q4360" s="5"/>
      <c r="R4360" s="8"/>
      <c r="S4360" s="8"/>
      <c r="T4360" s="3"/>
    </row>
    <row r="4361" spans="14:20" x14ac:dyDescent="0.3">
      <c r="N4361" s="5"/>
      <c r="O4361" s="5"/>
      <c r="P4361" s="5"/>
      <c r="Q4361" s="5"/>
      <c r="R4361" s="8"/>
      <c r="S4361" s="8"/>
      <c r="T4361" s="3"/>
    </row>
    <row r="4362" spans="14:20" x14ac:dyDescent="0.3">
      <c r="N4362" s="5"/>
      <c r="O4362" s="5"/>
      <c r="P4362" s="5"/>
      <c r="Q4362" s="5"/>
      <c r="R4362" s="8"/>
      <c r="S4362" s="8"/>
      <c r="T4362" s="3"/>
    </row>
    <row r="4363" spans="14:20" x14ac:dyDescent="0.3">
      <c r="N4363" s="5"/>
      <c r="O4363" s="5"/>
      <c r="P4363" s="5"/>
      <c r="Q4363" s="5"/>
      <c r="R4363" s="8"/>
      <c r="S4363" s="8"/>
      <c r="T4363" s="3"/>
    </row>
    <row r="4364" spans="14:20" x14ac:dyDescent="0.3">
      <c r="N4364" s="5"/>
      <c r="O4364" s="5"/>
      <c r="P4364" s="5"/>
      <c r="Q4364" s="5"/>
      <c r="R4364" s="8"/>
      <c r="S4364" s="8"/>
      <c r="T4364" s="3"/>
    </row>
    <row r="4365" spans="14:20" x14ac:dyDescent="0.3">
      <c r="N4365" s="5"/>
      <c r="O4365" s="5"/>
      <c r="P4365" s="5"/>
      <c r="Q4365" s="5"/>
      <c r="R4365" s="8"/>
      <c r="S4365" s="8"/>
      <c r="T4365" s="3"/>
    </row>
    <row r="4366" spans="14:20" x14ac:dyDescent="0.3">
      <c r="N4366" s="5"/>
      <c r="O4366" s="5"/>
      <c r="P4366" s="5"/>
      <c r="Q4366" s="5"/>
      <c r="R4366" s="8"/>
      <c r="S4366" s="8"/>
      <c r="T4366" s="3"/>
    </row>
    <row r="4367" spans="14:20" x14ac:dyDescent="0.3">
      <c r="N4367" s="5"/>
      <c r="O4367" s="5"/>
      <c r="P4367" s="5"/>
      <c r="Q4367" s="5"/>
      <c r="R4367" s="8"/>
      <c r="S4367" s="8"/>
      <c r="T4367" s="3"/>
    </row>
    <row r="4368" spans="14:20" x14ac:dyDescent="0.3">
      <c r="N4368" s="5"/>
      <c r="O4368" s="5"/>
      <c r="P4368" s="5"/>
      <c r="Q4368" s="5"/>
      <c r="R4368" s="8"/>
      <c r="S4368" s="8"/>
      <c r="T4368" s="3"/>
    </row>
    <row r="4369" spans="14:20" x14ac:dyDescent="0.3">
      <c r="N4369" s="5"/>
      <c r="O4369" s="5"/>
      <c r="P4369" s="5"/>
      <c r="Q4369" s="5"/>
      <c r="R4369" s="8"/>
      <c r="S4369" s="8"/>
      <c r="T4369" s="3"/>
    </row>
    <row r="4370" spans="14:20" x14ac:dyDescent="0.3">
      <c r="N4370" s="5"/>
      <c r="O4370" s="5"/>
      <c r="P4370" s="5"/>
      <c r="Q4370" s="5"/>
      <c r="R4370" s="8"/>
      <c r="S4370" s="8"/>
      <c r="T4370" s="3"/>
    </row>
    <row r="4371" spans="14:20" x14ac:dyDescent="0.3">
      <c r="N4371" s="5"/>
      <c r="O4371" s="5"/>
      <c r="P4371" s="5"/>
      <c r="Q4371" s="5"/>
      <c r="R4371" s="8"/>
      <c r="S4371" s="8"/>
      <c r="T4371" s="3"/>
    </row>
    <row r="4372" spans="14:20" x14ac:dyDescent="0.3">
      <c r="N4372" s="5"/>
      <c r="O4372" s="5"/>
      <c r="P4372" s="5"/>
      <c r="Q4372" s="5"/>
      <c r="R4372" s="8"/>
      <c r="S4372" s="8"/>
      <c r="T4372" s="3"/>
    </row>
    <row r="4373" spans="14:20" x14ac:dyDescent="0.3">
      <c r="N4373" s="5"/>
      <c r="O4373" s="5"/>
      <c r="P4373" s="5"/>
      <c r="Q4373" s="5"/>
      <c r="R4373" s="8"/>
      <c r="S4373" s="8"/>
      <c r="T4373" s="3"/>
    </row>
    <row r="4374" spans="14:20" x14ac:dyDescent="0.3">
      <c r="N4374" s="5"/>
      <c r="O4374" s="5"/>
      <c r="P4374" s="5"/>
      <c r="Q4374" s="5"/>
      <c r="R4374" s="8"/>
      <c r="S4374" s="8"/>
      <c r="T4374" s="3"/>
    </row>
    <row r="4375" spans="14:20" x14ac:dyDescent="0.3">
      <c r="N4375" s="5"/>
      <c r="O4375" s="5"/>
      <c r="P4375" s="5"/>
      <c r="Q4375" s="5"/>
      <c r="R4375" s="8"/>
      <c r="S4375" s="8"/>
      <c r="T4375" s="3"/>
    </row>
    <row r="4376" spans="14:20" x14ac:dyDescent="0.3">
      <c r="N4376" s="5"/>
      <c r="O4376" s="5"/>
      <c r="P4376" s="5"/>
      <c r="Q4376" s="5"/>
      <c r="R4376" s="8"/>
      <c r="S4376" s="8"/>
      <c r="T4376" s="3"/>
    </row>
    <row r="4377" spans="14:20" x14ac:dyDescent="0.3">
      <c r="N4377" s="5"/>
      <c r="O4377" s="5"/>
      <c r="P4377" s="5"/>
      <c r="Q4377" s="5"/>
      <c r="R4377" s="8"/>
      <c r="S4377" s="8"/>
      <c r="T4377" s="3"/>
    </row>
    <row r="4378" spans="14:20" x14ac:dyDescent="0.3">
      <c r="N4378" s="5"/>
      <c r="O4378" s="5"/>
      <c r="P4378" s="5"/>
      <c r="Q4378" s="5"/>
      <c r="R4378" s="8"/>
      <c r="S4378" s="8"/>
      <c r="T4378" s="3"/>
    </row>
    <row r="4379" spans="14:20" x14ac:dyDescent="0.3">
      <c r="N4379" s="5"/>
      <c r="O4379" s="5"/>
      <c r="P4379" s="5"/>
      <c r="Q4379" s="5"/>
      <c r="R4379" s="8"/>
      <c r="S4379" s="8"/>
      <c r="T4379" s="3"/>
    </row>
    <row r="4380" spans="14:20" x14ac:dyDescent="0.3">
      <c r="N4380" s="5"/>
      <c r="O4380" s="5"/>
      <c r="P4380" s="5"/>
      <c r="Q4380" s="5"/>
      <c r="R4380" s="8"/>
      <c r="S4380" s="8"/>
      <c r="T4380" s="3"/>
    </row>
    <row r="4381" spans="14:20" x14ac:dyDescent="0.3">
      <c r="N4381" s="5"/>
      <c r="O4381" s="5"/>
      <c r="P4381" s="5"/>
      <c r="Q4381" s="5"/>
      <c r="R4381" s="8"/>
      <c r="S4381" s="8"/>
      <c r="T4381" s="3"/>
    </row>
    <row r="4382" spans="14:20" x14ac:dyDescent="0.3">
      <c r="N4382" s="5"/>
      <c r="O4382" s="5"/>
      <c r="P4382" s="5"/>
      <c r="Q4382" s="5"/>
      <c r="R4382" s="8"/>
      <c r="S4382" s="8"/>
      <c r="T4382" s="3"/>
    </row>
    <row r="4383" spans="14:20" x14ac:dyDescent="0.3">
      <c r="N4383" s="5"/>
      <c r="O4383" s="5"/>
      <c r="P4383" s="5"/>
      <c r="Q4383" s="5"/>
      <c r="R4383" s="8"/>
      <c r="S4383" s="8"/>
      <c r="T4383" s="3"/>
    </row>
    <row r="4384" spans="14:20" x14ac:dyDescent="0.3">
      <c r="N4384" s="5"/>
      <c r="O4384" s="5"/>
      <c r="P4384" s="5"/>
      <c r="Q4384" s="5"/>
      <c r="R4384" s="8"/>
      <c r="S4384" s="8"/>
      <c r="T4384" s="3"/>
    </row>
    <row r="4385" spans="14:20" x14ac:dyDescent="0.3">
      <c r="N4385" s="5"/>
      <c r="O4385" s="5"/>
      <c r="P4385" s="5"/>
      <c r="Q4385" s="5"/>
      <c r="R4385" s="8"/>
      <c r="S4385" s="8"/>
      <c r="T4385" s="3"/>
    </row>
    <row r="4386" spans="14:20" x14ac:dyDescent="0.3">
      <c r="N4386" s="5"/>
      <c r="O4386" s="5"/>
      <c r="P4386" s="5"/>
      <c r="Q4386" s="5"/>
      <c r="R4386" s="8"/>
      <c r="S4386" s="8"/>
      <c r="T4386" s="3"/>
    </row>
    <row r="4387" spans="14:20" x14ac:dyDescent="0.3">
      <c r="N4387" s="5"/>
      <c r="O4387" s="5"/>
      <c r="P4387" s="5"/>
      <c r="Q4387" s="5"/>
      <c r="R4387" s="8"/>
      <c r="S4387" s="8"/>
      <c r="T4387" s="3"/>
    </row>
    <row r="4388" spans="14:20" x14ac:dyDescent="0.3">
      <c r="N4388" s="5"/>
      <c r="O4388" s="5"/>
      <c r="P4388" s="5"/>
      <c r="Q4388" s="5"/>
      <c r="R4388" s="8"/>
      <c r="S4388" s="8"/>
      <c r="T4388" s="3"/>
    </row>
    <row r="4389" spans="14:20" x14ac:dyDescent="0.3">
      <c r="N4389" s="5"/>
      <c r="O4389" s="5"/>
      <c r="P4389" s="5"/>
      <c r="Q4389" s="5"/>
      <c r="R4389" s="8"/>
      <c r="S4389" s="8"/>
      <c r="T4389" s="3"/>
    </row>
    <row r="4390" spans="14:20" x14ac:dyDescent="0.3">
      <c r="N4390" s="5"/>
      <c r="O4390" s="5"/>
      <c r="P4390" s="5"/>
      <c r="Q4390" s="5"/>
      <c r="R4390" s="8"/>
      <c r="S4390" s="8"/>
      <c r="T4390" s="3"/>
    </row>
    <row r="4391" spans="14:20" x14ac:dyDescent="0.3">
      <c r="N4391" s="5"/>
      <c r="O4391" s="5"/>
      <c r="P4391" s="5"/>
      <c r="Q4391" s="5"/>
      <c r="R4391" s="8"/>
      <c r="S4391" s="8"/>
      <c r="T4391" s="3"/>
    </row>
    <row r="4392" spans="14:20" x14ac:dyDescent="0.3">
      <c r="N4392" s="5"/>
      <c r="O4392" s="5"/>
      <c r="P4392" s="5"/>
      <c r="Q4392" s="5"/>
      <c r="R4392" s="8"/>
      <c r="S4392" s="8"/>
      <c r="T4392" s="3"/>
    </row>
    <row r="4393" spans="14:20" x14ac:dyDescent="0.3">
      <c r="N4393" s="5"/>
      <c r="O4393" s="5"/>
      <c r="P4393" s="5"/>
      <c r="Q4393" s="5"/>
      <c r="R4393" s="8"/>
      <c r="S4393" s="8"/>
      <c r="T4393" s="3"/>
    </row>
    <row r="4394" spans="14:20" x14ac:dyDescent="0.3">
      <c r="N4394" s="5"/>
      <c r="O4394" s="5"/>
      <c r="P4394" s="5"/>
      <c r="Q4394" s="5"/>
      <c r="R4394" s="8"/>
      <c r="S4394" s="8"/>
      <c r="T4394" s="3"/>
    </row>
    <row r="4395" spans="14:20" x14ac:dyDescent="0.3">
      <c r="N4395" s="5"/>
      <c r="O4395" s="5"/>
      <c r="P4395" s="5"/>
      <c r="Q4395" s="5"/>
      <c r="R4395" s="8"/>
      <c r="S4395" s="8"/>
      <c r="T4395" s="3"/>
    </row>
    <row r="4396" spans="14:20" x14ac:dyDescent="0.3">
      <c r="N4396" s="5"/>
      <c r="O4396" s="5"/>
      <c r="P4396" s="5"/>
      <c r="Q4396" s="5"/>
      <c r="R4396" s="8"/>
      <c r="S4396" s="8"/>
      <c r="T4396" s="3"/>
    </row>
    <row r="4397" spans="14:20" x14ac:dyDescent="0.3">
      <c r="N4397" s="5"/>
      <c r="O4397" s="5"/>
      <c r="P4397" s="5"/>
      <c r="Q4397" s="5"/>
      <c r="R4397" s="8"/>
      <c r="S4397" s="8"/>
      <c r="T4397" s="3"/>
    </row>
    <row r="4398" spans="14:20" x14ac:dyDescent="0.3">
      <c r="N4398" s="5"/>
      <c r="O4398" s="5"/>
      <c r="P4398" s="5"/>
      <c r="Q4398" s="5"/>
      <c r="R4398" s="8"/>
      <c r="S4398" s="8"/>
      <c r="T4398" s="3"/>
    </row>
    <row r="4399" spans="14:20" x14ac:dyDescent="0.3">
      <c r="N4399" s="5"/>
      <c r="O4399" s="5"/>
      <c r="P4399" s="5"/>
      <c r="Q4399" s="5"/>
      <c r="R4399" s="8"/>
      <c r="S4399" s="8"/>
      <c r="T4399" s="3"/>
    </row>
    <row r="4400" spans="14:20" x14ac:dyDescent="0.3">
      <c r="N4400" s="5"/>
      <c r="O4400" s="5"/>
      <c r="P4400" s="5"/>
      <c r="Q4400" s="5"/>
      <c r="R4400" s="8"/>
      <c r="S4400" s="8"/>
      <c r="T4400" s="3"/>
    </row>
    <row r="4401" spans="14:20" x14ac:dyDescent="0.3">
      <c r="N4401" s="5"/>
      <c r="O4401" s="5"/>
      <c r="P4401" s="5"/>
      <c r="Q4401" s="5"/>
      <c r="R4401" s="8"/>
      <c r="S4401" s="8"/>
      <c r="T4401" s="3"/>
    </row>
    <row r="4402" spans="14:20" x14ac:dyDescent="0.3">
      <c r="N4402" s="5"/>
      <c r="O4402" s="5"/>
      <c r="P4402" s="5"/>
      <c r="Q4402" s="5"/>
      <c r="R4402" s="8"/>
      <c r="S4402" s="8"/>
      <c r="T4402" s="3"/>
    </row>
    <row r="4403" spans="14:20" x14ac:dyDescent="0.3">
      <c r="N4403" s="5"/>
      <c r="O4403" s="5"/>
      <c r="P4403" s="5"/>
      <c r="Q4403" s="5"/>
      <c r="R4403" s="8"/>
      <c r="S4403" s="8"/>
      <c r="T4403" s="3"/>
    </row>
    <row r="4404" spans="14:20" x14ac:dyDescent="0.3">
      <c r="N4404" s="5"/>
      <c r="O4404" s="5"/>
      <c r="P4404" s="5"/>
      <c r="Q4404" s="5"/>
      <c r="R4404" s="8"/>
      <c r="S4404" s="8"/>
      <c r="T4404" s="3"/>
    </row>
    <row r="4405" spans="14:20" x14ac:dyDescent="0.3">
      <c r="N4405" s="5"/>
      <c r="O4405" s="5"/>
      <c r="P4405" s="5"/>
      <c r="Q4405" s="5"/>
      <c r="R4405" s="8"/>
      <c r="S4405" s="8"/>
      <c r="T4405" s="3"/>
    </row>
    <row r="4406" spans="14:20" x14ac:dyDescent="0.3">
      <c r="N4406" s="5"/>
      <c r="O4406" s="5"/>
      <c r="P4406" s="5"/>
      <c r="Q4406" s="5"/>
      <c r="R4406" s="8"/>
      <c r="S4406" s="8"/>
      <c r="T4406" s="3"/>
    </row>
    <row r="4407" spans="14:20" x14ac:dyDescent="0.3">
      <c r="N4407" s="5"/>
      <c r="O4407" s="5"/>
      <c r="P4407" s="5"/>
      <c r="Q4407" s="5"/>
      <c r="R4407" s="8"/>
      <c r="S4407" s="8"/>
      <c r="T4407" s="3"/>
    </row>
    <row r="4408" spans="14:20" x14ac:dyDescent="0.3">
      <c r="N4408" s="5"/>
      <c r="O4408" s="5"/>
      <c r="P4408" s="5"/>
      <c r="Q4408" s="5"/>
      <c r="R4408" s="8"/>
      <c r="S4408" s="8"/>
      <c r="T4408" s="3"/>
    </row>
    <row r="4409" spans="14:20" x14ac:dyDescent="0.3">
      <c r="N4409" s="5"/>
      <c r="O4409" s="5"/>
      <c r="P4409" s="5"/>
      <c r="Q4409" s="5"/>
      <c r="R4409" s="8"/>
      <c r="S4409" s="8"/>
      <c r="T4409" s="3"/>
    </row>
    <row r="4410" spans="14:20" x14ac:dyDescent="0.3">
      <c r="N4410" s="5"/>
      <c r="O4410" s="5"/>
      <c r="P4410" s="5"/>
      <c r="Q4410" s="5"/>
      <c r="R4410" s="8"/>
      <c r="S4410" s="8"/>
      <c r="T4410" s="3"/>
    </row>
    <row r="4411" spans="14:20" x14ac:dyDescent="0.3">
      <c r="N4411" s="5"/>
      <c r="O4411" s="5"/>
      <c r="P4411" s="5"/>
      <c r="Q4411" s="5"/>
      <c r="R4411" s="8"/>
      <c r="S4411" s="8"/>
      <c r="T4411" s="3"/>
    </row>
    <row r="4412" spans="14:20" x14ac:dyDescent="0.3">
      <c r="N4412" s="5"/>
      <c r="O4412" s="5"/>
      <c r="P4412" s="5"/>
      <c r="Q4412" s="5"/>
      <c r="R4412" s="8"/>
      <c r="S4412" s="8"/>
      <c r="T4412" s="3"/>
    </row>
    <row r="4413" spans="14:20" x14ac:dyDescent="0.3">
      <c r="N4413" s="5"/>
      <c r="O4413" s="5"/>
      <c r="P4413" s="5"/>
      <c r="Q4413" s="5"/>
      <c r="R4413" s="8"/>
      <c r="S4413" s="8"/>
      <c r="T4413" s="3"/>
    </row>
    <row r="4414" spans="14:20" x14ac:dyDescent="0.3">
      <c r="N4414" s="5"/>
      <c r="O4414" s="5"/>
      <c r="P4414" s="5"/>
      <c r="Q4414" s="5"/>
      <c r="R4414" s="8"/>
      <c r="S4414" s="8"/>
      <c r="T4414" s="3"/>
    </row>
    <row r="4415" spans="14:20" x14ac:dyDescent="0.3">
      <c r="N4415" s="5"/>
      <c r="O4415" s="5"/>
      <c r="P4415" s="5"/>
      <c r="Q4415" s="5"/>
      <c r="R4415" s="8"/>
      <c r="S4415" s="8"/>
      <c r="T4415" s="3"/>
    </row>
    <row r="4416" spans="14:20" x14ac:dyDescent="0.3">
      <c r="N4416" s="5"/>
      <c r="O4416" s="5"/>
      <c r="P4416" s="5"/>
      <c r="Q4416" s="5"/>
      <c r="R4416" s="8"/>
      <c r="S4416" s="8"/>
      <c r="T4416" s="3"/>
    </row>
    <row r="4417" spans="14:20" x14ac:dyDescent="0.3">
      <c r="N4417" s="5"/>
      <c r="O4417" s="5"/>
      <c r="P4417" s="5"/>
      <c r="Q4417" s="5"/>
      <c r="R4417" s="8"/>
      <c r="S4417" s="8"/>
      <c r="T4417" s="3"/>
    </row>
    <row r="4418" spans="14:20" x14ac:dyDescent="0.3">
      <c r="N4418" s="5"/>
      <c r="O4418" s="5"/>
      <c r="P4418" s="5"/>
      <c r="Q4418" s="5"/>
      <c r="R4418" s="8"/>
      <c r="S4418" s="8"/>
      <c r="T4418" s="3"/>
    </row>
    <row r="4419" spans="14:20" x14ac:dyDescent="0.3">
      <c r="N4419" s="5"/>
      <c r="O4419" s="5"/>
      <c r="P4419" s="5"/>
      <c r="Q4419" s="5"/>
      <c r="R4419" s="8"/>
      <c r="S4419" s="8"/>
      <c r="T4419" s="3"/>
    </row>
    <row r="4420" spans="14:20" x14ac:dyDescent="0.3">
      <c r="N4420" s="5"/>
      <c r="O4420" s="5"/>
      <c r="P4420" s="5"/>
      <c r="Q4420" s="5"/>
      <c r="R4420" s="8"/>
      <c r="S4420" s="8"/>
      <c r="T4420" s="3"/>
    </row>
    <row r="4421" spans="14:20" x14ac:dyDescent="0.3">
      <c r="N4421" s="5"/>
      <c r="O4421" s="5"/>
      <c r="P4421" s="5"/>
      <c r="Q4421" s="5"/>
      <c r="R4421" s="8"/>
      <c r="S4421" s="8"/>
      <c r="T4421" s="3"/>
    </row>
    <row r="4422" spans="14:20" x14ac:dyDescent="0.3">
      <c r="N4422" s="5"/>
      <c r="O4422" s="5"/>
      <c r="P4422" s="5"/>
      <c r="Q4422" s="5"/>
      <c r="R4422" s="8"/>
      <c r="S4422" s="8"/>
      <c r="T4422" s="3"/>
    </row>
    <row r="4423" spans="14:20" x14ac:dyDescent="0.3">
      <c r="N4423" s="5"/>
      <c r="O4423" s="5"/>
      <c r="P4423" s="5"/>
      <c r="Q4423" s="5"/>
      <c r="R4423" s="8"/>
      <c r="S4423" s="8"/>
      <c r="T4423" s="3"/>
    </row>
    <row r="4424" spans="14:20" x14ac:dyDescent="0.3">
      <c r="N4424" s="5"/>
      <c r="O4424" s="5"/>
      <c r="P4424" s="5"/>
      <c r="Q4424" s="5"/>
      <c r="R4424" s="8"/>
      <c r="S4424" s="8"/>
      <c r="T4424" s="3"/>
    </row>
    <row r="4425" spans="14:20" x14ac:dyDescent="0.3">
      <c r="N4425" s="5"/>
      <c r="O4425" s="5"/>
      <c r="P4425" s="5"/>
      <c r="Q4425" s="5"/>
      <c r="R4425" s="8"/>
      <c r="S4425" s="8"/>
      <c r="T4425" s="3"/>
    </row>
    <row r="4426" spans="14:20" x14ac:dyDescent="0.3">
      <c r="N4426" s="5"/>
      <c r="O4426" s="5"/>
      <c r="P4426" s="5"/>
      <c r="Q4426" s="5"/>
      <c r="R4426" s="8"/>
      <c r="S4426" s="8"/>
      <c r="T4426" s="3"/>
    </row>
    <row r="4427" spans="14:20" x14ac:dyDescent="0.3">
      <c r="N4427" s="5"/>
      <c r="O4427" s="5"/>
      <c r="P4427" s="5"/>
      <c r="Q4427" s="5"/>
      <c r="R4427" s="8"/>
      <c r="S4427" s="8"/>
      <c r="T4427" s="3"/>
    </row>
    <row r="4428" spans="14:20" x14ac:dyDescent="0.3">
      <c r="N4428" s="5"/>
      <c r="O4428" s="5"/>
      <c r="P4428" s="5"/>
      <c r="Q4428" s="5"/>
      <c r="R4428" s="8"/>
      <c r="S4428" s="8"/>
      <c r="T4428" s="3"/>
    </row>
    <row r="4429" spans="14:20" x14ac:dyDescent="0.3">
      <c r="N4429" s="5"/>
      <c r="O4429" s="5"/>
      <c r="P4429" s="5"/>
      <c r="Q4429" s="5"/>
      <c r="R4429" s="8"/>
      <c r="S4429" s="8"/>
      <c r="T4429" s="3"/>
    </row>
    <row r="4430" spans="14:20" x14ac:dyDescent="0.3">
      <c r="N4430" s="5"/>
      <c r="O4430" s="5"/>
      <c r="P4430" s="5"/>
      <c r="Q4430" s="5"/>
      <c r="R4430" s="8"/>
      <c r="S4430" s="8"/>
      <c r="T4430" s="3"/>
    </row>
    <row r="4431" spans="14:20" x14ac:dyDescent="0.3">
      <c r="N4431" s="5"/>
      <c r="O4431" s="5"/>
      <c r="P4431" s="5"/>
      <c r="Q4431" s="5"/>
      <c r="R4431" s="8"/>
      <c r="S4431" s="8"/>
      <c r="T4431" s="3"/>
    </row>
    <row r="4432" spans="14:20" x14ac:dyDescent="0.3">
      <c r="N4432" s="5"/>
      <c r="O4432" s="5"/>
      <c r="P4432" s="5"/>
      <c r="Q4432" s="5"/>
      <c r="R4432" s="8"/>
      <c r="S4432" s="8"/>
      <c r="T4432" s="3"/>
    </row>
    <row r="4433" spans="14:20" x14ac:dyDescent="0.3">
      <c r="N4433" s="5"/>
      <c r="O4433" s="5"/>
      <c r="P4433" s="5"/>
      <c r="Q4433" s="5"/>
      <c r="R4433" s="8"/>
      <c r="S4433" s="8"/>
      <c r="T4433" s="3"/>
    </row>
    <row r="4434" spans="14:20" x14ac:dyDescent="0.3">
      <c r="N4434" s="5"/>
      <c r="O4434" s="5"/>
      <c r="P4434" s="5"/>
      <c r="Q4434" s="5"/>
      <c r="R4434" s="8"/>
      <c r="S4434" s="8"/>
      <c r="T4434" s="3"/>
    </row>
    <row r="4435" spans="14:20" x14ac:dyDescent="0.3">
      <c r="N4435" s="5"/>
      <c r="O4435" s="5"/>
      <c r="P4435" s="5"/>
      <c r="Q4435" s="5"/>
      <c r="R4435" s="8"/>
      <c r="S4435" s="8"/>
      <c r="T4435" s="3"/>
    </row>
    <row r="4436" spans="14:20" x14ac:dyDescent="0.3">
      <c r="N4436" s="5"/>
      <c r="O4436" s="5"/>
      <c r="P4436" s="5"/>
      <c r="Q4436" s="5"/>
      <c r="R4436" s="8"/>
      <c r="S4436" s="8"/>
      <c r="T4436" s="3"/>
    </row>
    <row r="4437" spans="14:20" x14ac:dyDescent="0.3">
      <c r="N4437" s="5"/>
      <c r="O4437" s="5"/>
      <c r="P4437" s="5"/>
      <c r="Q4437" s="5"/>
      <c r="R4437" s="8"/>
      <c r="S4437" s="8"/>
      <c r="T4437" s="3"/>
    </row>
    <row r="4438" spans="14:20" x14ac:dyDescent="0.3">
      <c r="N4438" s="5"/>
      <c r="O4438" s="5"/>
      <c r="P4438" s="5"/>
      <c r="Q4438" s="5"/>
      <c r="R4438" s="8"/>
      <c r="S4438" s="8"/>
      <c r="T4438" s="3"/>
    </row>
    <row r="4439" spans="14:20" x14ac:dyDescent="0.3">
      <c r="N4439" s="5"/>
      <c r="O4439" s="5"/>
      <c r="P4439" s="5"/>
      <c r="Q4439" s="5"/>
      <c r="R4439" s="8"/>
      <c r="S4439" s="8"/>
      <c r="T4439" s="3"/>
    </row>
    <row r="4440" spans="14:20" x14ac:dyDescent="0.3">
      <c r="N4440" s="5"/>
      <c r="O4440" s="5"/>
      <c r="P4440" s="5"/>
      <c r="Q4440" s="5"/>
      <c r="R4440" s="8"/>
      <c r="S4440" s="8"/>
      <c r="T4440" s="3"/>
    </row>
    <row r="4441" spans="14:20" x14ac:dyDescent="0.3">
      <c r="N4441" s="5"/>
      <c r="O4441" s="5"/>
      <c r="P4441" s="5"/>
      <c r="Q4441" s="5"/>
      <c r="R4441" s="8"/>
      <c r="S4441" s="8"/>
      <c r="T4441" s="3"/>
    </row>
    <row r="4442" spans="14:20" x14ac:dyDescent="0.3">
      <c r="N4442" s="5"/>
      <c r="O4442" s="5"/>
      <c r="P4442" s="5"/>
      <c r="Q4442" s="5"/>
      <c r="R4442" s="8"/>
      <c r="S4442" s="8"/>
      <c r="T4442" s="3"/>
    </row>
    <row r="4443" spans="14:20" x14ac:dyDescent="0.3">
      <c r="N4443" s="5"/>
      <c r="O4443" s="5"/>
      <c r="P4443" s="5"/>
      <c r="Q4443" s="5"/>
      <c r="R4443" s="8"/>
      <c r="S4443" s="8"/>
      <c r="T4443" s="3"/>
    </row>
    <row r="4444" spans="14:20" x14ac:dyDescent="0.3">
      <c r="N4444" s="5"/>
      <c r="O4444" s="5"/>
      <c r="P4444" s="5"/>
      <c r="Q4444" s="5"/>
      <c r="R4444" s="8"/>
      <c r="S4444" s="8"/>
      <c r="T4444" s="3"/>
    </row>
    <row r="4445" spans="14:20" x14ac:dyDescent="0.3">
      <c r="N4445" s="5"/>
      <c r="O4445" s="5"/>
      <c r="P4445" s="5"/>
      <c r="Q4445" s="5"/>
      <c r="R4445" s="8"/>
      <c r="S4445" s="8"/>
      <c r="T4445" s="3"/>
    </row>
    <row r="4446" spans="14:20" x14ac:dyDescent="0.3">
      <c r="N4446" s="5"/>
      <c r="O4446" s="5"/>
      <c r="P4446" s="5"/>
      <c r="Q4446" s="5"/>
      <c r="R4446" s="8"/>
      <c r="S4446" s="8"/>
      <c r="T4446" s="3"/>
    </row>
    <row r="4447" spans="14:20" x14ac:dyDescent="0.3">
      <c r="N4447" s="5"/>
      <c r="O4447" s="5"/>
      <c r="P4447" s="5"/>
      <c r="Q4447" s="5"/>
      <c r="R4447" s="8"/>
      <c r="S4447" s="8"/>
      <c r="T4447" s="3"/>
    </row>
    <row r="4448" spans="14:20" x14ac:dyDescent="0.3">
      <c r="N4448" s="5"/>
      <c r="O4448" s="5"/>
      <c r="P4448" s="5"/>
      <c r="Q4448" s="5"/>
      <c r="R4448" s="8"/>
      <c r="S4448" s="8"/>
      <c r="T4448" s="3"/>
    </row>
    <row r="4449" spans="14:20" x14ac:dyDescent="0.3">
      <c r="N4449" s="5"/>
      <c r="O4449" s="5"/>
      <c r="P4449" s="5"/>
      <c r="Q4449" s="5"/>
      <c r="R4449" s="8"/>
      <c r="S4449" s="8"/>
      <c r="T4449" s="3"/>
    </row>
    <row r="4450" spans="14:20" x14ac:dyDescent="0.3">
      <c r="N4450" s="5"/>
      <c r="O4450" s="5"/>
      <c r="P4450" s="5"/>
      <c r="Q4450" s="5"/>
      <c r="R4450" s="8"/>
      <c r="S4450" s="8"/>
      <c r="T4450" s="3"/>
    </row>
    <row r="4451" spans="14:20" x14ac:dyDescent="0.3">
      <c r="N4451" s="5"/>
      <c r="O4451" s="5"/>
      <c r="P4451" s="5"/>
      <c r="Q4451" s="5"/>
      <c r="R4451" s="8"/>
      <c r="S4451" s="8"/>
      <c r="T4451" s="3"/>
    </row>
    <row r="4452" spans="14:20" x14ac:dyDescent="0.3">
      <c r="N4452" s="5"/>
      <c r="O4452" s="5"/>
      <c r="P4452" s="5"/>
      <c r="Q4452" s="5"/>
      <c r="R4452" s="8"/>
      <c r="S4452" s="8"/>
      <c r="T4452" s="3"/>
    </row>
    <row r="4453" spans="14:20" x14ac:dyDescent="0.3">
      <c r="N4453" s="5"/>
      <c r="O4453" s="5"/>
      <c r="P4453" s="5"/>
      <c r="Q4453" s="5"/>
      <c r="R4453" s="8"/>
      <c r="S4453" s="8"/>
      <c r="T4453" s="3"/>
    </row>
    <row r="4454" spans="14:20" x14ac:dyDescent="0.3">
      <c r="N4454" s="5"/>
      <c r="O4454" s="5"/>
      <c r="P4454" s="5"/>
      <c r="Q4454" s="5"/>
      <c r="R4454" s="8"/>
      <c r="S4454" s="8"/>
      <c r="T4454" s="3"/>
    </row>
    <row r="4455" spans="14:20" x14ac:dyDescent="0.3">
      <c r="N4455" s="5"/>
      <c r="O4455" s="5"/>
      <c r="P4455" s="5"/>
      <c r="Q4455" s="5"/>
      <c r="R4455" s="8"/>
      <c r="S4455" s="8"/>
      <c r="T4455" s="3"/>
    </row>
    <row r="4456" spans="14:20" x14ac:dyDescent="0.3">
      <c r="N4456" s="5"/>
      <c r="O4456" s="5"/>
      <c r="P4456" s="5"/>
      <c r="Q4456" s="5"/>
      <c r="R4456" s="8"/>
      <c r="S4456" s="8"/>
      <c r="T4456" s="3"/>
    </row>
    <row r="4457" spans="14:20" x14ac:dyDescent="0.3">
      <c r="N4457" s="5"/>
      <c r="O4457" s="5"/>
      <c r="P4457" s="5"/>
      <c r="Q4457" s="5"/>
      <c r="R4457" s="8"/>
      <c r="S4457" s="8"/>
      <c r="T4457" s="3"/>
    </row>
    <row r="4458" spans="14:20" x14ac:dyDescent="0.3">
      <c r="N4458" s="5"/>
      <c r="O4458" s="5"/>
      <c r="P4458" s="5"/>
      <c r="Q4458" s="5"/>
      <c r="R4458" s="8"/>
      <c r="S4458" s="8"/>
      <c r="T4458" s="3"/>
    </row>
    <row r="4459" spans="14:20" x14ac:dyDescent="0.3">
      <c r="N4459" s="5"/>
      <c r="O4459" s="5"/>
      <c r="P4459" s="5"/>
      <c r="Q4459" s="5"/>
      <c r="R4459" s="8"/>
      <c r="S4459" s="8"/>
      <c r="T4459" s="3"/>
    </row>
    <row r="4460" spans="14:20" x14ac:dyDescent="0.3">
      <c r="N4460" s="5"/>
      <c r="O4460" s="5"/>
      <c r="P4460" s="5"/>
      <c r="Q4460" s="5"/>
      <c r="R4460" s="8"/>
      <c r="S4460" s="8"/>
      <c r="T4460" s="3"/>
    </row>
    <row r="4461" spans="14:20" x14ac:dyDescent="0.3">
      <c r="N4461" s="5"/>
      <c r="O4461" s="5"/>
      <c r="P4461" s="5"/>
      <c r="Q4461" s="5"/>
      <c r="R4461" s="8"/>
      <c r="S4461" s="8"/>
      <c r="T4461" s="3"/>
    </row>
    <row r="4462" spans="14:20" x14ac:dyDescent="0.3">
      <c r="N4462" s="5"/>
      <c r="O4462" s="5"/>
      <c r="P4462" s="5"/>
      <c r="Q4462" s="5"/>
      <c r="R4462" s="8"/>
      <c r="S4462" s="8"/>
      <c r="T4462" s="3"/>
    </row>
    <row r="4463" spans="14:20" x14ac:dyDescent="0.3">
      <c r="N4463" s="5"/>
      <c r="O4463" s="5"/>
      <c r="P4463" s="5"/>
      <c r="Q4463" s="5"/>
      <c r="R4463" s="8"/>
      <c r="S4463" s="8"/>
      <c r="T4463" s="3"/>
    </row>
    <row r="4464" spans="14:20" x14ac:dyDescent="0.3">
      <c r="N4464" s="5"/>
      <c r="O4464" s="5"/>
      <c r="P4464" s="5"/>
      <c r="Q4464" s="5"/>
      <c r="R4464" s="8"/>
      <c r="S4464" s="8"/>
      <c r="T4464" s="3"/>
    </row>
    <row r="4465" spans="14:20" x14ac:dyDescent="0.3">
      <c r="N4465" s="5"/>
      <c r="O4465" s="5"/>
      <c r="P4465" s="5"/>
      <c r="Q4465" s="5"/>
      <c r="R4465" s="8"/>
      <c r="S4465" s="8"/>
      <c r="T4465" s="3"/>
    </row>
    <row r="4466" spans="14:20" x14ac:dyDescent="0.3">
      <c r="N4466" s="5"/>
      <c r="O4466" s="5"/>
      <c r="P4466" s="5"/>
      <c r="Q4466" s="5"/>
      <c r="R4466" s="8"/>
      <c r="S4466" s="8"/>
      <c r="T4466" s="3"/>
    </row>
    <row r="4467" spans="14:20" x14ac:dyDescent="0.3">
      <c r="N4467" s="5"/>
      <c r="O4467" s="5"/>
      <c r="P4467" s="5"/>
      <c r="Q4467" s="5"/>
      <c r="R4467" s="8"/>
      <c r="S4467" s="8"/>
      <c r="T4467" s="3"/>
    </row>
    <row r="4468" spans="14:20" x14ac:dyDescent="0.3">
      <c r="N4468" s="5"/>
      <c r="O4468" s="5"/>
      <c r="P4468" s="5"/>
      <c r="Q4468" s="5"/>
      <c r="R4468" s="8"/>
      <c r="S4468" s="8"/>
      <c r="T4468" s="3"/>
    </row>
    <row r="4469" spans="14:20" x14ac:dyDescent="0.3">
      <c r="N4469" s="5"/>
      <c r="O4469" s="5"/>
      <c r="P4469" s="5"/>
      <c r="Q4469" s="5"/>
      <c r="R4469" s="8"/>
      <c r="S4469" s="8"/>
      <c r="T4469" s="3"/>
    </row>
    <row r="4470" spans="14:20" x14ac:dyDescent="0.3">
      <c r="N4470" s="5"/>
      <c r="O4470" s="5"/>
      <c r="P4470" s="5"/>
      <c r="Q4470" s="5"/>
      <c r="R4470" s="8"/>
      <c r="S4470" s="8"/>
      <c r="T4470" s="3"/>
    </row>
    <row r="4471" spans="14:20" x14ac:dyDescent="0.3">
      <c r="N4471" s="5"/>
      <c r="O4471" s="5"/>
      <c r="P4471" s="5"/>
      <c r="Q4471" s="5"/>
      <c r="R4471" s="8"/>
      <c r="S4471" s="8"/>
      <c r="T4471" s="3"/>
    </row>
    <row r="4472" spans="14:20" x14ac:dyDescent="0.3">
      <c r="N4472" s="5"/>
      <c r="O4472" s="5"/>
      <c r="P4472" s="5"/>
      <c r="Q4472" s="5"/>
      <c r="R4472" s="8"/>
      <c r="S4472" s="8"/>
      <c r="T4472" s="3"/>
    </row>
    <row r="4473" spans="14:20" x14ac:dyDescent="0.3">
      <c r="N4473" s="5"/>
      <c r="O4473" s="5"/>
      <c r="P4473" s="5"/>
      <c r="Q4473" s="5"/>
      <c r="R4473" s="8"/>
      <c r="S4473" s="8"/>
      <c r="T4473" s="3"/>
    </row>
    <row r="4474" spans="14:20" x14ac:dyDescent="0.3">
      <c r="N4474" s="5"/>
      <c r="O4474" s="5"/>
      <c r="P4474" s="5"/>
      <c r="Q4474" s="5"/>
      <c r="R4474" s="8"/>
      <c r="S4474" s="8"/>
      <c r="T4474" s="3"/>
    </row>
    <row r="4475" spans="14:20" x14ac:dyDescent="0.3">
      <c r="N4475" s="5"/>
      <c r="O4475" s="5"/>
      <c r="P4475" s="5"/>
      <c r="Q4475" s="5"/>
      <c r="R4475" s="8"/>
      <c r="S4475" s="8"/>
      <c r="T4475" s="3"/>
    </row>
    <row r="4476" spans="14:20" x14ac:dyDescent="0.3">
      <c r="N4476" s="5"/>
      <c r="O4476" s="5"/>
      <c r="P4476" s="5"/>
      <c r="Q4476" s="5"/>
      <c r="R4476" s="8"/>
      <c r="S4476" s="8"/>
      <c r="T4476" s="3"/>
    </row>
    <row r="4477" spans="14:20" x14ac:dyDescent="0.3">
      <c r="N4477" s="5"/>
      <c r="O4477" s="5"/>
      <c r="P4477" s="5"/>
      <c r="Q4477" s="5"/>
      <c r="R4477" s="8"/>
      <c r="S4477" s="8"/>
      <c r="T4477" s="3"/>
    </row>
    <row r="4478" spans="14:20" x14ac:dyDescent="0.3">
      <c r="N4478" s="5"/>
      <c r="O4478" s="5"/>
      <c r="P4478" s="5"/>
      <c r="Q4478" s="5"/>
      <c r="R4478" s="8"/>
      <c r="S4478" s="8"/>
      <c r="T4478" s="3"/>
    </row>
    <row r="4479" spans="14:20" x14ac:dyDescent="0.3">
      <c r="N4479" s="5"/>
      <c r="O4479" s="5"/>
      <c r="P4479" s="5"/>
      <c r="Q4479" s="5"/>
      <c r="R4479" s="8"/>
      <c r="S4479" s="8"/>
      <c r="T4479" s="3"/>
    </row>
    <row r="4480" spans="14:20" x14ac:dyDescent="0.3">
      <c r="N4480" s="5"/>
      <c r="O4480" s="5"/>
      <c r="P4480" s="5"/>
      <c r="Q4480" s="5"/>
      <c r="R4480" s="8"/>
      <c r="S4480" s="8"/>
      <c r="T4480" s="3"/>
    </row>
    <row r="4481" spans="14:20" x14ac:dyDescent="0.3">
      <c r="N4481" s="5"/>
      <c r="O4481" s="5"/>
      <c r="P4481" s="5"/>
      <c r="Q4481" s="5"/>
      <c r="R4481" s="8"/>
      <c r="S4481" s="8"/>
      <c r="T4481" s="3"/>
    </row>
    <row r="4482" spans="14:20" x14ac:dyDescent="0.3">
      <c r="N4482" s="5"/>
      <c r="O4482" s="5"/>
      <c r="P4482" s="5"/>
      <c r="Q4482" s="5"/>
      <c r="R4482" s="8"/>
      <c r="S4482" s="8"/>
      <c r="T4482" s="3"/>
    </row>
    <row r="4483" spans="14:20" x14ac:dyDescent="0.3">
      <c r="N4483" s="5"/>
      <c r="O4483" s="5"/>
      <c r="P4483" s="5"/>
      <c r="Q4483" s="5"/>
      <c r="R4483" s="8"/>
      <c r="S4483" s="8"/>
      <c r="T4483" s="3"/>
    </row>
    <row r="4484" spans="14:20" x14ac:dyDescent="0.3">
      <c r="N4484" s="5"/>
      <c r="O4484" s="5"/>
      <c r="P4484" s="5"/>
      <c r="Q4484" s="5"/>
      <c r="R4484" s="8"/>
      <c r="S4484" s="8"/>
      <c r="T4484" s="3"/>
    </row>
    <row r="4485" spans="14:20" x14ac:dyDescent="0.3">
      <c r="N4485" s="5"/>
      <c r="O4485" s="5"/>
      <c r="P4485" s="5"/>
      <c r="Q4485" s="5"/>
      <c r="R4485" s="8"/>
      <c r="S4485" s="8"/>
      <c r="T4485" s="3"/>
    </row>
    <row r="4486" spans="14:20" x14ac:dyDescent="0.3">
      <c r="N4486" s="5"/>
      <c r="O4486" s="5"/>
      <c r="P4486" s="5"/>
      <c r="Q4486" s="5"/>
      <c r="R4486" s="8"/>
      <c r="S4486" s="8"/>
      <c r="T4486" s="3"/>
    </row>
    <row r="4487" spans="14:20" x14ac:dyDescent="0.3">
      <c r="N4487" s="5"/>
      <c r="O4487" s="5"/>
      <c r="P4487" s="5"/>
      <c r="Q4487" s="5"/>
      <c r="R4487" s="8"/>
      <c r="S4487" s="8"/>
      <c r="T4487" s="3"/>
    </row>
    <row r="4488" spans="14:20" x14ac:dyDescent="0.3">
      <c r="N4488" s="5"/>
      <c r="O4488" s="5"/>
      <c r="P4488" s="5"/>
      <c r="Q4488" s="5"/>
      <c r="R4488" s="8"/>
      <c r="S4488" s="8"/>
      <c r="T4488" s="3"/>
    </row>
    <row r="4489" spans="14:20" x14ac:dyDescent="0.3">
      <c r="N4489" s="5"/>
      <c r="O4489" s="5"/>
      <c r="P4489" s="5"/>
      <c r="Q4489" s="5"/>
      <c r="R4489" s="8"/>
      <c r="S4489" s="8"/>
      <c r="T4489" s="3"/>
    </row>
    <row r="4490" spans="14:20" x14ac:dyDescent="0.3">
      <c r="N4490" s="5"/>
      <c r="O4490" s="5"/>
      <c r="P4490" s="5"/>
      <c r="Q4490" s="5"/>
      <c r="R4490" s="8"/>
      <c r="S4490" s="8"/>
      <c r="T4490" s="3"/>
    </row>
    <row r="4491" spans="14:20" x14ac:dyDescent="0.3">
      <c r="N4491" s="5"/>
      <c r="O4491" s="5"/>
      <c r="P4491" s="5"/>
      <c r="Q4491" s="5"/>
      <c r="R4491" s="8"/>
      <c r="S4491" s="8"/>
      <c r="T4491" s="3"/>
    </row>
    <row r="4492" spans="14:20" x14ac:dyDescent="0.3">
      <c r="N4492" s="5"/>
      <c r="O4492" s="5"/>
      <c r="P4492" s="5"/>
      <c r="Q4492" s="5"/>
      <c r="R4492" s="8"/>
      <c r="S4492" s="8"/>
      <c r="T4492" s="3"/>
    </row>
    <row r="4493" spans="14:20" x14ac:dyDescent="0.3">
      <c r="N4493" s="5"/>
      <c r="O4493" s="5"/>
      <c r="P4493" s="5"/>
      <c r="Q4493" s="5"/>
      <c r="R4493" s="8"/>
      <c r="S4493" s="8"/>
      <c r="T4493" s="3"/>
    </row>
    <row r="4494" spans="14:20" x14ac:dyDescent="0.3">
      <c r="N4494" s="5"/>
      <c r="O4494" s="5"/>
      <c r="P4494" s="5"/>
      <c r="Q4494" s="5"/>
      <c r="R4494" s="8"/>
      <c r="S4494" s="8"/>
      <c r="T4494" s="3"/>
    </row>
    <row r="4495" spans="14:20" x14ac:dyDescent="0.3">
      <c r="N4495" s="5"/>
      <c r="O4495" s="5"/>
      <c r="P4495" s="5"/>
      <c r="Q4495" s="5"/>
      <c r="R4495" s="8"/>
      <c r="S4495" s="8"/>
      <c r="T4495" s="3"/>
    </row>
    <row r="4496" spans="14:20" x14ac:dyDescent="0.3">
      <c r="N4496" s="5"/>
      <c r="O4496" s="5"/>
      <c r="P4496" s="5"/>
      <c r="Q4496" s="5"/>
      <c r="R4496" s="8"/>
      <c r="S4496" s="8"/>
      <c r="T4496" s="3"/>
    </row>
    <row r="4497" spans="14:20" x14ac:dyDescent="0.3">
      <c r="N4497" s="5"/>
      <c r="O4497" s="5"/>
      <c r="P4497" s="5"/>
      <c r="Q4497" s="5"/>
      <c r="R4497" s="8"/>
      <c r="S4497" s="8"/>
      <c r="T4497" s="3"/>
    </row>
    <row r="4498" spans="14:20" x14ac:dyDescent="0.3">
      <c r="N4498" s="5"/>
      <c r="O4498" s="5"/>
      <c r="P4498" s="5"/>
      <c r="Q4498" s="5"/>
      <c r="R4498" s="8"/>
      <c r="S4498" s="8"/>
      <c r="T4498" s="3"/>
    </row>
    <row r="4499" spans="14:20" x14ac:dyDescent="0.3">
      <c r="N4499" s="5"/>
      <c r="O4499" s="5"/>
      <c r="P4499" s="5"/>
      <c r="Q4499" s="5"/>
      <c r="R4499" s="8"/>
      <c r="S4499" s="8"/>
      <c r="T4499" s="3"/>
    </row>
    <row r="4500" spans="14:20" x14ac:dyDescent="0.3">
      <c r="N4500" s="5"/>
      <c r="O4500" s="5"/>
      <c r="P4500" s="5"/>
      <c r="Q4500" s="5"/>
      <c r="R4500" s="8"/>
      <c r="S4500" s="8"/>
      <c r="T4500" s="3"/>
    </row>
    <row r="4501" spans="14:20" x14ac:dyDescent="0.3">
      <c r="N4501" s="5"/>
      <c r="O4501" s="5"/>
      <c r="P4501" s="5"/>
      <c r="Q4501" s="5"/>
      <c r="R4501" s="8"/>
      <c r="S4501" s="8"/>
      <c r="T4501" s="3"/>
    </row>
    <row r="4502" spans="14:20" x14ac:dyDescent="0.3">
      <c r="N4502" s="5"/>
      <c r="O4502" s="5"/>
      <c r="P4502" s="5"/>
      <c r="Q4502" s="5"/>
      <c r="R4502" s="8"/>
      <c r="S4502" s="8"/>
      <c r="T4502" s="3"/>
    </row>
    <row r="4503" spans="14:20" x14ac:dyDescent="0.3">
      <c r="N4503" s="5"/>
      <c r="O4503" s="5"/>
      <c r="P4503" s="5"/>
      <c r="Q4503" s="5"/>
      <c r="R4503" s="8"/>
      <c r="S4503" s="8"/>
      <c r="T4503" s="3"/>
    </row>
    <row r="4504" spans="14:20" x14ac:dyDescent="0.3">
      <c r="N4504" s="5"/>
      <c r="O4504" s="5"/>
      <c r="P4504" s="5"/>
      <c r="Q4504" s="5"/>
      <c r="R4504" s="8"/>
      <c r="S4504" s="8"/>
      <c r="T4504" s="3"/>
    </row>
    <row r="4505" spans="14:20" x14ac:dyDescent="0.3">
      <c r="N4505" s="5"/>
      <c r="O4505" s="5"/>
      <c r="P4505" s="5"/>
      <c r="Q4505" s="5"/>
      <c r="R4505" s="8"/>
      <c r="S4505" s="8"/>
      <c r="T4505" s="3"/>
    </row>
    <row r="4506" spans="14:20" x14ac:dyDescent="0.3">
      <c r="N4506" s="5"/>
      <c r="O4506" s="5"/>
      <c r="P4506" s="5"/>
      <c r="Q4506" s="5"/>
      <c r="R4506" s="8"/>
      <c r="S4506" s="8"/>
      <c r="T4506" s="3"/>
    </row>
    <row r="4507" spans="14:20" x14ac:dyDescent="0.3">
      <c r="N4507" s="5"/>
      <c r="O4507" s="5"/>
      <c r="P4507" s="5"/>
      <c r="Q4507" s="5"/>
      <c r="R4507" s="8"/>
      <c r="S4507" s="8"/>
      <c r="T4507" s="3"/>
    </row>
    <row r="4508" spans="14:20" x14ac:dyDescent="0.3">
      <c r="N4508" s="5"/>
      <c r="O4508" s="5"/>
      <c r="P4508" s="5"/>
      <c r="Q4508" s="5"/>
      <c r="R4508" s="8"/>
      <c r="S4508" s="8"/>
      <c r="T4508" s="3"/>
    </row>
    <row r="4509" spans="14:20" x14ac:dyDescent="0.3">
      <c r="N4509" s="5"/>
      <c r="O4509" s="5"/>
      <c r="P4509" s="5"/>
      <c r="Q4509" s="5"/>
      <c r="R4509" s="8"/>
      <c r="S4509" s="8"/>
      <c r="T4509" s="3"/>
    </row>
    <row r="4510" spans="14:20" x14ac:dyDescent="0.3">
      <c r="N4510" s="5"/>
      <c r="O4510" s="5"/>
      <c r="P4510" s="5"/>
      <c r="Q4510" s="5"/>
      <c r="R4510" s="8"/>
      <c r="S4510" s="8"/>
      <c r="T4510" s="3"/>
    </row>
    <row r="4511" spans="14:20" x14ac:dyDescent="0.3">
      <c r="N4511" s="5"/>
      <c r="O4511" s="5"/>
      <c r="P4511" s="5"/>
      <c r="Q4511" s="5"/>
      <c r="R4511" s="8"/>
      <c r="S4511" s="8"/>
      <c r="T4511" s="3"/>
    </row>
    <row r="4512" spans="14:20" x14ac:dyDescent="0.3">
      <c r="N4512" s="5"/>
      <c r="O4512" s="5"/>
      <c r="P4512" s="5"/>
      <c r="Q4512" s="5"/>
      <c r="R4512" s="8"/>
      <c r="S4512" s="8"/>
      <c r="T4512" s="3"/>
    </row>
    <row r="4513" spans="14:20" x14ac:dyDescent="0.3">
      <c r="N4513" s="5"/>
      <c r="O4513" s="5"/>
      <c r="P4513" s="5"/>
      <c r="Q4513" s="5"/>
      <c r="R4513" s="8"/>
      <c r="S4513" s="8"/>
      <c r="T4513" s="3"/>
    </row>
    <row r="4514" spans="14:20" x14ac:dyDescent="0.3">
      <c r="N4514" s="5"/>
      <c r="O4514" s="5"/>
      <c r="P4514" s="5"/>
      <c r="Q4514" s="5"/>
      <c r="R4514" s="8"/>
      <c r="S4514" s="8"/>
      <c r="T4514" s="3"/>
    </row>
    <row r="4515" spans="14:20" x14ac:dyDescent="0.3">
      <c r="N4515" s="5"/>
      <c r="O4515" s="5"/>
      <c r="P4515" s="5"/>
      <c r="Q4515" s="5"/>
      <c r="R4515" s="8"/>
      <c r="S4515" s="8"/>
      <c r="T4515" s="3"/>
    </row>
    <row r="4516" spans="14:20" x14ac:dyDescent="0.3">
      <c r="N4516" s="5"/>
      <c r="O4516" s="5"/>
      <c r="P4516" s="5"/>
      <c r="Q4516" s="5"/>
      <c r="R4516" s="8"/>
      <c r="S4516" s="8"/>
      <c r="T4516" s="3"/>
    </row>
    <row r="4517" spans="14:20" x14ac:dyDescent="0.3">
      <c r="N4517" s="5"/>
      <c r="O4517" s="5"/>
      <c r="P4517" s="5"/>
      <c r="Q4517" s="5"/>
      <c r="R4517" s="8"/>
      <c r="S4517" s="8"/>
      <c r="T4517" s="3"/>
    </row>
    <row r="4518" spans="14:20" x14ac:dyDescent="0.3">
      <c r="N4518" s="5"/>
      <c r="O4518" s="5"/>
      <c r="P4518" s="5"/>
      <c r="Q4518" s="5"/>
      <c r="R4518" s="8"/>
      <c r="S4518" s="8"/>
      <c r="T4518" s="3"/>
    </row>
    <row r="4519" spans="14:20" x14ac:dyDescent="0.3">
      <c r="N4519" s="5"/>
      <c r="O4519" s="5"/>
      <c r="P4519" s="5"/>
      <c r="Q4519" s="5"/>
      <c r="R4519" s="8"/>
      <c r="S4519" s="8"/>
      <c r="T4519" s="3"/>
    </row>
    <row r="4520" spans="14:20" x14ac:dyDescent="0.3">
      <c r="N4520" s="5"/>
      <c r="O4520" s="5"/>
      <c r="P4520" s="5"/>
      <c r="Q4520" s="5"/>
      <c r="R4520" s="8"/>
      <c r="S4520" s="8"/>
      <c r="T4520" s="3"/>
    </row>
    <row r="4521" spans="14:20" x14ac:dyDescent="0.3">
      <c r="N4521" s="5"/>
      <c r="O4521" s="5"/>
      <c r="P4521" s="5"/>
      <c r="Q4521" s="5"/>
      <c r="R4521" s="8"/>
      <c r="S4521" s="8"/>
      <c r="T4521" s="3"/>
    </row>
    <row r="4522" spans="14:20" x14ac:dyDescent="0.3">
      <c r="N4522" s="5"/>
      <c r="O4522" s="5"/>
      <c r="P4522" s="5"/>
      <c r="Q4522" s="5"/>
      <c r="R4522" s="8"/>
      <c r="S4522" s="8"/>
      <c r="T4522" s="3"/>
    </row>
    <row r="4523" spans="14:20" x14ac:dyDescent="0.3">
      <c r="N4523" s="5"/>
      <c r="O4523" s="5"/>
      <c r="P4523" s="5"/>
      <c r="Q4523" s="5"/>
      <c r="R4523" s="8"/>
      <c r="S4523" s="8"/>
      <c r="T4523" s="3"/>
    </row>
    <row r="4524" spans="14:20" x14ac:dyDescent="0.3">
      <c r="N4524" s="5"/>
      <c r="O4524" s="5"/>
      <c r="P4524" s="5"/>
      <c r="Q4524" s="5"/>
      <c r="R4524" s="8"/>
      <c r="S4524" s="8"/>
      <c r="T4524" s="3"/>
    </row>
    <row r="4525" spans="14:20" x14ac:dyDescent="0.3">
      <c r="N4525" s="5"/>
      <c r="O4525" s="5"/>
      <c r="P4525" s="5"/>
      <c r="Q4525" s="5"/>
      <c r="R4525" s="8"/>
      <c r="S4525" s="8"/>
      <c r="T4525" s="3"/>
    </row>
    <row r="4526" spans="14:20" x14ac:dyDescent="0.3">
      <c r="N4526" s="5"/>
      <c r="O4526" s="5"/>
      <c r="P4526" s="5"/>
      <c r="Q4526" s="5"/>
      <c r="R4526" s="8"/>
      <c r="S4526" s="8"/>
      <c r="T4526" s="3"/>
    </row>
    <row r="4527" spans="14:20" x14ac:dyDescent="0.3">
      <c r="N4527" s="5"/>
      <c r="O4527" s="5"/>
      <c r="P4527" s="5"/>
      <c r="Q4527" s="5"/>
      <c r="R4527" s="8"/>
      <c r="S4527" s="8"/>
      <c r="T4527" s="3"/>
    </row>
    <row r="4528" spans="14:20" x14ac:dyDescent="0.3">
      <c r="N4528" s="5"/>
      <c r="O4528" s="5"/>
      <c r="P4528" s="5"/>
      <c r="Q4528" s="5"/>
      <c r="R4528" s="8"/>
      <c r="S4528" s="8"/>
      <c r="T4528" s="3"/>
    </row>
    <row r="4529" spans="14:20" x14ac:dyDescent="0.3">
      <c r="N4529" s="5"/>
      <c r="O4529" s="5"/>
      <c r="P4529" s="5"/>
      <c r="Q4529" s="5"/>
      <c r="R4529" s="8"/>
      <c r="S4529" s="8"/>
      <c r="T4529" s="3"/>
    </row>
    <row r="4530" spans="14:20" x14ac:dyDescent="0.3">
      <c r="N4530" s="5"/>
      <c r="O4530" s="5"/>
      <c r="P4530" s="5"/>
      <c r="Q4530" s="5"/>
      <c r="R4530" s="8"/>
      <c r="S4530" s="8"/>
      <c r="T4530" s="3"/>
    </row>
    <row r="4531" spans="14:20" x14ac:dyDescent="0.3">
      <c r="N4531" s="5"/>
      <c r="O4531" s="5"/>
      <c r="P4531" s="5"/>
      <c r="Q4531" s="5"/>
      <c r="R4531" s="8"/>
      <c r="S4531" s="8"/>
      <c r="T4531" s="3"/>
    </row>
    <row r="4532" spans="14:20" x14ac:dyDescent="0.3">
      <c r="N4532" s="5"/>
      <c r="O4532" s="5"/>
      <c r="P4532" s="5"/>
      <c r="Q4532" s="5"/>
      <c r="R4532" s="8"/>
      <c r="S4532" s="8"/>
      <c r="T4532" s="3"/>
    </row>
    <row r="4533" spans="14:20" x14ac:dyDescent="0.3">
      <c r="N4533" s="5"/>
      <c r="O4533" s="5"/>
      <c r="P4533" s="5"/>
      <c r="Q4533" s="5"/>
      <c r="R4533" s="8"/>
      <c r="S4533" s="8"/>
      <c r="T4533" s="3"/>
    </row>
    <row r="4534" spans="14:20" x14ac:dyDescent="0.3">
      <c r="N4534" s="5"/>
      <c r="O4534" s="5"/>
      <c r="P4534" s="5"/>
      <c r="Q4534" s="5"/>
      <c r="R4534" s="8"/>
      <c r="S4534" s="8"/>
      <c r="T4534" s="3"/>
    </row>
    <row r="4535" spans="14:20" x14ac:dyDescent="0.3">
      <c r="N4535" s="5"/>
      <c r="O4535" s="5"/>
      <c r="P4535" s="5"/>
      <c r="Q4535" s="5"/>
      <c r="R4535" s="8"/>
      <c r="S4535" s="8"/>
      <c r="T4535" s="3"/>
    </row>
    <row r="4536" spans="14:20" x14ac:dyDescent="0.3">
      <c r="N4536" s="5"/>
      <c r="O4536" s="5"/>
      <c r="P4536" s="5"/>
      <c r="Q4536" s="5"/>
      <c r="R4536" s="8"/>
      <c r="S4536" s="8"/>
      <c r="T4536" s="3"/>
    </row>
    <row r="4537" spans="14:20" x14ac:dyDescent="0.3">
      <c r="N4537" s="5"/>
      <c r="O4537" s="5"/>
      <c r="P4537" s="5"/>
      <c r="Q4537" s="5"/>
      <c r="R4537" s="8"/>
      <c r="S4537" s="8"/>
      <c r="T4537" s="3"/>
    </row>
    <row r="4538" spans="14:20" x14ac:dyDescent="0.3">
      <c r="N4538" s="5"/>
      <c r="O4538" s="5"/>
      <c r="P4538" s="5"/>
      <c r="Q4538" s="5"/>
      <c r="R4538" s="8"/>
      <c r="S4538" s="8"/>
      <c r="T4538" s="3"/>
    </row>
    <row r="4539" spans="14:20" x14ac:dyDescent="0.3">
      <c r="N4539" s="5"/>
      <c r="O4539" s="5"/>
      <c r="P4539" s="5"/>
      <c r="Q4539" s="5"/>
      <c r="R4539" s="8"/>
      <c r="S4539" s="8"/>
      <c r="T4539" s="3"/>
    </row>
    <row r="4540" spans="14:20" x14ac:dyDescent="0.3">
      <c r="N4540" s="5"/>
      <c r="O4540" s="5"/>
      <c r="P4540" s="5"/>
      <c r="Q4540" s="5"/>
      <c r="R4540" s="8"/>
      <c r="S4540" s="8"/>
      <c r="T4540" s="3"/>
    </row>
    <row r="4541" spans="14:20" x14ac:dyDescent="0.3">
      <c r="N4541" s="5"/>
      <c r="O4541" s="5"/>
      <c r="P4541" s="5"/>
      <c r="Q4541" s="5"/>
      <c r="R4541" s="8"/>
      <c r="S4541" s="8"/>
      <c r="T4541" s="3"/>
    </row>
    <row r="4542" spans="14:20" x14ac:dyDescent="0.3">
      <c r="N4542" s="5"/>
      <c r="O4542" s="5"/>
      <c r="P4542" s="5"/>
      <c r="Q4542" s="5"/>
      <c r="R4542" s="8"/>
      <c r="S4542" s="8"/>
      <c r="T4542" s="3"/>
    </row>
    <row r="4543" spans="14:20" x14ac:dyDescent="0.3">
      <c r="N4543" s="5"/>
      <c r="O4543" s="5"/>
      <c r="P4543" s="5"/>
      <c r="Q4543" s="5"/>
      <c r="R4543" s="8"/>
      <c r="S4543" s="8"/>
      <c r="T4543" s="3"/>
    </row>
    <row r="4544" spans="14:20" x14ac:dyDescent="0.3">
      <c r="N4544" s="5"/>
      <c r="O4544" s="5"/>
      <c r="P4544" s="5"/>
      <c r="Q4544" s="5"/>
      <c r="R4544" s="8"/>
      <c r="S4544" s="8"/>
      <c r="T4544" s="3"/>
    </row>
    <row r="4545" spans="14:20" x14ac:dyDescent="0.3">
      <c r="N4545" s="5"/>
      <c r="O4545" s="5"/>
      <c r="P4545" s="5"/>
      <c r="Q4545" s="5"/>
      <c r="R4545" s="8"/>
      <c r="S4545" s="8"/>
      <c r="T4545" s="3"/>
    </row>
    <row r="4546" spans="14:20" x14ac:dyDescent="0.3">
      <c r="N4546" s="5"/>
      <c r="O4546" s="5"/>
      <c r="P4546" s="5"/>
      <c r="Q4546" s="5"/>
      <c r="R4546" s="8"/>
      <c r="S4546" s="8"/>
      <c r="T4546" s="3"/>
    </row>
    <row r="4547" spans="14:20" x14ac:dyDescent="0.3">
      <c r="N4547" s="5"/>
      <c r="O4547" s="5"/>
      <c r="P4547" s="5"/>
      <c r="Q4547" s="5"/>
      <c r="R4547" s="8"/>
      <c r="S4547" s="8"/>
      <c r="T4547" s="3"/>
    </row>
    <row r="4548" spans="14:20" x14ac:dyDescent="0.3">
      <c r="N4548" s="5"/>
      <c r="O4548" s="5"/>
      <c r="P4548" s="5"/>
      <c r="Q4548" s="5"/>
      <c r="R4548" s="8"/>
      <c r="S4548" s="8"/>
      <c r="T4548" s="3"/>
    </row>
    <row r="4549" spans="14:20" x14ac:dyDescent="0.3">
      <c r="N4549" s="5"/>
      <c r="O4549" s="5"/>
      <c r="P4549" s="5"/>
      <c r="Q4549" s="5"/>
      <c r="R4549" s="8"/>
      <c r="S4549" s="8"/>
      <c r="T4549" s="3"/>
    </row>
    <row r="4550" spans="14:20" x14ac:dyDescent="0.3">
      <c r="N4550" s="5"/>
      <c r="O4550" s="5"/>
      <c r="P4550" s="5"/>
      <c r="Q4550" s="5"/>
      <c r="R4550" s="8"/>
      <c r="S4550" s="8"/>
      <c r="T4550" s="3"/>
    </row>
    <row r="4551" spans="14:20" x14ac:dyDescent="0.3">
      <c r="N4551" s="5"/>
      <c r="O4551" s="5"/>
      <c r="P4551" s="5"/>
      <c r="Q4551" s="5"/>
      <c r="R4551" s="8"/>
      <c r="S4551" s="8"/>
      <c r="T4551" s="3"/>
    </row>
    <row r="4552" spans="14:20" x14ac:dyDescent="0.3">
      <c r="N4552" s="5"/>
      <c r="O4552" s="5"/>
      <c r="P4552" s="5"/>
      <c r="Q4552" s="5"/>
      <c r="R4552" s="8"/>
      <c r="S4552" s="8"/>
      <c r="T4552" s="3"/>
    </row>
    <row r="4553" spans="14:20" x14ac:dyDescent="0.3">
      <c r="N4553" s="5"/>
      <c r="O4553" s="5"/>
      <c r="P4553" s="5"/>
      <c r="Q4553" s="5"/>
      <c r="R4553" s="8"/>
      <c r="S4553" s="8"/>
      <c r="T4553" s="3"/>
    </row>
    <row r="4554" spans="14:20" x14ac:dyDescent="0.3">
      <c r="N4554" s="5"/>
      <c r="O4554" s="5"/>
      <c r="P4554" s="5"/>
      <c r="Q4554" s="5"/>
      <c r="R4554" s="8"/>
      <c r="S4554" s="8"/>
      <c r="T4554" s="3"/>
    </row>
    <row r="4555" spans="14:20" x14ac:dyDescent="0.3">
      <c r="N4555" s="5"/>
      <c r="O4555" s="5"/>
      <c r="P4555" s="5"/>
      <c r="Q4555" s="5"/>
      <c r="R4555" s="8"/>
      <c r="S4555" s="8"/>
      <c r="T4555" s="3"/>
    </row>
    <row r="4556" spans="14:20" x14ac:dyDescent="0.3">
      <c r="N4556" s="5"/>
      <c r="O4556" s="5"/>
      <c r="P4556" s="5"/>
      <c r="Q4556" s="5"/>
      <c r="R4556" s="8"/>
      <c r="S4556" s="8"/>
      <c r="T4556" s="3"/>
    </row>
    <row r="4557" spans="14:20" x14ac:dyDescent="0.3">
      <c r="N4557" s="5"/>
      <c r="O4557" s="5"/>
      <c r="P4557" s="5"/>
      <c r="Q4557" s="5"/>
      <c r="R4557" s="8"/>
      <c r="S4557" s="8"/>
      <c r="T4557" s="3"/>
    </row>
    <row r="4558" spans="14:20" x14ac:dyDescent="0.3">
      <c r="N4558" s="5"/>
      <c r="O4558" s="5"/>
      <c r="P4558" s="5"/>
      <c r="Q4558" s="5"/>
      <c r="R4558" s="8"/>
      <c r="S4558" s="8"/>
      <c r="T4558" s="3"/>
    </row>
    <row r="4559" spans="14:20" x14ac:dyDescent="0.3">
      <c r="N4559" s="5"/>
      <c r="O4559" s="5"/>
      <c r="P4559" s="5"/>
      <c r="Q4559" s="5"/>
      <c r="R4559" s="8"/>
      <c r="S4559" s="8"/>
      <c r="T4559" s="3"/>
    </row>
    <row r="4560" spans="14:20" x14ac:dyDescent="0.3">
      <c r="N4560" s="5"/>
      <c r="O4560" s="5"/>
      <c r="P4560" s="5"/>
      <c r="Q4560" s="5"/>
      <c r="R4560" s="8"/>
      <c r="S4560" s="8"/>
      <c r="T4560" s="3"/>
    </row>
    <row r="4561" spans="14:20" x14ac:dyDescent="0.3">
      <c r="N4561" s="5"/>
      <c r="O4561" s="5"/>
      <c r="P4561" s="5"/>
      <c r="Q4561" s="5"/>
      <c r="R4561" s="8"/>
      <c r="S4561" s="8"/>
      <c r="T4561" s="3"/>
    </row>
    <row r="4562" spans="14:20" x14ac:dyDescent="0.3">
      <c r="N4562" s="5"/>
      <c r="O4562" s="5"/>
      <c r="P4562" s="5"/>
      <c r="Q4562" s="5"/>
      <c r="R4562" s="8"/>
      <c r="S4562" s="8"/>
      <c r="T4562" s="3"/>
    </row>
    <row r="4563" spans="14:20" x14ac:dyDescent="0.3">
      <c r="N4563" s="5"/>
      <c r="O4563" s="5"/>
      <c r="P4563" s="5"/>
      <c r="Q4563" s="5"/>
      <c r="R4563" s="8"/>
      <c r="S4563" s="8"/>
      <c r="T4563" s="3"/>
    </row>
    <row r="4564" spans="14:20" x14ac:dyDescent="0.3">
      <c r="N4564" s="5"/>
      <c r="O4564" s="5"/>
      <c r="P4564" s="5"/>
      <c r="Q4564" s="5"/>
      <c r="R4564" s="8"/>
      <c r="S4564" s="8"/>
      <c r="T4564" s="3"/>
    </row>
    <row r="4565" spans="14:20" x14ac:dyDescent="0.3">
      <c r="N4565" s="5"/>
      <c r="O4565" s="5"/>
      <c r="P4565" s="5"/>
      <c r="Q4565" s="5"/>
      <c r="R4565" s="8"/>
      <c r="S4565" s="8"/>
      <c r="T4565" s="3"/>
    </row>
    <row r="4566" spans="14:20" x14ac:dyDescent="0.3">
      <c r="N4566" s="5"/>
      <c r="O4566" s="5"/>
      <c r="P4566" s="5"/>
      <c r="Q4566" s="5"/>
      <c r="R4566" s="8"/>
      <c r="S4566" s="8"/>
      <c r="T4566" s="3"/>
    </row>
    <row r="4567" spans="14:20" x14ac:dyDescent="0.3">
      <c r="N4567" s="5"/>
      <c r="O4567" s="5"/>
      <c r="P4567" s="5"/>
      <c r="Q4567" s="5"/>
      <c r="R4567" s="8"/>
      <c r="S4567" s="8"/>
      <c r="T4567" s="3"/>
    </row>
    <row r="4568" spans="14:20" x14ac:dyDescent="0.3">
      <c r="N4568" s="5"/>
      <c r="O4568" s="5"/>
      <c r="P4568" s="5"/>
      <c r="Q4568" s="5"/>
      <c r="R4568" s="8"/>
      <c r="S4568" s="8"/>
      <c r="T4568" s="3"/>
    </row>
    <row r="4569" spans="14:20" x14ac:dyDescent="0.3">
      <c r="N4569" s="5"/>
      <c r="O4569" s="5"/>
      <c r="P4569" s="5"/>
      <c r="Q4569" s="5"/>
      <c r="R4569" s="8"/>
      <c r="S4569" s="8"/>
      <c r="T4569" s="3"/>
    </row>
    <row r="4570" spans="14:20" x14ac:dyDescent="0.3">
      <c r="N4570" s="5"/>
      <c r="O4570" s="5"/>
      <c r="P4570" s="5"/>
      <c r="Q4570" s="5"/>
      <c r="R4570" s="8"/>
      <c r="S4570" s="8"/>
      <c r="T4570" s="3"/>
    </row>
    <row r="4571" spans="14:20" x14ac:dyDescent="0.3">
      <c r="N4571" s="5"/>
      <c r="O4571" s="5"/>
      <c r="P4571" s="5"/>
      <c r="Q4571" s="5"/>
      <c r="R4571" s="8"/>
      <c r="S4571" s="8"/>
      <c r="T4571" s="3"/>
    </row>
    <row r="4572" spans="14:20" x14ac:dyDescent="0.3">
      <c r="N4572" s="5"/>
      <c r="O4572" s="5"/>
      <c r="P4572" s="5"/>
      <c r="Q4572" s="5"/>
      <c r="R4572" s="8"/>
      <c r="S4572" s="8"/>
      <c r="T4572" s="3"/>
    </row>
    <row r="4573" spans="14:20" x14ac:dyDescent="0.3">
      <c r="N4573" s="5"/>
      <c r="O4573" s="5"/>
      <c r="P4573" s="5"/>
      <c r="Q4573" s="5"/>
      <c r="R4573" s="8"/>
      <c r="S4573" s="8"/>
      <c r="T4573" s="3"/>
    </row>
    <row r="4574" spans="14:20" x14ac:dyDescent="0.3">
      <c r="N4574" s="5"/>
      <c r="O4574" s="5"/>
      <c r="P4574" s="5"/>
      <c r="Q4574" s="5"/>
      <c r="R4574" s="8"/>
      <c r="S4574" s="8"/>
      <c r="T4574" s="3"/>
    </row>
    <row r="4575" spans="14:20" x14ac:dyDescent="0.3">
      <c r="N4575" s="5"/>
      <c r="O4575" s="5"/>
      <c r="P4575" s="5"/>
      <c r="Q4575" s="5"/>
      <c r="R4575" s="8"/>
      <c r="S4575" s="8"/>
      <c r="T4575" s="3"/>
    </row>
    <row r="4576" spans="14:20" x14ac:dyDescent="0.3">
      <c r="N4576" s="5"/>
      <c r="O4576" s="5"/>
      <c r="P4576" s="5"/>
      <c r="Q4576" s="5"/>
      <c r="R4576" s="8"/>
      <c r="S4576" s="8"/>
      <c r="T4576" s="3"/>
    </row>
    <row r="4577" spans="14:20" x14ac:dyDescent="0.3">
      <c r="N4577" s="5"/>
      <c r="O4577" s="5"/>
      <c r="P4577" s="5"/>
      <c r="Q4577" s="5"/>
      <c r="R4577" s="8"/>
      <c r="S4577" s="8"/>
      <c r="T4577" s="3"/>
    </row>
    <row r="4578" spans="14:20" x14ac:dyDescent="0.3">
      <c r="N4578" s="5"/>
      <c r="O4578" s="5"/>
      <c r="P4578" s="5"/>
      <c r="Q4578" s="5"/>
      <c r="R4578" s="8"/>
      <c r="S4578" s="8"/>
      <c r="T4578" s="3"/>
    </row>
    <row r="4579" spans="14:20" x14ac:dyDescent="0.3">
      <c r="N4579" s="5"/>
      <c r="O4579" s="5"/>
      <c r="P4579" s="5"/>
      <c r="Q4579" s="5"/>
      <c r="R4579" s="8"/>
      <c r="S4579" s="8"/>
      <c r="T4579" s="3"/>
    </row>
    <row r="4580" spans="14:20" x14ac:dyDescent="0.3">
      <c r="N4580" s="5"/>
      <c r="O4580" s="5"/>
      <c r="P4580" s="5"/>
      <c r="Q4580" s="5"/>
      <c r="R4580" s="8"/>
      <c r="S4580" s="8"/>
      <c r="T4580" s="3"/>
    </row>
    <row r="4581" spans="14:20" x14ac:dyDescent="0.3">
      <c r="N4581" s="5"/>
      <c r="O4581" s="5"/>
      <c r="P4581" s="5"/>
      <c r="Q4581" s="5"/>
      <c r="R4581" s="8"/>
      <c r="S4581" s="8"/>
      <c r="T4581" s="3"/>
    </row>
    <row r="4582" spans="14:20" x14ac:dyDescent="0.3">
      <c r="N4582" s="5"/>
      <c r="O4582" s="5"/>
      <c r="P4582" s="5"/>
      <c r="Q4582" s="5"/>
      <c r="R4582" s="8"/>
      <c r="S4582" s="8"/>
      <c r="T4582" s="3"/>
    </row>
    <row r="4583" spans="14:20" x14ac:dyDescent="0.3">
      <c r="N4583" s="5"/>
      <c r="O4583" s="5"/>
      <c r="P4583" s="5"/>
      <c r="Q4583" s="5"/>
      <c r="R4583" s="8"/>
      <c r="S4583" s="8"/>
      <c r="T4583" s="3"/>
    </row>
    <row r="4584" spans="14:20" x14ac:dyDescent="0.3">
      <c r="N4584" s="5"/>
      <c r="O4584" s="5"/>
      <c r="P4584" s="5"/>
      <c r="Q4584" s="5"/>
      <c r="R4584" s="8"/>
      <c r="S4584" s="8"/>
      <c r="T4584" s="3"/>
    </row>
    <row r="4585" spans="14:20" x14ac:dyDescent="0.3">
      <c r="N4585" s="5"/>
      <c r="O4585" s="5"/>
      <c r="P4585" s="5"/>
      <c r="Q4585" s="5"/>
      <c r="R4585" s="8"/>
      <c r="S4585" s="8"/>
      <c r="T4585" s="3"/>
    </row>
    <row r="4586" spans="14:20" x14ac:dyDescent="0.3">
      <c r="N4586" s="5"/>
      <c r="O4586" s="5"/>
      <c r="P4586" s="5"/>
      <c r="Q4586" s="5"/>
      <c r="R4586" s="8"/>
      <c r="S4586" s="8"/>
      <c r="T4586" s="3"/>
    </row>
    <row r="4587" spans="14:20" x14ac:dyDescent="0.3">
      <c r="N4587" s="5"/>
      <c r="O4587" s="5"/>
      <c r="P4587" s="5"/>
      <c r="Q4587" s="5"/>
      <c r="R4587" s="8"/>
      <c r="S4587" s="8"/>
      <c r="T4587" s="3"/>
    </row>
    <row r="4588" spans="14:20" x14ac:dyDescent="0.3">
      <c r="N4588" s="5"/>
      <c r="O4588" s="5"/>
      <c r="P4588" s="5"/>
      <c r="Q4588" s="5"/>
      <c r="R4588" s="8"/>
      <c r="S4588" s="8"/>
      <c r="T4588" s="3"/>
    </row>
    <row r="4589" spans="14:20" x14ac:dyDescent="0.3">
      <c r="N4589" s="5"/>
      <c r="O4589" s="5"/>
      <c r="P4589" s="5"/>
      <c r="Q4589" s="5"/>
      <c r="R4589" s="8"/>
      <c r="S4589" s="8"/>
      <c r="T4589" s="3"/>
    </row>
    <row r="4590" spans="14:20" x14ac:dyDescent="0.3">
      <c r="N4590" s="5"/>
      <c r="O4590" s="5"/>
      <c r="P4590" s="5"/>
      <c r="Q4590" s="5"/>
      <c r="R4590" s="8"/>
      <c r="S4590" s="8"/>
      <c r="T4590" s="3"/>
    </row>
    <row r="4591" spans="14:20" x14ac:dyDescent="0.3">
      <c r="N4591" s="5"/>
      <c r="O4591" s="5"/>
      <c r="P4591" s="5"/>
      <c r="Q4591" s="5"/>
      <c r="R4591" s="8"/>
      <c r="S4591" s="8"/>
      <c r="T4591" s="3"/>
    </row>
    <row r="4592" spans="14:20" x14ac:dyDescent="0.3">
      <c r="N4592" s="5"/>
      <c r="O4592" s="5"/>
      <c r="P4592" s="5"/>
      <c r="Q4592" s="5"/>
      <c r="R4592" s="8"/>
      <c r="S4592" s="8"/>
      <c r="T4592" s="3"/>
    </row>
    <row r="4593" spans="14:20" x14ac:dyDescent="0.3">
      <c r="N4593" s="5"/>
      <c r="O4593" s="5"/>
      <c r="P4593" s="5"/>
      <c r="Q4593" s="5"/>
      <c r="R4593" s="8"/>
      <c r="S4593" s="8"/>
      <c r="T4593" s="3"/>
    </row>
    <row r="4594" spans="14:20" x14ac:dyDescent="0.3">
      <c r="N4594" s="5"/>
      <c r="O4594" s="5"/>
      <c r="P4594" s="5"/>
      <c r="Q4594" s="5"/>
      <c r="R4594" s="8"/>
      <c r="S4594" s="8"/>
      <c r="T4594" s="3"/>
    </row>
    <row r="4595" spans="14:20" x14ac:dyDescent="0.3">
      <c r="N4595" s="5"/>
      <c r="O4595" s="5"/>
      <c r="P4595" s="5"/>
      <c r="Q4595" s="5"/>
      <c r="R4595" s="8"/>
      <c r="S4595" s="8"/>
      <c r="T4595" s="3"/>
    </row>
    <row r="4596" spans="14:20" x14ac:dyDescent="0.3">
      <c r="N4596" s="5"/>
      <c r="O4596" s="5"/>
      <c r="P4596" s="5"/>
      <c r="Q4596" s="5"/>
      <c r="R4596" s="8"/>
      <c r="S4596" s="8"/>
      <c r="T4596" s="3"/>
    </row>
    <row r="4597" spans="14:20" x14ac:dyDescent="0.3">
      <c r="N4597" s="5"/>
      <c r="O4597" s="5"/>
      <c r="P4597" s="5"/>
      <c r="Q4597" s="5"/>
      <c r="R4597" s="8"/>
      <c r="S4597" s="8"/>
      <c r="T4597" s="3"/>
    </row>
    <row r="4598" spans="14:20" x14ac:dyDescent="0.3">
      <c r="N4598" s="5"/>
      <c r="O4598" s="5"/>
      <c r="P4598" s="5"/>
      <c r="Q4598" s="5"/>
      <c r="R4598" s="8"/>
      <c r="S4598" s="8"/>
      <c r="T4598" s="3"/>
    </row>
    <row r="4599" spans="14:20" x14ac:dyDescent="0.3">
      <c r="N4599" s="5"/>
      <c r="O4599" s="5"/>
      <c r="P4599" s="5"/>
      <c r="Q4599" s="5"/>
      <c r="R4599" s="8"/>
      <c r="S4599" s="8"/>
      <c r="T4599" s="3"/>
    </row>
    <row r="4600" spans="14:20" x14ac:dyDescent="0.3">
      <c r="N4600" s="5"/>
      <c r="O4600" s="5"/>
      <c r="P4600" s="5"/>
      <c r="Q4600" s="5"/>
      <c r="R4600" s="8"/>
      <c r="S4600" s="8"/>
      <c r="T4600" s="3"/>
    </row>
    <row r="4601" spans="14:20" x14ac:dyDescent="0.3">
      <c r="N4601" s="5"/>
      <c r="O4601" s="5"/>
      <c r="P4601" s="5"/>
      <c r="Q4601" s="5"/>
      <c r="R4601" s="8"/>
      <c r="S4601" s="8"/>
      <c r="T4601" s="3"/>
    </row>
    <row r="4602" spans="14:20" x14ac:dyDescent="0.3">
      <c r="N4602" s="5"/>
      <c r="O4602" s="5"/>
      <c r="P4602" s="5"/>
      <c r="Q4602" s="5"/>
      <c r="R4602" s="8"/>
      <c r="S4602" s="8"/>
      <c r="T4602" s="3"/>
    </row>
    <row r="4603" spans="14:20" x14ac:dyDescent="0.3">
      <c r="N4603" s="5"/>
      <c r="O4603" s="5"/>
      <c r="P4603" s="5"/>
      <c r="Q4603" s="5"/>
      <c r="R4603" s="8"/>
      <c r="S4603" s="8"/>
      <c r="T4603" s="3"/>
    </row>
    <row r="4604" spans="14:20" x14ac:dyDescent="0.3">
      <c r="N4604" s="5"/>
      <c r="O4604" s="5"/>
      <c r="P4604" s="5"/>
      <c r="Q4604" s="5"/>
      <c r="R4604" s="8"/>
      <c r="S4604" s="8"/>
      <c r="T4604" s="3"/>
    </row>
    <row r="4605" spans="14:20" x14ac:dyDescent="0.3">
      <c r="N4605" s="5"/>
      <c r="O4605" s="5"/>
      <c r="P4605" s="5"/>
      <c r="Q4605" s="5"/>
      <c r="R4605" s="8"/>
      <c r="S4605" s="8"/>
      <c r="T4605" s="3"/>
    </row>
    <row r="4606" spans="14:20" x14ac:dyDescent="0.3">
      <c r="N4606" s="5"/>
      <c r="O4606" s="5"/>
      <c r="P4606" s="5"/>
      <c r="Q4606" s="5"/>
      <c r="R4606" s="8"/>
      <c r="S4606" s="8"/>
      <c r="T4606" s="3"/>
    </row>
    <row r="4607" spans="14:20" x14ac:dyDescent="0.3">
      <c r="N4607" s="5"/>
      <c r="O4607" s="5"/>
      <c r="P4607" s="5"/>
      <c r="Q4607" s="5"/>
      <c r="R4607" s="8"/>
      <c r="S4607" s="8"/>
      <c r="T4607" s="3"/>
    </row>
    <row r="4608" spans="14:20" x14ac:dyDescent="0.3">
      <c r="N4608" s="5"/>
      <c r="O4608" s="5"/>
      <c r="P4608" s="5"/>
      <c r="Q4608" s="5"/>
      <c r="R4608" s="8"/>
      <c r="S4608" s="8"/>
      <c r="T4608" s="3"/>
    </row>
    <row r="4609" spans="14:20" x14ac:dyDescent="0.3">
      <c r="N4609" s="5"/>
      <c r="O4609" s="5"/>
      <c r="P4609" s="5"/>
      <c r="Q4609" s="5"/>
      <c r="R4609" s="8"/>
      <c r="S4609" s="8"/>
      <c r="T4609" s="3"/>
    </row>
    <row r="4610" spans="14:20" x14ac:dyDescent="0.3">
      <c r="N4610" s="5"/>
      <c r="O4610" s="5"/>
      <c r="P4610" s="5"/>
      <c r="Q4610" s="5"/>
      <c r="R4610" s="8"/>
      <c r="S4610" s="8"/>
      <c r="T4610" s="3"/>
    </row>
    <row r="4611" spans="14:20" x14ac:dyDescent="0.3">
      <c r="N4611" s="5"/>
      <c r="O4611" s="5"/>
      <c r="P4611" s="5"/>
      <c r="Q4611" s="5"/>
      <c r="R4611" s="8"/>
      <c r="S4611" s="8"/>
      <c r="T4611" s="3"/>
    </row>
    <row r="4612" spans="14:20" x14ac:dyDescent="0.3">
      <c r="N4612" s="5"/>
      <c r="O4612" s="5"/>
      <c r="P4612" s="5"/>
      <c r="Q4612" s="5"/>
      <c r="R4612" s="8"/>
      <c r="S4612" s="8"/>
      <c r="T4612" s="3"/>
    </row>
    <row r="4613" spans="14:20" x14ac:dyDescent="0.3">
      <c r="N4613" s="5"/>
      <c r="O4613" s="5"/>
      <c r="P4613" s="5"/>
      <c r="Q4613" s="5"/>
      <c r="R4613" s="8"/>
      <c r="S4613" s="8"/>
      <c r="T4613" s="3"/>
    </row>
    <row r="4614" spans="14:20" x14ac:dyDescent="0.3">
      <c r="N4614" s="5"/>
      <c r="O4614" s="5"/>
      <c r="P4614" s="5"/>
      <c r="Q4614" s="5"/>
      <c r="R4614" s="8"/>
      <c r="S4614" s="8"/>
      <c r="T4614" s="3"/>
    </row>
    <row r="4615" spans="14:20" x14ac:dyDescent="0.3">
      <c r="N4615" s="5"/>
      <c r="O4615" s="5"/>
      <c r="P4615" s="5"/>
      <c r="Q4615" s="5"/>
      <c r="R4615" s="8"/>
      <c r="S4615" s="8"/>
      <c r="T4615" s="3"/>
    </row>
    <row r="4616" spans="14:20" x14ac:dyDescent="0.3">
      <c r="N4616" s="5"/>
      <c r="O4616" s="5"/>
      <c r="P4616" s="5"/>
      <c r="Q4616" s="5"/>
      <c r="R4616" s="8"/>
      <c r="S4616" s="8"/>
      <c r="T4616" s="3"/>
    </row>
    <row r="4617" spans="14:20" x14ac:dyDescent="0.3">
      <c r="N4617" s="5"/>
      <c r="O4617" s="5"/>
      <c r="P4617" s="5"/>
      <c r="Q4617" s="5"/>
      <c r="R4617" s="8"/>
      <c r="S4617" s="8"/>
      <c r="T4617" s="3"/>
    </row>
    <row r="4618" spans="14:20" x14ac:dyDescent="0.3">
      <c r="N4618" s="5"/>
      <c r="O4618" s="5"/>
      <c r="P4618" s="5"/>
      <c r="Q4618" s="5"/>
      <c r="R4618" s="8"/>
      <c r="S4618" s="8"/>
      <c r="T4618" s="3"/>
    </row>
    <row r="4619" spans="14:20" x14ac:dyDescent="0.3">
      <c r="N4619" s="5"/>
      <c r="O4619" s="5"/>
      <c r="P4619" s="5"/>
      <c r="Q4619" s="5"/>
      <c r="R4619" s="8"/>
      <c r="S4619" s="8"/>
      <c r="T4619" s="3"/>
    </row>
    <row r="4620" spans="14:20" x14ac:dyDescent="0.3">
      <c r="N4620" s="5"/>
      <c r="O4620" s="5"/>
      <c r="P4620" s="5"/>
      <c r="Q4620" s="5"/>
      <c r="R4620" s="8"/>
      <c r="S4620" s="8"/>
      <c r="T4620" s="3"/>
    </row>
    <row r="4621" spans="14:20" x14ac:dyDescent="0.3">
      <c r="N4621" s="5"/>
      <c r="O4621" s="5"/>
      <c r="P4621" s="5"/>
      <c r="Q4621" s="5"/>
      <c r="R4621" s="8"/>
      <c r="S4621" s="8"/>
      <c r="T4621" s="3"/>
    </row>
    <row r="4622" spans="14:20" x14ac:dyDescent="0.3">
      <c r="N4622" s="5"/>
      <c r="O4622" s="5"/>
      <c r="P4622" s="5"/>
      <c r="Q4622" s="5"/>
      <c r="R4622" s="8"/>
      <c r="S4622" s="8"/>
      <c r="T4622" s="3"/>
    </row>
    <row r="4623" spans="14:20" x14ac:dyDescent="0.3">
      <c r="N4623" s="5"/>
      <c r="O4623" s="5"/>
      <c r="P4623" s="5"/>
      <c r="Q4623" s="5"/>
      <c r="R4623" s="8"/>
      <c r="S4623" s="8"/>
      <c r="T4623" s="3"/>
    </row>
    <row r="4624" spans="14:20" x14ac:dyDescent="0.3">
      <c r="N4624" s="5"/>
      <c r="O4624" s="5"/>
      <c r="P4624" s="5"/>
      <c r="Q4624" s="5"/>
      <c r="R4624" s="8"/>
      <c r="S4624" s="8"/>
      <c r="T4624" s="3"/>
    </row>
    <row r="4625" spans="14:20" x14ac:dyDescent="0.3">
      <c r="N4625" s="5"/>
      <c r="O4625" s="5"/>
      <c r="P4625" s="5"/>
      <c r="Q4625" s="5"/>
      <c r="R4625" s="8"/>
      <c r="S4625" s="8"/>
      <c r="T4625" s="3"/>
    </row>
    <row r="4626" spans="14:20" x14ac:dyDescent="0.3">
      <c r="N4626" s="5"/>
      <c r="O4626" s="5"/>
      <c r="P4626" s="5"/>
      <c r="Q4626" s="5"/>
      <c r="R4626" s="8"/>
      <c r="S4626" s="8"/>
      <c r="T4626" s="3"/>
    </row>
    <row r="4627" spans="14:20" x14ac:dyDescent="0.3">
      <c r="N4627" s="5"/>
      <c r="O4627" s="5"/>
      <c r="P4627" s="5"/>
      <c r="Q4627" s="5"/>
      <c r="R4627" s="8"/>
      <c r="S4627" s="8"/>
      <c r="T4627" s="3"/>
    </row>
    <row r="4628" spans="14:20" x14ac:dyDescent="0.3">
      <c r="N4628" s="5"/>
      <c r="O4628" s="5"/>
      <c r="P4628" s="5"/>
      <c r="Q4628" s="5"/>
      <c r="R4628" s="8"/>
      <c r="S4628" s="8"/>
      <c r="T4628" s="3"/>
    </row>
    <row r="4629" spans="14:20" x14ac:dyDescent="0.3">
      <c r="N4629" s="5"/>
      <c r="O4629" s="5"/>
      <c r="P4629" s="5"/>
      <c r="Q4629" s="5"/>
      <c r="R4629" s="8"/>
      <c r="S4629" s="8"/>
      <c r="T4629" s="3"/>
    </row>
    <row r="4630" spans="14:20" x14ac:dyDescent="0.3">
      <c r="N4630" s="5"/>
      <c r="O4630" s="5"/>
      <c r="P4630" s="5"/>
      <c r="Q4630" s="5"/>
      <c r="R4630" s="8"/>
      <c r="S4630" s="8"/>
      <c r="T4630" s="3"/>
    </row>
    <row r="4631" spans="14:20" x14ac:dyDescent="0.3">
      <c r="N4631" s="5"/>
      <c r="O4631" s="5"/>
      <c r="P4631" s="5"/>
      <c r="Q4631" s="5"/>
      <c r="R4631" s="8"/>
      <c r="S4631" s="8"/>
      <c r="T4631" s="3"/>
    </row>
    <row r="4632" spans="14:20" x14ac:dyDescent="0.3">
      <c r="N4632" s="5"/>
      <c r="O4632" s="5"/>
      <c r="P4632" s="5"/>
      <c r="Q4632" s="5"/>
      <c r="R4632" s="8"/>
      <c r="S4632" s="8"/>
      <c r="T4632" s="3"/>
    </row>
    <row r="4633" spans="14:20" x14ac:dyDescent="0.3">
      <c r="N4633" s="5"/>
      <c r="O4633" s="5"/>
      <c r="P4633" s="5"/>
      <c r="Q4633" s="5"/>
      <c r="R4633" s="8"/>
      <c r="S4633" s="8"/>
      <c r="T4633" s="3"/>
    </row>
    <row r="4634" spans="14:20" x14ac:dyDescent="0.3">
      <c r="N4634" s="5"/>
      <c r="O4634" s="5"/>
      <c r="P4634" s="5"/>
      <c r="Q4634" s="5"/>
      <c r="R4634" s="8"/>
      <c r="S4634" s="8"/>
      <c r="T4634" s="3"/>
    </row>
    <row r="4635" spans="14:20" x14ac:dyDescent="0.3">
      <c r="N4635" s="5"/>
      <c r="O4635" s="5"/>
      <c r="P4635" s="5"/>
      <c r="Q4635" s="5"/>
      <c r="R4635" s="8"/>
      <c r="S4635" s="8"/>
      <c r="T4635" s="3"/>
    </row>
    <row r="4636" spans="14:20" x14ac:dyDescent="0.3">
      <c r="N4636" s="5"/>
      <c r="O4636" s="5"/>
      <c r="P4636" s="5"/>
      <c r="Q4636" s="5"/>
      <c r="R4636" s="8"/>
      <c r="S4636" s="8"/>
      <c r="T4636" s="3"/>
    </row>
    <row r="4637" spans="14:20" x14ac:dyDescent="0.3">
      <c r="N4637" s="5"/>
      <c r="O4637" s="5"/>
      <c r="P4637" s="5"/>
      <c r="Q4637" s="5"/>
      <c r="R4637" s="8"/>
      <c r="S4637" s="8"/>
      <c r="T4637" s="3"/>
    </row>
    <row r="4638" spans="14:20" x14ac:dyDescent="0.3">
      <c r="N4638" s="5"/>
      <c r="O4638" s="5"/>
      <c r="P4638" s="5"/>
      <c r="Q4638" s="5"/>
      <c r="R4638" s="8"/>
      <c r="S4638" s="8"/>
      <c r="T4638" s="3"/>
    </row>
    <row r="4639" spans="14:20" x14ac:dyDescent="0.3">
      <c r="N4639" s="5"/>
      <c r="O4639" s="5"/>
      <c r="P4639" s="5"/>
      <c r="Q4639" s="5"/>
      <c r="R4639" s="8"/>
      <c r="S4639" s="8"/>
      <c r="T4639" s="3"/>
    </row>
    <row r="4640" spans="14:20" x14ac:dyDescent="0.3">
      <c r="N4640" s="5"/>
      <c r="O4640" s="5"/>
      <c r="P4640" s="5"/>
      <c r="Q4640" s="5"/>
      <c r="R4640" s="8"/>
      <c r="S4640" s="8"/>
      <c r="T4640" s="3"/>
    </row>
    <row r="4641" spans="14:20" x14ac:dyDescent="0.3">
      <c r="N4641" s="5"/>
      <c r="O4641" s="5"/>
      <c r="P4641" s="5"/>
      <c r="Q4641" s="5"/>
      <c r="R4641" s="8"/>
      <c r="S4641" s="8"/>
      <c r="T4641" s="3"/>
    </row>
    <row r="4642" spans="14:20" x14ac:dyDescent="0.3">
      <c r="N4642" s="5"/>
      <c r="O4642" s="5"/>
      <c r="P4642" s="5"/>
      <c r="Q4642" s="5"/>
      <c r="R4642" s="8"/>
      <c r="S4642" s="8"/>
      <c r="T4642" s="3"/>
    </row>
    <row r="4643" spans="14:20" x14ac:dyDescent="0.3">
      <c r="N4643" s="5"/>
      <c r="O4643" s="5"/>
      <c r="P4643" s="5"/>
      <c r="Q4643" s="5"/>
      <c r="R4643" s="8"/>
      <c r="S4643" s="8"/>
      <c r="T4643" s="3"/>
    </row>
    <row r="4644" spans="14:20" x14ac:dyDescent="0.3">
      <c r="N4644" s="5"/>
      <c r="O4644" s="5"/>
      <c r="P4644" s="5"/>
      <c r="Q4644" s="5"/>
      <c r="R4644" s="8"/>
      <c r="S4644" s="8"/>
      <c r="T4644" s="3"/>
    </row>
    <row r="4645" spans="14:20" x14ac:dyDescent="0.3">
      <c r="N4645" s="5"/>
      <c r="O4645" s="5"/>
      <c r="P4645" s="5"/>
      <c r="Q4645" s="5"/>
      <c r="R4645" s="8"/>
      <c r="S4645" s="8"/>
      <c r="T4645" s="3"/>
    </row>
    <row r="4646" spans="14:20" x14ac:dyDescent="0.3">
      <c r="N4646" s="5"/>
      <c r="O4646" s="5"/>
      <c r="P4646" s="5"/>
      <c r="Q4646" s="5"/>
      <c r="R4646" s="8"/>
      <c r="S4646" s="8"/>
      <c r="T4646" s="3"/>
    </row>
    <row r="4647" spans="14:20" x14ac:dyDescent="0.3">
      <c r="N4647" s="5"/>
      <c r="O4647" s="5"/>
      <c r="P4647" s="5"/>
      <c r="Q4647" s="5"/>
      <c r="R4647" s="8"/>
      <c r="S4647" s="8"/>
      <c r="T4647" s="3"/>
    </row>
    <row r="4648" spans="14:20" x14ac:dyDescent="0.3">
      <c r="N4648" s="5"/>
      <c r="O4648" s="5"/>
      <c r="P4648" s="5"/>
      <c r="Q4648" s="5"/>
      <c r="R4648" s="8"/>
      <c r="S4648" s="8"/>
      <c r="T4648" s="3"/>
    </row>
    <row r="4649" spans="14:20" x14ac:dyDescent="0.3">
      <c r="N4649" s="5"/>
      <c r="O4649" s="5"/>
      <c r="P4649" s="5"/>
      <c r="Q4649" s="5"/>
      <c r="R4649" s="8"/>
      <c r="S4649" s="8"/>
      <c r="T4649" s="3"/>
    </row>
    <row r="4650" spans="14:20" x14ac:dyDescent="0.3">
      <c r="N4650" s="5"/>
      <c r="O4650" s="5"/>
      <c r="P4650" s="5"/>
      <c r="Q4650" s="5"/>
      <c r="R4650" s="8"/>
      <c r="S4650" s="8"/>
      <c r="T4650" s="3"/>
    </row>
    <row r="4651" spans="14:20" x14ac:dyDescent="0.3">
      <c r="N4651" s="5"/>
      <c r="O4651" s="5"/>
      <c r="P4651" s="5"/>
      <c r="Q4651" s="5"/>
      <c r="R4651" s="8"/>
      <c r="S4651" s="8"/>
      <c r="T4651" s="3"/>
    </row>
    <row r="4652" spans="14:20" x14ac:dyDescent="0.3">
      <c r="N4652" s="5"/>
      <c r="O4652" s="5"/>
      <c r="P4652" s="5"/>
      <c r="Q4652" s="5"/>
      <c r="R4652" s="8"/>
      <c r="S4652" s="8"/>
      <c r="T4652" s="3"/>
    </row>
    <row r="4653" spans="14:20" x14ac:dyDescent="0.3">
      <c r="N4653" s="5"/>
      <c r="O4653" s="5"/>
      <c r="P4653" s="5"/>
      <c r="Q4653" s="5"/>
      <c r="R4653" s="8"/>
      <c r="S4653" s="8"/>
      <c r="T4653" s="3"/>
    </row>
    <row r="4654" spans="14:20" x14ac:dyDescent="0.3">
      <c r="N4654" s="5"/>
      <c r="O4654" s="5"/>
      <c r="P4654" s="5"/>
      <c r="Q4654" s="5"/>
      <c r="R4654" s="8"/>
      <c r="S4654" s="8"/>
      <c r="T4654" s="3"/>
    </row>
    <row r="4655" spans="14:20" x14ac:dyDescent="0.3">
      <c r="N4655" s="5"/>
      <c r="O4655" s="5"/>
      <c r="P4655" s="5"/>
      <c r="Q4655" s="5"/>
      <c r="R4655" s="8"/>
      <c r="S4655" s="8"/>
      <c r="T4655" s="3"/>
    </row>
    <row r="4656" spans="14:20" x14ac:dyDescent="0.3">
      <c r="N4656" s="5"/>
      <c r="O4656" s="5"/>
      <c r="P4656" s="5"/>
      <c r="Q4656" s="5"/>
      <c r="R4656" s="8"/>
      <c r="S4656" s="8"/>
      <c r="T4656" s="3"/>
    </row>
    <row r="4657" spans="14:20" x14ac:dyDescent="0.3">
      <c r="N4657" s="5"/>
      <c r="O4657" s="5"/>
      <c r="P4657" s="5"/>
      <c r="Q4657" s="5"/>
      <c r="R4657" s="8"/>
      <c r="S4657" s="8"/>
      <c r="T4657" s="3"/>
    </row>
    <row r="4658" spans="14:20" x14ac:dyDescent="0.3">
      <c r="N4658" s="5"/>
      <c r="O4658" s="5"/>
      <c r="P4658" s="5"/>
      <c r="Q4658" s="5"/>
      <c r="R4658" s="8"/>
      <c r="S4658" s="8"/>
      <c r="T4658" s="3"/>
    </row>
    <row r="4659" spans="14:20" x14ac:dyDescent="0.3">
      <c r="N4659" s="5"/>
      <c r="O4659" s="5"/>
      <c r="P4659" s="5"/>
      <c r="Q4659" s="5"/>
      <c r="R4659" s="8"/>
      <c r="S4659" s="8"/>
      <c r="T4659" s="3"/>
    </row>
    <row r="4660" spans="14:20" x14ac:dyDescent="0.3">
      <c r="N4660" s="5"/>
      <c r="O4660" s="5"/>
      <c r="P4660" s="5"/>
      <c r="Q4660" s="5"/>
      <c r="R4660" s="8"/>
      <c r="S4660" s="8"/>
      <c r="T4660" s="3"/>
    </row>
    <row r="4661" spans="14:20" x14ac:dyDescent="0.3">
      <c r="N4661" s="5"/>
      <c r="O4661" s="5"/>
      <c r="P4661" s="5"/>
      <c r="Q4661" s="5"/>
      <c r="R4661" s="8"/>
      <c r="S4661" s="8"/>
      <c r="T4661" s="3"/>
    </row>
    <row r="4662" spans="14:20" x14ac:dyDescent="0.3">
      <c r="N4662" s="5"/>
      <c r="O4662" s="5"/>
      <c r="P4662" s="5"/>
      <c r="Q4662" s="5"/>
      <c r="R4662" s="8"/>
      <c r="S4662" s="8"/>
      <c r="T4662" s="3"/>
    </row>
    <row r="4663" spans="14:20" x14ac:dyDescent="0.3">
      <c r="N4663" s="5"/>
      <c r="O4663" s="5"/>
      <c r="P4663" s="5"/>
      <c r="Q4663" s="5"/>
      <c r="R4663" s="8"/>
      <c r="S4663" s="8"/>
      <c r="T4663" s="3"/>
    </row>
    <row r="4664" spans="14:20" x14ac:dyDescent="0.3">
      <c r="N4664" s="5"/>
      <c r="O4664" s="5"/>
      <c r="P4664" s="5"/>
      <c r="Q4664" s="5"/>
      <c r="R4664" s="8"/>
      <c r="S4664" s="8"/>
      <c r="T4664" s="3"/>
    </row>
    <row r="4665" spans="14:20" x14ac:dyDescent="0.3">
      <c r="N4665" s="5"/>
      <c r="O4665" s="5"/>
      <c r="P4665" s="5"/>
      <c r="Q4665" s="5"/>
      <c r="R4665" s="8"/>
      <c r="S4665" s="8"/>
      <c r="T4665" s="3"/>
    </row>
    <row r="4666" spans="14:20" x14ac:dyDescent="0.3">
      <c r="N4666" s="5"/>
      <c r="O4666" s="5"/>
      <c r="P4666" s="5"/>
      <c r="Q4666" s="5"/>
      <c r="R4666" s="8"/>
      <c r="S4666" s="8"/>
      <c r="T4666" s="3"/>
    </row>
    <row r="4667" spans="14:20" x14ac:dyDescent="0.3">
      <c r="N4667" s="5"/>
      <c r="O4667" s="5"/>
      <c r="P4667" s="5"/>
      <c r="Q4667" s="5"/>
      <c r="R4667" s="8"/>
      <c r="S4667" s="8"/>
      <c r="T4667" s="3"/>
    </row>
    <row r="4668" spans="14:20" x14ac:dyDescent="0.3">
      <c r="N4668" s="5"/>
      <c r="O4668" s="5"/>
      <c r="P4668" s="5"/>
      <c r="Q4668" s="5"/>
      <c r="R4668" s="8"/>
      <c r="S4668" s="8"/>
      <c r="T4668" s="3"/>
    </row>
    <row r="4669" spans="14:20" x14ac:dyDescent="0.3">
      <c r="N4669" s="5"/>
      <c r="O4669" s="5"/>
      <c r="P4669" s="5"/>
      <c r="Q4669" s="5"/>
      <c r="R4669" s="8"/>
      <c r="S4669" s="8"/>
      <c r="T4669" s="3"/>
    </row>
    <row r="4670" spans="14:20" x14ac:dyDescent="0.3">
      <c r="N4670" s="5"/>
      <c r="O4670" s="5"/>
      <c r="P4670" s="5"/>
      <c r="Q4670" s="5"/>
      <c r="R4670" s="8"/>
      <c r="S4670" s="8"/>
      <c r="T4670" s="3"/>
    </row>
    <row r="4671" spans="14:20" x14ac:dyDescent="0.3">
      <c r="N4671" s="5"/>
      <c r="O4671" s="5"/>
      <c r="P4671" s="5"/>
      <c r="Q4671" s="5"/>
      <c r="R4671" s="8"/>
      <c r="S4671" s="8"/>
      <c r="T4671" s="3"/>
    </row>
    <row r="4672" spans="14:20" x14ac:dyDescent="0.3">
      <c r="N4672" s="5"/>
      <c r="O4672" s="5"/>
      <c r="P4672" s="5"/>
      <c r="Q4672" s="5"/>
      <c r="R4672" s="8"/>
      <c r="S4672" s="8"/>
      <c r="T4672" s="3"/>
    </row>
    <row r="4673" spans="14:20" x14ac:dyDescent="0.3">
      <c r="N4673" s="5"/>
      <c r="O4673" s="5"/>
      <c r="P4673" s="5"/>
      <c r="Q4673" s="5"/>
      <c r="R4673" s="8"/>
      <c r="S4673" s="8"/>
      <c r="T4673" s="3"/>
    </row>
    <row r="4674" spans="14:20" x14ac:dyDescent="0.3">
      <c r="N4674" s="5"/>
      <c r="O4674" s="5"/>
      <c r="P4674" s="5"/>
      <c r="Q4674" s="5"/>
      <c r="R4674" s="8"/>
      <c r="S4674" s="8"/>
      <c r="T4674" s="3"/>
    </row>
    <row r="4675" spans="14:20" x14ac:dyDescent="0.3">
      <c r="N4675" s="5"/>
      <c r="O4675" s="5"/>
      <c r="P4675" s="5"/>
      <c r="Q4675" s="5"/>
      <c r="R4675" s="8"/>
      <c r="S4675" s="8"/>
      <c r="T4675" s="3"/>
    </row>
    <row r="4676" spans="14:20" x14ac:dyDescent="0.3">
      <c r="N4676" s="5"/>
      <c r="O4676" s="5"/>
      <c r="P4676" s="5"/>
      <c r="Q4676" s="5"/>
      <c r="R4676" s="8"/>
      <c r="S4676" s="8"/>
      <c r="T4676" s="3"/>
    </row>
    <row r="4677" spans="14:20" x14ac:dyDescent="0.3">
      <c r="N4677" s="5"/>
      <c r="O4677" s="5"/>
      <c r="P4677" s="5"/>
      <c r="Q4677" s="5"/>
      <c r="R4677" s="8"/>
      <c r="S4677" s="8"/>
      <c r="T4677" s="3"/>
    </row>
    <row r="4678" spans="14:20" x14ac:dyDescent="0.3">
      <c r="N4678" s="5"/>
      <c r="O4678" s="5"/>
      <c r="P4678" s="5"/>
      <c r="Q4678" s="5"/>
      <c r="R4678" s="8"/>
      <c r="S4678" s="8"/>
      <c r="T4678" s="3"/>
    </row>
    <row r="4679" spans="14:20" x14ac:dyDescent="0.3">
      <c r="N4679" s="5"/>
      <c r="O4679" s="5"/>
      <c r="P4679" s="5"/>
      <c r="Q4679" s="5"/>
      <c r="R4679" s="8"/>
      <c r="S4679" s="8"/>
      <c r="T4679" s="3"/>
    </row>
    <row r="4680" spans="14:20" x14ac:dyDescent="0.3">
      <c r="N4680" s="5"/>
      <c r="O4680" s="5"/>
      <c r="P4680" s="5"/>
      <c r="Q4680" s="5"/>
      <c r="R4680" s="8"/>
      <c r="S4680" s="8"/>
      <c r="T4680" s="3"/>
    </row>
    <row r="4681" spans="14:20" x14ac:dyDescent="0.3">
      <c r="N4681" s="5"/>
      <c r="O4681" s="5"/>
      <c r="P4681" s="5"/>
      <c r="Q4681" s="5"/>
      <c r="R4681" s="8"/>
      <c r="S4681" s="8"/>
      <c r="T4681" s="3"/>
    </row>
    <row r="4682" spans="14:20" x14ac:dyDescent="0.3">
      <c r="N4682" s="5"/>
      <c r="O4682" s="5"/>
      <c r="P4682" s="5"/>
      <c r="Q4682" s="5"/>
      <c r="R4682" s="8"/>
      <c r="S4682" s="8"/>
      <c r="T4682" s="3"/>
    </row>
    <row r="4683" spans="14:20" x14ac:dyDescent="0.3">
      <c r="N4683" s="5"/>
      <c r="O4683" s="5"/>
      <c r="P4683" s="5"/>
      <c r="Q4683" s="5"/>
      <c r="R4683" s="8"/>
      <c r="S4683" s="8"/>
      <c r="T4683" s="3"/>
    </row>
    <row r="4684" spans="14:20" x14ac:dyDescent="0.3">
      <c r="N4684" s="5"/>
      <c r="O4684" s="5"/>
      <c r="P4684" s="5"/>
      <c r="Q4684" s="5"/>
      <c r="R4684" s="8"/>
      <c r="S4684" s="8"/>
      <c r="T4684" s="3"/>
    </row>
    <row r="4685" spans="14:20" x14ac:dyDescent="0.3">
      <c r="N4685" s="5"/>
      <c r="O4685" s="5"/>
      <c r="P4685" s="5"/>
      <c r="Q4685" s="5"/>
      <c r="R4685" s="8"/>
      <c r="S4685" s="8"/>
      <c r="T4685" s="3"/>
    </row>
    <row r="4686" spans="14:20" x14ac:dyDescent="0.3">
      <c r="N4686" s="5"/>
      <c r="O4686" s="5"/>
      <c r="P4686" s="5"/>
      <c r="Q4686" s="5"/>
      <c r="R4686" s="8"/>
      <c r="S4686" s="8"/>
      <c r="T4686" s="3"/>
    </row>
    <row r="4687" spans="14:20" x14ac:dyDescent="0.3">
      <c r="N4687" s="5"/>
      <c r="O4687" s="5"/>
      <c r="P4687" s="5"/>
      <c r="Q4687" s="5"/>
      <c r="R4687" s="8"/>
      <c r="S4687" s="8"/>
      <c r="T4687" s="3"/>
    </row>
    <row r="4688" spans="14:20" x14ac:dyDescent="0.3">
      <c r="N4688" s="5"/>
      <c r="O4688" s="5"/>
      <c r="P4688" s="5"/>
      <c r="Q4688" s="5"/>
      <c r="R4688" s="8"/>
      <c r="S4688" s="8"/>
      <c r="T4688" s="3"/>
    </row>
    <row r="4689" spans="14:20" x14ac:dyDescent="0.3">
      <c r="N4689" s="5"/>
      <c r="O4689" s="5"/>
      <c r="P4689" s="5"/>
      <c r="Q4689" s="5"/>
      <c r="R4689" s="8"/>
      <c r="S4689" s="8"/>
      <c r="T4689" s="3"/>
    </row>
    <row r="4690" spans="14:20" x14ac:dyDescent="0.3">
      <c r="N4690" s="5"/>
      <c r="O4690" s="5"/>
      <c r="P4690" s="5"/>
      <c r="Q4690" s="5"/>
      <c r="R4690" s="8"/>
      <c r="S4690" s="8"/>
      <c r="T4690" s="3"/>
    </row>
    <row r="4691" spans="14:20" x14ac:dyDescent="0.3">
      <c r="N4691" s="5"/>
      <c r="O4691" s="5"/>
      <c r="P4691" s="5"/>
      <c r="Q4691" s="5"/>
      <c r="R4691" s="8"/>
      <c r="S4691" s="8"/>
      <c r="T4691" s="3"/>
    </row>
    <row r="4692" spans="14:20" x14ac:dyDescent="0.3">
      <c r="N4692" s="5"/>
      <c r="O4692" s="5"/>
      <c r="P4692" s="5"/>
      <c r="Q4692" s="5"/>
      <c r="R4692" s="8"/>
      <c r="S4692" s="8"/>
      <c r="T4692" s="3"/>
    </row>
    <row r="4693" spans="14:20" x14ac:dyDescent="0.3">
      <c r="N4693" s="5"/>
      <c r="O4693" s="5"/>
      <c r="P4693" s="5"/>
      <c r="Q4693" s="5"/>
      <c r="R4693" s="8"/>
      <c r="S4693" s="8"/>
      <c r="T4693" s="3"/>
    </row>
    <row r="4694" spans="14:20" x14ac:dyDescent="0.3">
      <c r="N4694" s="5"/>
      <c r="O4694" s="5"/>
      <c r="P4694" s="5"/>
      <c r="Q4694" s="5"/>
      <c r="R4694" s="8"/>
      <c r="S4694" s="8"/>
      <c r="T4694" s="3"/>
    </row>
    <row r="4695" spans="14:20" x14ac:dyDescent="0.3">
      <c r="N4695" s="5"/>
      <c r="O4695" s="5"/>
      <c r="P4695" s="5"/>
      <c r="Q4695" s="5"/>
      <c r="R4695" s="8"/>
      <c r="S4695" s="8"/>
      <c r="T4695" s="3"/>
    </row>
    <row r="4696" spans="14:20" x14ac:dyDescent="0.3">
      <c r="N4696" s="5"/>
      <c r="O4696" s="5"/>
      <c r="P4696" s="5"/>
      <c r="Q4696" s="5"/>
      <c r="R4696" s="8"/>
      <c r="S4696" s="8"/>
      <c r="T4696" s="3"/>
    </row>
    <row r="4697" spans="14:20" x14ac:dyDescent="0.3">
      <c r="N4697" s="5"/>
      <c r="O4697" s="5"/>
      <c r="P4697" s="5"/>
      <c r="Q4697" s="5"/>
      <c r="R4697" s="8"/>
      <c r="S4697" s="8"/>
      <c r="T4697" s="3"/>
    </row>
    <row r="4698" spans="14:20" x14ac:dyDescent="0.3">
      <c r="N4698" s="5"/>
      <c r="O4698" s="5"/>
      <c r="P4698" s="5"/>
      <c r="Q4698" s="5"/>
      <c r="R4698" s="8"/>
      <c r="S4698" s="8"/>
      <c r="T4698" s="3"/>
    </row>
    <row r="4699" spans="14:20" x14ac:dyDescent="0.3">
      <c r="N4699" s="5"/>
      <c r="O4699" s="5"/>
      <c r="P4699" s="5"/>
      <c r="Q4699" s="5"/>
      <c r="R4699" s="8"/>
      <c r="S4699" s="8"/>
      <c r="T4699" s="3"/>
    </row>
    <row r="4700" spans="14:20" x14ac:dyDescent="0.3">
      <c r="N4700" s="5"/>
      <c r="O4700" s="5"/>
      <c r="P4700" s="5"/>
      <c r="Q4700" s="5"/>
      <c r="R4700" s="8"/>
      <c r="S4700" s="8"/>
      <c r="T4700" s="3"/>
    </row>
    <row r="4701" spans="14:20" x14ac:dyDescent="0.3">
      <c r="N4701" s="5"/>
      <c r="O4701" s="5"/>
      <c r="P4701" s="5"/>
      <c r="Q4701" s="5"/>
      <c r="R4701" s="8"/>
      <c r="S4701" s="8"/>
      <c r="T4701" s="3"/>
    </row>
    <row r="4702" spans="14:20" x14ac:dyDescent="0.3">
      <c r="N4702" s="5"/>
      <c r="O4702" s="5"/>
      <c r="P4702" s="5"/>
      <c r="Q4702" s="5"/>
      <c r="R4702" s="8"/>
      <c r="S4702" s="8"/>
      <c r="T4702" s="3"/>
    </row>
    <row r="4703" spans="14:20" x14ac:dyDescent="0.3">
      <c r="N4703" s="5"/>
      <c r="O4703" s="5"/>
      <c r="P4703" s="5"/>
      <c r="Q4703" s="5"/>
      <c r="R4703" s="8"/>
      <c r="S4703" s="8"/>
      <c r="T4703" s="3"/>
    </row>
    <row r="4704" spans="14:20" x14ac:dyDescent="0.3">
      <c r="N4704" s="5"/>
      <c r="O4704" s="5"/>
      <c r="P4704" s="5"/>
      <c r="Q4704" s="5"/>
      <c r="R4704" s="8"/>
      <c r="S4704" s="8"/>
      <c r="T4704" s="3"/>
    </row>
    <row r="4705" spans="14:20" x14ac:dyDescent="0.3">
      <c r="N4705" s="5"/>
      <c r="O4705" s="5"/>
      <c r="P4705" s="5"/>
      <c r="Q4705" s="5"/>
      <c r="R4705" s="8"/>
      <c r="S4705" s="8"/>
      <c r="T4705" s="3"/>
    </row>
    <row r="4706" spans="14:20" x14ac:dyDescent="0.3">
      <c r="N4706" s="5"/>
      <c r="O4706" s="5"/>
      <c r="P4706" s="5"/>
      <c r="Q4706" s="5"/>
      <c r="R4706" s="8"/>
      <c r="S4706" s="8"/>
      <c r="T4706" s="3"/>
    </row>
    <row r="4707" spans="14:20" x14ac:dyDescent="0.3">
      <c r="N4707" s="5"/>
      <c r="O4707" s="5"/>
      <c r="P4707" s="5"/>
      <c r="Q4707" s="5"/>
      <c r="R4707" s="8"/>
      <c r="S4707" s="8"/>
      <c r="T4707" s="3"/>
    </row>
    <row r="4708" spans="14:20" x14ac:dyDescent="0.3">
      <c r="N4708" s="5"/>
      <c r="O4708" s="5"/>
      <c r="P4708" s="5"/>
      <c r="Q4708" s="5"/>
      <c r="R4708" s="8"/>
      <c r="S4708" s="8"/>
      <c r="T4708" s="3"/>
    </row>
    <row r="4709" spans="14:20" x14ac:dyDescent="0.3">
      <c r="N4709" s="5"/>
      <c r="O4709" s="5"/>
      <c r="P4709" s="5"/>
      <c r="Q4709" s="5"/>
      <c r="R4709" s="8"/>
      <c r="S4709" s="8"/>
      <c r="T4709" s="3"/>
    </row>
    <row r="4710" spans="14:20" x14ac:dyDescent="0.3">
      <c r="N4710" s="5"/>
      <c r="O4710" s="5"/>
      <c r="P4710" s="5"/>
      <c r="Q4710" s="5"/>
      <c r="R4710" s="8"/>
      <c r="S4710" s="8"/>
      <c r="T4710" s="3"/>
    </row>
    <row r="4711" spans="14:20" x14ac:dyDescent="0.3">
      <c r="N4711" s="5"/>
      <c r="O4711" s="5"/>
      <c r="P4711" s="5"/>
      <c r="Q4711" s="5"/>
      <c r="R4711" s="8"/>
      <c r="S4711" s="8"/>
      <c r="T4711" s="3"/>
    </row>
    <row r="4712" spans="14:20" x14ac:dyDescent="0.3">
      <c r="N4712" s="5"/>
      <c r="O4712" s="5"/>
      <c r="P4712" s="5"/>
      <c r="Q4712" s="5"/>
      <c r="R4712" s="8"/>
      <c r="S4712" s="8"/>
      <c r="T4712" s="3"/>
    </row>
    <row r="4713" spans="14:20" x14ac:dyDescent="0.3">
      <c r="N4713" s="5"/>
      <c r="O4713" s="5"/>
      <c r="P4713" s="5"/>
      <c r="Q4713" s="5"/>
      <c r="R4713" s="8"/>
      <c r="S4713" s="8"/>
      <c r="T4713" s="3"/>
    </row>
    <row r="4714" spans="14:20" x14ac:dyDescent="0.3">
      <c r="N4714" s="5"/>
      <c r="O4714" s="5"/>
      <c r="P4714" s="5"/>
      <c r="Q4714" s="5"/>
      <c r="R4714" s="8"/>
      <c r="S4714" s="8"/>
      <c r="T4714" s="3"/>
    </row>
    <row r="4715" spans="14:20" x14ac:dyDescent="0.3">
      <c r="N4715" s="5"/>
      <c r="O4715" s="5"/>
      <c r="P4715" s="5"/>
      <c r="Q4715" s="5"/>
      <c r="R4715" s="8"/>
      <c r="S4715" s="8"/>
      <c r="T4715" s="3"/>
    </row>
    <row r="4716" spans="14:20" x14ac:dyDescent="0.3">
      <c r="N4716" s="5"/>
      <c r="O4716" s="5"/>
      <c r="P4716" s="5"/>
      <c r="Q4716" s="5"/>
      <c r="R4716" s="8"/>
      <c r="S4716" s="8"/>
      <c r="T4716" s="3"/>
    </row>
    <row r="4717" spans="14:20" x14ac:dyDescent="0.3">
      <c r="N4717" s="5"/>
      <c r="O4717" s="5"/>
      <c r="P4717" s="5"/>
      <c r="Q4717" s="5"/>
      <c r="R4717" s="8"/>
      <c r="S4717" s="8"/>
      <c r="T4717" s="3"/>
    </row>
    <row r="4718" spans="14:20" x14ac:dyDescent="0.3">
      <c r="N4718" s="5"/>
      <c r="O4718" s="5"/>
      <c r="P4718" s="5"/>
      <c r="Q4718" s="5"/>
      <c r="R4718" s="8"/>
      <c r="S4718" s="8"/>
      <c r="T4718" s="3"/>
    </row>
    <row r="4719" spans="14:20" x14ac:dyDescent="0.3">
      <c r="N4719" s="5"/>
      <c r="O4719" s="5"/>
      <c r="P4719" s="5"/>
      <c r="Q4719" s="5"/>
      <c r="R4719" s="8"/>
      <c r="S4719" s="8"/>
      <c r="T4719" s="3"/>
    </row>
    <row r="4720" spans="14:20" x14ac:dyDescent="0.3">
      <c r="N4720" s="5"/>
      <c r="O4720" s="5"/>
      <c r="P4720" s="5"/>
      <c r="Q4720" s="5"/>
      <c r="R4720" s="8"/>
      <c r="S4720" s="8"/>
      <c r="T4720" s="3"/>
    </row>
    <row r="4721" spans="14:20" x14ac:dyDescent="0.3">
      <c r="N4721" s="5"/>
      <c r="O4721" s="5"/>
      <c r="P4721" s="5"/>
      <c r="Q4721" s="5"/>
      <c r="R4721" s="8"/>
      <c r="S4721" s="8"/>
      <c r="T4721" s="3"/>
    </row>
    <row r="4722" spans="14:20" x14ac:dyDescent="0.3">
      <c r="N4722" s="5"/>
      <c r="O4722" s="5"/>
      <c r="P4722" s="5"/>
      <c r="Q4722" s="5"/>
      <c r="R4722" s="8"/>
      <c r="S4722" s="8"/>
      <c r="T4722" s="3"/>
    </row>
    <row r="4723" spans="14:20" x14ac:dyDescent="0.3">
      <c r="N4723" s="5"/>
      <c r="O4723" s="5"/>
      <c r="P4723" s="5"/>
      <c r="Q4723" s="5"/>
      <c r="R4723" s="8"/>
      <c r="S4723" s="8"/>
      <c r="T4723" s="3"/>
    </row>
    <row r="4724" spans="14:20" x14ac:dyDescent="0.3">
      <c r="N4724" s="5"/>
      <c r="O4724" s="5"/>
      <c r="P4724" s="5"/>
      <c r="Q4724" s="5"/>
      <c r="R4724" s="8"/>
      <c r="S4724" s="8"/>
      <c r="T4724" s="3"/>
    </row>
    <row r="4725" spans="14:20" x14ac:dyDescent="0.3">
      <c r="N4725" s="5"/>
      <c r="O4725" s="5"/>
      <c r="P4725" s="5"/>
      <c r="Q4725" s="5"/>
      <c r="R4725" s="8"/>
      <c r="S4725" s="8"/>
      <c r="T4725" s="3"/>
    </row>
    <row r="4726" spans="14:20" x14ac:dyDescent="0.3">
      <c r="N4726" s="5"/>
      <c r="O4726" s="5"/>
      <c r="P4726" s="5"/>
      <c r="Q4726" s="5"/>
      <c r="R4726" s="8"/>
      <c r="S4726" s="8"/>
      <c r="T4726" s="3"/>
    </row>
    <row r="4727" spans="14:20" x14ac:dyDescent="0.3">
      <c r="N4727" s="5"/>
      <c r="O4727" s="5"/>
      <c r="P4727" s="5"/>
      <c r="Q4727" s="5"/>
      <c r="R4727" s="8"/>
      <c r="S4727" s="8"/>
      <c r="T4727" s="3"/>
    </row>
    <row r="4728" spans="14:20" x14ac:dyDescent="0.3">
      <c r="N4728" s="5"/>
      <c r="O4728" s="5"/>
      <c r="P4728" s="5"/>
      <c r="Q4728" s="5"/>
      <c r="R4728" s="8"/>
      <c r="S4728" s="8"/>
      <c r="T4728" s="3"/>
    </row>
    <row r="4729" spans="14:20" x14ac:dyDescent="0.3">
      <c r="N4729" s="5"/>
      <c r="O4729" s="5"/>
      <c r="P4729" s="5"/>
      <c r="Q4729" s="5"/>
      <c r="R4729" s="8"/>
      <c r="S4729" s="8"/>
      <c r="T4729" s="3"/>
    </row>
    <row r="4730" spans="14:20" x14ac:dyDescent="0.3">
      <c r="N4730" s="5"/>
      <c r="O4730" s="5"/>
      <c r="P4730" s="5"/>
      <c r="Q4730" s="5"/>
      <c r="R4730" s="8"/>
      <c r="S4730" s="8"/>
      <c r="T4730" s="3"/>
    </row>
    <row r="4731" spans="14:20" x14ac:dyDescent="0.3">
      <c r="N4731" s="5"/>
      <c r="O4731" s="5"/>
      <c r="P4731" s="5"/>
      <c r="Q4731" s="5"/>
      <c r="R4731" s="8"/>
      <c r="S4731" s="8"/>
      <c r="T4731" s="3"/>
    </row>
    <row r="4732" spans="14:20" x14ac:dyDescent="0.3">
      <c r="N4732" s="5"/>
      <c r="O4732" s="5"/>
      <c r="P4732" s="5"/>
      <c r="Q4732" s="5"/>
      <c r="R4732" s="8"/>
      <c r="S4732" s="8"/>
      <c r="T4732" s="3"/>
    </row>
    <row r="4733" spans="14:20" x14ac:dyDescent="0.3">
      <c r="N4733" s="5"/>
      <c r="O4733" s="5"/>
      <c r="P4733" s="5"/>
      <c r="Q4733" s="5"/>
      <c r="R4733" s="8"/>
      <c r="S4733" s="8"/>
      <c r="T4733" s="3"/>
    </row>
    <row r="4734" spans="14:20" x14ac:dyDescent="0.3">
      <c r="N4734" s="5"/>
      <c r="O4734" s="5"/>
      <c r="P4734" s="5"/>
      <c r="Q4734" s="5"/>
      <c r="R4734" s="8"/>
      <c r="S4734" s="8"/>
      <c r="T4734" s="3"/>
    </row>
    <row r="4735" spans="14:20" x14ac:dyDescent="0.3">
      <c r="N4735" s="5"/>
      <c r="O4735" s="5"/>
      <c r="P4735" s="5"/>
      <c r="Q4735" s="5"/>
      <c r="R4735" s="8"/>
      <c r="S4735" s="8"/>
      <c r="T4735" s="3"/>
    </row>
    <row r="4736" spans="14:20" x14ac:dyDescent="0.3">
      <c r="N4736" s="5"/>
      <c r="O4736" s="5"/>
      <c r="P4736" s="5"/>
      <c r="Q4736" s="5"/>
      <c r="R4736" s="8"/>
      <c r="S4736" s="8"/>
      <c r="T4736" s="3"/>
    </row>
    <row r="4737" spans="14:20" x14ac:dyDescent="0.3">
      <c r="N4737" s="5"/>
      <c r="O4737" s="5"/>
      <c r="P4737" s="5"/>
      <c r="Q4737" s="5"/>
      <c r="R4737" s="8"/>
      <c r="S4737" s="8"/>
      <c r="T4737" s="3"/>
    </row>
    <row r="4738" spans="14:20" x14ac:dyDescent="0.3">
      <c r="N4738" s="5"/>
      <c r="O4738" s="5"/>
      <c r="P4738" s="5"/>
      <c r="Q4738" s="5"/>
      <c r="R4738" s="8"/>
      <c r="S4738" s="8"/>
      <c r="T4738" s="3"/>
    </row>
    <row r="4739" spans="14:20" x14ac:dyDescent="0.3">
      <c r="N4739" s="5"/>
      <c r="O4739" s="5"/>
      <c r="P4739" s="5"/>
      <c r="Q4739" s="5"/>
      <c r="R4739" s="8"/>
      <c r="S4739" s="8"/>
      <c r="T4739" s="3"/>
    </row>
    <row r="4740" spans="14:20" x14ac:dyDescent="0.3">
      <c r="N4740" s="5"/>
      <c r="O4740" s="5"/>
      <c r="P4740" s="5"/>
      <c r="Q4740" s="5"/>
      <c r="R4740" s="8"/>
      <c r="S4740" s="8"/>
      <c r="T4740" s="3"/>
    </row>
    <row r="4741" spans="14:20" x14ac:dyDescent="0.3">
      <c r="N4741" s="5"/>
      <c r="O4741" s="5"/>
      <c r="P4741" s="5"/>
      <c r="Q4741" s="5"/>
      <c r="R4741" s="8"/>
      <c r="S4741" s="8"/>
      <c r="T4741" s="3"/>
    </row>
    <row r="4742" spans="14:20" x14ac:dyDescent="0.3">
      <c r="N4742" s="5"/>
      <c r="O4742" s="5"/>
      <c r="P4742" s="5"/>
      <c r="Q4742" s="5"/>
      <c r="R4742" s="8"/>
      <c r="S4742" s="8"/>
      <c r="T4742" s="3"/>
    </row>
    <row r="4743" spans="14:20" x14ac:dyDescent="0.3">
      <c r="N4743" s="5"/>
      <c r="O4743" s="5"/>
      <c r="P4743" s="5"/>
      <c r="Q4743" s="5"/>
      <c r="R4743" s="8"/>
      <c r="S4743" s="8"/>
      <c r="T4743" s="3"/>
    </row>
    <row r="4744" spans="14:20" x14ac:dyDescent="0.3">
      <c r="N4744" s="5"/>
      <c r="O4744" s="5"/>
      <c r="P4744" s="5"/>
      <c r="Q4744" s="5"/>
      <c r="R4744" s="8"/>
      <c r="S4744" s="8"/>
      <c r="T4744" s="3"/>
    </row>
    <row r="4745" spans="14:20" x14ac:dyDescent="0.3">
      <c r="N4745" s="5"/>
      <c r="O4745" s="5"/>
      <c r="P4745" s="5"/>
      <c r="Q4745" s="5"/>
      <c r="R4745" s="8"/>
      <c r="S4745" s="8"/>
      <c r="T4745" s="3"/>
    </row>
    <row r="4746" spans="14:20" x14ac:dyDescent="0.3">
      <c r="N4746" s="5"/>
      <c r="O4746" s="5"/>
      <c r="P4746" s="5"/>
      <c r="Q4746" s="5"/>
      <c r="R4746" s="8"/>
      <c r="S4746" s="8"/>
      <c r="T4746" s="3"/>
    </row>
    <row r="4747" spans="14:20" x14ac:dyDescent="0.3">
      <c r="N4747" s="5"/>
      <c r="O4747" s="5"/>
      <c r="P4747" s="5"/>
      <c r="Q4747" s="5"/>
      <c r="R4747" s="8"/>
      <c r="S4747" s="8"/>
      <c r="T4747" s="3"/>
    </row>
    <row r="4748" spans="14:20" x14ac:dyDescent="0.3">
      <c r="N4748" s="5"/>
      <c r="O4748" s="5"/>
      <c r="P4748" s="5"/>
      <c r="Q4748" s="5"/>
      <c r="R4748" s="8"/>
      <c r="S4748" s="8"/>
      <c r="T4748" s="3"/>
    </row>
    <row r="4749" spans="14:20" x14ac:dyDescent="0.3">
      <c r="N4749" s="5"/>
      <c r="O4749" s="5"/>
      <c r="P4749" s="5"/>
      <c r="Q4749" s="5"/>
      <c r="R4749" s="8"/>
      <c r="S4749" s="8"/>
      <c r="T4749" s="3"/>
    </row>
    <row r="4750" spans="14:20" x14ac:dyDescent="0.3">
      <c r="N4750" s="5"/>
      <c r="O4750" s="5"/>
      <c r="P4750" s="5"/>
      <c r="Q4750" s="5"/>
      <c r="R4750" s="8"/>
      <c r="S4750" s="8"/>
      <c r="T4750" s="3"/>
    </row>
    <row r="4751" spans="14:20" x14ac:dyDescent="0.3">
      <c r="N4751" s="5"/>
      <c r="O4751" s="5"/>
      <c r="P4751" s="5"/>
      <c r="Q4751" s="5"/>
      <c r="R4751" s="8"/>
      <c r="S4751" s="8"/>
      <c r="T4751" s="3"/>
    </row>
    <row r="4752" spans="14:20" x14ac:dyDescent="0.3">
      <c r="N4752" s="5"/>
      <c r="O4752" s="5"/>
      <c r="P4752" s="5"/>
      <c r="Q4752" s="5"/>
      <c r="R4752" s="8"/>
      <c r="S4752" s="8"/>
      <c r="T4752" s="3"/>
    </row>
    <row r="4753" spans="14:20" x14ac:dyDescent="0.3">
      <c r="N4753" s="5"/>
      <c r="O4753" s="5"/>
      <c r="P4753" s="5"/>
      <c r="Q4753" s="5"/>
      <c r="R4753" s="8"/>
      <c r="S4753" s="8"/>
      <c r="T4753" s="3"/>
    </row>
    <row r="4754" spans="14:20" x14ac:dyDescent="0.3">
      <c r="N4754" s="5"/>
      <c r="O4754" s="5"/>
      <c r="P4754" s="5"/>
      <c r="Q4754" s="5"/>
      <c r="R4754" s="8"/>
      <c r="S4754" s="8"/>
      <c r="T4754" s="3"/>
    </row>
    <row r="4755" spans="14:20" x14ac:dyDescent="0.3">
      <c r="N4755" s="5"/>
      <c r="O4755" s="5"/>
      <c r="P4755" s="5"/>
      <c r="Q4755" s="5"/>
      <c r="R4755" s="8"/>
      <c r="S4755" s="8"/>
      <c r="T4755" s="3"/>
    </row>
    <row r="4756" spans="14:20" x14ac:dyDescent="0.3">
      <c r="N4756" s="5"/>
      <c r="O4756" s="5"/>
      <c r="P4756" s="5"/>
      <c r="Q4756" s="5"/>
      <c r="R4756" s="8"/>
      <c r="S4756" s="8"/>
      <c r="T4756" s="3"/>
    </row>
    <row r="4757" spans="14:20" x14ac:dyDescent="0.3">
      <c r="N4757" s="5"/>
      <c r="O4757" s="5"/>
      <c r="P4757" s="5"/>
      <c r="Q4757" s="5"/>
      <c r="R4757" s="8"/>
      <c r="S4757" s="8"/>
      <c r="T4757" s="3"/>
    </row>
    <row r="4758" spans="14:20" x14ac:dyDescent="0.3">
      <c r="N4758" s="5"/>
      <c r="O4758" s="5"/>
      <c r="P4758" s="5"/>
      <c r="Q4758" s="5"/>
      <c r="R4758" s="8"/>
      <c r="S4758" s="8"/>
      <c r="T4758" s="3"/>
    </row>
    <row r="4759" spans="14:20" x14ac:dyDescent="0.3">
      <c r="N4759" s="5"/>
      <c r="O4759" s="5"/>
      <c r="P4759" s="5"/>
      <c r="Q4759" s="5"/>
      <c r="R4759" s="8"/>
      <c r="S4759" s="8"/>
      <c r="T4759" s="3"/>
    </row>
    <row r="4760" spans="14:20" x14ac:dyDescent="0.3">
      <c r="N4760" s="5"/>
      <c r="O4760" s="5"/>
      <c r="P4760" s="5"/>
      <c r="Q4760" s="5"/>
      <c r="R4760" s="8"/>
      <c r="S4760" s="8"/>
      <c r="T4760" s="3"/>
    </row>
    <row r="4761" spans="14:20" x14ac:dyDescent="0.3">
      <c r="N4761" s="5"/>
      <c r="O4761" s="5"/>
      <c r="P4761" s="5"/>
      <c r="Q4761" s="5"/>
      <c r="R4761" s="8"/>
      <c r="S4761" s="8"/>
      <c r="T4761" s="3"/>
    </row>
  </sheetData>
  <autoFilter ref="A4:F4" xr:uid="{DCA88540-DD1D-4BB3-AFE0-B9DD89657BDE}">
    <sortState xmlns:xlrd2="http://schemas.microsoft.com/office/spreadsheetml/2017/richdata2" ref="A5:F34">
      <sortCondition descending="1" ref="A4"/>
    </sortState>
  </autoFilter>
  <conditionalFormatting sqref="C1:D1 D2 C3:D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1048576 C1 E1:E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 F1:F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R1:S4 R1236:S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5:A3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:S123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3C186-B9DC-4147-90F6-FDC09AB461F7}">
  <dimension ref="A1:G1232"/>
  <sheetViews>
    <sheetView tabSelected="1" topLeftCell="A1231" workbookViewId="0">
      <selection activeCell="A1232" sqref="A1229:A1232"/>
    </sheetView>
  </sheetViews>
  <sheetFormatPr defaultRowHeight="14.4" x14ac:dyDescent="0.3"/>
  <cols>
    <col min="1" max="2" width="10.5546875" bestFit="1" customWidth="1"/>
    <col min="3" max="3" width="6.5546875" bestFit="1" customWidth="1"/>
    <col min="4" max="4" width="21.77734375" bestFit="1" customWidth="1"/>
    <col min="5" max="5" width="9.5546875" bestFit="1" customWidth="1"/>
    <col min="6" max="6" width="21.77734375" bestFit="1" customWidth="1"/>
    <col min="7" max="7" width="9.218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</v>
      </c>
    </row>
    <row r="2" spans="1:7" x14ac:dyDescent="0.3">
      <c r="A2" s="11">
        <v>45223</v>
      </c>
      <c r="B2" s="11" t="s">
        <v>6</v>
      </c>
      <c r="C2" t="s">
        <v>7</v>
      </c>
      <c r="D2">
        <v>107</v>
      </c>
      <c r="E2" t="s">
        <v>8</v>
      </c>
      <c r="F2">
        <v>119</v>
      </c>
      <c r="G2">
        <v>119</v>
      </c>
    </row>
    <row r="3" spans="1:7" x14ac:dyDescent="0.3">
      <c r="A3" s="11">
        <v>45223</v>
      </c>
      <c r="B3" s="11" t="s">
        <v>9</v>
      </c>
      <c r="C3" t="s">
        <v>10</v>
      </c>
      <c r="D3">
        <v>108</v>
      </c>
      <c r="E3" t="s">
        <v>11</v>
      </c>
      <c r="F3">
        <v>104</v>
      </c>
      <c r="G3">
        <v>104</v>
      </c>
    </row>
    <row r="4" spans="1:7" x14ac:dyDescent="0.3">
      <c r="A4" s="11">
        <v>45224</v>
      </c>
      <c r="B4" s="11" t="s">
        <v>12</v>
      </c>
      <c r="C4" t="s">
        <v>13</v>
      </c>
      <c r="D4">
        <v>86</v>
      </c>
      <c r="E4" t="s">
        <v>14</v>
      </c>
      <c r="F4">
        <v>116</v>
      </c>
      <c r="G4">
        <v>116</v>
      </c>
    </row>
    <row r="5" spans="1:7" x14ac:dyDescent="0.3">
      <c r="A5" s="11">
        <v>45224</v>
      </c>
      <c r="B5" s="11" t="s">
        <v>12</v>
      </c>
      <c r="C5" t="s">
        <v>15</v>
      </c>
      <c r="D5">
        <v>108</v>
      </c>
      <c r="E5" t="s">
        <v>16</v>
      </c>
      <c r="F5">
        <v>104</v>
      </c>
      <c r="G5">
        <v>104</v>
      </c>
    </row>
    <row r="6" spans="1:7" x14ac:dyDescent="0.3">
      <c r="A6" s="11">
        <v>45224</v>
      </c>
      <c r="B6" s="11" t="s">
        <v>12</v>
      </c>
      <c r="C6" t="s">
        <v>17</v>
      </c>
      <c r="D6">
        <v>120</v>
      </c>
      <c r="E6" t="s">
        <v>18</v>
      </c>
      <c r="F6">
        <v>143</v>
      </c>
      <c r="G6">
        <v>143</v>
      </c>
    </row>
    <row r="7" spans="1:7" x14ac:dyDescent="0.3">
      <c r="A7" s="11">
        <v>45224</v>
      </c>
      <c r="B7" s="11" t="s">
        <v>12</v>
      </c>
      <c r="C7" t="s">
        <v>19</v>
      </c>
      <c r="D7">
        <v>110</v>
      </c>
      <c r="E7" t="s">
        <v>20</v>
      </c>
      <c r="F7">
        <v>116</v>
      </c>
      <c r="G7">
        <v>116</v>
      </c>
    </row>
    <row r="8" spans="1:7" x14ac:dyDescent="0.3">
      <c r="A8" s="11">
        <v>45224</v>
      </c>
      <c r="B8" s="11" t="s">
        <v>6</v>
      </c>
      <c r="C8" t="s">
        <v>21</v>
      </c>
      <c r="D8">
        <v>102</v>
      </c>
      <c r="E8" t="s">
        <v>22</v>
      </c>
      <c r="F8">
        <v>103</v>
      </c>
      <c r="G8">
        <v>103</v>
      </c>
    </row>
    <row r="9" spans="1:7" x14ac:dyDescent="0.3">
      <c r="A9" s="11">
        <v>45224</v>
      </c>
      <c r="B9" s="11" t="s">
        <v>6</v>
      </c>
      <c r="C9" t="s">
        <v>23</v>
      </c>
      <c r="D9">
        <v>94</v>
      </c>
      <c r="E9" t="s">
        <v>24</v>
      </c>
      <c r="F9">
        <v>97</v>
      </c>
      <c r="G9">
        <v>97</v>
      </c>
    </row>
    <row r="10" spans="1:7" x14ac:dyDescent="0.3">
      <c r="A10" s="11">
        <v>45224</v>
      </c>
      <c r="B10" s="11" t="s">
        <v>6</v>
      </c>
      <c r="C10" t="s">
        <v>25</v>
      </c>
      <c r="D10">
        <v>114</v>
      </c>
      <c r="E10" t="s">
        <v>26</v>
      </c>
      <c r="F10">
        <v>113</v>
      </c>
      <c r="G10">
        <v>113</v>
      </c>
    </row>
    <row r="11" spans="1:7" x14ac:dyDescent="0.3">
      <c r="A11" s="11">
        <v>45224</v>
      </c>
      <c r="B11" s="11" t="s">
        <v>27</v>
      </c>
      <c r="C11" t="s">
        <v>28</v>
      </c>
      <c r="D11">
        <v>111</v>
      </c>
      <c r="E11" t="s">
        <v>29</v>
      </c>
      <c r="F11">
        <v>104</v>
      </c>
      <c r="G11">
        <v>104</v>
      </c>
    </row>
    <row r="12" spans="1:7" x14ac:dyDescent="0.3">
      <c r="A12" s="11">
        <v>45224</v>
      </c>
      <c r="B12" s="11" t="s">
        <v>27</v>
      </c>
      <c r="C12" t="s">
        <v>30</v>
      </c>
      <c r="D12">
        <v>124</v>
      </c>
      <c r="E12" t="s">
        <v>31</v>
      </c>
      <c r="F12">
        <v>104</v>
      </c>
      <c r="G12">
        <v>104</v>
      </c>
    </row>
    <row r="13" spans="1:7" x14ac:dyDescent="0.3">
      <c r="A13" s="11">
        <v>45224</v>
      </c>
      <c r="B13" s="11" t="s">
        <v>32</v>
      </c>
      <c r="C13" t="s">
        <v>33</v>
      </c>
      <c r="D13">
        <v>130</v>
      </c>
      <c r="E13" t="s">
        <v>34</v>
      </c>
      <c r="F13">
        <v>114</v>
      </c>
      <c r="G13">
        <v>114</v>
      </c>
    </row>
    <row r="14" spans="1:7" x14ac:dyDescent="0.3">
      <c r="A14" s="11">
        <v>45224</v>
      </c>
      <c r="B14" s="11" t="s">
        <v>35</v>
      </c>
      <c r="C14" t="s">
        <v>36</v>
      </c>
      <c r="D14">
        <v>126</v>
      </c>
      <c r="E14" t="s">
        <v>37</v>
      </c>
      <c r="F14">
        <v>119</v>
      </c>
      <c r="G14">
        <v>119</v>
      </c>
    </row>
    <row r="15" spans="1:7" x14ac:dyDescent="0.3">
      <c r="A15" s="11">
        <v>45224</v>
      </c>
      <c r="B15" s="11" t="s">
        <v>38</v>
      </c>
      <c r="C15" t="s">
        <v>39</v>
      </c>
      <c r="D15">
        <v>111</v>
      </c>
      <c r="E15" t="s">
        <v>40</v>
      </c>
      <c r="F15">
        <v>123</v>
      </c>
      <c r="G15">
        <v>123</v>
      </c>
    </row>
    <row r="16" spans="1:7" x14ac:dyDescent="0.3">
      <c r="A16" s="11">
        <v>45225</v>
      </c>
      <c r="B16" s="11" t="s">
        <v>6</v>
      </c>
      <c r="C16" t="s">
        <v>41</v>
      </c>
      <c r="D16">
        <v>117</v>
      </c>
      <c r="E16" t="s">
        <v>42</v>
      </c>
      <c r="F16">
        <v>118</v>
      </c>
      <c r="G16">
        <v>118</v>
      </c>
    </row>
    <row r="17" spans="1:7" x14ac:dyDescent="0.3">
      <c r="A17" s="11">
        <v>45225</v>
      </c>
      <c r="B17" s="11" t="s">
        <v>9</v>
      </c>
      <c r="C17" t="s">
        <v>10</v>
      </c>
      <c r="D17">
        <v>95</v>
      </c>
      <c r="E17" t="s">
        <v>7</v>
      </c>
      <c r="F17">
        <v>100</v>
      </c>
      <c r="G17">
        <v>100</v>
      </c>
    </row>
    <row r="18" spans="1:7" x14ac:dyDescent="0.3">
      <c r="A18" s="11">
        <v>45226</v>
      </c>
      <c r="B18" s="11" t="s">
        <v>12</v>
      </c>
      <c r="C18" t="s">
        <v>8</v>
      </c>
      <c r="D18">
        <v>108</v>
      </c>
      <c r="E18" t="s">
        <v>29</v>
      </c>
      <c r="F18">
        <v>104</v>
      </c>
      <c r="G18">
        <v>104</v>
      </c>
    </row>
    <row r="19" spans="1:7" x14ac:dyDescent="0.3">
      <c r="A19" s="11">
        <v>45226</v>
      </c>
      <c r="B19" s="11" t="s">
        <v>12</v>
      </c>
      <c r="C19" t="s">
        <v>21</v>
      </c>
      <c r="D19">
        <v>111</v>
      </c>
      <c r="E19" t="s">
        <v>20</v>
      </c>
      <c r="F19">
        <v>99</v>
      </c>
      <c r="G19">
        <v>99</v>
      </c>
    </row>
    <row r="20" spans="1:7" x14ac:dyDescent="0.3">
      <c r="A20" s="11">
        <v>45226</v>
      </c>
      <c r="B20" s="11" t="s">
        <v>6</v>
      </c>
      <c r="C20" t="s">
        <v>16</v>
      </c>
      <c r="D20">
        <v>126</v>
      </c>
      <c r="E20" t="s">
        <v>19</v>
      </c>
      <c r="F20">
        <v>120</v>
      </c>
      <c r="G20">
        <v>120</v>
      </c>
    </row>
    <row r="21" spans="1:7" x14ac:dyDescent="0.3">
      <c r="A21" s="11">
        <v>45226</v>
      </c>
      <c r="B21" s="11" t="s">
        <v>6</v>
      </c>
      <c r="C21" t="s">
        <v>30</v>
      </c>
      <c r="D21">
        <v>108</v>
      </c>
      <c r="E21" t="s">
        <v>25</v>
      </c>
      <c r="F21">
        <v>105</v>
      </c>
      <c r="G21">
        <v>105</v>
      </c>
    </row>
    <row r="22" spans="1:7" x14ac:dyDescent="0.3">
      <c r="A22" s="11">
        <v>45226</v>
      </c>
      <c r="B22" s="11" t="s">
        <v>6</v>
      </c>
      <c r="C22" t="s">
        <v>22</v>
      </c>
      <c r="D22">
        <v>111</v>
      </c>
      <c r="E22" t="s">
        <v>15</v>
      </c>
      <c r="F22">
        <v>119</v>
      </c>
      <c r="G22">
        <v>119</v>
      </c>
    </row>
    <row r="23" spans="1:7" x14ac:dyDescent="0.3">
      <c r="A23" s="11">
        <v>45226</v>
      </c>
      <c r="B23" s="11" t="s">
        <v>27</v>
      </c>
      <c r="C23" t="s">
        <v>24</v>
      </c>
      <c r="D23">
        <v>103</v>
      </c>
      <c r="E23" t="s">
        <v>31</v>
      </c>
      <c r="F23">
        <v>104</v>
      </c>
      <c r="G23">
        <v>104</v>
      </c>
    </row>
    <row r="24" spans="1:7" x14ac:dyDescent="0.3">
      <c r="A24" s="11">
        <v>45226</v>
      </c>
      <c r="B24" s="11" t="s">
        <v>27</v>
      </c>
      <c r="C24" t="s">
        <v>13</v>
      </c>
      <c r="D24">
        <v>122</v>
      </c>
      <c r="E24" t="s">
        <v>37</v>
      </c>
      <c r="F24">
        <v>126</v>
      </c>
      <c r="G24">
        <v>126</v>
      </c>
    </row>
    <row r="25" spans="1:7" x14ac:dyDescent="0.3">
      <c r="A25" s="11">
        <v>45226</v>
      </c>
      <c r="B25" s="11" t="s">
        <v>43</v>
      </c>
      <c r="C25" t="s">
        <v>26</v>
      </c>
      <c r="D25">
        <v>120</v>
      </c>
      <c r="E25" t="s">
        <v>36</v>
      </c>
      <c r="F25">
        <v>125</v>
      </c>
      <c r="G25">
        <v>125</v>
      </c>
    </row>
    <row r="26" spans="1:7" x14ac:dyDescent="0.3">
      <c r="A26" s="11">
        <v>45226</v>
      </c>
      <c r="B26" s="11" t="s">
        <v>35</v>
      </c>
      <c r="C26" t="s">
        <v>40</v>
      </c>
      <c r="D26">
        <v>118</v>
      </c>
      <c r="E26" t="s">
        <v>34</v>
      </c>
      <c r="F26">
        <v>120</v>
      </c>
      <c r="G26">
        <v>120</v>
      </c>
    </row>
    <row r="27" spans="1:7" x14ac:dyDescent="0.3">
      <c r="A27" s="11">
        <v>45226</v>
      </c>
      <c r="B27" s="11" t="s">
        <v>9</v>
      </c>
      <c r="C27" t="s">
        <v>14</v>
      </c>
      <c r="D27">
        <v>102</v>
      </c>
      <c r="E27" t="s">
        <v>39</v>
      </c>
      <c r="F27">
        <v>97</v>
      </c>
      <c r="G27">
        <v>97</v>
      </c>
    </row>
    <row r="28" spans="1:7" x14ac:dyDescent="0.3">
      <c r="A28" s="11">
        <v>45226</v>
      </c>
      <c r="B28" s="11" t="s">
        <v>9</v>
      </c>
      <c r="C28" t="s">
        <v>11</v>
      </c>
      <c r="D28">
        <v>122</v>
      </c>
      <c r="E28" t="s">
        <v>33</v>
      </c>
      <c r="F28">
        <v>114</v>
      </c>
      <c r="G28">
        <v>114</v>
      </c>
    </row>
    <row r="29" spans="1:7" x14ac:dyDescent="0.3">
      <c r="A29" s="11">
        <v>45227</v>
      </c>
      <c r="B29" s="11" t="s">
        <v>12</v>
      </c>
      <c r="C29" t="s">
        <v>31</v>
      </c>
      <c r="D29">
        <v>102</v>
      </c>
      <c r="E29" t="s">
        <v>21</v>
      </c>
      <c r="F29">
        <v>118</v>
      </c>
      <c r="G29">
        <v>118</v>
      </c>
    </row>
    <row r="30" spans="1:7" x14ac:dyDescent="0.3">
      <c r="A30" s="11">
        <v>45227</v>
      </c>
      <c r="B30" s="11" t="s">
        <v>12</v>
      </c>
      <c r="C30" t="s">
        <v>29</v>
      </c>
      <c r="D30">
        <v>106</v>
      </c>
      <c r="E30" t="s">
        <v>17</v>
      </c>
      <c r="F30">
        <v>113</v>
      </c>
      <c r="G30">
        <v>113</v>
      </c>
    </row>
    <row r="31" spans="1:7" x14ac:dyDescent="0.3">
      <c r="A31" s="11">
        <v>45227</v>
      </c>
      <c r="B31" s="11" t="s">
        <v>12</v>
      </c>
      <c r="C31" t="s">
        <v>16</v>
      </c>
      <c r="D31">
        <v>87</v>
      </c>
      <c r="E31" t="s">
        <v>28</v>
      </c>
      <c r="F31">
        <v>96</v>
      </c>
      <c r="G31">
        <v>96</v>
      </c>
    </row>
    <row r="32" spans="1:7" x14ac:dyDescent="0.3">
      <c r="A32" s="11">
        <v>45227</v>
      </c>
      <c r="B32" s="11" t="s">
        <v>6</v>
      </c>
      <c r="C32" t="s">
        <v>18</v>
      </c>
      <c r="D32">
        <v>125</v>
      </c>
      <c r="E32" t="s">
        <v>25</v>
      </c>
      <c r="F32">
        <v>113</v>
      </c>
      <c r="G32">
        <v>113</v>
      </c>
    </row>
    <row r="33" spans="1:7" x14ac:dyDescent="0.3">
      <c r="A33" s="11">
        <v>45227</v>
      </c>
      <c r="B33" s="11" t="s">
        <v>6</v>
      </c>
      <c r="C33" t="s">
        <v>41</v>
      </c>
      <c r="D33">
        <v>114</v>
      </c>
      <c r="E33" t="s">
        <v>24</v>
      </c>
      <c r="F33">
        <v>107</v>
      </c>
      <c r="G33">
        <v>107</v>
      </c>
    </row>
    <row r="34" spans="1:7" x14ac:dyDescent="0.3">
      <c r="A34" s="11">
        <v>45227</v>
      </c>
      <c r="B34" s="11" t="s">
        <v>27</v>
      </c>
      <c r="C34" t="s">
        <v>22</v>
      </c>
      <c r="D34">
        <v>90</v>
      </c>
      <c r="E34" t="s">
        <v>23</v>
      </c>
      <c r="F34">
        <v>106</v>
      </c>
      <c r="G34">
        <v>106</v>
      </c>
    </row>
    <row r="35" spans="1:7" x14ac:dyDescent="0.3">
      <c r="A35" s="11">
        <v>45227</v>
      </c>
      <c r="B35" s="11" t="s">
        <v>9</v>
      </c>
      <c r="C35" t="s">
        <v>34</v>
      </c>
      <c r="D35">
        <v>104</v>
      </c>
      <c r="E35" t="s">
        <v>10</v>
      </c>
      <c r="F35">
        <v>126</v>
      </c>
      <c r="G35">
        <v>126</v>
      </c>
    </row>
    <row r="36" spans="1:7" x14ac:dyDescent="0.3">
      <c r="A36" s="11">
        <v>45228</v>
      </c>
      <c r="B36" s="11" t="s">
        <v>44</v>
      </c>
      <c r="C36" t="s">
        <v>8</v>
      </c>
      <c r="D36">
        <v>128</v>
      </c>
      <c r="E36" t="s">
        <v>30</v>
      </c>
      <c r="F36">
        <v>95</v>
      </c>
      <c r="G36">
        <v>95</v>
      </c>
    </row>
    <row r="37" spans="1:7" x14ac:dyDescent="0.3">
      <c r="A37" s="11">
        <v>45228</v>
      </c>
      <c r="B37" s="11" t="s">
        <v>12</v>
      </c>
      <c r="C37" t="s">
        <v>11</v>
      </c>
      <c r="D37">
        <v>106</v>
      </c>
      <c r="E37" t="s">
        <v>13</v>
      </c>
      <c r="F37">
        <v>95</v>
      </c>
      <c r="G37">
        <v>95</v>
      </c>
    </row>
    <row r="38" spans="1:7" x14ac:dyDescent="0.3">
      <c r="A38" s="11">
        <v>45228</v>
      </c>
      <c r="B38" s="11" t="s">
        <v>12</v>
      </c>
      <c r="C38" t="s">
        <v>19</v>
      </c>
      <c r="D38">
        <v>127</v>
      </c>
      <c r="E38" t="s">
        <v>42</v>
      </c>
      <c r="F38">
        <v>110</v>
      </c>
      <c r="G38">
        <v>110</v>
      </c>
    </row>
    <row r="39" spans="1:7" x14ac:dyDescent="0.3">
      <c r="A39" s="11">
        <v>45228</v>
      </c>
      <c r="B39" s="11" t="s">
        <v>6</v>
      </c>
      <c r="C39" t="s">
        <v>39</v>
      </c>
      <c r="D39">
        <v>98</v>
      </c>
      <c r="E39" t="s">
        <v>41</v>
      </c>
      <c r="F39">
        <v>126</v>
      </c>
      <c r="G39">
        <v>126</v>
      </c>
    </row>
    <row r="40" spans="1:7" x14ac:dyDescent="0.3">
      <c r="A40" s="11">
        <v>45228</v>
      </c>
      <c r="B40" s="11" t="s">
        <v>32</v>
      </c>
      <c r="C40" t="s">
        <v>37</v>
      </c>
      <c r="D40">
        <v>83</v>
      </c>
      <c r="E40" t="s">
        <v>40</v>
      </c>
      <c r="F40">
        <v>123</v>
      </c>
      <c r="G40">
        <v>123</v>
      </c>
    </row>
    <row r="41" spans="1:7" x14ac:dyDescent="0.3">
      <c r="A41" s="11">
        <v>45228</v>
      </c>
      <c r="B41" s="11" t="s">
        <v>32</v>
      </c>
      <c r="C41" t="s">
        <v>7</v>
      </c>
      <c r="D41">
        <v>127</v>
      </c>
      <c r="E41" t="s">
        <v>33</v>
      </c>
      <c r="F41">
        <v>132</v>
      </c>
      <c r="G41">
        <v>132</v>
      </c>
    </row>
    <row r="42" spans="1:7" x14ac:dyDescent="0.3">
      <c r="A42" s="11">
        <v>45229</v>
      </c>
      <c r="B42" s="11" t="s">
        <v>12</v>
      </c>
      <c r="C42" t="s">
        <v>31</v>
      </c>
      <c r="D42">
        <v>112</v>
      </c>
      <c r="E42" t="s">
        <v>18</v>
      </c>
      <c r="F42">
        <v>105</v>
      </c>
      <c r="G42">
        <v>105</v>
      </c>
    </row>
    <row r="43" spans="1:7" x14ac:dyDescent="0.3">
      <c r="A43" s="11">
        <v>45229</v>
      </c>
      <c r="B43" s="11" t="s">
        <v>12</v>
      </c>
      <c r="C43" t="s">
        <v>15</v>
      </c>
      <c r="D43">
        <v>126</v>
      </c>
      <c r="E43" t="s">
        <v>17</v>
      </c>
      <c r="F43">
        <v>107</v>
      </c>
      <c r="G43">
        <v>107</v>
      </c>
    </row>
    <row r="44" spans="1:7" x14ac:dyDescent="0.3">
      <c r="A44" s="11">
        <v>45229</v>
      </c>
      <c r="B44" s="11" t="s">
        <v>12</v>
      </c>
      <c r="C44" t="s">
        <v>26</v>
      </c>
      <c r="D44">
        <v>133</v>
      </c>
      <c r="E44" t="s">
        <v>20</v>
      </c>
      <c r="F44">
        <v>121</v>
      </c>
      <c r="G44">
        <v>121</v>
      </c>
    </row>
    <row r="45" spans="1:7" x14ac:dyDescent="0.3">
      <c r="A45" s="11">
        <v>45229</v>
      </c>
      <c r="B45" s="11" t="s">
        <v>6</v>
      </c>
      <c r="C45" t="s">
        <v>39</v>
      </c>
      <c r="D45">
        <v>99</v>
      </c>
      <c r="E45" t="s">
        <v>24</v>
      </c>
      <c r="F45">
        <v>91</v>
      </c>
      <c r="G45">
        <v>91</v>
      </c>
    </row>
    <row r="46" spans="1:7" x14ac:dyDescent="0.3">
      <c r="A46" s="11">
        <v>45229</v>
      </c>
      <c r="B46" s="11" t="s">
        <v>6</v>
      </c>
      <c r="C46" t="s">
        <v>23</v>
      </c>
      <c r="D46">
        <v>113</v>
      </c>
      <c r="E46" t="s">
        <v>19</v>
      </c>
      <c r="F46">
        <v>127</v>
      </c>
      <c r="G46">
        <v>127</v>
      </c>
    </row>
    <row r="47" spans="1:7" x14ac:dyDescent="0.3">
      <c r="A47" s="11">
        <v>45229</v>
      </c>
      <c r="B47" s="11" t="s">
        <v>27</v>
      </c>
      <c r="C47" t="s">
        <v>36</v>
      </c>
      <c r="D47">
        <v>125</v>
      </c>
      <c r="E47" t="s">
        <v>29</v>
      </c>
      <c r="F47">
        <v>110</v>
      </c>
      <c r="G47">
        <v>110</v>
      </c>
    </row>
    <row r="48" spans="1:7" x14ac:dyDescent="0.3">
      <c r="A48" s="11">
        <v>45229</v>
      </c>
      <c r="B48" s="11" t="s">
        <v>27</v>
      </c>
      <c r="C48" t="s">
        <v>22</v>
      </c>
      <c r="D48">
        <v>114</v>
      </c>
      <c r="E48" t="s">
        <v>42</v>
      </c>
      <c r="F48">
        <v>122</v>
      </c>
      <c r="G48">
        <v>122</v>
      </c>
    </row>
    <row r="49" spans="1:7" x14ac:dyDescent="0.3">
      <c r="A49" s="11">
        <v>45229</v>
      </c>
      <c r="B49" s="11" t="s">
        <v>27</v>
      </c>
      <c r="C49" t="s">
        <v>11</v>
      </c>
      <c r="D49">
        <v>130</v>
      </c>
      <c r="E49" t="s">
        <v>28</v>
      </c>
      <c r="F49">
        <v>102</v>
      </c>
      <c r="G49">
        <v>102</v>
      </c>
    </row>
    <row r="50" spans="1:7" x14ac:dyDescent="0.3">
      <c r="A50" s="11">
        <v>45229</v>
      </c>
      <c r="B50" s="11" t="s">
        <v>27</v>
      </c>
      <c r="C50" t="s">
        <v>21</v>
      </c>
      <c r="D50">
        <v>112</v>
      </c>
      <c r="E50" t="s">
        <v>30</v>
      </c>
      <c r="F50">
        <v>124</v>
      </c>
      <c r="G50">
        <v>124</v>
      </c>
    </row>
    <row r="51" spans="1:7" x14ac:dyDescent="0.3">
      <c r="A51" s="11">
        <v>45229</v>
      </c>
      <c r="B51" s="11" t="s">
        <v>32</v>
      </c>
      <c r="C51" t="s">
        <v>34</v>
      </c>
      <c r="D51">
        <v>102</v>
      </c>
      <c r="E51" t="s">
        <v>8</v>
      </c>
      <c r="F51">
        <v>110</v>
      </c>
      <c r="G51">
        <v>110</v>
      </c>
    </row>
    <row r="52" spans="1:7" x14ac:dyDescent="0.3">
      <c r="A52" s="11">
        <v>45229</v>
      </c>
      <c r="B52" s="11" t="s">
        <v>38</v>
      </c>
      <c r="C52" t="s">
        <v>14</v>
      </c>
      <c r="D52">
        <v>103</v>
      </c>
      <c r="E52" t="s">
        <v>7</v>
      </c>
      <c r="F52">
        <v>106</v>
      </c>
      <c r="G52">
        <v>106</v>
      </c>
    </row>
    <row r="53" spans="1:7" x14ac:dyDescent="0.3">
      <c r="A53" s="11">
        <v>45230</v>
      </c>
      <c r="B53" s="11" t="s">
        <v>6</v>
      </c>
      <c r="C53" t="s">
        <v>16</v>
      </c>
      <c r="D53">
        <v>109</v>
      </c>
      <c r="E53" t="s">
        <v>25</v>
      </c>
      <c r="F53">
        <v>91</v>
      </c>
      <c r="G53">
        <v>91</v>
      </c>
    </row>
    <row r="54" spans="1:7" x14ac:dyDescent="0.3">
      <c r="A54" s="11">
        <v>45230</v>
      </c>
      <c r="B54" s="11" t="s">
        <v>9</v>
      </c>
      <c r="C54" t="s">
        <v>37</v>
      </c>
      <c r="D54">
        <v>115</v>
      </c>
      <c r="E54" t="s">
        <v>10</v>
      </c>
      <c r="F54">
        <v>114</v>
      </c>
      <c r="G54">
        <v>114</v>
      </c>
    </row>
    <row r="55" spans="1:7" x14ac:dyDescent="0.3">
      <c r="A55" s="11">
        <v>45230</v>
      </c>
      <c r="B55" s="11" t="s">
        <v>38</v>
      </c>
      <c r="C55" t="s">
        <v>14</v>
      </c>
      <c r="D55">
        <v>102</v>
      </c>
      <c r="E55" t="s">
        <v>40</v>
      </c>
      <c r="F55">
        <v>118</v>
      </c>
      <c r="G55">
        <v>118</v>
      </c>
    </row>
    <row r="56" spans="1:7" x14ac:dyDescent="0.3">
      <c r="A56" s="11">
        <v>45231</v>
      </c>
      <c r="B56" s="11" t="s">
        <v>12</v>
      </c>
      <c r="C56" t="s">
        <v>39</v>
      </c>
      <c r="D56">
        <v>110</v>
      </c>
      <c r="E56" t="s">
        <v>21</v>
      </c>
      <c r="F56">
        <v>101</v>
      </c>
      <c r="G56">
        <v>101</v>
      </c>
    </row>
    <row r="57" spans="1:7" x14ac:dyDescent="0.3">
      <c r="A57" s="11">
        <v>45231</v>
      </c>
      <c r="B57" s="11" t="s">
        <v>12</v>
      </c>
      <c r="C57" t="s">
        <v>42</v>
      </c>
      <c r="D57">
        <v>111</v>
      </c>
      <c r="E57" t="s">
        <v>24</v>
      </c>
      <c r="F57">
        <v>130</v>
      </c>
      <c r="G57">
        <v>130</v>
      </c>
    </row>
    <row r="58" spans="1:7" x14ac:dyDescent="0.3">
      <c r="A58" s="11">
        <v>45231</v>
      </c>
      <c r="B58" s="11" t="s">
        <v>6</v>
      </c>
      <c r="C58" t="s">
        <v>17</v>
      </c>
      <c r="D58">
        <v>121</v>
      </c>
      <c r="E58" t="s">
        <v>19</v>
      </c>
      <c r="F58">
        <v>130</v>
      </c>
      <c r="G58">
        <v>130</v>
      </c>
    </row>
    <row r="59" spans="1:7" x14ac:dyDescent="0.3">
      <c r="A59" s="11">
        <v>45231</v>
      </c>
      <c r="B59" s="11" t="s">
        <v>6</v>
      </c>
      <c r="C59" t="s">
        <v>18</v>
      </c>
      <c r="D59">
        <v>104</v>
      </c>
      <c r="E59" t="s">
        <v>15</v>
      </c>
      <c r="F59">
        <v>155</v>
      </c>
      <c r="G59">
        <v>155</v>
      </c>
    </row>
    <row r="60" spans="1:7" x14ac:dyDescent="0.3">
      <c r="A60" s="11">
        <v>45231</v>
      </c>
      <c r="B60" s="11" t="s">
        <v>6</v>
      </c>
      <c r="C60" t="s">
        <v>26</v>
      </c>
      <c r="D60">
        <v>109</v>
      </c>
      <c r="E60" t="s">
        <v>22</v>
      </c>
      <c r="F60">
        <v>105</v>
      </c>
      <c r="G60">
        <v>105</v>
      </c>
    </row>
    <row r="61" spans="1:7" x14ac:dyDescent="0.3">
      <c r="A61" s="11">
        <v>45231</v>
      </c>
      <c r="B61" s="11" t="s">
        <v>6</v>
      </c>
      <c r="C61" t="s">
        <v>25</v>
      </c>
      <c r="D61">
        <v>95</v>
      </c>
      <c r="E61" t="s">
        <v>16</v>
      </c>
      <c r="F61">
        <v>89</v>
      </c>
      <c r="G61">
        <v>89</v>
      </c>
    </row>
    <row r="62" spans="1:7" x14ac:dyDescent="0.3">
      <c r="A62" s="11">
        <v>45231</v>
      </c>
      <c r="B62" s="11" t="s">
        <v>6</v>
      </c>
      <c r="C62" t="s">
        <v>28</v>
      </c>
      <c r="D62">
        <v>110</v>
      </c>
      <c r="E62" t="s">
        <v>30</v>
      </c>
      <c r="F62">
        <v>106</v>
      </c>
      <c r="G62">
        <v>106</v>
      </c>
    </row>
    <row r="63" spans="1:7" x14ac:dyDescent="0.3">
      <c r="A63" s="11">
        <v>45231</v>
      </c>
      <c r="B63" s="11" t="s">
        <v>27</v>
      </c>
      <c r="C63" t="s">
        <v>20</v>
      </c>
      <c r="D63">
        <v>119</v>
      </c>
      <c r="E63" t="s">
        <v>13</v>
      </c>
      <c r="F63">
        <v>128</v>
      </c>
      <c r="G63">
        <v>128</v>
      </c>
    </row>
    <row r="64" spans="1:7" x14ac:dyDescent="0.3">
      <c r="A64" s="11">
        <v>45231</v>
      </c>
      <c r="B64" s="11" t="s">
        <v>27</v>
      </c>
      <c r="C64" t="s">
        <v>8</v>
      </c>
      <c r="D64">
        <v>89</v>
      </c>
      <c r="E64" t="s">
        <v>23</v>
      </c>
      <c r="F64">
        <v>110</v>
      </c>
      <c r="G64">
        <v>110</v>
      </c>
    </row>
    <row r="65" spans="1:7" x14ac:dyDescent="0.3">
      <c r="A65" s="11">
        <v>45231</v>
      </c>
      <c r="B65" s="11" t="s">
        <v>43</v>
      </c>
      <c r="C65" t="s">
        <v>31</v>
      </c>
      <c r="D65">
        <v>105</v>
      </c>
      <c r="E65" t="s">
        <v>36</v>
      </c>
      <c r="F65">
        <v>114</v>
      </c>
      <c r="G65">
        <v>114</v>
      </c>
    </row>
    <row r="66" spans="1:7" x14ac:dyDescent="0.3">
      <c r="A66" s="11">
        <v>45231</v>
      </c>
      <c r="B66" s="11" t="s">
        <v>32</v>
      </c>
      <c r="C66" t="s">
        <v>29</v>
      </c>
      <c r="D66">
        <v>109</v>
      </c>
      <c r="E66" t="s">
        <v>34</v>
      </c>
      <c r="F66">
        <v>133</v>
      </c>
      <c r="G66">
        <v>133</v>
      </c>
    </row>
    <row r="67" spans="1:7" x14ac:dyDescent="0.3">
      <c r="A67" s="11">
        <v>45231</v>
      </c>
      <c r="B67" s="11" t="s">
        <v>9</v>
      </c>
      <c r="C67" t="s">
        <v>33</v>
      </c>
      <c r="D67">
        <v>101</v>
      </c>
      <c r="E67" t="s">
        <v>11</v>
      </c>
      <c r="F67">
        <v>102</v>
      </c>
      <c r="G67">
        <v>102</v>
      </c>
    </row>
    <row r="68" spans="1:7" x14ac:dyDescent="0.3">
      <c r="A68" s="11">
        <v>45231</v>
      </c>
      <c r="B68" s="11" t="s">
        <v>9</v>
      </c>
      <c r="C68" t="s">
        <v>40</v>
      </c>
      <c r="D68">
        <v>125</v>
      </c>
      <c r="E68" t="s">
        <v>7</v>
      </c>
      <c r="F68">
        <v>130</v>
      </c>
      <c r="G68">
        <v>130</v>
      </c>
    </row>
    <row r="69" spans="1:7" x14ac:dyDescent="0.3">
      <c r="A69" s="11">
        <v>45232</v>
      </c>
      <c r="B69" s="11" t="s">
        <v>12</v>
      </c>
      <c r="C69" t="s">
        <v>24</v>
      </c>
      <c r="D69">
        <v>99</v>
      </c>
      <c r="E69" t="s">
        <v>41</v>
      </c>
      <c r="F69">
        <v>114</v>
      </c>
      <c r="G69">
        <v>114</v>
      </c>
    </row>
    <row r="70" spans="1:7" x14ac:dyDescent="0.3">
      <c r="A70" s="11">
        <v>45232</v>
      </c>
      <c r="B70" s="11" t="s">
        <v>27</v>
      </c>
      <c r="C70" t="s">
        <v>21</v>
      </c>
      <c r="D70">
        <v>116</v>
      </c>
      <c r="E70" t="s">
        <v>28</v>
      </c>
      <c r="F70">
        <v>125</v>
      </c>
      <c r="G70">
        <v>125</v>
      </c>
    </row>
    <row r="71" spans="1:7" x14ac:dyDescent="0.3">
      <c r="A71" s="11">
        <v>45232</v>
      </c>
      <c r="B71" s="11" t="s">
        <v>32</v>
      </c>
      <c r="C71" t="s">
        <v>14</v>
      </c>
      <c r="D71">
        <v>115</v>
      </c>
      <c r="E71" t="s">
        <v>34</v>
      </c>
      <c r="F71">
        <v>113</v>
      </c>
      <c r="G71">
        <v>113</v>
      </c>
    </row>
    <row r="72" spans="1:7" x14ac:dyDescent="0.3">
      <c r="A72" s="11">
        <v>45232</v>
      </c>
      <c r="B72" s="11" t="s">
        <v>9</v>
      </c>
      <c r="C72" t="s">
        <v>37</v>
      </c>
      <c r="D72">
        <v>132</v>
      </c>
      <c r="E72" t="s">
        <v>10</v>
      </c>
      <c r="F72">
        <v>121</v>
      </c>
      <c r="G72">
        <v>121</v>
      </c>
    </row>
    <row r="73" spans="1:7" x14ac:dyDescent="0.3">
      <c r="A73" s="11">
        <v>45233</v>
      </c>
      <c r="B73" s="11" t="s">
        <v>12</v>
      </c>
      <c r="C73" t="s">
        <v>25</v>
      </c>
      <c r="D73">
        <v>116</v>
      </c>
      <c r="E73" t="s">
        <v>18</v>
      </c>
      <c r="F73">
        <v>121</v>
      </c>
      <c r="G73">
        <v>121</v>
      </c>
    </row>
    <row r="74" spans="1:7" x14ac:dyDescent="0.3">
      <c r="A74" s="11">
        <v>45233</v>
      </c>
      <c r="B74" s="11" t="s">
        <v>6</v>
      </c>
      <c r="C74" t="s">
        <v>16</v>
      </c>
      <c r="D74">
        <v>105</v>
      </c>
      <c r="E74" t="s">
        <v>42</v>
      </c>
      <c r="F74">
        <v>110</v>
      </c>
      <c r="G74">
        <v>110</v>
      </c>
    </row>
    <row r="75" spans="1:7" x14ac:dyDescent="0.3">
      <c r="A75" s="11">
        <v>45233</v>
      </c>
      <c r="B75" s="11" t="s">
        <v>27</v>
      </c>
      <c r="C75" t="s">
        <v>26</v>
      </c>
      <c r="D75">
        <v>109</v>
      </c>
      <c r="E75" t="s">
        <v>31</v>
      </c>
      <c r="F75">
        <v>107</v>
      </c>
      <c r="G75">
        <v>107</v>
      </c>
    </row>
    <row r="76" spans="1:7" x14ac:dyDescent="0.3">
      <c r="A76" s="11">
        <v>45233</v>
      </c>
      <c r="B76" s="11" t="s">
        <v>27</v>
      </c>
      <c r="C76" t="s">
        <v>17</v>
      </c>
      <c r="D76">
        <v>114</v>
      </c>
      <c r="E76" t="s">
        <v>22</v>
      </c>
      <c r="F76">
        <v>121</v>
      </c>
      <c r="G76">
        <v>121</v>
      </c>
    </row>
    <row r="77" spans="1:7" x14ac:dyDescent="0.3">
      <c r="A77" s="11">
        <v>45233</v>
      </c>
      <c r="B77" s="11" t="s">
        <v>27</v>
      </c>
      <c r="C77" t="s">
        <v>11</v>
      </c>
      <c r="D77">
        <v>141</v>
      </c>
      <c r="E77" t="s">
        <v>30</v>
      </c>
      <c r="F77">
        <v>139</v>
      </c>
      <c r="G77">
        <v>139</v>
      </c>
    </row>
    <row r="78" spans="1:7" x14ac:dyDescent="0.3">
      <c r="A78" s="11">
        <v>45233</v>
      </c>
      <c r="B78" s="11" t="s">
        <v>9</v>
      </c>
      <c r="C78" t="s">
        <v>36</v>
      </c>
      <c r="D78">
        <v>114</v>
      </c>
      <c r="E78" t="s">
        <v>8</v>
      </c>
      <c r="F78">
        <v>125</v>
      </c>
      <c r="G78">
        <v>125</v>
      </c>
    </row>
    <row r="79" spans="1:7" x14ac:dyDescent="0.3">
      <c r="A79" s="11">
        <v>45233</v>
      </c>
      <c r="B79" s="11" t="s">
        <v>9</v>
      </c>
      <c r="C79" t="s">
        <v>29</v>
      </c>
      <c r="D79">
        <v>113</v>
      </c>
      <c r="E79" t="s">
        <v>39</v>
      </c>
      <c r="F79">
        <v>115</v>
      </c>
      <c r="G79">
        <v>115</v>
      </c>
    </row>
    <row r="80" spans="1:7" x14ac:dyDescent="0.3">
      <c r="A80" s="11">
        <v>45234</v>
      </c>
      <c r="B80" s="11" t="s">
        <v>45</v>
      </c>
      <c r="C80" t="s">
        <v>10</v>
      </c>
      <c r="D80">
        <v>100</v>
      </c>
      <c r="E80" t="s">
        <v>41</v>
      </c>
      <c r="F80">
        <v>112</v>
      </c>
      <c r="G80">
        <v>112</v>
      </c>
    </row>
    <row r="81" spans="1:7" x14ac:dyDescent="0.3">
      <c r="A81" s="11">
        <v>45234</v>
      </c>
      <c r="B81" s="11" t="s">
        <v>12</v>
      </c>
      <c r="C81" t="s">
        <v>20</v>
      </c>
      <c r="D81">
        <v>125</v>
      </c>
      <c r="E81" t="s">
        <v>18</v>
      </c>
      <c r="F81">
        <v>124</v>
      </c>
      <c r="G81">
        <v>124</v>
      </c>
    </row>
    <row r="82" spans="1:7" x14ac:dyDescent="0.3">
      <c r="A82" s="11">
        <v>45234</v>
      </c>
      <c r="B82" s="11" t="s">
        <v>12</v>
      </c>
      <c r="C82" t="s">
        <v>19</v>
      </c>
      <c r="D82">
        <v>123</v>
      </c>
      <c r="E82" t="s">
        <v>28</v>
      </c>
      <c r="F82">
        <v>105</v>
      </c>
      <c r="G82">
        <v>105</v>
      </c>
    </row>
    <row r="83" spans="1:7" x14ac:dyDescent="0.3">
      <c r="A83" s="11">
        <v>45234</v>
      </c>
      <c r="B83" s="11" t="s">
        <v>12</v>
      </c>
      <c r="C83" t="s">
        <v>7</v>
      </c>
      <c r="D83">
        <v>101</v>
      </c>
      <c r="E83" t="s">
        <v>14</v>
      </c>
      <c r="F83">
        <v>120</v>
      </c>
      <c r="G83">
        <v>120</v>
      </c>
    </row>
    <row r="84" spans="1:7" x14ac:dyDescent="0.3">
      <c r="A84" s="11">
        <v>45234</v>
      </c>
      <c r="B84" s="11" t="s">
        <v>27</v>
      </c>
      <c r="C84" t="s">
        <v>15</v>
      </c>
      <c r="D84">
        <v>124</v>
      </c>
      <c r="E84" t="s">
        <v>26</v>
      </c>
      <c r="F84">
        <v>114</v>
      </c>
      <c r="G84">
        <v>114</v>
      </c>
    </row>
    <row r="85" spans="1:7" x14ac:dyDescent="0.3">
      <c r="A85" s="11">
        <v>45234</v>
      </c>
      <c r="B85" s="11" t="s">
        <v>27</v>
      </c>
      <c r="C85" t="s">
        <v>33</v>
      </c>
      <c r="D85">
        <v>89</v>
      </c>
      <c r="E85" t="s">
        <v>13</v>
      </c>
      <c r="F85">
        <v>107</v>
      </c>
      <c r="G85">
        <v>107</v>
      </c>
    </row>
    <row r="86" spans="1:7" x14ac:dyDescent="0.3">
      <c r="A86" s="11">
        <v>45234</v>
      </c>
      <c r="B86" s="11" t="s">
        <v>27</v>
      </c>
      <c r="C86" t="s">
        <v>34</v>
      </c>
      <c r="D86">
        <v>95</v>
      </c>
      <c r="E86" t="s">
        <v>23</v>
      </c>
      <c r="F86">
        <v>123</v>
      </c>
      <c r="G86">
        <v>123</v>
      </c>
    </row>
    <row r="87" spans="1:7" x14ac:dyDescent="0.3">
      <c r="A87" s="11">
        <v>45234</v>
      </c>
      <c r="B87" s="11" t="s">
        <v>32</v>
      </c>
      <c r="C87" t="s">
        <v>31</v>
      </c>
      <c r="D87">
        <v>101</v>
      </c>
      <c r="E87" t="s">
        <v>8</v>
      </c>
      <c r="F87">
        <v>123</v>
      </c>
      <c r="G87">
        <v>123</v>
      </c>
    </row>
    <row r="88" spans="1:7" x14ac:dyDescent="0.3">
      <c r="A88" s="11">
        <v>45235</v>
      </c>
      <c r="B88" s="11" t="s">
        <v>46</v>
      </c>
      <c r="C88" t="s">
        <v>10</v>
      </c>
      <c r="D88">
        <v>120</v>
      </c>
      <c r="E88" t="s">
        <v>21</v>
      </c>
      <c r="F88">
        <v>106</v>
      </c>
      <c r="G88">
        <v>106</v>
      </c>
    </row>
    <row r="89" spans="1:7" x14ac:dyDescent="0.3">
      <c r="A89" s="11">
        <v>45235</v>
      </c>
      <c r="B89" s="11" t="s">
        <v>44</v>
      </c>
      <c r="C89" t="s">
        <v>24</v>
      </c>
      <c r="D89">
        <v>123</v>
      </c>
      <c r="E89" t="s">
        <v>37</v>
      </c>
      <c r="F89">
        <v>116</v>
      </c>
      <c r="G89">
        <v>116</v>
      </c>
    </row>
    <row r="90" spans="1:7" x14ac:dyDescent="0.3">
      <c r="A90" s="11">
        <v>45235</v>
      </c>
      <c r="B90" s="11" t="s">
        <v>47</v>
      </c>
      <c r="C90" t="s">
        <v>11</v>
      </c>
      <c r="D90">
        <v>104</v>
      </c>
      <c r="E90" t="s">
        <v>25</v>
      </c>
      <c r="F90">
        <v>115</v>
      </c>
      <c r="G90">
        <v>115</v>
      </c>
    </row>
    <row r="91" spans="1:7" x14ac:dyDescent="0.3">
      <c r="A91" s="11">
        <v>45235</v>
      </c>
      <c r="B91" s="11" t="s">
        <v>6</v>
      </c>
      <c r="C91" t="s">
        <v>20</v>
      </c>
      <c r="D91">
        <v>118</v>
      </c>
      <c r="E91" t="s">
        <v>36</v>
      </c>
      <c r="F91">
        <v>124</v>
      </c>
      <c r="G91">
        <v>124</v>
      </c>
    </row>
    <row r="92" spans="1:7" x14ac:dyDescent="0.3">
      <c r="A92" s="11">
        <v>45235</v>
      </c>
      <c r="B92" s="11" t="s">
        <v>32</v>
      </c>
      <c r="C92" t="s">
        <v>29</v>
      </c>
      <c r="D92">
        <v>112</v>
      </c>
      <c r="E92" t="s">
        <v>39</v>
      </c>
      <c r="F92">
        <v>100</v>
      </c>
      <c r="G92">
        <v>100</v>
      </c>
    </row>
    <row r="93" spans="1:7" x14ac:dyDescent="0.3">
      <c r="A93" s="11">
        <v>45236</v>
      </c>
      <c r="B93" s="11" t="s">
        <v>12</v>
      </c>
      <c r="C93" t="s">
        <v>11</v>
      </c>
      <c r="D93">
        <v>120</v>
      </c>
      <c r="E93" t="s">
        <v>21</v>
      </c>
      <c r="F93">
        <v>109</v>
      </c>
      <c r="G93">
        <v>109</v>
      </c>
    </row>
    <row r="94" spans="1:7" x14ac:dyDescent="0.3">
      <c r="A94" s="11">
        <v>45236</v>
      </c>
      <c r="B94" s="11" t="s">
        <v>12</v>
      </c>
      <c r="C94" t="s">
        <v>37</v>
      </c>
      <c r="D94">
        <v>111</v>
      </c>
      <c r="E94" t="s">
        <v>18</v>
      </c>
      <c r="F94">
        <v>152</v>
      </c>
      <c r="G94">
        <v>152</v>
      </c>
    </row>
    <row r="95" spans="1:7" x14ac:dyDescent="0.3">
      <c r="A95" s="11">
        <v>45236</v>
      </c>
      <c r="B95" s="11" t="s">
        <v>12</v>
      </c>
      <c r="C95" t="s">
        <v>36</v>
      </c>
      <c r="D95">
        <v>117</v>
      </c>
      <c r="E95" t="s">
        <v>14</v>
      </c>
      <c r="F95">
        <v>102</v>
      </c>
      <c r="G95">
        <v>102</v>
      </c>
    </row>
    <row r="96" spans="1:7" x14ac:dyDescent="0.3">
      <c r="A96" s="11">
        <v>45236</v>
      </c>
      <c r="B96" s="11" t="s">
        <v>12</v>
      </c>
      <c r="C96" t="s">
        <v>17</v>
      </c>
      <c r="D96">
        <v>128</v>
      </c>
      <c r="E96" t="s">
        <v>41</v>
      </c>
      <c r="F96">
        <v>146</v>
      </c>
      <c r="G96">
        <v>146</v>
      </c>
    </row>
    <row r="97" spans="1:7" x14ac:dyDescent="0.3">
      <c r="A97" s="11">
        <v>45236</v>
      </c>
      <c r="B97" s="11" t="s">
        <v>6</v>
      </c>
      <c r="C97" t="s">
        <v>42</v>
      </c>
      <c r="D97">
        <v>129</v>
      </c>
      <c r="E97" t="s">
        <v>26</v>
      </c>
      <c r="F97">
        <v>125</v>
      </c>
      <c r="G97">
        <v>125</v>
      </c>
    </row>
    <row r="98" spans="1:7" x14ac:dyDescent="0.3">
      <c r="A98" s="11">
        <v>45236</v>
      </c>
      <c r="B98" s="11" t="s">
        <v>6</v>
      </c>
      <c r="C98" t="s">
        <v>7</v>
      </c>
      <c r="D98">
        <v>107</v>
      </c>
      <c r="E98" t="s">
        <v>22</v>
      </c>
      <c r="F98">
        <v>108</v>
      </c>
      <c r="G98">
        <v>108</v>
      </c>
    </row>
    <row r="99" spans="1:7" x14ac:dyDescent="0.3">
      <c r="A99" s="11">
        <v>45236</v>
      </c>
      <c r="B99" s="11" t="s">
        <v>6</v>
      </c>
      <c r="C99" t="s">
        <v>40</v>
      </c>
      <c r="D99">
        <v>97</v>
      </c>
      <c r="E99" t="s">
        <v>16</v>
      </c>
      <c r="F99">
        <v>111</v>
      </c>
      <c r="G99">
        <v>111</v>
      </c>
    </row>
    <row r="100" spans="1:7" x14ac:dyDescent="0.3">
      <c r="A100" s="11">
        <v>45236</v>
      </c>
      <c r="B100" s="11" t="s">
        <v>27</v>
      </c>
      <c r="C100" t="s">
        <v>34</v>
      </c>
      <c r="D100">
        <v>113</v>
      </c>
      <c r="E100" t="s">
        <v>31</v>
      </c>
      <c r="F100">
        <v>130</v>
      </c>
      <c r="G100">
        <v>130</v>
      </c>
    </row>
    <row r="101" spans="1:7" x14ac:dyDescent="0.3">
      <c r="A101" s="11">
        <v>45236</v>
      </c>
      <c r="B101" s="11" t="s">
        <v>27</v>
      </c>
      <c r="C101" t="s">
        <v>33</v>
      </c>
      <c r="D101">
        <v>97</v>
      </c>
      <c r="E101" t="s">
        <v>13</v>
      </c>
      <c r="F101">
        <v>122</v>
      </c>
      <c r="G101">
        <v>122</v>
      </c>
    </row>
    <row r="102" spans="1:7" x14ac:dyDescent="0.3">
      <c r="A102" s="11">
        <v>45236</v>
      </c>
      <c r="B102" s="11" t="s">
        <v>27</v>
      </c>
      <c r="C102" t="s">
        <v>15</v>
      </c>
      <c r="D102">
        <v>109</v>
      </c>
      <c r="E102" t="s">
        <v>23</v>
      </c>
      <c r="F102">
        <v>114</v>
      </c>
      <c r="G102">
        <v>114</v>
      </c>
    </row>
    <row r="103" spans="1:7" x14ac:dyDescent="0.3">
      <c r="A103" s="11">
        <v>45236</v>
      </c>
      <c r="B103" s="11" t="s">
        <v>27</v>
      </c>
      <c r="C103" t="s">
        <v>19</v>
      </c>
      <c r="D103">
        <v>117</v>
      </c>
      <c r="E103" t="s">
        <v>30</v>
      </c>
      <c r="F103">
        <v>126</v>
      </c>
      <c r="G103">
        <v>126</v>
      </c>
    </row>
    <row r="104" spans="1:7" x14ac:dyDescent="0.3">
      <c r="A104" s="11">
        <v>45236</v>
      </c>
      <c r="B104" s="11" t="s">
        <v>32</v>
      </c>
      <c r="C104" t="s">
        <v>28</v>
      </c>
      <c r="D104">
        <v>116</v>
      </c>
      <c r="E104" t="s">
        <v>8</v>
      </c>
      <c r="F104">
        <v>134</v>
      </c>
      <c r="G104">
        <v>134</v>
      </c>
    </row>
    <row r="105" spans="1:7" x14ac:dyDescent="0.3">
      <c r="A105" s="11">
        <v>45238</v>
      </c>
      <c r="B105" s="11" t="s">
        <v>12</v>
      </c>
      <c r="C105" t="s">
        <v>17</v>
      </c>
      <c r="D105">
        <v>132</v>
      </c>
      <c r="E105" t="s">
        <v>20</v>
      </c>
      <c r="F105">
        <v>116</v>
      </c>
      <c r="G105">
        <v>116</v>
      </c>
    </row>
    <row r="106" spans="1:7" x14ac:dyDescent="0.3">
      <c r="A106" s="11">
        <v>45238</v>
      </c>
      <c r="B106" s="11" t="s">
        <v>12</v>
      </c>
      <c r="C106" t="s">
        <v>34</v>
      </c>
      <c r="D106">
        <v>118</v>
      </c>
      <c r="E106" t="s">
        <v>18</v>
      </c>
      <c r="F106">
        <v>134</v>
      </c>
      <c r="G106">
        <v>134</v>
      </c>
    </row>
    <row r="107" spans="1:7" x14ac:dyDescent="0.3">
      <c r="A107" s="11">
        <v>45238</v>
      </c>
      <c r="B107" s="11" t="s">
        <v>12</v>
      </c>
      <c r="C107" t="s">
        <v>15</v>
      </c>
      <c r="D107">
        <v>103</v>
      </c>
      <c r="E107" t="s">
        <v>41</v>
      </c>
      <c r="F107">
        <v>106</v>
      </c>
      <c r="G107">
        <v>106</v>
      </c>
    </row>
    <row r="108" spans="1:7" x14ac:dyDescent="0.3">
      <c r="A108" s="11">
        <v>45238</v>
      </c>
      <c r="B108" s="11" t="s">
        <v>6</v>
      </c>
      <c r="C108" t="s">
        <v>40</v>
      </c>
      <c r="D108">
        <v>93</v>
      </c>
      <c r="E108" t="s">
        <v>26</v>
      </c>
      <c r="F108">
        <v>100</v>
      </c>
      <c r="G108">
        <v>100</v>
      </c>
    </row>
    <row r="109" spans="1:7" x14ac:dyDescent="0.3">
      <c r="A109" s="11">
        <v>45238</v>
      </c>
      <c r="B109" s="11" t="s">
        <v>6</v>
      </c>
      <c r="C109" t="s">
        <v>37</v>
      </c>
      <c r="D109">
        <v>105</v>
      </c>
      <c r="E109" t="s">
        <v>16</v>
      </c>
      <c r="F109">
        <v>126</v>
      </c>
      <c r="G109">
        <v>126</v>
      </c>
    </row>
    <row r="110" spans="1:7" x14ac:dyDescent="0.3">
      <c r="A110" s="11">
        <v>45238</v>
      </c>
      <c r="B110" s="11" t="s">
        <v>27</v>
      </c>
      <c r="C110" t="s">
        <v>10</v>
      </c>
      <c r="D110">
        <v>116</v>
      </c>
      <c r="E110" t="s">
        <v>31</v>
      </c>
      <c r="F110">
        <v>115</v>
      </c>
      <c r="G110">
        <v>115</v>
      </c>
    </row>
    <row r="111" spans="1:7" x14ac:dyDescent="0.3">
      <c r="A111" s="11">
        <v>45238</v>
      </c>
      <c r="B111" s="11" t="s">
        <v>27</v>
      </c>
      <c r="C111" t="s">
        <v>7</v>
      </c>
      <c r="D111">
        <v>94</v>
      </c>
      <c r="E111" t="s">
        <v>13</v>
      </c>
      <c r="F111">
        <v>128</v>
      </c>
      <c r="G111">
        <v>128</v>
      </c>
    </row>
    <row r="112" spans="1:7" x14ac:dyDescent="0.3">
      <c r="A112" s="11">
        <v>45238</v>
      </c>
      <c r="B112" s="11" t="s">
        <v>27</v>
      </c>
      <c r="C112" t="s">
        <v>22</v>
      </c>
      <c r="D112">
        <v>108</v>
      </c>
      <c r="E112" t="s">
        <v>29</v>
      </c>
      <c r="F112">
        <v>102</v>
      </c>
      <c r="G112">
        <v>102</v>
      </c>
    </row>
    <row r="113" spans="1:7" x14ac:dyDescent="0.3">
      <c r="A113" s="11">
        <v>45238</v>
      </c>
      <c r="B113" s="11" t="s">
        <v>27</v>
      </c>
      <c r="C113" t="s">
        <v>21</v>
      </c>
      <c r="D113">
        <v>118</v>
      </c>
      <c r="E113" t="s">
        <v>42</v>
      </c>
      <c r="F113">
        <v>120</v>
      </c>
      <c r="G113">
        <v>120</v>
      </c>
    </row>
    <row r="114" spans="1:7" x14ac:dyDescent="0.3">
      <c r="A114" s="11">
        <v>45238</v>
      </c>
      <c r="B114" s="11" t="s">
        <v>27</v>
      </c>
      <c r="C114" t="s">
        <v>28</v>
      </c>
      <c r="D114">
        <v>101</v>
      </c>
      <c r="E114" t="s">
        <v>23</v>
      </c>
      <c r="F114">
        <v>122</v>
      </c>
      <c r="G114">
        <v>122</v>
      </c>
    </row>
    <row r="115" spans="1:7" x14ac:dyDescent="0.3">
      <c r="A115" s="11">
        <v>45238</v>
      </c>
      <c r="B115" s="11" t="s">
        <v>27</v>
      </c>
      <c r="C115" t="s">
        <v>25</v>
      </c>
      <c r="D115">
        <v>120</v>
      </c>
      <c r="E115" t="s">
        <v>30</v>
      </c>
      <c r="F115">
        <v>128</v>
      </c>
      <c r="G115">
        <v>128</v>
      </c>
    </row>
    <row r="116" spans="1:7" x14ac:dyDescent="0.3">
      <c r="A116" s="11">
        <v>45238</v>
      </c>
      <c r="B116" s="11" t="s">
        <v>43</v>
      </c>
      <c r="C116" t="s">
        <v>24</v>
      </c>
      <c r="D116">
        <v>127</v>
      </c>
      <c r="E116" t="s">
        <v>36</v>
      </c>
      <c r="F116">
        <v>116</v>
      </c>
      <c r="G116">
        <v>116</v>
      </c>
    </row>
    <row r="117" spans="1:7" x14ac:dyDescent="0.3">
      <c r="A117" s="11">
        <v>45238</v>
      </c>
      <c r="B117" s="11" t="s">
        <v>9</v>
      </c>
      <c r="C117" t="s">
        <v>11</v>
      </c>
      <c r="D117">
        <v>105</v>
      </c>
      <c r="E117" t="s">
        <v>8</v>
      </c>
      <c r="F117">
        <v>108</v>
      </c>
      <c r="G117">
        <v>108</v>
      </c>
    </row>
    <row r="118" spans="1:7" x14ac:dyDescent="0.3">
      <c r="A118" s="11">
        <v>45238</v>
      </c>
      <c r="B118" s="11" t="s">
        <v>9</v>
      </c>
      <c r="C118" t="s">
        <v>39</v>
      </c>
      <c r="D118">
        <v>118</v>
      </c>
      <c r="E118" t="s">
        <v>33</v>
      </c>
      <c r="F118">
        <v>121</v>
      </c>
      <c r="G118">
        <v>121</v>
      </c>
    </row>
    <row r="119" spans="1:7" x14ac:dyDescent="0.3">
      <c r="A119" s="11">
        <v>45239</v>
      </c>
      <c r="B119" s="11" t="s">
        <v>12</v>
      </c>
      <c r="C119" t="s">
        <v>42</v>
      </c>
      <c r="D119">
        <v>124</v>
      </c>
      <c r="E119" t="s">
        <v>18</v>
      </c>
      <c r="F119">
        <v>126</v>
      </c>
      <c r="G119">
        <v>126</v>
      </c>
    </row>
    <row r="120" spans="1:7" x14ac:dyDescent="0.3">
      <c r="A120" s="11">
        <v>45239</v>
      </c>
      <c r="B120" s="11" t="s">
        <v>35</v>
      </c>
      <c r="C120" t="s">
        <v>19</v>
      </c>
      <c r="D120">
        <v>120</v>
      </c>
      <c r="E120" t="s">
        <v>14</v>
      </c>
      <c r="F120">
        <v>119</v>
      </c>
      <c r="G120">
        <v>119</v>
      </c>
    </row>
    <row r="121" spans="1:7" x14ac:dyDescent="0.3">
      <c r="A121" s="11">
        <v>45240</v>
      </c>
      <c r="B121" s="11" t="s">
        <v>12</v>
      </c>
      <c r="C121" t="s">
        <v>41</v>
      </c>
      <c r="D121">
        <v>114</v>
      </c>
      <c r="E121" t="s">
        <v>21</v>
      </c>
      <c r="F121">
        <v>106</v>
      </c>
      <c r="G121">
        <v>106</v>
      </c>
    </row>
    <row r="122" spans="1:7" x14ac:dyDescent="0.3">
      <c r="A122" s="11">
        <v>45240</v>
      </c>
      <c r="B122" s="11" t="s">
        <v>12</v>
      </c>
      <c r="C122" t="s">
        <v>20</v>
      </c>
      <c r="D122">
        <v>124</v>
      </c>
      <c r="E122" t="s">
        <v>17</v>
      </c>
      <c r="F122">
        <v>117</v>
      </c>
      <c r="G122">
        <v>117</v>
      </c>
    </row>
    <row r="123" spans="1:7" x14ac:dyDescent="0.3">
      <c r="A123" s="11">
        <v>45240</v>
      </c>
      <c r="B123" s="11" t="s">
        <v>6</v>
      </c>
      <c r="C123" t="s">
        <v>26</v>
      </c>
      <c r="D123">
        <v>107</v>
      </c>
      <c r="E123" t="s">
        <v>15</v>
      </c>
      <c r="F123">
        <v>121</v>
      </c>
      <c r="G123">
        <v>121</v>
      </c>
    </row>
    <row r="124" spans="1:7" x14ac:dyDescent="0.3">
      <c r="A124" s="11">
        <v>45240</v>
      </c>
      <c r="B124" s="11" t="s">
        <v>27</v>
      </c>
      <c r="C124" t="s">
        <v>28</v>
      </c>
      <c r="D124">
        <v>101</v>
      </c>
      <c r="E124" t="s">
        <v>13</v>
      </c>
      <c r="F124">
        <v>104</v>
      </c>
      <c r="G124">
        <v>104</v>
      </c>
    </row>
    <row r="125" spans="1:7" x14ac:dyDescent="0.3">
      <c r="A125" s="11">
        <v>45240</v>
      </c>
      <c r="B125" s="11" t="s">
        <v>27</v>
      </c>
      <c r="C125" t="s">
        <v>34</v>
      </c>
      <c r="D125">
        <v>127</v>
      </c>
      <c r="E125" t="s">
        <v>29</v>
      </c>
      <c r="F125">
        <v>121</v>
      </c>
      <c r="G125">
        <v>121</v>
      </c>
    </row>
    <row r="126" spans="1:7" x14ac:dyDescent="0.3">
      <c r="A126" s="11">
        <v>45240</v>
      </c>
      <c r="B126" s="11" t="s">
        <v>27</v>
      </c>
      <c r="C126" t="s">
        <v>23</v>
      </c>
      <c r="D126">
        <v>117</v>
      </c>
      <c r="E126" t="s">
        <v>37</v>
      </c>
      <c r="F126">
        <v>110</v>
      </c>
      <c r="G126">
        <v>110</v>
      </c>
    </row>
    <row r="127" spans="1:7" x14ac:dyDescent="0.3">
      <c r="A127" s="11">
        <v>45240</v>
      </c>
      <c r="B127" s="11" t="s">
        <v>43</v>
      </c>
      <c r="C127" t="s">
        <v>40</v>
      </c>
      <c r="D127">
        <v>126</v>
      </c>
      <c r="E127" t="s">
        <v>36</v>
      </c>
      <c r="F127">
        <v>144</v>
      </c>
      <c r="G127">
        <v>144</v>
      </c>
    </row>
    <row r="128" spans="1:7" x14ac:dyDescent="0.3">
      <c r="A128" s="11">
        <v>45240</v>
      </c>
      <c r="B128" s="11" t="s">
        <v>9</v>
      </c>
      <c r="C128" t="s">
        <v>7</v>
      </c>
      <c r="D128">
        <v>122</v>
      </c>
      <c r="E128" t="s">
        <v>10</v>
      </c>
      <c r="F128">
        <v>119</v>
      </c>
      <c r="G128">
        <v>119</v>
      </c>
    </row>
    <row r="129" spans="1:7" x14ac:dyDescent="0.3">
      <c r="A129" s="11">
        <v>45240</v>
      </c>
      <c r="B129" s="11" t="s">
        <v>9</v>
      </c>
      <c r="C129" t="s">
        <v>30</v>
      </c>
      <c r="D129">
        <v>98</v>
      </c>
      <c r="E129" t="s">
        <v>33</v>
      </c>
      <c r="F129">
        <v>105</v>
      </c>
      <c r="G129">
        <v>105</v>
      </c>
    </row>
    <row r="130" spans="1:7" x14ac:dyDescent="0.3">
      <c r="A130" s="11">
        <v>45241</v>
      </c>
      <c r="B130" s="11" t="s">
        <v>47</v>
      </c>
      <c r="C130" t="s">
        <v>42</v>
      </c>
      <c r="D130">
        <v>97</v>
      </c>
      <c r="E130" t="s">
        <v>14</v>
      </c>
      <c r="F130">
        <v>112</v>
      </c>
      <c r="G130">
        <v>112</v>
      </c>
    </row>
    <row r="131" spans="1:7" x14ac:dyDescent="0.3">
      <c r="A131" s="11">
        <v>45241</v>
      </c>
      <c r="B131" s="11" t="s">
        <v>12</v>
      </c>
      <c r="C131" t="s">
        <v>24</v>
      </c>
      <c r="D131">
        <v>94</v>
      </c>
      <c r="E131" t="s">
        <v>15</v>
      </c>
      <c r="F131">
        <v>117</v>
      </c>
      <c r="G131">
        <v>117</v>
      </c>
    </row>
    <row r="132" spans="1:7" x14ac:dyDescent="0.3">
      <c r="A132" s="11">
        <v>45241</v>
      </c>
      <c r="B132" s="11" t="s">
        <v>6</v>
      </c>
      <c r="C132" t="s">
        <v>22</v>
      </c>
      <c r="D132">
        <v>117</v>
      </c>
      <c r="E132" t="s">
        <v>19</v>
      </c>
      <c r="F132">
        <v>109</v>
      </c>
      <c r="G132">
        <v>109</v>
      </c>
    </row>
    <row r="133" spans="1:7" x14ac:dyDescent="0.3">
      <c r="A133" s="11">
        <v>45241</v>
      </c>
      <c r="B133" s="11" t="s">
        <v>43</v>
      </c>
      <c r="C133" t="s">
        <v>25</v>
      </c>
      <c r="D133">
        <v>118</v>
      </c>
      <c r="E133" t="s">
        <v>11</v>
      </c>
      <c r="F133">
        <v>110</v>
      </c>
      <c r="G133">
        <v>110</v>
      </c>
    </row>
    <row r="134" spans="1:7" x14ac:dyDescent="0.3">
      <c r="A134" s="11">
        <v>45242</v>
      </c>
      <c r="B134" s="11" t="s">
        <v>48</v>
      </c>
      <c r="C134" t="s">
        <v>20</v>
      </c>
      <c r="D134">
        <v>107</v>
      </c>
      <c r="E134" t="s">
        <v>16</v>
      </c>
      <c r="F134">
        <v>129</v>
      </c>
      <c r="G134">
        <v>129</v>
      </c>
    </row>
    <row r="135" spans="1:7" x14ac:dyDescent="0.3">
      <c r="A135" s="11">
        <v>45242</v>
      </c>
      <c r="B135" s="11" t="s">
        <v>46</v>
      </c>
      <c r="C135" t="s">
        <v>17</v>
      </c>
      <c r="D135">
        <v>94</v>
      </c>
      <c r="E135" t="s">
        <v>26</v>
      </c>
      <c r="F135">
        <v>102</v>
      </c>
      <c r="G135">
        <v>102</v>
      </c>
    </row>
    <row r="136" spans="1:7" x14ac:dyDescent="0.3">
      <c r="A136" s="11">
        <v>45242</v>
      </c>
      <c r="B136" s="11" t="s">
        <v>44</v>
      </c>
      <c r="C136" t="s">
        <v>29</v>
      </c>
      <c r="D136">
        <v>105</v>
      </c>
      <c r="E136" t="s">
        <v>40</v>
      </c>
      <c r="F136">
        <v>101</v>
      </c>
      <c r="G136">
        <v>101</v>
      </c>
    </row>
    <row r="137" spans="1:7" x14ac:dyDescent="0.3">
      <c r="A137" s="11">
        <v>45242</v>
      </c>
      <c r="B137" s="11" t="s">
        <v>47</v>
      </c>
      <c r="C137" t="s">
        <v>18</v>
      </c>
      <c r="D137">
        <v>126</v>
      </c>
      <c r="E137" t="s">
        <v>41</v>
      </c>
      <c r="F137">
        <v>137</v>
      </c>
      <c r="G137">
        <v>137</v>
      </c>
    </row>
    <row r="138" spans="1:7" x14ac:dyDescent="0.3">
      <c r="A138" s="11">
        <v>45242</v>
      </c>
      <c r="B138" s="11" t="s">
        <v>12</v>
      </c>
      <c r="C138" t="s">
        <v>21</v>
      </c>
      <c r="D138">
        <v>108</v>
      </c>
      <c r="E138" t="s">
        <v>31</v>
      </c>
      <c r="F138">
        <v>119</v>
      </c>
      <c r="G138">
        <v>119</v>
      </c>
    </row>
    <row r="139" spans="1:7" x14ac:dyDescent="0.3">
      <c r="A139" s="11">
        <v>45242</v>
      </c>
      <c r="B139" s="11" t="s">
        <v>12</v>
      </c>
      <c r="C139" t="s">
        <v>8</v>
      </c>
      <c r="D139">
        <v>104</v>
      </c>
      <c r="E139" t="s">
        <v>13</v>
      </c>
      <c r="F139">
        <v>107</v>
      </c>
      <c r="G139">
        <v>107</v>
      </c>
    </row>
    <row r="140" spans="1:7" x14ac:dyDescent="0.3">
      <c r="A140" s="11">
        <v>45242</v>
      </c>
      <c r="B140" s="11" t="s">
        <v>12</v>
      </c>
      <c r="C140" t="s">
        <v>36</v>
      </c>
      <c r="D140">
        <v>136</v>
      </c>
      <c r="E140" t="s">
        <v>28</v>
      </c>
      <c r="F140">
        <v>124</v>
      </c>
      <c r="G140">
        <v>124</v>
      </c>
    </row>
    <row r="141" spans="1:7" x14ac:dyDescent="0.3">
      <c r="A141" s="11">
        <v>45242</v>
      </c>
      <c r="B141" s="11" t="s">
        <v>12</v>
      </c>
      <c r="C141" t="s">
        <v>22</v>
      </c>
      <c r="D141">
        <v>118</v>
      </c>
      <c r="E141" t="s">
        <v>37</v>
      </c>
      <c r="F141">
        <v>113</v>
      </c>
      <c r="G141">
        <v>113</v>
      </c>
    </row>
    <row r="142" spans="1:7" x14ac:dyDescent="0.3">
      <c r="A142" s="11">
        <v>45242</v>
      </c>
      <c r="B142" s="11" t="s">
        <v>27</v>
      </c>
      <c r="C142" t="s">
        <v>30</v>
      </c>
      <c r="D142">
        <v>111</v>
      </c>
      <c r="E142" t="s">
        <v>10</v>
      </c>
      <c r="F142">
        <v>99</v>
      </c>
      <c r="G142">
        <v>99</v>
      </c>
    </row>
    <row r="143" spans="1:7" x14ac:dyDescent="0.3">
      <c r="A143" s="11">
        <v>45242</v>
      </c>
      <c r="B143" s="11" t="s">
        <v>43</v>
      </c>
      <c r="C143" t="s">
        <v>23</v>
      </c>
      <c r="D143">
        <v>116</v>
      </c>
      <c r="E143" t="s">
        <v>11</v>
      </c>
      <c r="F143">
        <v>110</v>
      </c>
      <c r="G143">
        <v>110</v>
      </c>
    </row>
    <row r="144" spans="1:7" x14ac:dyDescent="0.3">
      <c r="A144" s="11">
        <v>45242</v>
      </c>
      <c r="B144" s="11" t="s">
        <v>9</v>
      </c>
      <c r="C144" t="s">
        <v>39</v>
      </c>
      <c r="D144">
        <v>110</v>
      </c>
      <c r="E144" t="s">
        <v>7</v>
      </c>
      <c r="F144">
        <v>116</v>
      </c>
      <c r="G144">
        <v>116</v>
      </c>
    </row>
    <row r="145" spans="1:7" x14ac:dyDescent="0.3">
      <c r="A145" s="11">
        <v>45243</v>
      </c>
      <c r="B145" s="11" t="s">
        <v>6</v>
      </c>
      <c r="C145" t="s">
        <v>16</v>
      </c>
      <c r="D145">
        <v>98</v>
      </c>
      <c r="E145" t="s">
        <v>15</v>
      </c>
      <c r="F145">
        <v>114</v>
      </c>
      <c r="G145">
        <v>114</v>
      </c>
    </row>
    <row r="146" spans="1:7" x14ac:dyDescent="0.3">
      <c r="A146" s="11">
        <v>45243</v>
      </c>
      <c r="B146" s="11" t="s">
        <v>6</v>
      </c>
      <c r="C146" t="s">
        <v>17</v>
      </c>
      <c r="D146">
        <v>107</v>
      </c>
      <c r="E146" t="s">
        <v>24</v>
      </c>
      <c r="F146">
        <v>111</v>
      </c>
      <c r="G146">
        <v>111</v>
      </c>
    </row>
    <row r="147" spans="1:7" x14ac:dyDescent="0.3">
      <c r="A147" s="11">
        <v>45243</v>
      </c>
      <c r="B147" s="11" t="s">
        <v>27</v>
      </c>
      <c r="C147" t="s">
        <v>31</v>
      </c>
      <c r="D147">
        <v>109</v>
      </c>
      <c r="E147" t="s">
        <v>42</v>
      </c>
      <c r="F147">
        <v>118</v>
      </c>
      <c r="G147">
        <v>118</v>
      </c>
    </row>
    <row r="148" spans="1:7" x14ac:dyDescent="0.3">
      <c r="A148" s="11">
        <v>45243</v>
      </c>
      <c r="B148" s="11" t="s">
        <v>9</v>
      </c>
      <c r="C148" t="s">
        <v>25</v>
      </c>
      <c r="D148">
        <v>120</v>
      </c>
      <c r="E148" t="s">
        <v>33</v>
      </c>
      <c r="F148">
        <v>132</v>
      </c>
      <c r="G148">
        <v>132</v>
      </c>
    </row>
    <row r="149" spans="1:7" x14ac:dyDescent="0.3">
      <c r="A149" s="11">
        <v>45244</v>
      </c>
      <c r="B149" s="11" t="s">
        <v>12</v>
      </c>
      <c r="C149" t="s">
        <v>22</v>
      </c>
      <c r="D149">
        <v>111</v>
      </c>
      <c r="E149" t="s">
        <v>20</v>
      </c>
      <c r="F149">
        <v>105</v>
      </c>
      <c r="G149">
        <v>105</v>
      </c>
    </row>
    <row r="150" spans="1:7" x14ac:dyDescent="0.3">
      <c r="A150" s="11">
        <v>45244</v>
      </c>
      <c r="B150" s="11" t="s">
        <v>12</v>
      </c>
      <c r="C150" t="s">
        <v>19</v>
      </c>
      <c r="D150">
        <v>126</v>
      </c>
      <c r="E150" t="s">
        <v>21</v>
      </c>
      <c r="F150">
        <v>120</v>
      </c>
      <c r="G150">
        <v>120</v>
      </c>
    </row>
    <row r="151" spans="1:7" x14ac:dyDescent="0.3">
      <c r="A151" s="11">
        <v>45244</v>
      </c>
      <c r="B151" s="11" t="s">
        <v>12</v>
      </c>
      <c r="C151" t="s">
        <v>18</v>
      </c>
      <c r="D151">
        <v>132</v>
      </c>
      <c r="E151" t="s">
        <v>41</v>
      </c>
      <c r="F151">
        <v>126</v>
      </c>
      <c r="G151">
        <v>126</v>
      </c>
    </row>
    <row r="152" spans="1:7" x14ac:dyDescent="0.3">
      <c r="A152" s="11">
        <v>45244</v>
      </c>
      <c r="B152" s="11" t="s">
        <v>6</v>
      </c>
      <c r="C152" t="s">
        <v>14</v>
      </c>
      <c r="D152">
        <v>104</v>
      </c>
      <c r="E152" t="s">
        <v>26</v>
      </c>
      <c r="F152">
        <v>124</v>
      </c>
      <c r="G152">
        <v>124</v>
      </c>
    </row>
    <row r="153" spans="1:7" x14ac:dyDescent="0.3">
      <c r="A153" s="11">
        <v>45244</v>
      </c>
      <c r="B153" s="11" t="s">
        <v>6</v>
      </c>
      <c r="C153" t="s">
        <v>37</v>
      </c>
      <c r="D153">
        <v>87</v>
      </c>
      <c r="E153" t="s">
        <v>30</v>
      </c>
      <c r="F153">
        <v>123</v>
      </c>
      <c r="G153">
        <v>123</v>
      </c>
    </row>
    <row r="154" spans="1:7" x14ac:dyDescent="0.3">
      <c r="A154" s="11">
        <v>45244</v>
      </c>
      <c r="B154" s="11" t="s">
        <v>27</v>
      </c>
      <c r="C154" t="s">
        <v>36</v>
      </c>
      <c r="D154">
        <v>110</v>
      </c>
      <c r="E154" t="s">
        <v>28</v>
      </c>
      <c r="F154">
        <v>131</v>
      </c>
      <c r="G154">
        <v>131</v>
      </c>
    </row>
    <row r="155" spans="1:7" x14ac:dyDescent="0.3">
      <c r="A155" s="11">
        <v>45244</v>
      </c>
      <c r="B155" s="11" t="s">
        <v>32</v>
      </c>
      <c r="C155" t="s">
        <v>39</v>
      </c>
      <c r="D155">
        <v>99</v>
      </c>
      <c r="E155" t="s">
        <v>34</v>
      </c>
      <c r="F155">
        <v>115</v>
      </c>
      <c r="G155">
        <v>115</v>
      </c>
    </row>
    <row r="156" spans="1:7" x14ac:dyDescent="0.3">
      <c r="A156" s="11">
        <v>45244</v>
      </c>
      <c r="B156" s="11" t="s">
        <v>9</v>
      </c>
      <c r="C156" t="s">
        <v>40</v>
      </c>
      <c r="D156">
        <v>108</v>
      </c>
      <c r="E156" t="s">
        <v>8</v>
      </c>
      <c r="F156">
        <v>111</v>
      </c>
      <c r="G156">
        <v>111</v>
      </c>
    </row>
    <row r="157" spans="1:7" x14ac:dyDescent="0.3">
      <c r="A157" s="11">
        <v>45244</v>
      </c>
      <c r="B157" s="11" t="s">
        <v>9</v>
      </c>
      <c r="C157" t="s">
        <v>23</v>
      </c>
      <c r="D157">
        <v>104</v>
      </c>
      <c r="E157" t="s">
        <v>11</v>
      </c>
      <c r="F157">
        <v>101</v>
      </c>
      <c r="G157">
        <v>101</v>
      </c>
    </row>
    <row r="158" spans="1:7" x14ac:dyDescent="0.3">
      <c r="A158" s="11">
        <v>45244</v>
      </c>
      <c r="B158" s="11" t="s">
        <v>38</v>
      </c>
      <c r="C158" t="s">
        <v>29</v>
      </c>
      <c r="D158">
        <v>107</v>
      </c>
      <c r="E158" t="s">
        <v>7</v>
      </c>
      <c r="F158">
        <v>134</v>
      </c>
      <c r="G158">
        <v>134</v>
      </c>
    </row>
    <row r="159" spans="1:7" x14ac:dyDescent="0.3">
      <c r="A159" s="11">
        <v>45245</v>
      </c>
      <c r="B159" s="11" t="s">
        <v>12</v>
      </c>
      <c r="C159" t="s">
        <v>36</v>
      </c>
      <c r="D159">
        <v>130</v>
      </c>
      <c r="E159" t="s">
        <v>17</v>
      </c>
      <c r="F159">
        <v>117</v>
      </c>
      <c r="G159">
        <v>117</v>
      </c>
    </row>
    <row r="160" spans="1:7" x14ac:dyDescent="0.3">
      <c r="A160" s="11">
        <v>45245</v>
      </c>
      <c r="B160" s="11" t="s">
        <v>6</v>
      </c>
      <c r="C160" t="s">
        <v>16</v>
      </c>
      <c r="D160">
        <v>116</v>
      </c>
      <c r="E160" t="s">
        <v>19</v>
      </c>
      <c r="F160">
        <v>114</v>
      </c>
      <c r="G160">
        <v>114</v>
      </c>
    </row>
    <row r="161" spans="1:7" x14ac:dyDescent="0.3">
      <c r="A161" s="11">
        <v>45245</v>
      </c>
      <c r="B161" s="11" t="s">
        <v>6</v>
      </c>
      <c r="C161" t="s">
        <v>15</v>
      </c>
      <c r="D161">
        <v>117</v>
      </c>
      <c r="E161" t="s">
        <v>41</v>
      </c>
      <c r="F161">
        <v>107</v>
      </c>
      <c r="G161">
        <v>107</v>
      </c>
    </row>
    <row r="162" spans="1:7" x14ac:dyDescent="0.3">
      <c r="A162" s="11">
        <v>45245</v>
      </c>
      <c r="B162" s="11" t="s">
        <v>6</v>
      </c>
      <c r="C162" t="s">
        <v>42</v>
      </c>
      <c r="D162">
        <v>128</v>
      </c>
      <c r="E162" t="s">
        <v>24</v>
      </c>
      <c r="F162">
        <v>112</v>
      </c>
      <c r="G162">
        <v>112</v>
      </c>
    </row>
    <row r="163" spans="1:7" x14ac:dyDescent="0.3">
      <c r="A163" s="11">
        <v>45245</v>
      </c>
      <c r="B163" s="11" t="s">
        <v>27</v>
      </c>
      <c r="C163" t="s">
        <v>14</v>
      </c>
      <c r="D163">
        <v>96</v>
      </c>
      <c r="E163" t="s">
        <v>31</v>
      </c>
      <c r="F163">
        <v>94</v>
      </c>
      <c r="G163">
        <v>94</v>
      </c>
    </row>
    <row r="164" spans="1:7" x14ac:dyDescent="0.3">
      <c r="A164" s="11">
        <v>45245</v>
      </c>
      <c r="B164" s="11" t="s">
        <v>32</v>
      </c>
      <c r="C164" t="s">
        <v>23</v>
      </c>
      <c r="D164">
        <v>115</v>
      </c>
      <c r="E164" t="s">
        <v>10</v>
      </c>
      <c r="F164">
        <v>133</v>
      </c>
      <c r="G164">
        <v>133</v>
      </c>
    </row>
    <row r="165" spans="1:7" x14ac:dyDescent="0.3">
      <c r="A165" s="11">
        <v>45245</v>
      </c>
      <c r="B165" s="11" t="s">
        <v>9</v>
      </c>
      <c r="C165" t="s">
        <v>33</v>
      </c>
      <c r="D165">
        <v>125</v>
      </c>
      <c r="E165" t="s">
        <v>7</v>
      </c>
      <c r="F165">
        <v>110</v>
      </c>
      <c r="G165">
        <v>110</v>
      </c>
    </row>
    <row r="166" spans="1:7" x14ac:dyDescent="0.3">
      <c r="A166" s="11">
        <v>45245</v>
      </c>
      <c r="B166" s="11" t="s">
        <v>9</v>
      </c>
      <c r="C166" t="s">
        <v>25</v>
      </c>
      <c r="D166">
        <v>109</v>
      </c>
      <c r="E166" t="s">
        <v>39</v>
      </c>
      <c r="F166">
        <v>95</v>
      </c>
      <c r="G166">
        <v>95</v>
      </c>
    </row>
    <row r="167" spans="1:7" x14ac:dyDescent="0.3">
      <c r="A167" s="11">
        <v>45246</v>
      </c>
      <c r="B167" s="11" t="s">
        <v>6</v>
      </c>
      <c r="C167" t="s">
        <v>26</v>
      </c>
      <c r="D167">
        <v>115</v>
      </c>
      <c r="E167" t="s">
        <v>22</v>
      </c>
      <c r="F167">
        <v>122</v>
      </c>
      <c r="G167">
        <v>122</v>
      </c>
    </row>
    <row r="168" spans="1:7" x14ac:dyDescent="0.3">
      <c r="A168" s="11">
        <v>45246</v>
      </c>
      <c r="B168" s="11" t="s">
        <v>9</v>
      </c>
      <c r="C168" t="s">
        <v>30</v>
      </c>
      <c r="D168">
        <v>128</v>
      </c>
      <c r="E168" t="s">
        <v>11</v>
      </c>
      <c r="F168">
        <v>109</v>
      </c>
      <c r="G168">
        <v>109</v>
      </c>
    </row>
    <row r="169" spans="1:7" x14ac:dyDescent="0.3">
      <c r="A169" s="11">
        <v>45247</v>
      </c>
      <c r="B169" s="11" t="s">
        <v>12</v>
      </c>
      <c r="C169" t="s">
        <v>42</v>
      </c>
      <c r="D169">
        <v>130</v>
      </c>
      <c r="E169" t="s">
        <v>20</v>
      </c>
      <c r="F169">
        <v>99</v>
      </c>
      <c r="G169">
        <v>99</v>
      </c>
    </row>
    <row r="170" spans="1:7" x14ac:dyDescent="0.3">
      <c r="A170" s="11">
        <v>45247</v>
      </c>
      <c r="B170" s="11" t="s">
        <v>12</v>
      </c>
      <c r="C170" t="s">
        <v>16</v>
      </c>
      <c r="D170">
        <v>120</v>
      </c>
      <c r="E170" t="s">
        <v>17</v>
      </c>
      <c r="F170">
        <v>99</v>
      </c>
      <c r="G170">
        <v>99</v>
      </c>
    </row>
    <row r="171" spans="1:7" x14ac:dyDescent="0.3">
      <c r="A171" s="11">
        <v>45247</v>
      </c>
      <c r="B171" s="11" t="s">
        <v>6</v>
      </c>
      <c r="C171" t="s">
        <v>41</v>
      </c>
      <c r="D171">
        <v>126</v>
      </c>
      <c r="E171" t="s">
        <v>19</v>
      </c>
      <c r="F171">
        <v>116</v>
      </c>
      <c r="G171">
        <v>116</v>
      </c>
    </row>
    <row r="172" spans="1:7" x14ac:dyDescent="0.3">
      <c r="A172" s="11">
        <v>45247</v>
      </c>
      <c r="B172" s="11" t="s">
        <v>6</v>
      </c>
      <c r="C172" t="s">
        <v>21</v>
      </c>
      <c r="D172">
        <v>100</v>
      </c>
      <c r="E172" t="s">
        <v>25</v>
      </c>
      <c r="F172">
        <v>108</v>
      </c>
      <c r="G172">
        <v>108</v>
      </c>
    </row>
    <row r="173" spans="1:7" x14ac:dyDescent="0.3">
      <c r="A173" s="11">
        <v>45247</v>
      </c>
      <c r="B173" s="11" t="s">
        <v>6</v>
      </c>
      <c r="C173" t="s">
        <v>33</v>
      </c>
      <c r="D173">
        <v>129</v>
      </c>
      <c r="E173" t="s">
        <v>37</v>
      </c>
      <c r="F173">
        <v>120</v>
      </c>
      <c r="G173">
        <v>120</v>
      </c>
    </row>
    <row r="174" spans="1:7" x14ac:dyDescent="0.3">
      <c r="A174" s="11">
        <v>45247</v>
      </c>
      <c r="B174" s="11" t="s">
        <v>6</v>
      </c>
      <c r="C174" t="s">
        <v>15</v>
      </c>
      <c r="D174">
        <v>108</v>
      </c>
      <c r="E174" t="s">
        <v>24</v>
      </c>
      <c r="F174">
        <v>105</v>
      </c>
      <c r="G174">
        <v>105</v>
      </c>
    </row>
    <row r="175" spans="1:7" x14ac:dyDescent="0.3">
      <c r="A175" s="11">
        <v>45247</v>
      </c>
      <c r="B175" s="11" t="s">
        <v>27</v>
      </c>
      <c r="C175" t="s">
        <v>14</v>
      </c>
      <c r="D175">
        <v>103</v>
      </c>
      <c r="E175" t="s">
        <v>31</v>
      </c>
      <c r="F175">
        <v>97</v>
      </c>
      <c r="G175">
        <v>97</v>
      </c>
    </row>
    <row r="176" spans="1:7" x14ac:dyDescent="0.3">
      <c r="A176" s="11">
        <v>45247</v>
      </c>
      <c r="B176" s="11" t="s">
        <v>27</v>
      </c>
      <c r="C176" t="s">
        <v>8</v>
      </c>
      <c r="D176">
        <v>110</v>
      </c>
      <c r="E176" t="s">
        <v>28</v>
      </c>
      <c r="F176">
        <v>115</v>
      </c>
      <c r="G176">
        <v>115</v>
      </c>
    </row>
    <row r="177" spans="1:7" x14ac:dyDescent="0.3">
      <c r="A177" s="11">
        <v>45247</v>
      </c>
      <c r="B177" s="11" t="s">
        <v>9</v>
      </c>
      <c r="C177" t="s">
        <v>7</v>
      </c>
      <c r="D177">
        <v>107</v>
      </c>
      <c r="E177" t="s">
        <v>39</v>
      </c>
      <c r="F177">
        <v>95</v>
      </c>
      <c r="G177">
        <v>95</v>
      </c>
    </row>
    <row r="178" spans="1:7" x14ac:dyDescent="0.3">
      <c r="A178" s="11">
        <v>45247</v>
      </c>
      <c r="B178" s="11" t="s">
        <v>9</v>
      </c>
      <c r="C178" t="s">
        <v>10</v>
      </c>
      <c r="D178">
        <v>131</v>
      </c>
      <c r="E178" t="s">
        <v>34</v>
      </c>
      <c r="F178">
        <v>128</v>
      </c>
      <c r="G178">
        <v>128</v>
      </c>
    </row>
    <row r="179" spans="1:7" x14ac:dyDescent="0.3">
      <c r="A179" s="11">
        <v>45247</v>
      </c>
      <c r="B179" s="11" t="s">
        <v>38</v>
      </c>
      <c r="C179" t="s">
        <v>13</v>
      </c>
      <c r="D179">
        <v>100</v>
      </c>
      <c r="E179" t="s">
        <v>40</v>
      </c>
      <c r="F179">
        <v>106</v>
      </c>
      <c r="G179">
        <v>106</v>
      </c>
    </row>
    <row r="180" spans="1:7" x14ac:dyDescent="0.3">
      <c r="A180" s="11">
        <v>45248</v>
      </c>
      <c r="B180" s="11" t="s">
        <v>47</v>
      </c>
      <c r="C180" t="s">
        <v>16</v>
      </c>
      <c r="D180">
        <v>122</v>
      </c>
      <c r="E180" t="s">
        <v>20</v>
      </c>
      <c r="F180">
        <v>108</v>
      </c>
      <c r="G180">
        <v>108</v>
      </c>
    </row>
    <row r="181" spans="1:7" x14ac:dyDescent="0.3">
      <c r="A181" s="11">
        <v>45248</v>
      </c>
      <c r="B181" s="11" t="s">
        <v>12</v>
      </c>
      <c r="C181" t="s">
        <v>23</v>
      </c>
      <c r="D181">
        <v>121</v>
      </c>
      <c r="E181" t="s">
        <v>28</v>
      </c>
      <c r="F181">
        <v>120</v>
      </c>
      <c r="G181">
        <v>120</v>
      </c>
    </row>
    <row r="182" spans="1:7" x14ac:dyDescent="0.3">
      <c r="A182" s="11">
        <v>45248</v>
      </c>
      <c r="B182" s="11" t="s">
        <v>27</v>
      </c>
      <c r="C182" t="s">
        <v>22</v>
      </c>
      <c r="D182">
        <v>97</v>
      </c>
      <c r="E182" t="s">
        <v>31</v>
      </c>
      <c r="F182">
        <v>102</v>
      </c>
      <c r="G182">
        <v>102</v>
      </c>
    </row>
    <row r="183" spans="1:7" x14ac:dyDescent="0.3">
      <c r="A183" s="11">
        <v>45248</v>
      </c>
      <c r="B183" s="11" t="s">
        <v>27</v>
      </c>
      <c r="C183" t="s">
        <v>36</v>
      </c>
      <c r="D183">
        <v>125</v>
      </c>
      <c r="E183" t="s">
        <v>42</v>
      </c>
      <c r="F183">
        <v>132</v>
      </c>
      <c r="G183">
        <v>132</v>
      </c>
    </row>
    <row r="184" spans="1:7" x14ac:dyDescent="0.3">
      <c r="A184" s="11">
        <v>45248</v>
      </c>
      <c r="B184" s="11" t="s">
        <v>27</v>
      </c>
      <c r="C184" t="s">
        <v>29</v>
      </c>
      <c r="D184">
        <v>120</v>
      </c>
      <c r="E184" t="s">
        <v>37</v>
      </c>
      <c r="F184">
        <v>108</v>
      </c>
      <c r="G184">
        <v>108</v>
      </c>
    </row>
    <row r="185" spans="1:7" x14ac:dyDescent="0.3">
      <c r="A185" s="11">
        <v>45248</v>
      </c>
      <c r="B185" s="11" t="s">
        <v>43</v>
      </c>
      <c r="C185" t="s">
        <v>30</v>
      </c>
      <c r="D185">
        <v>130</v>
      </c>
      <c r="E185" t="s">
        <v>11</v>
      </c>
      <c r="F185">
        <v>123</v>
      </c>
      <c r="G185">
        <v>123</v>
      </c>
    </row>
    <row r="186" spans="1:7" x14ac:dyDescent="0.3">
      <c r="A186" s="11">
        <v>45249</v>
      </c>
      <c r="B186" s="11" t="s">
        <v>46</v>
      </c>
      <c r="C186" t="s">
        <v>41</v>
      </c>
      <c r="D186">
        <v>121</v>
      </c>
      <c r="E186" t="s">
        <v>26</v>
      </c>
      <c r="F186">
        <v>99</v>
      </c>
      <c r="G186">
        <v>99</v>
      </c>
    </row>
    <row r="187" spans="1:7" x14ac:dyDescent="0.3">
      <c r="A187" s="11">
        <v>45249</v>
      </c>
      <c r="B187" s="11" t="s">
        <v>49</v>
      </c>
      <c r="C187" t="s">
        <v>21</v>
      </c>
      <c r="D187">
        <v>113</v>
      </c>
      <c r="E187" t="s">
        <v>24</v>
      </c>
      <c r="F187">
        <v>142</v>
      </c>
      <c r="G187">
        <v>142</v>
      </c>
    </row>
    <row r="188" spans="1:7" x14ac:dyDescent="0.3">
      <c r="A188" s="11">
        <v>45249</v>
      </c>
      <c r="B188" s="11" t="s">
        <v>50</v>
      </c>
      <c r="C188" t="s">
        <v>14</v>
      </c>
      <c r="D188">
        <v>128</v>
      </c>
      <c r="E188" t="s">
        <v>18</v>
      </c>
      <c r="F188">
        <v>116</v>
      </c>
      <c r="G188">
        <v>116</v>
      </c>
    </row>
    <row r="189" spans="1:7" x14ac:dyDescent="0.3">
      <c r="A189" s="11">
        <v>45249</v>
      </c>
      <c r="B189" s="11" t="s">
        <v>47</v>
      </c>
      <c r="C189" t="s">
        <v>8</v>
      </c>
      <c r="D189">
        <v>109</v>
      </c>
      <c r="E189" t="s">
        <v>25</v>
      </c>
      <c r="F189">
        <v>121</v>
      </c>
      <c r="G189">
        <v>121</v>
      </c>
    </row>
    <row r="190" spans="1:7" x14ac:dyDescent="0.3">
      <c r="A190" s="11">
        <v>45249</v>
      </c>
      <c r="B190" s="11" t="s">
        <v>6</v>
      </c>
      <c r="C190" t="s">
        <v>33</v>
      </c>
      <c r="D190">
        <v>129</v>
      </c>
      <c r="E190" t="s">
        <v>36</v>
      </c>
      <c r="F190">
        <v>113</v>
      </c>
      <c r="G190">
        <v>113</v>
      </c>
    </row>
    <row r="191" spans="1:7" x14ac:dyDescent="0.3">
      <c r="A191" s="11">
        <v>45249</v>
      </c>
      <c r="B191" s="11" t="s">
        <v>27</v>
      </c>
      <c r="C191" t="s">
        <v>15</v>
      </c>
      <c r="D191">
        <v>102</v>
      </c>
      <c r="E191" t="s">
        <v>29</v>
      </c>
      <c r="F191">
        <v>100</v>
      </c>
      <c r="G191">
        <v>100</v>
      </c>
    </row>
    <row r="192" spans="1:7" x14ac:dyDescent="0.3">
      <c r="A192" s="11">
        <v>45249</v>
      </c>
      <c r="B192" s="11" t="s">
        <v>27</v>
      </c>
      <c r="C192" t="s">
        <v>10</v>
      </c>
      <c r="D192">
        <v>140</v>
      </c>
      <c r="E192" t="s">
        <v>34</v>
      </c>
      <c r="F192">
        <v>137</v>
      </c>
      <c r="G192">
        <v>137</v>
      </c>
    </row>
    <row r="193" spans="1:7" x14ac:dyDescent="0.3">
      <c r="A193" s="11">
        <v>45249</v>
      </c>
      <c r="B193" s="11" t="s">
        <v>32</v>
      </c>
      <c r="C193" t="s">
        <v>30</v>
      </c>
      <c r="D193">
        <v>134</v>
      </c>
      <c r="E193" t="s">
        <v>39</v>
      </c>
      <c r="F193">
        <v>91</v>
      </c>
      <c r="G193">
        <v>91</v>
      </c>
    </row>
    <row r="194" spans="1:7" x14ac:dyDescent="0.3">
      <c r="A194" s="11">
        <v>45249</v>
      </c>
      <c r="B194" s="11" t="s">
        <v>35</v>
      </c>
      <c r="C194" t="s">
        <v>13</v>
      </c>
      <c r="D194">
        <v>104</v>
      </c>
      <c r="E194" t="s">
        <v>7</v>
      </c>
      <c r="F194">
        <v>105</v>
      </c>
      <c r="G194">
        <v>105</v>
      </c>
    </row>
    <row r="195" spans="1:7" x14ac:dyDescent="0.3">
      <c r="A195" s="11">
        <v>45250</v>
      </c>
      <c r="B195" s="11" t="s">
        <v>12</v>
      </c>
      <c r="C195" t="s">
        <v>15</v>
      </c>
      <c r="D195">
        <v>118</v>
      </c>
      <c r="E195" t="s">
        <v>20</v>
      </c>
      <c r="F195">
        <v>121</v>
      </c>
      <c r="G195">
        <v>121</v>
      </c>
    </row>
    <row r="196" spans="1:7" x14ac:dyDescent="0.3">
      <c r="A196" s="11">
        <v>45250</v>
      </c>
      <c r="B196" s="11" t="s">
        <v>12</v>
      </c>
      <c r="C196" t="s">
        <v>8</v>
      </c>
      <c r="D196">
        <v>107</v>
      </c>
      <c r="E196" t="s">
        <v>21</v>
      </c>
      <c r="F196">
        <v>103</v>
      </c>
      <c r="G196">
        <v>103</v>
      </c>
    </row>
    <row r="197" spans="1:7" x14ac:dyDescent="0.3">
      <c r="A197" s="11">
        <v>45250</v>
      </c>
      <c r="B197" s="11" t="s">
        <v>12</v>
      </c>
      <c r="C197" t="s">
        <v>42</v>
      </c>
      <c r="D197">
        <v>142</v>
      </c>
      <c r="E197" t="s">
        <v>17</v>
      </c>
      <c r="F197">
        <v>129</v>
      </c>
      <c r="G197">
        <v>129</v>
      </c>
    </row>
    <row r="198" spans="1:7" x14ac:dyDescent="0.3">
      <c r="A198" s="11">
        <v>45250</v>
      </c>
      <c r="B198" s="11" t="s">
        <v>27</v>
      </c>
      <c r="C198" t="s">
        <v>22</v>
      </c>
      <c r="D198">
        <v>118</v>
      </c>
      <c r="E198" t="s">
        <v>31</v>
      </c>
      <c r="F198">
        <v>100</v>
      </c>
      <c r="G198">
        <v>100</v>
      </c>
    </row>
    <row r="199" spans="1:7" x14ac:dyDescent="0.3">
      <c r="A199" s="11">
        <v>45250</v>
      </c>
      <c r="B199" s="11" t="s">
        <v>27</v>
      </c>
      <c r="C199" t="s">
        <v>16</v>
      </c>
      <c r="D199">
        <v>100</v>
      </c>
      <c r="E199" t="s">
        <v>23</v>
      </c>
      <c r="F199">
        <v>117</v>
      </c>
      <c r="G199">
        <v>117</v>
      </c>
    </row>
    <row r="200" spans="1:7" x14ac:dyDescent="0.3">
      <c r="A200" s="11">
        <v>45250</v>
      </c>
      <c r="B200" s="11" t="s">
        <v>27</v>
      </c>
      <c r="C200" t="s">
        <v>33</v>
      </c>
      <c r="D200">
        <v>93</v>
      </c>
      <c r="E200" t="s">
        <v>28</v>
      </c>
      <c r="F200">
        <v>129</v>
      </c>
      <c r="G200">
        <v>129</v>
      </c>
    </row>
    <row r="201" spans="1:7" x14ac:dyDescent="0.3">
      <c r="A201" s="11">
        <v>45250</v>
      </c>
      <c r="B201" s="11" t="s">
        <v>27</v>
      </c>
      <c r="C201" t="s">
        <v>40</v>
      </c>
      <c r="D201">
        <v>124</v>
      </c>
      <c r="E201" t="s">
        <v>37</v>
      </c>
      <c r="F201">
        <v>99</v>
      </c>
      <c r="G201">
        <v>99</v>
      </c>
    </row>
    <row r="202" spans="1:7" x14ac:dyDescent="0.3">
      <c r="A202" s="11">
        <v>45250</v>
      </c>
      <c r="B202" s="11" t="s">
        <v>9</v>
      </c>
      <c r="C202" t="s">
        <v>13</v>
      </c>
      <c r="D202">
        <v>116</v>
      </c>
      <c r="E202" t="s">
        <v>11</v>
      </c>
      <c r="F202">
        <v>121</v>
      </c>
      <c r="G202">
        <v>121</v>
      </c>
    </row>
    <row r="203" spans="1:7" x14ac:dyDescent="0.3">
      <c r="A203" s="11">
        <v>45251</v>
      </c>
      <c r="B203" s="11" t="s">
        <v>12</v>
      </c>
      <c r="C203" t="s">
        <v>24</v>
      </c>
      <c r="D203">
        <v>107</v>
      </c>
      <c r="E203" t="s">
        <v>14</v>
      </c>
      <c r="F203">
        <v>126</v>
      </c>
      <c r="G203">
        <v>126</v>
      </c>
    </row>
    <row r="204" spans="1:7" x14ac:dyDescent="0.3">
      <c r="A204" s="11">
        <v>45251</v>
      </c>
      <c r="B204" s="11" t="s">
        <v>6</v>
      </c>
      <c r="C204" t="s">
        <v>18</v>
      </c>
      <c r="D204">
        <v>157</v>
      </c>
      <c r="E204" t="s">
        <v>19</v>
      </c>
      <c r="F204">
        <v>152</v>
      </c>
      <c r="G204">
        <v>152</v>
      </c>
    </row>
    <row r="205" spans="1:7" x14ac:dyDescent="0.3">
      <c r="A205" s="11">
        <v>45251</v>
      </c>
      <c r="B205" s="11" t="s">
        <v>6</v>
      </c>
      <c r="C205" t="s">
        <v>25</v>
      </c>
      <c r="D205">
        <v>122</v>
      </c>
      <c r="E205" t="s">
        <v>41</v>
      </c>
      <c r="F205">
        <v>119</v>
      </c>
      <c r="G205">
        <v>119</v>
      </c>
    </row>
    <row r="206" spans="1:7" x14ac:dyDescent="0.3">
      <c r="A206" s="11">
        <v>45251</v>
      </c>
      <c r="B206" s="11" t="s">
        <v>32</v>
      </c>
      <c r="C206" t="s">
        <v>39</v>
      </c>
      <c r="D206">
        <v>107</v>
      </c>
      <c r="E206" t="s">
        <v>10</v>
      </c>
      <c r="F206">
        <v>120</v>
      </c>
      <c r="G206">
        <v>120</v>
      </c>
    </row>
    <row r="207" spans="1:7" x14ac:dyDescent="0.3">
      <c r="A207" s="11">
        <v>45251</v>
      </c>
      <c r="B207" s="11" t="s">
        <v>9</v>
      </c>
      <c r="C207" t="s">
        <v>34</v>
      </c>
      <c r="D207">
        <v>99</v>
      </c>
      <c r="E207" t="s">
        <v>7</v>
      </c>
      <c r="F207">
        <v>131</v>
      </c>
      <c r="G207">
        <v>131</v>
      </c>
    </row>
    <row r="208" spans="1:7" x14ac:dyDescent="0.3">
      <c r="A208" s="11">
        <v>45252</v>
      </c>
      <c r="B208" s="11" t="s">
        <v>12</v>
      </c>
      <c r="C208" t="s">
        <v>17</v>
      </c>
      <c r="D208">
        <v>114</v>
      </c>
      <c r="E208" t="s">
        <v>20</v>
      </c>
      <c r="F208">
        <v>117</v>
      </c>
      <c r="G208">
        <v>117</v>
      </c>
    </row>
    <row r="209" spans="1:7" x14ac:dyDescent="0.3">
      <c r="A209" s="11">
        <v>45252</v>
      </c>
      <c r="B209" s="11" t="s">
        <v>12</v>
      </c>
      <c r="C209" t="s">
        <v>8</v>
      </c>
      <c r="D209">
        <v>119</v>
      </c>
      <c r="E209" t="s">
        <v>14</v>
      </c>
      <c r="F209">
        <v>124</v>
      </c>
      <c r="G209">
        <v>124</v>
      </c>
    </row>
    <row r="210" spans="1:7" x14ac:dyDescent="0.3">
      <c r="A210" s="11">
        <v>45252</v>
      </c>
      <c r="B210" s="11" t="s">
        <v>6</v>
      </c>
      <c r="C210" t="s">
        <v>26</v>
      </c>
      <c r="D210">
        <v>145</v>
      </c>
      <c r="E210" t="s">
        <v>19</v>
      </c>
      <c r="F210">
        <v>147</v>
      </c>
      <c r="G210">
        <v>147</v>
      </c>
    </row>
    <row r="211" spans="1:7" x14ac:dyDescent="0.3">
      <c r="A211" s="11">
        <v>45252</v>
      </c>
      <c r="B211" s="11" t="s">
        <v>6</v>
      </c>
      <c r="C211" t="s">
        <v>42</v>
      </c>
      <c r="D211">
        <v>116</v>
      </c>
      <c r="E211" t="s">
        <v>15</v>
      </c>
      <c r="F211">
        <v>119</v>
      </c>
      <c r="G211">
        <v>119</v>
      </c>
    </row>
    <row r="212" spans="1:7" x14ac:dyDescent="0.3">
      <c r="A212" s="11">
        <v>45252</v>
      </c>
      <c r="B212" s="11" t="s">
        <v>6</v>
      </c>
      <c r="C212" t="s">
        <v>22</v>
      </c>
      <c r="D212">
        <v>129</v>
      </c>
      <c r="E212" t="s">
        <v>25</v>
      </c>
      <c r="F212">
        <v>96</v>
      </c>
      <c r="G212">
        <v>96</v>
      </c>
    </row>
    <row r="213" spans="1:7" x14ac:dyDescent="0.3">
      <c r="A213" s="11">
        <v>45252</v>
      </c>
      <c r="B213" s="11" t="s">
        <v>6</v>
      </c>
      <c r="C213" t="s">
        <v>24</v>
      </c>
      <c r="D213">
        <v>132</v>
      </c>
      <c r="E213" t="s">
        <v>18</v>
      </c>
      <c r="F213">
        <v>131</v>
      </c>
      <c r="G213">
        <v>131</v>
      </c>
    </row>
    <row r="214" spans="1:7" x14ac:dyDescent="0.3">
      <c r="A214" s="11">
        <v>45252</v>
      </c>
      <c r="B214" s="11" t="s">
        <v>27</v>
      </c>
      <c r="C214" t="s">
        <v>29</v>
      </c>
      <c r="D214">
        <v>91</v>
      </c>
      <c r="E214" t="s">
        <v>13</v>
      </c>
      <c r="F214">
        <v>111</v>
      </c>
      <c r="G214">
        <v>111</v>
      </c>
    </row>
    <row r="215" spans="1:7" x14ac:dyDescent="0.3">
      <c r="A215" s="11">
        <v>45252</v>
      </c>
      <c r="B215" s="11" t="s">
        <v>27</v>
      </c>
      <c r="C215" t="s">
        <v>41</v>
      </c>
      <c r="D215">
        <v>99</v>
      </c>
      <c r="E215" t="s">
        <v>23</v>
      </c>
      <c r="F215">
        <v>112</v>
      </c>
      <c r="G215">
        <v>112</v>
      </c>
    </row>
    <row r="216" spans="1:7" x14ac:dyDescent="0.3">
      <c r="A216" s="11">
        <v>45252</v>
      </c>
      <c r="B216" s="11" t="s">
        <v>27</v>
      </c>
      <c r="C216" t="s">
        <v>33</v>
      </c>
      <c r="D216">
        <v>112</v>
      </c>
      <c r="E216" t="s">
        <v>28</v>
      </c>
      <c r="F216">
        <v>117</v>
      </c>
      <c r="G216">
        <v>117</v>
      </c>
    </row>
    <row r="217" spans="1:7" x14ac:dyDescent="0.3">
      <c r="A217" s="11">
        <v>45252</v>
      </c>
      <c r="B217" s="11" t="s">
        <v>27</v>
      </c>
      <c r="C217" t="s">
        <v>31</v>
      </c>
      <c r="D217">
        <v>102</v>
      </c>
      <c r="E217" t="s">
        <v>30</v>
      </c>
      <c r="F217">
        <v>116</v>
      </c>
      <c r="G217">
        <v>116</v>
      </c>
    </row>
    <row r="218" spans="1:7" x14ac:dyDescent="0.3">
      <c r="A218" s="11">
        <v>45252</v>
      </c>
      <c r="B218" s="11" t="s">
        <v>27</v>
      </c>
      <c r="C218" t="s">
        <v>40</v>
      </c>
      <c r="D218">
        <v>109</v>
      </c>
      <c r="E218" t="s">
        <v>37</v>
      </c>
      <c r="F218">
        <v>102</v>
      </c>
      <c r="G218">
        <v>102</v>
      </c>
    </row>
    <row r="219" spans="1:7" x14ac:dyDescent="0.3">
      <c r="A219" s="11">
        <v>45252</v>
      </c>
      <c r="B219" s="11" t="s">
        <v>9</v>
      </c>
      <c r="C219" t="s">
        <v>11</v>
      </c>
      <c r="D219">
        <v>115</v>
      </c>
      <c r="E219" t="s">
        <v>10</v>
      </c>
      <c r="F219">
        <v>123</v>
      </c>
      <c r="G219">
        <v>123</v>
      </c>
    </row>
    <row r="220" spans="1:7" x14ac:dyDescent="0.3">
      <c r="A220" s="11">
        <v>45252</v>
      </c>
      <c r="B220" s="11" t="s">
        <v>9</v>
      </c>
      <c r="C220" t="s">
        <v>34</v>
      </c>
      <c r="D220">
        <v>105</v>
      </c>
      <c r="E220" t="s">
        <v>39</v>
      </c>
      <c r="F220">
        <v>121</v>
      </c>
      <c r="G220">
        <v>121</v>
      </c>
    </row>
    <row r="221" spans="1:7" x14ac:dyDescent="0.3">
      <c r="A221" s="11">
        <v>45252</v>
      </c>
      <c r="B221" s="11" t="s">
        <v>38</v>
      </c>
      <c r="C221" t="s">
        <v>36</v>
      </c>
      <c r="D221">
        <v>104</v>
      </c>
      <c r="E221" t="s">
        <v>7</v>
      </c>
      <c r="F221">
        <v>101</v>
      </c>
      <c r="G221">
        <v>101</v>
      </c>
    </row>
    <row r="222" spans="1:7" x14ac:dyDescent="0.3">
      <c r="A222" s="11">
        <v>45254</v>
      </c>
      <c r="B222" s="11" t="s">
        <v>51</v>
      </c>
      <c r="C222" t="s">
        <v>15</v>
      </c>
      <c r="D222">
        <v>96</v>
      </c>
      <c r="E222" t="s">
        <v>14</v>
      </c>
      <c r="F222">
        <v>113</v>
      </c>
      <c r="G222">
        <v>113</v>
      </c>
    </row>
    <row r="223" spans="1:7" x14ac:dyDescent="0.3">
      <c r="A223" s="11">
        <v>45254</v>
      </c>
      <c r="B223" s="11" t="s">
        <v>50</v>
      </c>
      <c r="C223" t="s">
        <v>10</v>
      </c>
      <c r="D223">
        <v>110</v>
      </c>
      <c r="E223" t="s">
        <v>29</v>
      </c>
      <c r="F223">
        <v>89</v>
      </c>
      <c r="G223">
        <v>89</v>
      </c>
    </row>
    <row r="224" spans="1:7" x14ac:dyDescent="0.3">
      <c r="A224" s="11">
        <v>45254</v>
      </c>
      <c r="B224" s="11" t="s">
        <v>6</v>
      </c>
      <c r="C224" t="s">
        <v>22</v>
      </c>
      <c r="D224">
        <v>98</v>
      </c>
      <c r="E224" t="s">
        <v>16</v>
      </c>
      <c r="F224">
        <v>100</v>
      </c>
      <c r="G224">
        <v>100</v>
      </c>
    </row>
    <row r="225" spans="1:7" x14ac:dyDescent="0.3">
      <c r="A225" s="11">
        <v>45254</v>
      </c>
      <c r="B225" s="11" t="s">
        <v>6</v>
      </c>
      <c r="C225" t="s">
        <v>31</v>
      </c>
      <c r="D225">
        <v>108</v>
      </c>
      <c r="E225" t="s">
        <v>24</v>
      </c>
      <c r="F225">
        <v>121</v>
      </c>
      <c r="G225">
        <v>121</v>
      </c>
    </row>
    <row r="226" spans="1:7" x14ac:dyDescent="0.3">
      <c r="A226" s="11">
        <v>45254</v>
      </c>
      <c r="B226" s="11" t="s">
        <v>27</v>
      </c>
      <c r="C226" t="s">
        <v>8</v>
      </c>
      <c r="D226">
        <v>86</v>
      </c>
      <c r="E226" t="s">
        <v>13</v>
      </c>
      <c r="F226">
        <v>105</v>
      </c>
      <c r="G226">
        <v>105</v>
      </c>
    </row>
    <row r="227" spans="1:7" x14ac:dyDescent="0.3">
      <c r="A227" s="11">
        <v>45254</v>
      </c>
      <c r="B227" s="11" t="s">
        <v>27</v>
      </c>
      <c r="C227" t="s">
        <v>21</v>
      </c>
      <c r="D227">
        <v>113</v>
      </c>
      <c r="E227" t="s">
        <v>18</v>
      </c>
      <c r="F227">
        <v>136</v>
      </c>
      <c r="G227">
        <v>136</v>
      </c>
    </row>
    <row r="228" spans="1:7" x14ac:dyDescent="0.3">
      <c r="A228" s="11">
        <v>45254</v>
      </c>
      <c r="B228" s="11" t="s">
        <v>27</v>
      </c>
      <c r="C228" t="s">
        <v>17</v>
      </c>
      <c r="D228">
        <v>128</v>
      </c>
      <c r="E228" t="s">
        <v>42</v>
      </c>
      <c r="F228">
        <v>131</v>
      </c>
      <c r="G228">
        <v>131</v>
      </c>
    </row>
    <row r="229" spans="1:7" x14ac:dyDescent="0.3">
      <c r="A229" s="11">
        <v>45254</v>
      </c>
      <c r="B229" s="11" t="s">
        <v>27</v>
      </c>
      <c r="C229" t="s">
        <v>33</v>
      </c>
      <c r="D229">
        <v>124</v>
      </c>
      <c r="E229" t="s">
        <v>23</v>
      </c>
      <c r="F229">
        <v>111</v>
      </c>
      <c r="G229">
        <v>111</v>
      </c>
    </row>
    <row r="230" spans="1:7" x14ac:dyDescent="0.3">
      <c r="A230" s="11">
        <v>45254</v>
      </c>
      <c r="B230" s="11" t="s">
        <v>9</v>
      </c>
      <c r="C230" t="s">
        <v>37</v>
      </c>
      <c r="D230">
        <v>112</v>
      </c>
      <c r="E230" t="s">
        <v>11</v>
      </c>
      <c r="F230">
        <v>118</v>
      </c>
      <c r="G230">
        <v>118</v>
      </c>
    </row>
    <row r="231" spans="1:7" x14ac:dyDescent="0.3">
      <c r="A231" s="11">
        <v>45254</v>
      </c>
      <c r="B231" s="11" t="s">
        <v>38</v>
      </c>
      <c r="C231" t="s">
        <v>28</v>
      </c>
      <c r="D231">
        <v>116</v>
      </c>
      <c r="E231" t="s">
        <v>40</v>
      </c>
      <c r="F231">
        <v>106</v>
      </c>
      <c r="G231">
        <v>106</v>
      </c>
    </row>
    <row r="232" spans="1:7" x14ac:dyDescent="0.3">
      <c r="A232" s="11">
        <v>45255</v>
      </c>
      <c r="B232" s="11" t="s">
        <v>50</v>
      </c>
      <c r="C232" t="s">
        <v>41</v>
      </c>
      <c r="D232">
        <v>127</v>
      </c>
      <c r="E232" t="s">
        <v>30</v>
      </c>
      <c r="F232">
        <v>123</v>
      </c>
      <c r="G232">
        <v>123</v>
      </c>
    </row>
    <row r="233" spans="1:7" x14ac:dyDescent="0.3">
      <c r="A233" s="11">
        <v>45255</v>
      </c>
      <c r="B233" s="11" t="s">
        <v>47</v>
      </c>
      <c r="C233" t="s">
        <v>22</v>
      </c>
      <c r="D233">
        <v>97</v>
      </c>
      <c r="E233" t="s">
        <v>26</v>
      </c>
      <c r="F233">
        <v>112</v>
      </c>
      <c r="G233">
        <v>112</v>
      </c>
    </row>
    <row r="234" spans="1:7" x14ac:dyDescent="0.3">
      <c r="A234" s="11">
        <v>45255</v>
      </c>
      <c r="B234" s="11" t="s">
        <v>12</v>
      </c>
      <c r="C234" t="s">
        <v>19</v>
      </c>
      <c r="D234">
        <v>136</v>
      </c>
      <c r="E234" t="s">
        <v>17</v>
      </c>
      <c r="F234">
        <v>108</v>
      </c>
      <c r="G234">
        <v>108</v>
      </c>
    </row>
    <row r="235" spans="1:7" x14ac:dyDescent="0.3">
      <c r="A235" s="11">
        <v>45255</v>
      </c>
      <c r="B235" s="11" t="s">
        <v>6</v>
      </c>
      <c r="C235" t="s">
        <v>7</v>
      </c>
      <c r="D235">
        <v>121</v>
      </c>
      <c r="E235" t="s">
        <v>25</v>
      </c>
      <c r="F235">
        <v>115</v>
      </c>
      <c r="G235">
        <v>115</v>
      </c>
    </row>
    <row r="236" spans="1:7" x14ac:dyDescent="0.3">
      <c r="A236" s="11">
        <v>45255</v>
      </c>
      <c r="B236" s="11" t="s">
        <v>35</v>
      </c>
      <c r="C236" t="s">
        <v>28</v>
      </c>
      <c r="D236">
        <v>100</v>
      </c>
      <c r="E236" t="s">
        <v>34</v>
      </c>
      <c r="F236">
        <v>105</v>
      </c>
      <c r="G236">
        <v>105</v>
      </c>
    </row>
    <row r="237" spans="1:7" x14ac:dyDescent="0.3">
      <c r="A237" s="11">
        <v>45255</v>
      </c>
      <c r="B237" s="11" t="s">
        <v>38</v>
      </c>
      <c r="C237" t="s">
        <v>36</v>
      </c>
      <c r="D237">
        <v>88</v>
      </c>
      <c r="E237" t="s">
        <v>40</v>
      </c>
      <c r="F237">
        <v>107</v>
      </c>
      <c r="G237">
        <v>107</v>
      </c>
    </row>
    <row r="238" spans="1:7" x14ac:dyDescent="0.3">
      <c r="A238" s="11">
        <v>45256</v>
      </c>
      <c r="B238" s="11" t="s">
        <v>44</v>
      </c>
      <c r="C238" t="s">
        <v>39</v>
      </c>
      <c r="D238">
        <v>102</v>
      </c>
      <c r="E238" t="s">
        <v>42</v>
      </c>
      <c r="F238">
        <v>108</v>
      </c>
      <c r="G238">
        <v>108</v>
      </c>
    </row>
    <row r="239" spans="1:7" x14ac:dyDescent="0.3">
      <c r="A239" s="11">
        <v>45256</v>
      </c>
      <c r="B239" s="11" t="s">
        <v>47</v>
      </c>
      <c r="C239" t="s">
        <v>19</v>
      </c>
      <c r="D239">
        <v>103</v>
      </c>
      <c r="E239" t="s">
        <v>15</v>
      </c>
      <c r="F239">
        <v>113</v>
      </c>
      <c r="G239">
        <v>113</v>
      </c>
    </row>
    <row r="240" spans="1:7" x14ac:dyDescent="0.3">
      <c r="A240" s="11">
        <v>45256</v>
      </c>
      <c r="B240" s="11" t="s">
        <v>47</v>
      </c>
      <c r="C240" t="s">
        <v>23</v>
      </c>
      <c r="D240">
        <v>119</v>
      </c>
      <c r="E240" t="s">
        <v>29</v>
      </c>
      <c r="F240">
        <v>97</v>
      </c>
      <c r="G240">
        <v>97</v>
      </c>
    </row>
    <row r="241" spans="1:7" x14ac:dyDescent="0.3">
      <c r="A241" s="11">
        <v>45256</v>
      </c>
      <c r="B241" s="11" t="s">
        <v>47</v>
      </c>
      <c r="C241" t="s">
        <v>10</v>
      </c>
      <c r="D241">
        <v>116</v>
      </c>
      <c r="E241" t="s">
        <v>16</v>
      </c>
      <c r="F241">
        <v>113</v>
      </c>
      <c r="G241">
        <v>113</v>
      </c>
    </row>
    <row r="242" spans="1:7" x14ac:dyDescent="0.3">
      <c r="A242" s="11">
        <v>45256</v>
      </c>
      <c r="B242" s="11" t="s">
        <v>47</v>
      </c>
      <c r="C242" t="s">
        <v>20</v>
      </c>
      <c r="D242">
        <v>117</v>
      </c>
      <c r="E242" t="s">
        <v>14</v>
      </c>
      <c r="F242">
        <v>130</v>
      </c>
      <c r="G242">
        <v>130</v>
      </c>
    </row>
    <row r="243" spans="1:7" x14ac:dyDescent="0.3">
      <c r="A243" s="11">
        <v>45256</v>
      </c>
      <c r="B243" s="11" t="s">
        <v>6</v>
      </c>
      <c r="C243" t="s">
        <v>31</v>
      </c>
      <c r="D243">
        <v>109</v>
      </c>
      <c r="E243" t="s">
        <v>26</v>
      </c>
      <c r="F243">
        <v>118</v>
      </c>
      <c r="G243">
        <v>118</v>
      </c>
    </row>
    <row r="244" spans="1:7" x14ac:dyDescent="0.3">
      <c r="A244" s="11">
        <v>45256</v>
      </c>
      <c r="B244" s="11" t="s">
        <v>6</v>
      </c>
      <c r="C244" t="s">
        <v>24</v>
      </c>
      <c r="D244">
        <v>102</v>
      </c>
      <c r="E244" t="s">
        <v>25</v>
      </c>
      <c r="F244">
        <v>105</v>
      </c>
      <c r="G244">
        <v>105</v>
      </c>
    </row>
    <row r="245" spans="1:7" x14ac:dyDescent="0.3">
      <c r="A245" s="11">
        <v>45256</v>
      </c>
      <c r="B245" s="11" t="s">
        <v>27</v>
      </c>
      <c r="C245" t="s">
        <v>37</v>
      </c>
      <c r="D245">
        <v>120</v>
      </c>
      <c r="E245" t="s">
        <v>8</v>
      </c>
      <c r="F245">
        <v>132</v>
      </c>
      <c r="G245">
        <v>132</v>
      </c>
    </row>
    <row r="246" spans="1:7" x14ac:dyDescent="0.3">
      <c r="A246" s="11">
        <v>45257</v>
      </c>
      <c r="B246" s="11" t="s">
        <v>12</v>
      </c>
      <c r="C246" t="s">
        <v>17</v>
      </c>
      <c r="D246">
        <v>126</v>
      </c>
      <c r="E246" t="s">
        <v>21</v>
      </c>
      <c r="F246">
        <v>107</v>
      </c>
      <c r="G246">
        <v>107</v>
      </c>
    </row>
    <row r="247" spans="1:7" x14ac:dyDescent="0.3">
      <c r="A247" s="11">
        <v>45257</v>
      </c>
      <c r="B247" s="11" t="s">
        <v>12</v>
      </c>
      <c r="C247" t="s">
        <v>39</v>
      </c>
      <c r="D247">
        <v>114</v>
      </c>
      <c r="E247" t="s">
        <v>18</v>
      </c>
      <c r="F247">
        <v>110</v>
      </c>
      <c r="G247">
        <v>110</v>
      </c>
    </row>
    <row r="248" spans="1:7" x14ac:dyDescent="0.3">
      <c r="A248" s="11">
        <v>45257</v>
      </c>
      <c r="B248" s="11" t="s">
        <v>12</v>
      </c>
      <c r="C248" t="s">
        <v>7</v>
      </c>
      <c r="D248">
        <v>94</v>
      </c>
      <c r="E248" t="s">
        <v>41</v>
      </c>
      <c r="F248">
        <v>138</v>
      </c>
      <c r="G248">
        <v>138</v>
      </c>
    </row>
    <row r="249" spans="1:7" x14ac:dyDescent="0.3">
      <c r="A249" s="11">
        <v>45257</v>
      </c>
      <c r="B249" s="11" t="s">
        <v>32</v>
      </c>
      <c r="C249" t="s">
        <v>28</v>
      </c>
      <c r="D249">
        <v>112</v>
      </c>
      <c r="E249" t="s">
        <v>34</v>
      </c>
      <c r="F249">
        <v>114</v>
      </c>
      <c r="G249">
        <v>114</v>
      </c>
    </row>
    <row r="250" spans="1:7" x14ac:dyDescent="0.3">
      <c r="A250" s="11">
        <v>45257</v>
      </c>
      <c r="B250" s="11" t="s">
        <v>38</v>
      </c>
      <c r="C250" t="s">
        <v>8</v>
      </c>
      <c r="D250">
        <v>113</v>
      </c>
      <c r="E250" t="s">
        <v>40</v>
      </c>
      <c r="F250">
        <v>104</v>
      </c>
      <c r="G250">
        <v>104</v>
      </c>
    </row>
    <row r="251" spans="1:7" x14ac:dyDescent="0.3">
      <c r="A251" s="11">
        <v>45258</v>
      </c>
      <c r="B251" s="11" t="s">
        <v>6</v>
      </c>
      <c r="C251" t="s">
        <v>31</v>
      </c>
      <c r="D251">
        <v>97</v>
      </c>
      <c r="E251" t="s">
        <v>15</v>
      </c>
      <c r="F251">
        <v>124</v>
      </c>
      <c r="G251">
        <v>124</v>
      </c>
    </row>
    <row r="252" spans="1:7" x14ac:dyDescent="0.3">
      <c r="A252" s="11">
        <v>45258</v>
      </c>
      <c r="B252" s="11" t="s">
        <v>6</v>
      </c>
      <c r="C252" t="s">
        <v>24</v>
      </c>
      <c r="D252">
        <v>103</v>
      </c>
      <c r="E252" t="s">
        <v>26</v>
      </c>
      <c r="F252">
        <v>115</v>
      </c>
      <c r="G252">
        <v>115</v>
      </c>
    </row>
    <row r="253" spans="1:7" x14ac:dyDescent="0.3">
      <c r="A253" s="11">
        <v>45258</v>
      </c>
      <c r="B253" s="11" t="s">
        <v>6</v>
      </c>
      <c r="C253" t="s">
        <v>19</v>
      </c>
      <c r="D253">
        <v>105</v>
      </c>
      <c r="E253" t="s">
        <v>25</v>
      </c>
      <c r="F253">
        <v>128</v>
      </c>
      <c r="G253">
        <v>128</v>
      </c>
    </row>
    <row r="254" spans="1:7" x14ac:dyDescent="0.3">
      <c r="A254" s="11">
        <v>45258</v>
      </c>
      <c r="B254" s="11" t="s">
        <v>6</v>
      </c>
      <c r="C254" t="s">
        <v>42</v>
      </c>
      <c r="D254">
        <v>131</v>
      </c>
      <c r="E254" t="s">
        <v>22</v>
      </c>
      <c r="F254">
        <v>124</v>
      </c>
      <c r="G254">
        <v>124</v>
      </c>
    </row>
    <row r="255" spans="1:7" x14ac:dyDescent="0.3">
      <c r="A255" s="11">
        <v>45258</v>
      </c>
      <c r="B255" s="11" t="s">
        <v>6</v>
      </c>
      <c r="C255" t="s">
        <v>20</v>
      </c>
      <c r="D255">
        <v>91</v>
      </c>
      <c r="E255" t="s">
        <v>16</v>
      </c>
      <c r="F255">
        <v>115</v>
      </c>
      <c r="G255">
        <v>115</v>
      </c>
    </row>
    <row r="256" spans="1:7" x14ac:dyDescent="0.3">
      <c r="A256" s="11">
        <v>45258</v>
      </c>
      <c r="B256" s="11" t="s">
        <v>27</v>
      </c>
      <c r="C256" t="s">
        <v>30</v>
      </c>
      <c r="D256">
        <v>103</v>
      </c>
      <c r="E256" t="s">
        <v>23</v>
      </c>
      <c r="F256">
        <v>106</v>
      </c>
      <c r="G256">
        <v>106</v>
      </c>
    </row>
    <row r="257" spans="1:7" x14ac:dyDescent="0.3">
      <c r="A257" s="11">
        <v>45258</v>
      </c>
      <c r="B257" s="11" t="s">
        <v>43</v>
      </c>
      <c r="C257" t="s">
        <v>13</v>
      </c>
      <c r="D257">
        <v>115</v>
      </c>
      <c r="E257" t="s">
        <v>36</v>
      </c>
      <c r="F257">
        <v>121</v>
      </c>
      <c r="G257">
        <v>121</v>
      </c>
    </row>
    <row r="258" spans="1:7" x14ac:dyDescent="0.3">
      <c r="A258" s="11">
        <v>45258</v>
      </c>
      <c r="B258" s="11" t="s">
        <v>9</v>
      </c>
      <c r="C258" t="s">
        <v>11</v>
      </c>
      <c r="D258">
        <v>123</v>
      </c>
      <c r="E258" t="s">
        <v>33</v>
      </c>
      <c r="F258">
        <v>124</v>
      </c>
      <c r="G258">
        <v>124</v>
      </c>
    </row>
    <row r="259" spans="1:7" x14ac:dyDescent="0.3">
      <c r="A259" s="11">
        <v>45259</v>
      </c>
      <c r="B259" s="11" t="s">
        <v>12</v>
      </c>
      <c r="C259" t="s">
        <v>7</v>
      </c>
      <c r="D259">
        <v>133</v>
      </c>
      <c r="E259" t="s">
        <v>21</v>
      </c>
      <c r="F259">
        <v>107</v>
      </c>
      <c r="G259">
        <v>107</v>
      </c>
    </row>
    <row r="260" spans="1:7" x14ac:dyDescent="0.3">
      <c r="A260" s="11">
        <v>45259</v>
      </c>
      <c r="B260" s="11" t="s">
        <v>12</v>
      </c>
      <c r="C260" t="s">
        <v>17</v>
      </c>
      <c r="D260">
        <v>120</v>
      </c>
      <c r="E260" t="s">
        <v>14</v>
      </c>
      <c r="F260">
        <v>139</v>
      </c>
      <c r="G260">
        <v>139</v>
      </c>
    </row>
    <row r="261" spans="1:7" x14ac:dyDescent="0.3">
      <c r="A261" s="11">
        <v>45259</v>
      </c>
      <c r="B261" s="11" t="s">
        <v>6</v>
      </c>
      <c r="C261" t="s">
        <v>10</v>
      </c>
      <c r="D261">
        <v>105</v>
      </c>
      <c r="E261" t="s">
        <v>24</v>
      </c>
      <c r="F261">
        <v>112</v>
      </c>
      <c r="G261">
        <v>112</v>
      </c>
    </row>
    <row r="262" spans="1:7" x14ac:dyDescent="0.3">
      <c r="A262" s="11">
        <v>45259</v>
      </c>
      <c r="B262" s="11" t="s">
        <v>27</v>
      </c>
      <c r="C262" t="s">
        <v>34</v>
      </c>
      <c r="D262">
        <v>91</v>
      </c>
      <c r="E262" t="s">
        <v>29</v>
      </c>
      <c r="F262">
        <v>105</v>
      </c>
      <c r="G262">
        <v>105</v>
      </c>
    </row>
    <row r="263" spans="1:7" x14ac:dyDescent="0.3">
      <c r="A263" s="11">
        <v>45259</v>
      </c>
      <c r="B263" s="11" t="s">
        <v>27</v>
      </c>
      <c r="C263" t="s">
        <v>41</v>
      </c>
      <c r="D263">
        <v>114</v>
      </c>
      <c r="E263" t="s">
        <v>28</v>
      </c>
      <c r="F263">
        <v>124</v>
      </c>
      <c r="G263">
        <v>124</v>
      </c>
    </row>
    <row r="264" spans="1:7" x14ac:dyDescent="0.3">
      <c r="A264" s="11">
        <v>45259</v>
      </c>
      <c r="B264" s="11" t="s">
        <v>32</v>
      </c>
      <c r="C264" t="s">
        <v>13</v>
      </c>
      <c r="D264">
        <v>124</v>
      </c>
      <c r="E264" t="s">
        <v>8</v>
      </c>
      <c r="F264">
        <v>134</v>
      </c>
      <c r="G264">
        <v>134</v>
      </c>
    </row>
    <row r="265" spans="1:7" x14ac:dyDescent="0.3">
      <c r="A265" s="11">
        <v>45259</v>
      </c>
      <c r="B265" s="11" t="s">
        <v>9</v>
      </c>
      <c r="C265" t="s">
        <v>40</v>
      </c>
      <c r="D265">
        <v>131</v>
      </c>
      <c r="E265" t="s">
        <v>33</v>
      </c>
      <c r="F265">
        <v>117</v>
      </c>
      <c r="G265">
        <v>117</v>
      </c>
    </row>
    <row r="266" spans="1:7" x14ac:dyDescent="0.3">
      <c r="A266" s="11">
        <v>45260</v>
      </c>
      <c r="B266" s="11" t="s">
        <v>12</v>
      </c>
      <c r="C266" t="s">
        <v>39</v>
      </c>
      <c r="D266">
        <v>103</v>
      </c>
      <c r="E266" t="s">
        <v>25</v>
      </c>
      <c r="F266">
        <v>95</v>
      </c>
      <c r="G266">
        <v>95</v>
      </c>
    </row>
    <row r="267" spans="1:7" x14ac:dyDescent="0.3">
      <c r="A267" s="11">
        <v>45260</v>
      </c>
      <c r="B267" s="11" t="s">
        <v>6</v>
      </c>
      <c r="C267" t="s">
        <v>20</v>
      </c>
      <c r="D267">
        <v>129</v>
      </c>
      <c r="E267" t="s">
        <v>26</v>
      </c>
      <c r="F267">
        <v>128</v>
      </c>
      <c r="G267">
        <v>128</v>
      </c>
    </row>
    <row r="268" spans="1:7" x14ac:dyDescent="0.3">
      <c r="A268" s="11">
        <v>45260</v>
      </c>
      <c r="B268" s="11" t="s">
        <v>6</v>
      </c>
      <c r="C268" t="s">
        <v>18</v>
      </c>
      <c r="D268">
        <v>132</v>
      </c>
      <c r="E268" t="s">
        <v>22</v>
      </c>
      <c r="F268">
        <v>142</v>
      </c>
      <c r="G268">
        <v>142</v>
      </c>
    </row>
    <row r="269" spans="1:7" x14ac:dyDescent="0.3">
      <c r="A269" s="11">
        <v>45260</v>
      </c>
      <c r="B269" s="11" t="s">
        <v>6</v>
      </c>
      <c r="C269" t="s">
        <v>21</v>
      </c>
      <c r="D269">
        <v>112</v>
      </c>
      <c r="E269" t="s">
        <v>16</v>
      </c>
      <c r="F269">
        <v>118</v>
      </c>
      <c r="G269">
        <v>118</v>
      </c>
    </row>
    <row r="270" spans="1:7" x14ac:dyDescent="0.3">
      <c r="A270" s="11">
        <v>45260</v>
      </c>
      <c r="B270" s="11" t="s">
        <v>27</v>
      </c>
      <c r="C270" t="s">
        <v>42</v>
      </c>
      <c r="D270">
        <v>113</v>
      </c>
      <c r="E270" t="s">
        <v>31</v>
      </c>
      <c r="F270">
        <v>120</v>
      </c>
      <c r="G270">
        <v>120</v>
      </c>
    </row>
    <row r="271" spans="1:7" x14ac:dyDescent="0.3">
      <c r="A271" s="11">
        <v>45260</v>
      </c>
      <c r="B271" s="11" t="s">
        <v>27</v>
      </c>
      <c r="C271" t="s">
        <v>34</v>
      </c>
      <c r="D271">
        <v>90</v>
      </c>
      <c r="E271" t="s">
        <v>23</v>
      </c>
      <c r="F271">
        <v>101</v>
      </c>
      <c r="G271">
        <v>101</v>
      </c>
    </row>
    <row r="272" spans="1:7" x14ac:dyDescent="0.3">
      <c r="A272" s="11">
        <v>45260</v>
      </c>
      <c r="B272" s="11" t="s">
        <v>27</v>
      </c>
      <c r="C272" t="s">
        <v>7</v>
      </c>
      <c r="D272">
        <v>110</v>
      </c>
      <c r="E272" t="s">
        <v>30</v>
      </c>
      <c r="F272">
        <v>133</v>
      </c>
      <c r="G272">
        <v>133</v>
      </c>
    </row>
    <row r="273" spans="1:7" x14ac:dyDescent="0.3">
      <c r="A273" s="11">
        <v>45260</v>
      </c>
      <c r="B273" s="11" t="s">
        <v>27</v>
      </c>
      <c r="C273" t="s">
        <v>19</v>
      </c>
      <c r="D273">
        <v>137</v>
      </c>
      <c r="E273" t="s">
        <v>37</v>
      </c>
      <c r="F273">
        <v>135</v>
      </c>
      <c r="G273">
        <v>135</v>
      </c>
    </row>
    <row r="274" spans="1:7" x14ac:dyDescent="0.3">
      <c r="A274" s="11">
        <v>45260</v>
      </c>
      <c r="B274" s="11" t="s">
        <v>9</v>
      </c>
      <c r="C274" t="s">
        <v>40</v>
      </c>
      <c r="D274">
        <v>114</v>
      </c>
      <c r="E274" t="s">
        <v>11</v>
      </c>
      <c r="F274">
        <v>120</v>
      </c>
      <c r="G274">
        <v>120</v>
      </c>
    </row>
    <row r="275" spans="1:7" x14ac:dyDescent="0.3">
      <c r="A275" s="11">
        <v>45261</v>
      </c>
      <c r="B275" s="11" t="s">
        <v>12</v>
      </c>
      <c r="C275" t="s">
        <v>17</v>
      </c>
      <c r="D275">
        <v>125</v>
      </c>
      <c r="E275" t="s">
        <v>14</v>
      </c>
      <c r="F275">
        <v>130</v>
      </c>
      <c r="G275">
        <v>130</v>
      </c>
    </row>
    <row r="276" spans="1:7" x14ac:dyDescent="0.3">
      <c r="A276" s="11">
        <v>45261</v>
      </c>
      <c r="B276" s="11" t="s">
        <v>6</v>
      </c>
      <c r="C276" t="s">
        <v>41</v>
      </c>
      <c r="D276">
        <v>119</v>
      </c>
      <c r="E276" t="s">
        <v>15</v>
      </c>
      <c r="F276">
        <v>125</v>
      </c>
      <c r="G276">
        <v>125</v>
      </c>
    </row>
    <row r="277" spans="1:7" x14ac:dyDescent="0.3">
      <c r="A277" s="11">
        <v>45261</v>
      </c>
      <c r="B277" s="11" t="s">
        <v>6</v>
      </c>
      <c r="C277" t="s">
        <v>29</v>
      </c>
      <c r="D277">
        <v>108</v>
      </c>
      <c r="E277" t="s">
        <v>36</v>
      </c>
      <c r="F277">
        <v>94</v>
      </c>
      <c r="G277">
        <v>94</v>
      </c>
    </row>
    <row r="278" spans="1:7" x14ac:dyDescent="0.3">
      <c r="A278" s="11">
        <v>45261</v>
      </c>
      <c r="B278" s="11" t="s">
        <v>6</v>
      </c>
      <c r="C278" t="s">
        <v>16</v>
      </c>
      <c r="D278">
        <v>119</v>
      </c>
      <c r="E278" t="s">
        <v>24</v>
      </c>
      <c r="F278">
        <v>106</v>
      </c>
      <c r="G278">
        <v>106</v>
      </c>
    </row>
    <row r="279" spans="1:7" x14ac:dyDescent="0.3">
      <c r="A279" s="11">
        <v>45261</v>
      </c>
      <c r="B279" s="11" t="s">
        <v>27</v>
      </c>
      <c r="C279" t="s">
        <v>37</v>
      </c>
      <c r="D279">
        <v>106</v>
      </c>
      <c r="E279" t="s">
        <v>28</v>
      </c>
      <c r="F279">
        <v>121</v>
      </c>
      <c r="G279">
        <v>121</v>
      </c>
    </row>
    <row r="280" spans="1:7" x14ac:dyDescent="0.3">
      <c r="A280" s="11">
        <v>45261</v>
      </c>
      <c r="B280" s="11" t="s">
        <v>9</v>
      </c>
      <c r="C280" t="s">
        <v>8</v>
      </c>
      <c r="D280">
        <v>119</v>
      </c>
      <c r="E280" t="s">
        <v>10</v>
      </c>
      <c r="F280">
        <v>111</v>
      </c>
      <c r="G280">
        <v>111</v>
      </c>
    </row>
    <row r="281" spans="1:7" x14ac:dyDescent="0.3">
      <c r="A281" s="11">
        <v>45262</v>
      </c>
      <c r="B281" s="11" t="s">
        <v>49</v>
      </c>
      <c r="C281" t="s">
        <v>11</v>
      </c>
      <c r="D281">
        <v>112</v>
      </c>
      <c r="E281" t="s">
        <v>40</v>
      </c>
      <c r="F281">
        <v>113</v>
      </c>
      <c r="G281">
        <v>113</v>
      </c>
    </row>
    <row r="282" spans="1:7" x14ac:dyDescent="0.3">
      <c r="A282" s="11">
        <v>45262</v>
      </c>
      <c r="B282" s="11" t="s">
        <v>50</v>
      </c>
      <c r="C282" t="s">
        <v>23</v>
      </c>
      <c r="D282">
        <v>123</v>
      </c>
      <c r="E282" t="s">
        <v>20</v>
      </c>
      <c r="F282">
        <v>117</v>
      </c>
      <c r="G282">
        <v>117</v>
      </c>
    </row>
    <row r="283" spans="1:7" x14ac:dyDescent="0.3">
      <c r="A283" s="11">
        <v>45262</v>
      </c>
      <c r="B283" s="11" t="s">
        <v>12</v>
      </c>
      <c r="C283" t="s">
        <v>14</v>
      </c>
      <c r="D283">
        <v>101</v>
      </c>
      <c r="E283" t="s">
        <v>26</v>
      </c>
      <c r="F283">
        <v>129</v>
      </c>
      <c r="G283">
        <v>129</v>
      </c>
    </row>
    <row r="284" spans="1:7" x14ac:dyDescent="0.3">
      <c r="A284" s="11">
        <v>45262</v>
      </c>
      <c r="B284" s="11" t="s">
        <v>12</v>
      </c>
      <c r="C284" t="s">
        <v>25</v>
      </c>
      <c r="D284">
        <v>110</v>
      </c>
      <c r="E284" t="s">
        <v>21</v>
      </c>
      <c r="F284">
        <v>101</v>
      </c>
      <c r="G284">
        <v>101</v>
      </c>
    </row>
    <row r="285" spans="1:7" x14ac:dyDescent="0.3">
      <c r="A285" s="11">
        <v>45262</v>
      </c>
      <c r="B285" s="11" t="s">
        <v>27</v>
      </c>
      <c r="C285" t="s">
        <v>28</v>
      </c>
      <c r="D285">
        <v>118</v>
      </c>
      <c r="E285" t="s">
        <v>31</v>
      </c>
      <c r="F285">
        <v>124</v>
      </c>
      <c r="G285">
        <v>124</v>
      </c>
    </row>
    <row r="286" spans="1:7" x14ac:dyDescent="0.3">
      <c r="A286" s="11">
        <v>45262</v>
      </c>
      <c r="B286" s="11" t="s">
        <v>27</v>
      </c>
      <c r="C286" t="s">
        <v>18</v>
      </c>
      <c r="D286">
        <v>144</v>
      </c>
      <c r="E286" t="s">
        <v>22</v>
      </c>
      <c r="F286">
        <v>129</v>
      </c>
      <c r="G286">
        <v>129</v>
      </c>
    </row>
    <row r="287" spans="1:7" x14ac:dyDescent="0.3">
      <c r="A287" s="11">
        <v>45262</v>
      </c>
      <c r="B287" s="11" t="s">
        <v>27</v>
      </c>
      <c r="C287" t="s">
        <v>19</v>
      </c>
      <c r="D287">
        <v>121</v>
      </c>
      <c r="E287" t="s">
        <v>42</v>
      </c>
      <c r="F287">
        <v>132</v>
      </c>
      <c r="G287">
        <v>132</v>
      </c>
    </row>
    <row r="288" spans="1:7" x14ac:dyDescent="0.3">
      <c r="A288" s="11">
        <v>45262</v>
      </c>
      <c r="B288" s="11" t="s">
        <v>32</v>
      </c>
      <c r="C288" t="s">
        <v>30</v>
      </c>
      <c r="D288">
        <v>126</v>
      </c>
      <c r="E288" t="s">
        <v>36</v>
      </c>
      <c r="F288">
        <v>120</v>
      </c>
      <c r="G288">
        <v>120</v>
      </c>
    </row>
    <row r="289" spans="1:7" x14ac:dyDescent="0.3">
      <c r="A289" s="11">
        <v>45262</v>
      </c>
      <c r="B289" s="11" t="s">
        <v>32</v>
      </c>
      <c r="C289" t="s">
        <v>29</v>
      </c>
      <c r="D289">
        <v>109</v>
      </c>
      <c r="E289" t="s">
        <v>10</v>
      </c>
      <c r="F289">
        <v>116</v>
      </c>
      <c r="G289">
        <v>116</v>
      </c>
    </row>
    <row r="290" spans="1:7" x14ac:dyDescent="0.3">
      <c r="A290" s="11">
        <v>45262</v>
      </c>
      <c r="B290" s="11" t="s">
        <v>35</v>
      </c>
      <c r="C290" t="s">
        <v>39</v>
      </c>
      <c r="D290">
        <v>113</v>
      </c>
      <c r="E290" t="s">
        <v>34</v>
      </c>
      <c r="F290">
        <v>118</v>
      </c>
      <c r="G290">
        <v>118</v>
      </c>
    </row>
    <row r="291" spans="1:7" x14ac:dyDescent="0.3">
      <c r="A291" s="11">
        <v>45262</v>
      </c>
      <c r="B291" s="11" t="s">
        <v>9</v>
      </c>
      <c r="C291" t="s">
        <v>8</v>
      </c>
      <c r="D291">
        <v>117</v>
      </c>
      <c r="E291" t="s">
        <v>33</v>
      </c>
      <c r="F291">
        <v>123</v>
      </c>
      <c r="G291">
        <v>123</v>
      </c>
    </row>
    <row r="292" spans="1:7" x14ac:dyDescent="0.3">
      <c r="A292" s="11">
        <v>45262</v>
      </c>
      <c r="B292" s="11" t="s">
        <v>38</v>
      </c>
      <c r="C292" t="s">
        <v>13</v>
      </c>
      <c r="D292">
        <v>97</v>
      </c>
      <c r="E292" t="s">
        <v>7</v>
      </c>
      <c r="F292">
        <v>107</v>
      </c>
      <c r="G292">
        <v>107</v>
      </c>
    </row>
    <row r="293" spans="1:7" x14ac:dyDescent="0.3">
      <c r="A293" s="11">
        <v>45264</v>
      </c>
      <c r="B293" s="11" t="s">
        <v>6</v>
      </c>
      <c r="C293" t="s">
        <v>15</v>
      </c>
      <c r="D293">
        <v>112</v>
      </c>
      <c r="E293" t="s">
        <v>18</v>
      </c>
      <c r="F293">
        <v>122</v>
      </c>
      <c r="G293">
        <v>122</v>
      </c>
    </row>
    <row r="294" spans="1:7" x14ac:dyDescent="0.3">
      <c r="A294" s="11">
        <v>45264</v>
      </c>
      <c r="B294" s="11" t="s">
        <v>9</v>
      </c>
      <c r="C294" t="s">
        <v>28</v>
      </c>
      <c r="D294">
        <v>127</v>
      </c>
      <c r="E294" t="s">
        <v>33</v>
      </c>
      <c r="F294">
        <v>117</v>
      </c>
      <c r="G294">
        <v>117</v>
      </c>
    </row>
    <row r="295" spans="1:7" x14ac:dyDescent="0.3">
      <c r="A295" s="11">
        <v>45265</v>
      </c>
      <c r="B295" s="11" t="s">
        <v>6</v>
      </c>
      <c r="C295" t="s">
        <v>16</v>
      </c>
      <c r="D295">
        <v>122</v>
      </c>
      <c r="E295" t="s">
        <v>42</v>
      </c>
      <c r="F295">
        <v>146</v>
      </c>
      <c r="G295">
        <v>146</v>
      </c>
    </row>
    <row r="296" spans="1:7" x14ac:dyDescent="0.3">
      <c r="A296" s="11">
        <v>45265</v>
      </c>
      <c r="B296" s="11" t="s">
        <v>9</v>
      </c>
      <c r="C296" t="s">
        <v>10</v>
      </c>
      <c r="D296">
        <v>103</v>
      </c>
      <c r="E296" t="s">
        <v>7</v>
      </c>
      <c r="F296">
        <v>106</v>
      </c>
      <c r="G296">
        <v>106</v>
      </c>
    </row>
    <row r="297" spans="1:7" x14ac:dyDescent="0.3">
      <c r="A297" s="11">
        <v>45266</v>
      </c>
      <c r="B297" s="11" t="s">
        <v>12</v>
      </c>
      <c r="C297" t="s">
        <v>14</v>
      </c>
      <c r="D297">
        <v>111</v>
      </c>
      <c r="E297" t="s">
        <v>25</v>
      </c>
      <c r="F297">
        <v>121</v>
      </c>
      <c r="G297">
        <v>121</v>
      </c>
    </row>
    <row r="298" spans="1:7" x14ac:dyDescent="0.3">
      <c r="A298" s="11">
        <v>45266</v>
      </c>
      <c r="B298" s="11" t="s">
        <v>12</v>
      </c>
      <c r="C298" t="s">
        <v>29</v>
      </c>
      <c r="D298">
        <v>116</v>
      </c>
      <c r="E298" t="s">
        <v>21</v>
      </c>
      <c r="F298">
        <v>102</v>
      </c>
      <c r="G298">
        <v>102</v>
      </c>
    </row>
    <row r="299" spans="1:7" x14ac:dyDescent="0.3">
      <c r="A299" s="11">
        <v>45266</v>
      </c>
      <c r="B299" s="11" t="s">
        <v>12</v>
      </c>
      <c r="C299" t="s">
        <v>41</v>
      </c>
      <c r="D299">
        <v>131</v>
      </c>
      <c r="E299" t="s">
        <v>17</v>
      </c>
      <c r="F299">
        <v>126</v>
      </c>
      <c r="G299">
        <v>126</v>
      </c>
    </row>
    <row r="300" spans="1:7" x14ac:dyDescent="0.3">
      <c r="A300" s="11">
        <v>45266</v>
      </c>
      <c r="B300" s="11" t="s">
        <v>6</v>
      </c>
      <c r="C300" t="s">
        <v>26</v>
      </c>
      <c r="D300">
        <v>114</v>
      </c>
      <c r="E300" t="s">
        <v>19</v>
      </c>
      <c r="F300">
        <v>113</v>
      </c>
      <c r="G300">
        <v>113</v>
      </c>
    </row>
    <row r="301" spans="1:7" x14ac:dyDescent="0.3">
      <c r="A301" s="11">
        <v>45266</v>
      </c>
      <c r="B301" s="11" t="s">
        <v>6</v>
      </c>
      <c r="C301" t="s">
        <v>37</v>
      </c>
      <c r="D301">
        <v>94</v>
      </c>
      <c r="E301" t="s">
        <v>23</v>
      </c>
      <c r="F301">
        <v>102</v>
      </c>
      <c r="G301">
        <v>102</v>
      </c>
    </row>
    <row r="302" spans="1:7" x14ac:dyDescent="0.3">
      <c r="A302" s="11">
        <v>45266</v>
      </c>
      <c r="B302" s="11" t="s">
        <v>6</v>
      </c>
      <c r="C302" t="s">
        <v>22</v>
      </c>
      <c r="D302">
        <v>112</v>
      </c>
      <c r="E302" t="s">
        <v>24</v>
      </c>
      <c r="F302">
        <v>103</v>
      </c>
      <c r="G302">
        <v>103</v>
      </c>
    </row>
    <row r="303" spans="1:7" x14ac:dyDescent="0.3">
      <c r="A303" s="11">
        <v>45266</v>
      </c>
      <c r="B303" s="11" t="s">
        <v>27</v>
      </c>
      <c r="C303" t="s">
        <v>20</v>
      </c>
      <c r="D303">
        <v>100</v>
      </c>
      <c r="E303" t="s">
        <v>31</v>
      </c>
      <c r="F303">
        <v>111</v>
      </c>
      <c r="G303">
        <v>111</v>
      </c>
    </row>
    <row r="304" spans="1:7" x14ac:dyDescent="0.3">
      <c r="A304" s="11">
        <v>45266</v>
      </c>
      <c r="B304" s="11" t="s">
        <v>27</v>
      </c>
      <c r="C304" t="s">
        <v>30</v>
      </c>
      <c r="D304">
        <v>101</v>
      </c>
      <c r="E304" t="s">
        <v>13</v>
      </c>
      <c r="F304">
        <v>110</v>
      </c>
      <c r="G304">
        <v>110</v>
      </c>
    </row>
    <row r="305" spans="1:7" x14ac:dyDescent="0.3">
      <c r="A305" s="11">
        <v>45266</v>
      </c>
      <c r="B305" s="11" t="s">
        <v>43</v>
      </c>
      <c r="C305" t="s">
        <v>34</v>
      </c>
      <c r="D305">
        <v>97</v>
      </c>
      <c r="E305" t="s">
        <v>36</v>
      </c>
      <c r="F305">
        <v>147</v>
      </c>
      <c r="G305">
        <v>147</v>
      </c>
    </row>
    <row r="306" spans="1:7" x14ac:dyDescent="0.3">
      <c r="A306" s="11">
        <v>45266</v>
      </c>
      <c r="B306" s="11" t="s">
        <v>9</v>
      </c>
      <c r="C306" t="s">
        <v>39</v>
      </c>
      <c r="D306">
        <v>106</v>
      </c>
      <c r="E306" t="s">
        <v>11</v>
      </c>
      <c r="F306">
        <v>110</v>
      </c>
      <c r="G306">
        <v>110</v>
      </c>
    </row>
    <row r="307" spans="1:7" x14ac:dyDescent="0.3">
      <c r="A307" s="11">
        <v>45266</v>
      </c>
      <c r="B307" s="11" t="s">
        <v>9</v>
      </c>
      <c r="C307" t="s">
        <v>8</v>
      </c>
      <c r="D307">
        <v>102</v>
      </c>
      <c r="E307" t="s">
        <v>40</v>
      </c>
      <c r="F307">
        <v>111</v>
      </c>
      <c r="G307">
        <v>111</v>
      </c>
    </row>
    <row r="308" spans="1:7" x14ac:dyDescent="0.3">
      <c r="A308" s="11">
        <v>45267</v>
      </c>
      <c r="B308" s="11" t="s">
        <v>50</v>
      </c>
      <c r="C308" t="s">
        <v>18</v>
      </c>
      <c r="D308">
        <v>128</v>
      </c>
      <c r="E308" t="s">
        <v>42</v>
      </c>
      <c r="F308">
        <v>119</v>
      </c>
      <c r="G308">
        <v>119</v>
      </c>
    </row>
    <row r="309" spans="1:7" x14ac:dyDescent="0.3">
      <c r="A309" s="11">
        <v>45267</v>
      </c>
      <c r="B309" s="11" t="s">
        <v>32</v>
      </c>
      <c r="C309" t="s">
        <v>28</v>
      </c>
      <c r="D309">
        <v>89</v>
      </c>
      <c r="E309" t="s">
        <v>7</v>
      </c>
      <c r="F309">
        <v>133</v>
      </c>
      <c r="G309">
        <v>133</v>
      </c>
    </row>
    <row r="310" spans="1:7" x14ac:dyDescent="0.3">
      <c r="A310" s="11">
        <v>45268</v>
      </c>
      <c r="B310" s="11" t="s">
        <v>12</v>
      </c>
      <c r="C310" t="s">
        <v>24</v>
      </c>
      <c r="D310">
        <v>116</v>
      </c>
      <c r="E310" t="s">
        <v>20</v>
      </c>
      <c r="F310">
        <v>119</v>
      </c>
      <c r="G310">
        <v>119</v>
      </c>
    </row>
    <row r="311" spans="1:7" x14ac:dyDescent="0.3">
      <c r="A311" s="11">
        <v>45268</v>
      </c>
      <c r="B311" s="11" t="s">
        <v>12</v>
      </c>
      <c r="C311" t="s">
        <v>21</v>
      </c>
      <c r="D311">
        <v>91</v>
      </c>
      <c r="E311" t="s">
        <v>14</v>
      </c>
      <c r="F311">
        <v>123</v>
      </c>
      <c r="G311">
        <v>123</v>
      </c>
    </row>
    <row r="312" spans="1:7" x14ac:dyDescent="0.3">
      <c r="A312" s="11">
        <v>45268</v>
      </c>
      <c r="B312" s="11" t="s">
        <v>12</v>
      </c>
      <c r="C312" t="s">
        <v>19</v>
      </c>
      <c r="D312">
        <v>114</v>
      </c>
      <c r="E312" t="s">
        <v>41</v>
      </c>
      <c r="F312">
        <v>125</v>
      </c>
      <c r="G312">
        <v>125</v>
      </c>
    </row>
    <row r="313" spans="1:7" x14ac:dyDescent="0.3">
      <c r="A313" s="11">
        <v>45268</v>
      </c>
      <c r="B313" s="11" t="s">
        <v>6</v>
      </c>
      <c r="C313" t="s">
        <v>16</v>
      </c>
      <c r="D313">
        <v>123</v>
      </c>
      <c r="E313" t="s">
        <v>15</v>
      </c>
      <c r="F313">
        <v>133</v>
      </c>
      <c r="G313">
        <v>133</v>
      </c>
    </row>
    <row r="314" spans="1:7" x14ac:dyDescent="0.3">
      <c r="A314" s="11">
        <v>45268</v>
      </c>
      <c r="B314" s="11" t="s">
        <v>6</v>
      </c>
      <c r="C314" t="s">
        <v>17</v>
      </c>
      <c r="D314">
        <v>97</v>
      </c>
      <c r="E314" t="s">
        <v>26</v>
      </c>
      <c r="F314">
        <v>124</v>
      </c>
      <c r="G314">
        <v>124</v>
      </c>
    </row>
    <row r="315" spans="1:7" x14ac:dyDescent="0.3">
      <c r="A315" s="11">
        <v>45268</v>
      </c>
      <c r="B315" s="11" t="s">
        <v>27</v>
      </c>
      <c r="C315" t="s">
        <v>23</v>
      </c>
      <c r="D315">
        <v>127</v>
      </c>
      <c r="E315" t="s">
        <v>29</v>
      </c>
      <c r="F315">
        <v>103</v>
      </c>
      <c r="G315">
        <v>103</v>
      </c>
    </row>
    <row r="316" spans="1:7" x14ac:dyDescent="0.3">
      <c r="A316" s="11">
        <v>45268</v>
      </c>
      <c r="B316" s="11" t="s">
        <v>27</v>
      </c>
      <c r="C316" t="s">
        <v>25</v>
      </c>
      <c r="D316">
        <v>111</v>
      </c>
      <c r="E316" t="s">
        <v>22</v>
      </c>
      <c r="F316">
        <v>99</v>
      </c>
      <c r="G316">
        <v>99</v>
      </c>
    </row>
    <row r="317" spans="1:7" x14ac:dyDescent="0.3">
      <c r="A317" s="11">
        <v>45268</v>
      </c>
      <c r="B317" s="11" t="s">
        <v>27</v>
      </c>
      <c r="C317" t="s">
        <v>11</v>
      </c>
      <c r="D317">
        <v>136</v>
      </c>
      <c r="E317" t="s">
        <v>30</v>
      </c>
      <c r="F317">
        <v>138</v>
      </c>
      <c r="G317">
        <v>138</v>
      </c>
    </row>
    <row r="318" spans="1:7" x14ac:dyDescent="0.3">
      <c r="A318" s="11">
        <v>45268</v>
      </c>
      <c r="B318" s="11" t="s">
        <v>43</v>
      </c>
      <c r="C318" t="s">
        <v>31</v>
      </c>
      <c r="D318">
        <v>121</v>
      </c>
      <c r="E318" t="s">
        <v>37</v>
      </c>
      <c r="F318">
        <v>112</v>
      </c>
      <c r="G318">
        <v>112</v>
      </c>
    </row>
    <row r="319" spans="1:7" x14ac:dyDescent="0.3">
      <c r="A319" s="11">
        <v>45268</v>
      </c>
      <c r="B319" s="11" t="s">
        <v>32</v>
      </c>
      <c r="C319" t="s">
        <v>13</v>
      </c>
      <c r="D319">
        <v>114</v>
      </c>
      <c r="E319" t="s">
        <v>8</v>
      </c>
      <c r="F319">
        <v>106</v>
      </c>
      <c r="G319">
        <v>106</v>
      </c>
    </row>
    <row r="320" spans="1:7" x14ac:dyDescent="0.3">
      <c r="A320" s="11">
        <v>45268</v>
      </c>
      <c r="B320" s="11" t="s">
        <v>32</v>
      </c>
      <c r="C320" t="s">
        <v>33</v>
      </c>
      <c r="D320">
        <v>114</v>
      </c>
      <c r="E320" t="s">
        <v>10</v>
      </c>
      <c r="F320">
        <v>106</v>
      </c>
      <c r="G320">
        <v>106</v>
      </c>
    </row>
    <row r="321" spans="1:7" x14ac:dyDescent="0.3">
      <c r="A321" s="11">
        <v>45268</v>
      </c>
      <c r="B321" s="11" t="s">
        <v>9</v>
      </c>
      <c r="C321" t="s">
        <v>36</v>
      </c>
      <c r="D321">
        <v>125</v>
      </c>
      <c r="E321" t="s">
        <v>39</v>
      </c>
      <c r="F321">
        <v>112</v>
      </c>
      <c r="G321">
        <v>112</v>
      </c>
    </row>
    <row r="322" spans="1:7" x14ac:dyDescent="0.3">
      <c r="A322" s="11">
        <v>45268</v>
      </c>
      <c r="B322" s="11" t="s">
        <v>9</v>
      </c>
      <c r="C322" t="s">
        <v>40</v>
      </c>
      <c r="D322">
        <v>117</v>
      </c>
      <c r="E322" t="s">
        <v>34</v>
      </c>
      <c r="F322">
        <v>103</v>
      </c>
      <c r="G322">
        <v>103</v>
      </c>
    </row>
    <row r="323" spans="1:7" x14ac:dyDescent="0.3">
      <c r="A323" s="11">
        <v>45269</v>
      </c>
      <c r="B323" s="11" t="s">
        <v>43</v>
      </c>
      <c r="C323" t="s">
        <v>18</v>
      </c>
      <c r="D323">
        <v>109</v>
      </c>
      <c r="E323" t="s">
        <v>7</v>
      </c>
      <c r="F323">
        <v>123</v>
      </c>
      <c r="G323">
        <v>123</v>
      </c>
    </row>
    <row r="324" spans="1:7" x14ac:dyDescent="0.3">
      <c r="A324" s="11">
        <v>45271</v>
      </c>
      <c r="B324" s="11" t="s">
        <v>12</v>
      </c>
      <c r="C324" t="s">
        <v>22</v>
      </c>
      <c r="D324">
        <v>116</v>
      </c>
      <c r="E324" t="s">
        <v>20</v>
      </c>
      <c r="F324">
        <v>114</v>
      </c>
      <c r="G324">
        <v>114</v>
      </c>
    </row>
    <row r="325" spans="1:7" x14ac:dyDescent="0.3">
      <c r="A325" s="11">
        <v>45271</v>
      </c>
      <c r="B325" s="11" t="s">
        <v>12</v>
      </c>
      <c r="C325" t="s">
        <v>18</v>
      </c>
      <c r="D325">
        <v>131</v>
      </c>
      <c r="E325" t="s">
        <v>21</v>
      </c>
      <c r="F325">
        <v>123</v>
      </c>
      <c r="G325">
        <v>123</v>
      </c>
    </row>
    <row r="326" spans="1:7" x14ac:dyDescent="0.3">
      <c r="A326" s="11">
        <v>45271</v>
      </c>
      <c r="B326" s="11" t="s">
        <v>12</v>
      </c>
      <c r="C326" t="s">
        <v>25</v>
      </c>
      <c r="D326">
        <v>94</v>
      </c>
      <c r="E326" t="s">
        <v>14</v>
      </c>
      <c r="F326">
        <v>104</v>
      </c>
      <c r="G326">
        <v>104</v>
      </c>
    </row>
    <row r="327" spans="1:7" x14ac:dyDescent="0.3">
      <c r="A327" s="11">
        <v>45271</v>
      </c>
      <c r="B327" s="11" t="s">
        <v>12</v>
      </c>
      <c r="C327" t="s">
        <v>17</v>
      </c>
      <c r="D327">
        <v>101</v>
      </c>
      <c r="E327" t="s">
        <v>41</v>
      </c>
      <c r="F327">
        <v>146</v>
      </c>
      <c r="G327">
        <v>146</v>
      </c>
    </row>
    <row r="328" spans="1:7" x14ac:dyDescent="0.3">
      <c r="A328" s="11">
        <v>45271</v>
      </c>
      <c r="B328" s="11" t="s">
        <v>6</v>
      </c>
      <c r="C328" t="s">
        <v>8</v>
      </c>
      <c r="D328">
        <v>129</v>
      </c>
      <c r="E328" t="s">
        <v>19</v>
      </c>
      <c r="F328">
        <v>122</v>
      </c>
      <c r="G328">
        <v>122</v>
      </c>
    </row>
    <row r="329" spans="1:7" x14ac:dyDescent="0.3">
      <c r="A329" s="11">
        <v>45271</v>
      </c>
      <c r="B329" s="11" t="s">
        <v>6</v>
      </c>
      <c r="C329" t="s">
        <v>24</v>
      </c>
      <c r="D329">
        <v>130</v>
      </c>
      <c r="E329" t="s">
        <v>16</v>
      </c>
      <c r="F329">
        <v>136</v>
      </c>
      <c r="G329">
        <v>136</v>
      </c>
    </row>
    <row r="330" spans="1:7" x14ac:dyDescent="0.3">
      <c r="A330" s="11">
        <v>45271</v>
      </c>
      <c r="B330" s="11" t="s">
        <v>27</v>
      </c>
      <c r="C330" t="s">
        <v>37</v>
      </c>
      <c r="D330">
        <v>82</v>
      </c>
      <c r="E330" t="s">
        <v>13</v>
      </c>
      <c r="F330">
        <v>93</v>
      </c>
      <c r="G330">
        <v>93</v>
      </c>
    </row>
    <row r="331" spans="1:7" x14ac:dyDescent="0.3">
      <c r="A331" s="11">
        <v>45271</v>
      </c>
      <c r="B331" s="11" t="s">
        <v>27</v>
      </c>
      <c r="C331" t="s">
        <v>36</v>
      </c>
      <c r="D331">
        <v>120</v>
      </c>
      <c r="E331" t="s">
        <v>29</v>
      </c>
      <c r="F331">
        <v>113</v>
      </c>
      <c r="G331">
        <v>113</v>
      </c>
    </row>
    <row r="332" spans="1:7" x14ac:dyDescent="0.3">
      <c r="A332" s="11">
        <v>45271</v>
      </c>
      <c r="B332" s="11" t="s">
        <v>27</v>
      </c>
      <c r="C332" t="s">
        <v>31</v>
      </c>
      <c r="D332">
        <v>129</v>
      </c>
      <c r="E332" t="s">
        <v>42</v>
      </c>
      <c r="F332">
        <v>133</v>
      </c>
      <c r="G332">
        <v>133</v>
      </c>
    </row>
    <row r="333" spans="1:7" x14ac:dyDescent="0.3">
      <c r="A333" s="11">
        <v>45271</v>
      </c>
      <c r="B333" s="11" t="s">
        <v>27</v>
      </c>
      <c r="C333" t="s">
        <v>23</v>
      </c>
      <c r="D333">
        <v>107</v>
      </c>
      <c r="E333" t="s">
        <v>28</v>
      </c>
      <c r="F333">
        <v>121</v>
      </c>
      <c r="G333">
        <v>121</v>
      </c>
    </row>
    <row r="334" spans="1:7" x14ac:dyDescent="0.3">
      <c r="A334" s="11">
        <v>45271</v>
      </c>
      <c r="B334" s="11" t="s">
        <v>27</v>
      </c>
      <c r="C334" t="s">
        <v>34</v>
      </c>
      <c r="D334">
        <v>120</v>
      </c>
      <c r="E334" t="s">
        <v>30</v>
      </c>
      <c r="F334">
        <v>134</v>
      </c>
      <c r="G334">
        <v>134</v>
      </c>
    </row>
    <row r="335" spans="1:7" x14ac:dyDescent="0.3">
      <c r="A335" s="11">
        <v>45271</v>
      </c>
      <c r="B335" s="11" t="s">
        <v>9</v>
      </c>
      <c r="C335" t="s">
        <v>26</v>
      </c>
      <c r="D335">
        <v>118</v>
      </c>
      <c r="E335" t="s">
        <v>33</v>
      </c>
      <c r="F335">
        <v>131</v>
      </c>
      <c r="G335">
        <v>131</v>
      </c>
    </row>
    <row r="336" spans="1:7" x14ac:dyDescent="0.3">
      <c r="A336" s="11">
        <v>45271</v>
      </c>
      <c r="B336" s="11" t="s">
        <v>38</v>
      </c>
      <c r="C336" t="s">
        <v>39</v>
      </c>
      <c r="D336">
        <v>127</v>
      </c>
      <c r="E336" t="s">
        <v>40</v>
      </c>
      <c r="F336">
        <v>132</v>
      </c>
      <c r="G336">
        <v>132</v>
      </c>
    </row>
    <row r="337" spans="1:7" x14ac:dyDescent="0.3">
      <c r="A337" s="11">
        <v>45272</v>
      </c>
      <c r="B337" s="11" t="s">
        <v>6</v>
      </c>
      <c r="C337" t="s">
        <v>25</v>
      </c>
      <c r="D337">
        <v>113</v>
      </c>
      <c r="E337" t="s">
        <v>15</v>
      </c>
      <c r="F337">
        <v>120</v>
      </c>
      <c r="G337">
        <v>120</v>
      </c>
    </row>
    <row r="338" spans="1:7" x14ac:dyDescent="0.3">
      <c r="A338" s="11">
        <v>45272</v>
      </c>
      <c r="B338" s="11" t="s">
        <v>6</v>
      </c>
      <c r="C338" t="s">
        <v>7</v>
      </c>
      <c r="D338">
        <v>125</v>
      </c>
      <c r="E338" t="s">
        <v>36</v>
      </c>
      <c r="F338">
        <v>127</v>
      </c>
      <c r="G338">
        <v>127</v>
      </c>
    </row>
    <row r="339" spans="1:7" x14ac:dyDescent="0.3">
      <c r="A339" s="11">
        <v>45272</v>
      </c>
      <c r="B339" s="11" t="s">
        <v>27</v>
      </c>
      <c r="C339" t="s">
        <v>8</v>
      </c>
      <c r="D339">
        <v>114</v>
      </c>
      <c r="E339" t="s">
        <v>31</v>
      </c>
      <c r="F339">
        <v>106</v>
      </c>
      <c r="G339">
        <v>106</v>
      </c>
    </row>
    <row r="340" spans="1:7" x14ac:dyDescent="0.3">
      <c r="A340" s="11">
        <v>45272</v>
      </c>
      <c r="B340" s="11" t="s">
        <v>9</v>
      </c>
      <c r="C340" t="s">
        <v>11</v>
      </c>
      <c r="D340">
        <v>116</v>
      </c>
      <c r="E340" t="s">
        <v>10</v>
      </c>
      <c r="F340">
        <v>119</v>
      </c>
      <c r="G340">
        <v>119</v>
      </c>
    </row>
    <row r="341" spans="1:7" x14ac:dyDescent="0.3">
      <c r="A341" s="11">
        <v>45272</v>
      </c>
      <c r="B341" s="11" t="s">
        <v>38</v>
      </c>
      <c r="C341" t="s">
        <v>33</v>
      </c>
      <c r="D341">
        <v>99</v>
      </c>
      <c r="E341" t="s">
        <v>40</v>
      </c>
      <c r="F341">
        <v>119</v>
      </c>
      <c r="G341">
        <v>119</v>
      </c>
    </row>
    <row r="342" spans="1:7" x14ac:dyDescent="0.3">
      <c r="A342" s="11">
        <v>45273</v>
      </c>
      <c r="B342" s="11" t="s">
        <v>12</v>
      </c>
      <c r="C342" t="s">
        <v>41</v>
      </c>
      <c r="D342">
        <v>129</v>
      </c>
      <c r="E342" t="s">
        <v>21</v>
      </c>
      <c r="F342">
        <v>111</v>
      </c>
      <c r="G342">
        <v>111</v>
      </c>
    </row>
    <row r="343" spans="1:7" x14ac:dyDescent="0.3">
      <c r="A343" s="11">
        <v>45273</v>
      </c>
      <c r="B343" s="11" t="s">
        <v>12</v>
      </c>
      <c r="C343" t="s">
        <v>28</v>
      </c>
      <c r="D343">
        <v>142</v>
      </c>
      <c r="E343" t="s">
        <v>17</v>
      </c>
      <c r="F343">
        <v>122</v>
      </c>
      <c r="G343">
        <v>122</v>
      </c>
    </row>
    <row r="344" spans="1:7" x14ac:dyDescent="0.3">
      <c r="A344" s="11">
        <v>45273</v>
      </c>
      <c r="B344" s="11" t="s">
        <v>6</v>
      </c>
      <c r="C344" t="s">
        <v>20</v>
      </c>
      <c r="D344">
        <v>104</v>
      </c>
      <c r="E344" t="s">
        <v>22</v>
      </c>
      <c r="F344">
        <v>115</v>
      </c>
      <c r="G344">
        <v>115</v>
      </c>
    </row>
    <row r="345" spans="1:7" x14ac:dyDescent="0.3">
      <c r="A345" s="11">
        <v>45273</v>
      </c>
      <c r="B345" s="11" t="s">
        <v>6</v>
      </c>
      <c r="C345" t="s">
        <v>19</v>
      </c>
      <c r="D345">
        <v>128</v>
      </c>
      <c r="E345" t="s">
        <v>24</v>
      </c>
      <c r="F345">
        <v>135</v>
      </c>
      <c r="G345">
        <v>135</v>
      </c>
    </row>
    <row r="346" spans="1:7" x14ac:dyDescent="0.3">
      <c r="A346" s="11">
        <v>45273</v>
      </c>
      <c r="B346" s="11" t="s">
        <v>27</v>
      </c>
      <c r="C346" t="s">
        <v>29</v>
      </c>
      <c r="D346">
        <v>104</v>
      </c>
      <c r="E346" t="s">
        <v>13</v>
      </c>
      <c r="F346">
        <v>117</v>
      </c>
      <c r="G346">
        <v>117</v>
      </c>
    </row>
    <row r="347" spans="1:7" x14ac:dyDescent="0.3">
      <c r="A347" s="11">
        <v>45273</v>
      </c>
      <c r="B347" s="11" t="s">
        <v>27</v>
      </c>
      <c r="C347" t="s">
        <v>18</v>
      </c>
      <c r="D347">
        <v>126</v>
      </c>
      <c r="E347" t="s">
        <v>42</v>
      </c>
      <c r="F347">
        <v>140</v>
      </c>
      <c r="G347">
        <v>140</v>
      </c>
    </row>
    <row r="348" spans="1:7" x14ac:dyDescent="0.3">
      <c r="A348" s="11">
        <v>45273</v>
      </c>
      <c r="B348" s="11" t="s">
        <v>27</v>
      </c>
      <c r="C348" t="s">
        <v>7</v>
      </c>
      <c r="D348">
        <v>122</v>
      </c>
      <c r="E348" t="s">
        <v>37</v>
      </c>
      <c r="F348">
        <v>119</v>
      </c>
      <c r="G348">
        <v>119</v>
      </c>
    </row>
    <row r="349" spans="1:7" x14ac:dyDescent="0.3">
      <c r="A349" s="11">
        <v>45273</v>
      </c>
      <c r="B349" s="11" t="s">
        <v>32</v>
      </c>
      <c r="C349" t="s">
        <v>26</v>
      </c>
      <c r="D349">
        <v>116</v>
      </c>
      <c r="E349" t="s">
        <v>10</v>
      </c>
      <c r="F349">
        <v>112</v>
      </c>
      <c r="G349">
        <v>112</v>
      </c>
    </row>
    <row r="350" spans="1:7" x14ac:dyDescent="0.3">
      <c r="A350" s="11">
        <v>45273</v>
      </c>
      <c r="B350" s="11" t="s">
        <v>32</v>
      </c>
      <c r="C350" t="s">
        <v>16</v>
      </c>
      <c r="D350">
        <v>113</v>
      </c>
      <c r="E350" t="s">
        <v>34</v>
      </c>
      <c r="F350">
        <v>117</v>
      </c>
      <c r="G350">
        <v>117</v>
      </c>
    </row>
    <row r="351" spans="1:7" x14ac:dyDescent="0.3">
      <c r="A351" s="11">
        <v>45274</v>
      </c>
      <c r="B351" s="11" t="s">
        <v>6</v>
      </c>
      <c r="C351" t="s">
        <v>25</v>
      </c>
      <c r="D351">
        <v>107</v>
      </c>
      <c r="E351" t="s">
        <v>15</v>
      </c>
      <c r="F351">
        <v>116</v>
      </c>
      <c r="G351">
        <v>116</v>
      </c>
    </row>
    <row r="352" spans="1:7" x14ac:dyDescent="0.3">
      <c r="A352" s="11">
        <v>45274</v>
      </c>
      <c r="B352" s="11" t="s">
        <v>6</v>
      </c>
      <c r="C352" t="s">
        <v>31</v>
      </c>
      <c r="D352">
        <v>124</v>
      </c>
      <c r="E352" t="s">
        <v>22</v>
      </c>
      <c r="F352">
        <v>116</v>
      </c>
      <c r="G352">
        <v>116</v>
      </c>
    </row>
    <row r="353" spans="1:7" x14ac:dyDescent="0.3">
      <c r="A353" s="11">
        <v>45274</v>
      </c>
      <c r="B353" s="11" t="s">
        <v>43</v>
      </c>
      <c r="C353" t="s">
        <v>23</v>
      </c>
      <c r="D353">
        <v>119</v>
      </c>
      <c r="E353" t="s">
        <v>36</v>
      </c>
      <c r="F353">
        <v>101</v>
      </c>
      <c r="G353">
        <v>101</v>
      </c>
    </row>
    <row r="354" spans="1:7" x14ac:dyDescent="0.3">
      <c r="A354" s="11">
        <v>45274</v>
      </c>
      <c r="B354" s="11" t="s">
        <v>32</v>
      </c>
      <c r="C354" t="s">
        <v>26</v>
      </c>
      <c r="D354">
        <v>101</v>
      </c>
      <c r="E354" t="s">
        <v>8</v>
      </c>
      <c r="F354">
        <v>124</v>
      </c>
      <c r="G354">
        <v>124</v>
      </c>
    </row>
    <row r="355" spans="1:7" x14ac:dyDescent="0.3">
      <c r="A355" s="11">
        <v>45274</v>
      </c>
      <c r="B355" s="11" t="s">
        <v>9</v>
      </c>
      <c r="C355" t="s">
        <v>34</v>
      </c>
      <c r="D355">
        <v>122</v>
      </c>
      <c r="E355" t="s">
        <v>39</v>
      </c>
      <c r="F355">
        <v>114</v>
      </c>
      <c r="G355">
        <v>114</v>
      </c>
    </row>
    <row r="356" spans="1:7" x14ac:dyDescent="0.3">
      <c r="A356" s="11">
        <v>45274</v>
      </c>
      <c r="B356" s="11" t="s">
        <v>9</v>
      </c>
      <c r="C356" t="s">
        <v>30</v>
      </c>
      <c r="D356">
        <v>123</v>
      </c>
      <c r="E356" t="s">
        <v>33</v>
      </c>
      <c r="F356">
        <v>128</v>
      </c>
      <c r="G356">
        <v>128</v>
      </c>
    </row>
    <row r="357" spans="1:7" x14ac:dyDescent="0.3">
      <c r="A357" s="11">
        <v>45274</v>
      </c>
      <c r="B357" s="11" t="s">
        <v>38</v>
      </c>
      <c r="C357" t="s">
        <v>11</v>
      </c>
      <c r="D357">
        <v>113</v>
      </c>
      <c r="E357" t="s">
        <v>40</v>
      </c>
      <c r="F357">
        <v>121</v>
      </c>
      <c r="G357">
        <v>121</v>
      </c>
    </row>
    <row r="358" spans="1:7" x14ac:dyDescent="0.3">
      <c r="A358" s="11">
        <v>45275</v>
      </c>
      <c r="B358" s="11" t="s">
        <v>12</v>
      </c>
      <c r="C358" t="s">
        <v>28</v>
      </c>
      <c r="D358">
        <v>112</v>
      </c>
      <c r="E358" t="s">
        <v>20</v>
      </c>
      <c r="F358">
        <v>107</v>
      </c>
      <c r="G358">
        <v>107</v>
      </c>
    </row>
    <row r="359" spans="1:7" x14ac:dyDescent="0.3">
      <c r="A359" s="11">
        <v>45275</v>
      </c>
      <c r="B359" s="11" t="s">
        <v>12</v>
      </c>
      <c r="C359" t="s">
        <v>21</v>
      </c>
      <c r="D359">
        <v>92</v>
      </c>
      <c r="E359" t="s">
        <v>41</v>
      </c>
      <c r="F359">
        <v>124</v>
      </c>
      <c r="G359">
        <v>124</v>
      </c>
    </row>
    <row r="360" spans="1:7" x14ac:dyDescent="0.3">
      <c r="A360" s="11">
        <v>45275</v>
      </c>
      <c r="B360" s="11" t="s">
        <v>12</v>
      </c>
      <c r="C360" t="s">
        <v>18</v>
      </c>
      <c r="D360">
        <v>123</v>
      </c>
      <c r="E360" t="s">
        <v>17</v>
      </c>
      <c r="F360">
        <v>137</v>
      </c>
      <c r="G360">
        <v>137</v>
      </c>
    </row>
    <row r="361" spans="1:7" x14ac:dyDescent="0.3">
      <c r="A361" s="11">
        <v>45275</v>
      </c>
      <c r="B361" s="11" t="s">
        <v>6</v>
      </c>
      <c r="C361" t="s">
        <v>14</v>
      </c>
      <c r="D361">
        <v>111</v>
      </c>
      <c r="E361" t="s">
        <v>15</v>
      </c>
      <c r="F361">
        <v>128</v>
      </c>
      <c r="G361">
        <v>128</v>
      </c>
    </row>
    <row r="362" spans="1:7" x14ac:dyDescent="0.3">
      <c r="A362" s="11">
        <v>45275</v>
      </c>
      <c r="B362" s="11" t="s">
        <v>6</v>
      </c>
      <c r="C362" t="s">
        <v>7</v>
      </c>
      <c r="D362">
        <v>115</v>
      </c>
      <c r="E362" t="s">
        <v>37</v>
      </c>
      <c r="F362">
        <v>129</v>
      </c>
      <c r="G362">
        <v>129</v>
      </c>
    </row>
    <row r="363" spans="1:7" x14ac:dyDescent="0.3">
      <c r="A363" s="11">
        <v>45275</v>
      </c>
      <c r="B363" s="11" t="s">
        <v>6</v>
      </c>
      <c r="C363" t="s">
        <v>19</v>
      </c>
      <c r="D363">
        <v>125</v>
      </c>
      <c r="E363" t="s">
        <v>24</v>
      </c>
      <c r="F363">
        <v>104</v>
      </c>
      <c r="G363">
        <v>104</v>
      </c>
    </row>
    <row r="364" spans="1:7" x14ac:dyDescent="0.3">
      <c r="A364" s="11">
        <v>45275</v>
      </c>
      <c r="B364" s="11" t="s">
        <v>27</v>
      </c>
      <c r="C364" t="s">
        <v>13</v>
      </c>
      <c r="D364">
        <v>103</v>
      </c>
      <c r="E364" t="s">
        <v>29</v>
      </c>
      <c r="F364">
        <v>96</v>
      </c>
      <c r="G364">
        <v>96</v>
      </c>
    </row>
    <row r="365" spans="1:7" x14ac:dyDescent="0.3">
      <c r="A365" s="11">
        <v>45275</v>
      </c>
      <c r="B365" s="11" t="s">
        <v>9</v>
      </c>
      <c r="C365" t="s">
        <v>16</v>
      </c>
      <c r="D365">
        <v>139</v>
      </c>
      <c r="E365" t="s">
        <v>10</v>
      </c>
      <c r="F365">
        <v>122</v>
      </c>
      <c r="G365">
        <v>122</v>
      </c>
    </row>
    <row r="366" spans="1:7" x14ac:dyDescent="0.3">
      <c r="A366" s="11">
        <v>45276</v>
      </c>
      <c r="B366" s="11" t="s">
        <v>47</v>
      </c>
      <c r="C366" t="s">
        <v>21</v>
      </c>
      <c r="D366">
        <v>114</v>
      </c>
      <c r="E366" t="s">
        <v>42</v>
      </c>
      <c r="F366">
        <v>146</v>
      </c>
      <c r="G366">
        <v>146</v>
      </c>
    </row>
    <row r="367" spans="1:7" x14ac:dyDescent="0.3">
      <c r="A367" s="11">
        <v>45276</v>
      </c>
      <c r="B367" s="11" t="s">
        <v>12</v>
      </c>
      <c r="C367" t="s">
        <v>41</v>
      </c>
      <c r="D367">
        <v>135</v>
      </c>
      <c r="E367" t="s">
        <v>20</v>
      </c>
      <c r="F367">
        <v>82</v>
      </c>
      <c r="G367">
        <v>82</v>
      </c>
    </row>
    <row r="368" spans="1:7" x14ac:dyDescent="0.3">
      <c r="A368" s="11">
        <v>45276</v>
      </c>
      <c r="B368" s="11" t="s">
        <v>6</v>
      </c>
      <c r="C368" t="s">
        <v>19</v>
      </c>
      <c r="D368">
        <v>119</v>
      </c>
      <c r="E368" t="s">
        <v>25</v>
      </c>
      <c r="F368">
        <v>127</v>
      </c>
      <c r="G368">
        <v>127</v>
      </c>
    </row>
    <row r="369" spans="1:7" x14ac:dyDescent="0.3">
      <c r="A369" s="11">
        <v>45276</v>
      </c>
      <c r="B369" s="11" t="s">
        <v>27</v>
      </c>
      <c r="C369" t="s">
        <v>31</v>
      </c>
      <c r="D369">
        <v>116</v>
      </c>
      <c r="E369" t="s">
        <v>22</v>
      </c>
      <c r="F369">
        <v>118</v>
      </c>
      <c r="G369">
        <v>118</v>
      </c>
    </row>
    <row r="370" spans="1:7" x14ac:dyDescent="0.3">
      <c r="A370" s="11">
        <v>45276</v>
      </c>
      <c r="B370" s="11" t="s">
        <v>27</v>
      </c>
      <c r="C370" t="s">
        <v>18</v>
      </c>
      <c r="D370">
        <v>109</v>
      </c>
      <c r="E370" t="s">
        <v>23</v>
      </c>
      <c r="F370">
        <v>127</v>
      </c>
      <c r="G370">
        <v>127</v>
      </c>
    </row>
    <row r="371" spans="1:7" x14ac:dyDescent="0.3">
      <c r="A371" s="11">
        <v>45276</v>
      </c>
      <c r="B371" s="11" t="s">
        <v>43</v>
      </c>
      <c r="C371" t="s">
        <v>26</v>
      </c>
      <c r="D371">
        <v>120</v>
      </c>
      <c r="E371" t="s">
        <v>11</v>
      </c>
      <c r="F371">
        <v>124</v>
      </c>
      <c r="G371">
        <v>124</v>
      </c>
    </row>
    <row r="372" spans="1:7" x14ac:dyDescent="0.3">
      <c r="A372" s="11">
        <v>45276</v>
      </c>
      <c r="B372" s="11" t="s">
        <v>32</v>
      </c>
      <c r="C372" t="s">
        <v>30</v>
      </c>
      <c r="D372">
        <v>118</v>
      </c>
      <c r="E372" t="s">
        <v>8</v>
      </c>
      <c r="F372">
        <v>117</v>
      </c>
      <c r="G372">
        <v>117</v>
      </c>
    </row>
    <row r="373" spans="1:7" x14ac:dyDescent="0.3">
      <c r="A373" s="11">
        <v>45276</v>
      </c>
      <c r="B373" s="11" t="s">
        <v>32</v>
      </c>
      <c r="C373" t="s">
        <v>36</v>
      </c>
      <c r="D373">
        <v>131</v>
      </c>
      <c r="E373" t="s">
        <v>39</v>
      </c>
      <c r="F373">
        <v>120</v>
      </c>
      <c r="G373">
        <v>120</v>
      </c>
    </row>
    <row r="374" spans="1:7" x14ac:dyDescent="0.3">
      <c r="A374" s="11">
        <v>45276</v>
      </c>
      <c r="B374" s="11" t="s">
        <v>9</v>
      </c>
      <c r="C374" t="s">
        <v>34</v>
      </c>
      <c r="D374">
        <v>104</v>
      </c>
      <c r="E374" t="s">
        <v>33</v>
      </c>
      <c r="F374">
        <v>125</v>
      </c>
      <c r="G374">
        <v>125</v>
      </c>
    </row>
    <row r="375" spans="1:7" x14ac:dyDescent="0.3">
      <c r="A375" s="11">
        <v>45276</v>
      </c>
      <c r="B375" s="11" t="s">
        <v>38</v>
      </c>
      <c r="C375" t="s">
        <v>16</v>
      </c>
      <c r="D375">
        <v>122</v>
      </c>
      <c r="E375" t="s">
        <v>40</v>
      </c>
      <c r="F375">
        <v>144</v>
      </c>
      <c r="G375">
        <v>144</v>
      </c>
    </row>
    <row r="376" spans="1:7" x14ac:dyDescent="0.3">
      <c r="A376" s="11">
        <v>45277</v>
      </c>
      <c r="B376" s="11" t="s">
        <v>46</v>
      </c>
      <c r="C376" t="s">
        <v>14</v>
      </c>
      <c r="D376">
        <v>97</v>
      </c>
      <c r="E376" t="s">
        <v>15</v>
      </c>
      <c r="F376">
        <v>114</v>
      </c>
      <c r="G376">
        <v>114</v>
      </c>
    </row>
    <row r="377" spans="1:7" x14ac:dyDescent="0.3">
      <c r="A377" s="11">
        <v>45277</v>
      </c>
      <c r="B377" s="11" t="s">
        <v>44</v>
      </c>
      <c r="C377" t="s">
        <v>28</v>
      </c>
      <c r="D377">
        <v>146</v>
      </c>
      <c r="E377" t="s">
        <v>37</v>
      </c>
      <c r="F377">
        <v>110</v>
      </c>
      <c r="G377">
        <v>110</v>
      </c>
    </row>
    <row r="378" spans="1:7" x14ac:dyDescent="0.3">
      <c r="A378" s="11">
        <v>45277</v>
      </c>
      <c r="B378" s="11" t="s">
        <v>12</v>
      </c>
      <c r="C378" t="s">
        <v>13</v>
      </c>
      <c r="D378">
        <v>119</v>
      </c>
      <c r="E378" t="s">
        <v>42</v>
      </c>
      <c r="F378">
        <v>128</v>
      </c>
      <c r="G378">
        <v>128</v>
      </c>
    </row>
    <row r="379" spans="1:7" x14ac:dyDescent="0.3">
      <c r="A379" s="11">
        <v>45277</v>
      </c>
      <c r="B379" s="11" t="s">
        <v>27</v>
      </c>
      <c r="C379" t="s">
        <v>17</v>
      </c>
      <c r="D379">
        <v>108</v>
      </c>
      <c r="E379" t="s">
        <v>10</v>
      </c>
      <c r="F379">
        <v>112</v>
      </c>
      <c r="G379">
        <v>112</v>
      </c>
    </row>
    <row r="380" spans="1:7" x14ac:dyDescent="0.3">
      <c r="A380" s="11">
        <v>45277</v>
      </c>
      <c r="B380" s="11" t="s">
        <v>32</v>
      </c>
      <c r="C380" t="s">
        <v>11</v>
      </c>
      <c r="D380">
        <v>118</v>
      </c>
      <c r="E380" t="s">
        <v>39</v>
      </c>
      <c r="F380">
        <v>114</v>
      </c>
      <c r="G380">
        <v>114</v>
      </c>
    </row>
    <row r="381" spans="1:7" x14ac:dyDescent="0.3">
      <c r="A381" s="11">
        <v>45278</v>
      </c>
      <c r="B381" s="11" t="s">
        <v>12</v>
      </c>
      <c r="C381" t="s">
        <v>13</v>
      </c>
      <c r="D381">
        <v>130</v>
      </c>
      <c r="E381" t="s">
        <v>25</v>
      </c>
      <c r="F381">
        <v>135</v>
      </c>
      <c r="G381">
        <v>135</v>
      </c>
    </row>
    <row r="382" spans="1:7" x14ac:dyDescent="0.3">
      <c r="A382" s="11">
        <v>45278</v>
      </c>
      <c r="B382" s="11" t="s">
        <v>12</v>
      </c>
      <c r="C382" t="s">
        <v>40</v>
      </c>
      <c r="D382">
        <v>151</v>
      </c>
      <c r="E382" t="s">
        <v>18</v>
      </c>
      <c r="F382">
        <v>127</v>
      </c>
      <c r="G382">
        <v>127</v>
      </c>
    </row>
    <row r="383" spans="1:7" x14ac:dyDescent="0.3">
      <c r="A383" s="11">
        <v>45278</v>
      </c>
      <c r="B383" s="11" t="s">
        <v>12</v>
      </c>
      <c r="C383" t="s">
        <v>31</v>
      </c>
      <c r="D383">
        <v>108</v>
      </c>
      <c r="E383" t="s">
        <v>41</v>
      </c>
      <c r="F383">
        <v>104</v>
      </c>
      <c r="G383">
        <v>104</v>
      </c>
    </row>
    <row r="384" spans="1:7" x14ac:dyDescent="0.3">
      <c r="A384" s="11">
        <v>45278</v>
      </c>
      <c r="B384" s="11" t="s">
        <v>6</v>
      </c>
      <c r="C384" t="s">
        <v>21</v>
      </c>
      <c r="D384">
        <v>124</v>
      </c>
      <c r="E384" t="s">
        <v>19</v>
      </c>
      <c r="F384">
        <v>130</v>
      </c>
      <c r="G384">
        <v>130</v>
      </c>
    </row>
    <row r="385" spans="1:7" x14ac:dyDescent="0.3">
      <c r="A385" s="11">
        <v>45278</v>
      </c>
      <c r="B385" s="11" t="s">
        <v>6</v>
      </c>
      <c r="C385" t="s">
        <v>23</v>
      </c>
      <c r="D385">
        <v>112</v>
      </c>
      <c r="E385" t="s">
        <v>22</v>
      </c>
      <c r="F385">
        <v>108</v>
      </c>
      <c r="G385">
        <v>108</v>
      </c>
    </row>
    <row r="386" spans="1:7" x14ac:dyDescent="0.3">
      <c r="A386" s="11">
        <v>45278</v>
      </c>
      <c r="B386" s="11" t="s">
        <v>6</v>
      </c>
      <c r="C386" t="s">
        <v>20</v>
      </c>
      <c r="D386">
        <v>99</v>
      </c>
      <c r="E386" t="s">
        <v>24</v>
      </c>
      <c r="F386">
        <v>114</v>
      </c>
      <c r="G386">
        <v>114</v>
      </c>
    </row>
    <row r="387" spans="1:7" x14ac:dyDescent="0.3">
      <c r="A387" s="11">
        <v>45278</v>
      </c>
      <c r="B387" s="11" t="s">
        <v>27</v>
      </c>
      <c r="C387" t="s">
        <v>29</v>
      </c>
      <c r="D387">
        <v>97</v>
      </c>
      <c r="E387" t="s">
        <v>30</v>
      </c>
      <c r="F387">
        <v>116</v>
      </c>
      <c r="G387">
        <v>116</v>
      </c>
    </row>
    <row r="388" spans="1:7" x14ac:dyDescent="0.3">
      <c r="A388" s="11">
        <v>45278</v>
      </c>
      <c r="B388" s="11" t="s">
        <v>32</v>
      </c>
      <c r="C388" t="s">
        <v>36</v>
      </c>
      <c r="D388">
        <v>104</v>
      </c>
      <c r="E388" t="s">
        <v>8</v>
      </c>
      <c r="F388">
        <v>130</v>
      </c>
      <c r="G388">
        <v>130</v>
      </c>
    </row>
    <row r="389" spans="1:7" x14ac:dyDescent="0.3">
      <c r="A389" s="11">
        <v>45278</v>
      </c>
      <c r="B389" s="11" t="s">
        <v>32</v>
      </c>
      <c r="C389" t="s">
        <v>26</v>
      </c>
      <c r="D389">
        <v>108</v>
      </c>
      <c r="E389" t="s">
        <v>34</v>
      </c>
      <c r="F389">
        <v>125</v>
      </c>
      <c r="G389">
        <v>125</v>
      </c>
    </row>
    <row r="390" spans="1:7" x14ac:dyDescent="0.3">
      <c r="A390" s="11">
        <v>45278</v>
      </c>
      <c r="B390" s="11" t="s">
        <v>9</v>
      </c>
      <c r="C390" t="s">
        <v>17</v>
      </c>
      <c r="D390">
        <v>131</v>
      </c>
      <c r="E390" t="s">
        <v>33</v>
      </c>
      <c r="F390">
        <v>143</v>
      </c>
      <c r="G390">
        <v>143</v>
      </c>
    </row>
    <row r="391" spans="1:7" x14ac:dyDescent="0.3">
      <c r="A391" s="11">
        <v>45278</v>
      </c>
      <c r="B391" s="11" t="s">
        <v>38</v>
      </c>
      <c r="C391" t="s">
        <v>16</v>
      </c>
      <c r="D391">
        <v>114</v>
      </c>
      <c r="E391" t="s">
        <v>7</v>
      </c>
      <c r="F391">
        <v>109</v>
      </c>
      <c r="G391">
        <v>109</v>
      </c>
    </row>
    <row r="392" spans="1:7" x14ac:dyDescent="0.3">
      <c r="A392" s="11">
        <v>45279</v>
      </c>
      <c r="B392" s="11" t="s">
        <v>6</v>
      </c>
      <c r="C392" t="s">
        <v>29</v>
      </c>
      <c r="D392">
        <v>115</v>
      </c>
      <c r="E392" t="s">
        <v>28</v>
      </c>
      <c r="F392">
        <v>113</v>
      </c>
      <c r="G392">
        <v>113</v>
      </c>
    </row>
    <row r="393" spans="1:7" x14ac:dyDescent="0.3">
      <c r="A393" s="11">
        <v>45279</v>
      </c>
      <c r="B393" s="11" t="s">
        <v>27</v>
      </c>
      <c r="C393" t="s">
        <v>37</v>
      </c>
      <c r="D393">
        <v>119</v>
      </c>
      <c r="E393" t="s">
        <v>42</v>
      </c>
      <c r="F393">
        <v>132</v>
      </c>
      <c r="G393">
        <v>132</v>
      </c>
    </row>
    <row r="394" spans="1:7" x14ac:dyDescent="0.3">
      <c r="A394" s="11">
        <v>45279</v>
      </c>
      <c r="B394" s="11" t="s">
        <v>9</v>
      </c>
      <c r="C394" t="s">
        <v>15</v>
      </c>
      <c r="D394">
        <v>126</v>
      </c>
      <c r="E394" t="s">
        <v>11</v>
      </c>
      <c r="F394">
        <v>132</v>
      </c>
      <c r="G394">
        <v>132</v>
      </c>
    </row>
    <row r="395" spans="1:7" x14ac:dyDescent="0.3">
      <c r="A395" s="11">
        <v>45279</v>
      </c>
      <c r="B395" s="11" t="s">
        <v>9</v>
      </c>
      <c r="C395" t="s">
        <v>10</v>
      </c>
      <c r="D395">
        <v>104</v>
      </c>
      <c r="E395" t="s">
        <v>39</v>
      </c>
      <c r="F395">
        <v>109</v>
      </c>
      <c r="G395">
        <v>109</v>
      </c>
    </row>
    <row r="396" spans="1:7" x14ac:dyDescent="0.3">
      <c r="A396" s="11">
        <v>45280</v>
      </c>
      <c r="B396" s="11" t="s">
        <v>12</v>
      </c>
      <c r="C396" t="s">
        <v>34</v>
      </c>
      <c r="D396">
        <v>116</v>
      </c>
      <c r="E396" t="s">
        <v>25</v>
      </c>
      <c r="F396">
        <v>124</v>
      </c>
      <c r="G396">
        <v>124</v>
      </c>
    </row>
    <row r="397" spans="1:7" x14ac:dyDescent="0.3">
      <c r="A397" s="11">
        <v>45280</v>
      </c>
      <c r="B397" s="11" t="s">
        <v>12</v>
      </c>
      <c r="C397" t="s">
        <v>20</v>
      </c>
      <c r="D397">
        <v>113</v>
      </c>
      <c r="E397" t="s">
        <v>18</v>
      </c>
      <c r="F397">
        <v>144</v>
      </c>
      <c r="G397">
        <v>144</v>
      </c>
    </row>
    <row r="398" spans="1:7" x14ac:dyDescent="0.3">
      <c r="A398" s="11">
        <v>45280</v>
      </c>
      <c r="B398" s="11" t="s">
        <v>12</v>
      </c>
      <c r="C398" t="s">
        <v>22</v>
      </c>
      <c r="D398">
        <v>115</v>
      </c>
      <c r="E398" t="s">
        <v>14</v>
      </c>
      <c r="F398">
        <v>106</v>
      </c>
      <c r="G398">
        <v>106</v>
      </c>
    </row>
    <row r="399" spans="1:7" x14ac:dyDescent="0.3">
      <c r="A399" s="11">
        <v>45280</v>
      </c>
      <c r="B399" s="11" t="s">
        <v>12</v>
      </c>
      <c r="C399" t="s">
        <v>23</v>
      </c>
      <c r="D399">
        <v>113</v>
      </c>
      <c r="E399" t="s">
        <v>41</v>
      </c>
      <c r="F399">
        <v>127</v>
      </c>
      <c r="G399">
        <v>127</v>
      </c>
    </row>
    <row r="400" spans="1:7" x14ac:dyDescent="0.3">
      <c r="A400" s="11">
        <v>45280</v>
      </c>
      <c r="B400" s="11" t="s">
        <v>6</v>
      </c>
      <c r="C400" t="s">
        <v>16</v>
      </c>
      <c r="D400">
        <v>121</v>
      </c>
      <c r="E400" t="s">
        <v>26</v>
      </c>
      <c r="F400">
        <v>102</v>
      </c>
      <c r="G400">
        <v>102</v>
      </c>
    </row>
    <row r="401" spans="1:7" x14ac:dyDescent="0.3">
      <c r="A401" s="11">
        <v>45280</v>
      </c>
      <c r="B401" s="11" t="s">
        <v>6</v>
      </c>
      <c r="C401" t="s">
        <v>8</v>
      </c>
      <c r="D401">
        <v>113</v>
      </c>
      <c r="E401" t="s">
        <v>24</v>
      </c>
      <c r="F401">
        <v>104</v>
      </c>
      <c r="G401">
        <v>104</v>
      </c>
    </row>
    <row r="402" spans="1:7" x14ac:dyDescent="0.3">
      <c r="A402" s="11">
        <v>45280</v>
      </c>
      <c r="B402" s="11" t="s">
        <v>27</v>
      </c>
      <c r="C402" t="s">
        <v>7</v>
      </c>
      <c r="D402">
        <v>108</v>
      </c>
      <c r="E402" t="s">
        <v>31</v>
      </c>
      <c r="F402">
        <v>124</v>
      </c>
      <c r="G402">
        <v>124</v>
      </c>
    </row>
    <row r="403" spans="1:7" x14ac:dyDescent="0.3">
      <c r="A403" s="11">
        <v>45280</v>
      </c>
      <c r="B403" s="11" t="s">
        <v>27</v>
      </c>
      <c r="C403" t="s">
        <v>19</v>
      </c>
      <c r="D403">
        <v>134</v>
      </c>
      <c r="E403" t="s">
        <v>13</v>
      </c>
      <c r="F403">
        <v>127</v>
      </c>
      <c r="G403">
        <v>127</v>
      </c>
    </row>
    <row r="404" spans="1:7" x14ac:dyDescent="0.3">
      <c r="A404" s="11">
        <v>45280</v>
      </c>
      <c r="B404" s="11" t="s">
        <v>43</v>
      </c>
      <c r="C404" t="s">
        <v>40</v>
      </c>
      <c r="D404">
        <v>120</v>
      </c>
      <c r="E404" t="s">
        <v>36</v>
      </c>
      <c r="F404">
        <v>111</v>
      </c>
      <c r="G404">
        <v>111</v>
      </c>
    </row>
    <row r="405" spans="1:7" x14ac:dyDescent="0.3">
      <c r="A405" s="11">
        <v>45280</v>
      </c>
      <c r="B405" s="11" t="s">
        <v>9</v>
      </c>
      <c r="C405" t="s">
        <v>15</v>
      </c>
      <c r="D405">
        <v>144</v>
      </c>
      <c r="E405" t="s">
        <v>33</v>
      </c>
      <c r="F405">
        <v>119</v>
      </c>
      <c r="G405">
        <v>119</v>
      </c>
    </row>
    <row r="406" spans="1:7" x14ac:dyDescent="0.3">
      <c r="A406" s="11">
        <v>45281</v>
      </c>
      <c r="B406" s="11" t="s">
        <v>12</v>
      </c>
      <c r="C406" t="s">
        <v>34</v>
      </c>
      <c r="D406">
        <v>119</v>
      </c>
      <c r="E406" t="s">
        <v>21</v>
      </c>
      <c r="F406">
        <v>111</v>
      </c>
      <c r="G406">
        <v>111</v>
      </c>
    </row>
    <row r="407" spans="1:7" x14ac:dyDescent="0.3">
      <c r="A407" s="11">
        <v>45281</v>
      </c>
      <c r="B407" s="11" t="s">
        <v>6</v>
      </c>
      <c r="C407" t="s">
        <v>28</v>
      </c>
      <c r="D407">
        <v>123</v>
      </c>
      <c r="E407" t="s">
        <v>25</v>
      </c>
      <c r="F407">
        <v>104</v>
      </c>
      <c r="G407">
        <v>104</v>
      </c>
    </row>
    <row r="408" spans="1:7" x14ac:dyDescent="0.3">
      <c r="A408" s="11">
        <v>45281</v>
      </c>
      <c r="B408" s="11" t="s">
        <v>27</v>
      </c>
      <c r="C408" t="s">
        <v>37</v>
      </c>
      <c r="D408">
        <v>95</v>
      </c>
      <c r="E408" t="s">
        <v>31</v>
      </c>
      <c r="F408">
        <v>114</v>
      </c>
      <c r="G408">
        <v>114</v>
      </c>
    </row>
    <row r="409" spans="1:7" x14ac:dyDescent="0.3">
      <c r="A409" s="11">
        <v>45281</v>
      </c>
      <c r="B409" s="11" t="s">
        <v>27</v>
      </c>
      <c r="C409" t="s">
        <v>18</v>
      </c>
      <c r="D409">
        <v>103</v>
      </c>
      <c r="E409" t="s">
        <v>29</v>
      </c>
      <c r="F409">
        <v>116</v>
      </c>
      <c r="G409">
        <v>116</v>
      </c>
    </row>
    <row r="410" spans="1:7" x14ac:dyDescent="0.3">
      <c r="A410" s="11">
        <v>45281</v>
      </c>
      <c r="B410" s="11" t="s">
        <v>27</v>
      </c>
      <c r="C410" t="s">
        <v>14</v>
      </c>
      <c r="D410">
        <v>114</v>
      </c>
      <c r="E410" t="s">
        <v>42</v>
      </c>
      <c r="F410">
        <v>118</v>
      </c>
      <c r="G410">
        <v>118</v>
      </c>
    </row>
    <row r="411" spans="1:7" x14ac:dyDescent="0.3">
      <c r="A411" s="11">
        <v>45281</v>
      </c>
      <c r="B411" s="11" t="s">
        <v>27</v>
      </c>
      <c r="C411" t="s">
        <v>40</v>
      </c>
      <c r="D411">
        <v>115</v>
      </c>
      <c r="E411" t="s">
        <v>30</v>
      </c>
      <c r="F411">
        <v>134</v>
      </c>
      <c r="G411">
        <v>134</v>
      </c>
    </row>
    <row r="412" spans="1:7" x14ac:dyDescent="0.3">
      <c r="A412" s="11">
        <v>45281</v>
      </c>
      <c r="B412" s="11" t="s">
        <v>32</v>
      </c>
      <c r="C412" t="s">
        <v>7</v>
      </c>
      <c r="D412">
        <v>111</v>
      </c>
      <c r="E412" t="s">
        <v>23</v>
      </c>
      <c r="F412">
        <v>118</v>
      </c>
      <c r="G412">
        <v>118</v>
      </c>
    </row>
    <row r="413" spans="1:7" x14ac:dyDescent="0.3">
      <c r="A413" s="11">
        <v>45281</v>
      </c>
      <c r="B413" s="11" t="s">
        <v>9</v>
      </c>
      <c r="C413" t="s">
        <v>17</v>
      </c>
      <c r="D413">
        <v>118</v>
      </c>
      <c r="E413" t="s">
        <v>39</v>
      </c>
      <c r="F413">
        <v>117</v>
      </c>
      <c r="G413">
        <v>117</v>
      </c>
    </row>
    <row r="414" spans="1:7" x14ac:dyDescent="0.3">
      <c r="A414" s="11">
        <v>45282</v>
      </c>
      <c r="B414" s="11" t="s">
        <v>12</v>
      </c>
      <c r="C414" t="s">
        <v>24</v>
      </c>
      <c r="D414">
        <v>111</v>
      </c>
      <c r="E414" t="s">
        <v>41</v>
      </c>
      <c r="F414">
        <v>121</v>
      </c>
      <c r="G414">
        <v>121</v>
      </c>
    </row>
    <row r="415" spans="1:7" x14ac:dyDescent="0.3">
      <c r="A415" s="11">
        <v>45282</v>
      </c>
      <c r="B415" s="11" t="s">
        <v>6</v>
      </c>
      <c r="C415" t="s">
        <v>8</v>
      </c>
      <c r="D415">
        <v>122</v>
      </c>
      <c r="E415" t="s">
        <v>26</v>
      </c>
      <c r="F415">
        <v>117</v>
      </c>
      <c r="G415">
        <v>117</v>
      </c>
    </row>
    <row r="416" spans="1:7" x14ac:dyDescent="0.3">
      <c r="A416" s="11">
        <v>45282</v>
      </c>
      <c r="B416" s="11" t="s">
        <v>27</v>
      </c>
      <c r="C416" t="s">
        <v>36</v>
      </c>
      <c r="D416">
        <v>96</v>
      </c>
      <c r="E416" t="s">
        <v>13</v>
      </c>
      <c r="F416">
        <v>122</v>
      </c>
      <c r="G416">
        <v>122</v>
      </c>
    </row>
    <row r="417" spans="1:7" x14ac:dyDescent="0.3">
      <c r="A417" s="11">
        <v>45282</v>
      </c>
      <c r="B417" s="11" t="s">
        <v>27</v>
      </c>
      <c r="C417" t="s">
        <v>19</v>
      </c>
      <c r="D417">
        <v>113</v>
      </c>
      <c r="E417" t="s">
        <v>22</v>
      </c>
      <c r="F417">
        <v>122</v>
      </c>
      <c r="G417">
        <v>122</v>
      </c>
    </row>
    <row r="418" spans="1:7" x14ac:dyDescent="0.3">
      <c r="A418" s="11">
        <v>45282</v>
      </c>
      <c r="B418" s="11" t="s">
        <v>9</v>
      </c>
      <c r="C418" t="s">
        <v>17</v>
      </c>
      <c r="D418">
        <v>118</v>
      </c>
      <c r="E418" t="s">
        <v>11</v>
      </c>
      <c r="F418">
        <v>129</v>
      </c>
      <c r="G418">
        <v>129</v>
      </c>
    </row>
    <row r="419" spans="1:7" x14ac:dyDescent="0.3">
      <c r="A419" s="11">
        <v>45282</v>
      </c>
      <c r="B419" s="11" t="s">
        <v>9</v>
      </c>
      <c r="C419" t="s">
        <v>10</v>
      </c>
      <c r="D419">
        <v>105</v>
      </c>
      <c r="E419" t="s">
        <v>33</v>
      </c>
      <c r="F419">
        <v>120</v>
      </c>
      <c r="G419">
        <v>120</v>
      </c>
    </row>
    <row r="420" spans="1:7" x14ac:dyDescent="0.3">
      <c r="A420" s="11">
        <v>45283</v>
      </c>
      <c r="B420" s="11" t="s">
        <v>52</v>
      </c>
      <c r="C420" t="s">
        <v>42</v>
      </c>
      <c r="D420">
        <v>130</v>
      </c>
      <c r="E420" t="s">
        <v>16</v>
      </c>
      <c r="F420">
        <v>111</v>
      </c>
      <c r="G420">
        <v>111</v>
      </c>
    </row>
    <row r="421" spans="1:7" x14ac:dyDescent="0.3">
      <c r="A421" s="11">
        <v>45283</v>
      </c>
      <c r="B421" s="11" t="s">
        <v>44</v>
      </c>
      <c r="C421" t="s">
        <v>15</v>
      </c>
      <c r="D421">
        <v>145</v>
      </c>
      <c r="E421" t="s">
        <v>40</v>
      </c>
      <c r="F421">
        <v>108</v>
      </c>
      <c r="G421">
        <v>108</v>
      </c>
    </row>
    <row r="422" spans="1:7" x14ac:dyDescent="0.3">
      <c r="A422" s="11">
        <v>45283</v>
      </c>
      <c r="B422" s="11" t="s">
        <v>12</v>
      </c>
      <c r="C422" t="s">
        <v>8</v>
      </c>
      <c r="D422">
        <v>102</v>
      </c>
      <c r="E422" t="s">
        <v>20</v>
      </c>
      <c r="F422">
        <v>95</v>
      </c>
      <c r="G422">
        <v>95</v>
      </c>
    </row>
    <row r="423" spans="1:7" x14ac:dyDescent="0.3">
      <c r="A423" s="11">
        <v>45283</v>
      </c>
      <c r="B423" s="11" t="s">
        <v>12</v>
      </c>
      <c r="C423" t="s">
        <v>14</v>
      </c>
      <c r="D423">
        <v>117</v>
      </c>
      <c r="E423" t="s">
        <v>18</v>
      </c>
      <c r="F423">
        <v>110</v>
      </c>
      <c r="G423">
        <v>110</v>
      </c>
    </row>
    <row r="424" spans="1:7" x14ac:dyDescent="0.3">
      <c r="A424" s="11">
        <v>45283</v>
      </c>
      <c r="B424" s="11" t="s">
        <v>12</v>
      </c>
      <c r="C424" t="s">
        <v>13</v>
      </c>
      <c r="D424">
        <v>106</v>
      </c>
      <c r="E424" t="s">
        <v>28</v>
      </c>
      <c r="F424">
        <v>104</v>
      </c>
      <c r="G424">
        <v>104</v>
      </c>
    </row>
    <row r="425" spans="1:7" x14ac:dyDescent="0.3">
      <c r="A425" s="11">
        <v>45283</v>
      </c>
      <c r="B425" s="11" t="s">
        <v>6</v>
      </c>
      <c r="C425" t="s">
        <v>29</v>
      </c>
      <c r="D425">
        <v>125</v>
      </c>
      <c r="E425" t="s">
        <v>19</v>
      </c>
      <c r="F425">
        <v>119</v>
      </c>
      <c r="G425">
        <v>119</v>
      </c>
    </row>
    <row r="426" spans="1:7" x14ac:dyDescent="0.3">
      <c r="A426" s="11">
        <v>45283</v>
      </c>
      <c r="B426" s="11" t="s">
        <v>6</v>
      </c>
      <c r="C426" t="s">
        <v>21</v>
      </c>
      <c r="D426">
        <v>115</v>
      </c>
      <c r="E426" t="s">
        <v>26</v>
      </c>
      <c r="F426">
        <v>126</v>
      </c>
      <c r="G426">
        <v>126</v>
      </c>
    </row>
    <row r="427" spans="1:7" x14ac:dyDescent="0.3">
      <c r="A427" s="11">
        <v>45283</v>
      </c>
      <c r="B427" s="11" t="s">
        <v>6</v>
      </c>
      <c r="C427" t="s">
        <v>34</v>
      </c>
      <c r="D427">
        <v>126</v>
      </c>
      <c r="E427" t="s">
        <v>24</v>
      </c>
      <c r="F427">
        <v>119</v>
      </c>
      <c r="G427">
        <v>119</v>
      </c>
    </row>
    <row r="428" spans="1:7" x14ac:dyDescent="0.3">
      <c r="A428" s="11">
        <v>45283</v>
      </c>
      <c r="B428" s="11" t="s">
        <v>27</v>
      </c>
      <c r="C428" t="s">
        <v>25</v>
      </c>
      <c r="D428">
        <v>109</v>
      </c>
      <c r="E428" t="s">
        <v>31</v>
      </c>
      <c r="F428">
        <v>95</v>
      </c>
      <c r="G428">
        <v>95</v>
      </c>
    </row>
    <row r="429" spans="1:7" x14ac:dyDescent="0.3">
      <c r="A429" s="11">
        <v>45283</v>
      </c>
      <c r="B429" s="11" t="s">
        <v>27</v>
      </c>
      <c r="C429" t="s">
        <v>7</v>
      </c>
      <c r="D429">
        <v>129</v>
      </c>
      <c r="E429" t="s">
        <v>30</v>
      </c>
      <c r="F429">
        <v>120</v>
      </c>
      <c r="G429">
        <v>120</v>
      </c>
    </row>
    <row r="430" spans="1:7" x14ac:dyDescent="0.3">
      <c r="A430" s="11">
        <v>45283</v>
      </c>
      <c r="B430" s="11" t="s">
        <v>43</v>
      </c>
      <c r="C430" t="s">
        <v>37</v>
      </c>
      <c r="D430">
        <v>119</v>
      </c>
      <c r="E430" t="s">
        <v>36</v>
      </c>
      <c r="F430">
        <v>144</v>
      </c>
      <c r="G430">
        <v>144</v>
      </c>
    </row>
    <row r="431" spans="1:7" x14ac:dyDescent="0.3">
      <c r="A431" s="11">
        <v>45283</v>
      </c>
      <c r="B431" s="11" t="s">
        <v>43</v>
      </c>
      <c r="C431" t="s">
        <v>39</v>
      </c>
      <c r="D431">
        <v>106</v>
      </c>
      <c r="E431" t="s">
        <v>11</v>
      </c>
      <c r="F431">
        <v>126</v>
      </c>
      <c r="G431">
        <v>126</v>
      </c>
    </row>
    <row r="432" spans="1:7" x14ac:dyDescent="0.3">
      <c r="A432" s="11">
        <v>45283</v>
      </c>
      <c r="B432" s="11" t="s">
        <v>9</v>
      </c>
      <c r="C432" t="s">
        <v>23</v>
      </c>
      <c r="D432">
        <v>110</v>
      </c>
      <c r="E432" t="s">
        <v>33</v>
      </c>
      <c r="F432">
        <v>98</v>
      </c>
      <c r="G432">
        <v>98</v>
      </c>
    </row>
    <row r="433" spans="1:7" x14ac:dyDescent="0.3">
      <c r="A433" s="11">
        <v>45285</v>
      </c>
      <c r="B433" s="11" t="s">
        <v>48</v>
      </c>
      <c r="C433" t="s">
        <v>42</v>
      </c>
      <c r="D433">
        <v>122</v>
      </c>
      <c r="E433" t="s">
        <v>16</v>
      </c>
      <c r="F433">
        <v>129</v>
      </c>
      <c r="G433">
        <v>129</v>
      </c>
    </row>
    <row r="434" spans="1:7" x14ac:dyDescent="0.3">
      <c r="A434" s="11">
        <v>45285</v>
      </c>
      <c r="B434" s="11" t="s">
        <v>51</v>
      </c>
      <c r="C434" t="s">
        <v>11</v>
      </c>
      <c r="D434">
        <v>114</v>
      </c>
      <c r="E434" t="s">
        <v>8</v>
      </c>
      <c r="F434">
        <v>120</v>
      </c>
      <c r="G434">
        <v>120</v>
      </c>
    </row>
    <row r="435" spans="1:7" x14ac:dyDescent="0.3">
      <c r="A435" s="11">
        <v>45285</v>
      </c>
      <c r="B435" s="11" t="s">
        <v>50</v>
      </c>
      <c r="C435" t="s">
        <v>15</v>
      </c>
      <c r="D435">
        <v>126</v>
      </c>
      <c r="E435" t="s">
        <v>7</v>
      </c>
      <c r="F435">
        <v>115</v>
      </c>
      <c r="G435">
        <v>115</v>
      </c>
    </row>
    <row r="436" spans="1:7" x14ac:dyDescent="0.3">
      <c r="A436" s="11">
        <v>45285</v>
      </c>
      <c r="B436" s="11" t="s">
        <v>27</v>
      </c>
      <c r="C436" t="s">
        <v>41</v>
      </c>
      <c r="D436">
        <v>113</v>
      </c>
      <c r="E436" t="s">
        <v>22</v>
      </c>
      <c r="F436">
        <v>119</v>
      </c>
      <c r="G436">
        <v>119</v>
      </c>
    </row>
    <row r="437" spans="1:7" x14ac:dyDescent="0.3">
      <c r="A437" s="11">
        <v>45285</v>
      </c>
      <c r="B437" s="11" t="s">
        <v>38</v>
      </c>
      <c r="C437" t="s">
        <v>36</v>
      </c>
      <c r="D437">
        <v>128</v>
      </c>
      <c r="E437" t="s">
        <v>10</v>
      </c>
      <c r="F437">
        <v>114</v>
      </c>
      <c r="G437">
        <v>114</v>
      </c>
    </row>
    <row r="438" spans="1:7" x14ac:dyDescent="0.3">
      <c r="A438" s="11">
        <v>45286</v>
      </c>
      <c r="B438" s="11" t="s">
        <v>12</v>
      </c>
      <c r="C438" t="s">
        <v>26</v>
      </c>
      <c r="D438">
        <v>118</v>
      </c>
      <c r="E438" t="s">
        <v>21</v>
      </c>
      <c r="F438">
        <v>112</v>
      </c>
      <c r="G438">
        <v>112</v>
      </c>
    </row>
    <row r="439" spans="1:7" x14ac:dyDescent="0.3">
      <c r="A439" s="11">
        <v>45286</v>
      </c>
      <c r="B439" s="11" t="s">
        <v>12</v>
      </c>
      <c r="C439" t="s">
        <v>14</v>
      </c>
      <c r="D439">
        <v>127</v>
      </c>
      <c r="E439" t="s">
        <v>17</v>
      </c>
      <c r="F439">
        <v>119</v>
      </c>
      <c r="G439">
        <v>119</v>
      </c>
    </row>
    <row r="440" spans="1:7" x14ac:dyDescent="0.3">
      <c r="A440" s="11">
        <v>45286</v>
      </c>
      <c r="B440" s="11" t="s">
        <v>27</v>
      </c>
      <c r="C440" t="s">
        <v>19</v>
      </c>
      <c r="D440">
        <v>113</v>
      </c>
      <c r="E440" t="s">
        <v>31</v>
      </c>
      <c r="F440">
        <v>118</v>
      </c>
      <c r="G440">
        <v>118</v>
      </c>
    </row>
    <row r="441" spans="1:7" x14ac:dyDescent="0.3">
      <c r="A441" s="11">
        <v>45286</v>
      </c>
      <c r="B441" s="11" t="s">
        <v>27</v>
      </c>
      <c r="C441" t="s">
        <v>18</v>
      </c>
      <c r="D441">
        <v>123</v>
      </c>
      <c r="E441" t="s">
        <v>13</v>
      </c>
      <c r="F441">
        <v>117</v>
      </c>
      <c r="G441">
        <v>117</v>
      </c>
    </row>
    <row r="442" spans="1:7" x14ac:dyDescent="0.3">
      <c r="A442" s="11">
        <v>45286</v>
      </c>
      <c r="B442" s="11" t="s">
        <v>27</v>
      </c>
      <c r="C442" t="s">
        <v>29</v>
      </c>
      <c r="D442">
        <v>116</v>
      </c>
      <c r="E442" t="s">
        <v>28</v>
      </c>
      <c r="F442">
        <v>115</v>
      </c>
      <c r="G442">
        <v>115</v>
      </c>
    </row>
    <row r="443" spans="1:7" x14ac:dyDescent="0.3">
      <c r="A443" s="11">
        <v>45286</v>
      </c>
      <c r="B443" s="11" t="s">
        <v>27</v>
      </c>
      <c r="C443" t="s">
        <v>23</v>
      </c>
      <c r="D443">
        <v>106</v>
      </c>
      <c r="E443" t="s">
        <v>30</v>
      </c>
      <c r="F443">
        <v>129</v>
      </c>
      <c r="G443">
        <v>129</v>
      </c>
    </row>
    <row r="444" spans="1:7" x14ac:dyDescent="0.3">
      <c r="A444" s="11">
        <v>45286</v>
      </c>
      <c r="B444" s="11" t="s">
        <v>27</v>
      </c>
      <c r="C444" t="s">
        <v>34</v>
      </c>
      <c r="D444">
        <v>130</v>
      </c>
      <c r="E444" t="s">
        <v>37</v>
      </c>
      <c r="F444">
        <v>118</v>
      </c>
      <c r="G444">
        <v>118</v>
      </c>
    </row>
    <row r="445" spans="1:7" x14ac:dyDescent="0.3">
      <c r="A445" s="11">
        <v>45286</v>
      </c>
      <c r="B445" s="11" t="s">
        <v>9</v>
      </c>
      <c r="C445" t="s">
        <v>33</v>
      </c>
      <c r="D445">
        <v>113</v>
      </c>
      <c r="E445" t="s">
        <v>39</v>
      </c>
      <c r="F445">
        <v>130</v>
      </c>
      <c r="G445">
        <v>130</v>
      </c>
    </row>
    <row r="446" spans="1:7" x14ac:dyDescent="0.3">
      <c r="A446" s="11">
        <v>45286</v>
      </c>
      <c r="B446" s="11" t="s">
        <v>38</v>
      </c>
      <c r="C446" t="s">
        <v>20</v>
      </c>
      <c r="D446">
        <v>104</v>
      </c>
      <c r="E446" t="s">
        <v>40</v>
      </c>
      <c r="F446">
        <v>113</v>
      </c>
      <c r="G446">
        <v>113</v>
      </c>
    </row>
    <row r="447" spans="1:7" x14ac:dyDescent="0.3">
      <c r="A447" s="11">
        <v>45287</v>
      </c>
      <c r="B447" s="11" t="s">
        <v>12</v>
      </c>
      <c r="C447" t="s">
        <v>41</v>
      </c>
      <c r="D447">
        <v>112</v>
      </c>
      <c r="E447" t="s">
        <v>14</v>
      </c>
      <c r="F447">
        <v>92</v>
      </c>
      <c r="G447">
        <v>92</v>
      </c>
    </row>
    <row r="448" spans="1:7" x14ac:dyDescent="0.3">
      <c r="A448" s="11">
        <v>45287</v>
      </c>
      <c r="B448" s="11" t="s">
        <v>12</v>
      </c>
      <c r="C448" t="s">
        <v>24</v>
      </c>
      <c r="D448">
        <v>132</v>
      </c>
      <c r="E448" t="s">
        <v>17</v>
      </c>
      <c r="F448">
        <v>102</v>
      </c>
      <c r="G448">
        <v>102</v>
      </c>
    </row>
    <row r="449" spans="1:7" x14ac:dyDescent="0.3">
      <c r="A449" s="11">
        <v>45287</v>
      </c>
      <c r="B449" s="11" t="s">
        <v>6</v>
      </c>
      <c r="C449" t="s">
        <v>42</v>
      </c>
      <c r="D449">
        <v>144</v>
      </c>
      <c r="E449" t="s">
        <v>26</v>
      </c>
      <c r="F449">
        <v>122</v>
      </c>
      <c r="G449">
        <v>122</v>
      </c>
    </row>
    <row r="450" spans="1:7" x14ac:dyDescent="0.3">
      <c r="A450" s="11">
        <v>45287</v>
      </c>
      <c r="B450" s="11" t="s">
        <v>27</v>
      </c>
      <c r="C450" t="s">
        <v>10</v>
      </c>
      <c r="D450">
        <v>129</v>
      </c>
      <c r="E450" t="s">
        <v>13</v>
      </c>
      <c r="F450">
        <v>113</v>
      </c>
      <c r="G450">
        <v>113</v>
      </c>
    </row>
    <row r="451" spans="1:7" x14ac:dyDescent="0.3">
      <c r="A451" s="11">
        <v>45287</v>
      </c>
      <c r="B451" s="11" t="s">
        <v>27</v>
      </c>
      <c r="C451" t="s">
        <v>16</v>
      </c>
      <c r="D451">
        <v>120</v>
      </c>
      <c r="E451" t="s">
        <v>30</v>
      </c>
      <c r="F451">
        <v>129</v>
      </c>
      <c r="G451">
        <v>129</v>
      </c>
    </row>
    <row r="452" spans="1:7" x14ac:dyDescent="0.3">
      <c r="A452" s="11">
        <v>45287</v>
      </c>
      <c r="B452" s="11" t="s">
        <v>43</v>
      </c>
      <c r="C452" t="s">
        <v>25</v>
      </c>
      <c r="D452">
        <v>113</v>
      </c>
      <c r="E452" t="s">
        <v>36</v>
      </c>
      <c r="F452">
        <v>110</v>
      </c>
      <c r="G452">
        <v>110</v>
      </c>
    </row>
    <row r="453" spans="1:7" x14ac:dyDescent="0.3">
      <c r="A453" s="11">
        <v>45288</v>
      </c>
      <c r="B453" s="11" t="s">
        <v>6</v>
      </c>
      <c r="C453" t="s">
        <v>21</v>
      </c>
      <c r="D453">
        <v>122</v>
      </c>
      <c r="E453" t="s">
        <v>15</v>
      </c>
      <c r="F453">
        <v>128</v>
      </c>
      <c r="G453">
        <v>128</v>
      </c>
    </row>
    <row r="454" spans="1:7" x14ac:dyDescent="0.3">
      <c r="A454" s="11">
        <v>45288</v>
      </c>
      <c r="B454" s="11" t="s">
        <v>27</v>
      </c>
      <c r="C454" t="s">
        <v>18</v>
      </c>
      <c r="D454">
        <v>120</v>
      </c>
      <c r="E454" t="s">
        <v>31</v>
      </c>
      <c r="F454">
        <v>104</v>
      </c>
      <c r="G454">
        <v>104</v>
      </c>
    </row>
    <row r="455" spans="1:7" x14ac:dyDescent="0.3">
      <c r="A455" s="11">
        <v>45288</v>
      </c>
      <c r="B455" s="11" t="s">
        <v>27</v>
      </c>
      <c r="C455" t="s">
        <v>36</v>
      </c>
      <c r="D455">
        <v>110</v>
      </c>
      <c r="E455" t="s">
        <v>23</v>
      </c>
      <c r="F455">
        <v>118</v>
      </c>
      <c r="G455">
        <v>118</v>
      </c>
    </row>
    <row r="456" spans="1:7" x14ac:dyDescent="0.3">
      <c r="A456" s="11">
        <v>45288</v>
      </c>
      <c r="B456" s="11" t="s">
        <v>27</v>
      </c>
      <c r="C456" t="s">
        <v>34</v>
      </c>
      <c r="D456">
        <v>105</v>
      </c>
      <c r="E456" t="s">
        <v>28</v>
      </c>
      <c r="F456">
        <v>112</v>
      </c>
      <c r="G456">
        <v>112</v>
      </c>
    </row>
    <row r="457" spans="1:7" x14ac:dyDescent="0.3">
      <c r="A457" s="11">
        <v>45288</v>
      </c>
      <c r="B457" s="11" t="s">
        <v>32</v>
      </c>
      <c r="C457" t="s">
        <v>29</v>
      </c>
      <c r="D457">
        <v>105</v>
      </c>
      <c r="E457" t="s">
        <v>8</v>
      </c>
      <c r="F457">
        <v>142</v>
      </c>
      <c r="G457">
        <v>142</v>
      </c>
    </row>
    <row r="458" spans="1:7" x14ac:dyDescent="0.3">
      <c r="A458" s="11">
        <v>45288</v>
      </c>
      <c r="B458" s="11" t="s">
        <v>9</v>
      </c>
      <c r="C458" t="s">
        <v>22</v>
      </c>
      <c r="D458">
        <v>114</v>
      </c>
      <c r="E458" t="s">
        <v>11</v>
      </c>
      <c r="F458">
        <v>102</v>
      </c>
      <c r="G458">
        <v>102</v>
      </c>
    </row>
    <row r="459" spans="1:7" x14ac:dyDescent="0.3">
      <c r="A459" s="11">
        <v>45288</v>
      </c>
      <c r="B459" s="11" t="s">
        <v>9</v>
      </c>
      <c r="C459" t="s">
        <v>37</v>
      </c>
      <c r="D459">
        <v>118</v>
      </c>
      <c r="E459" t="s">
        <v>39</v>
      </c>
      <c r="F459">
        <v>105</v>
      </c>
      <c r="G459">
        <v>105</v>
      </c>
    </row>
    <row r="460" spans="1:7" x14ac:dyDescent="0.3">
      <c r="A460" s="11">
        <v>45288</v>
      </c>
      <c r="B460" s="11" t="s">
        <v>38</v>
      </c>
      <c r="C460" t="s">
        <v>20</v>
      </c>
      <c r="D460">
        <v>112</v>
      </c>
      <c r="E460" t="s">
        <v>7</v>
      </c>
      <c r="F460">
        <v>133</v>
      </c>
      <c r="G460">
        <v>133</v>
      </c>
    </row>
    <row r="461" spans="1:7" x14ac:dyDescent="0.3">
      <c r="A461" s="11">
        <v>45289</v>
      </c>
      <c r="B461" s="11" t="s">
        <v>12</v>
      </c>
      <c r="C461" t="s">
        <v>16</v>
      </c>
      <c r="D461">
        <v>108</v>
      </c>
      <c r="E461" t="s">
        <v>14</v>
      </c>
      <c r="F461">
        <v>117</v>
      </c>
      <c r="G461">
        <v>117</v>
      </c>
    </row>
    <row r="462" spans="1:7" x14ac:dyDescent="0.3">
      <c r="A462" s="11">
        <v>45289</v>
      </c>
      <c r="B462" s="11" t="s">
        <v>12</v>
      </c>
      <c r="C462" t="s">
        <v>26</v>
      </c>
      <c r="D462">
        <v>104</v>
      </c>
      <c r="E462" t="s">
        <v>17</v>
      </c>
      <c r="F462">
        <v>110</v>
      </c>
      <c r="G462">
        <v>110</v>
      </c>
    </row>
    <row r="463" spans="1:7" x14ac:dyDescent="0.3">
      <c r="A463" s="11">
        <v>45289</v>
      </c>
      <c r="B463" s="11" t="s">
        <v>6</v>
      </c>
      <c r="C463" t="s">
        <v>33</v>
      </c>
      <c r="D463">
        <v>117</v>
      </c>
      <c r="E463" t="s">
        <v>19</v>
      </c>
      <c r="F463">
        <v>110</v>
      </c>
      <c r="G463">
        <v>110</v>
      </c>
    </row>
    <row r="464" spans="1:7" x14ac:dyDescent="0.3">
      <c r="A464" s="11">
        <v>45289</v>
      </c>
      <c r="B464" s="11" t="s">
        <v>6</v>
      </c>
      <c r="C464" t="s">
        <v>24</v>
      </c>
      <c r="D464">
        <v>118</v>
      </c>
      <c r="E464" t="s">
        <v>15</v>
      </c>
      <c r="F464">
        <v>120</v>
      </c>
      <c r="G464">
        <v>120</v>
      </c>
    </row>
    <row r="465" spans="1:7" x14ac:dyDescent="0.3">
      <c r="A465" s="11">
        <v>45289</v>
      </c>
      <c r="B465" s="11" t="s">
        <v>6</v>
      </c>
      <c r="C465" t="s">
        <v>42</v>
      </c>
      <c r="D465">
        <v>119</v>
      </c>
      <c r="E465" t="s">
        <v>25</v>
      </c>
      <c r="F465">
        <v>111</v>
      </c>
      <c r="G465">
        <v>111</v>
      </c>
    </row>
    <row r="466" spans="1:7" x14ac:dyDescent="0.3">
      <c r="A466" s="11">
        <v>45289</v>
      </c>
      <c r="B466" s="11" t="s">
        <v>27</v>
      </c>
      <c r="C466" t="s">
        <v>41</v>
      </c>
      <c r="D466">
        <v>131</v>
      </c>
      <c r="E466" t="s">
        <v>13</v>
      </c>
      <c r="F466">
        <v>127</v>
      </c>
      <c r="G466">
        <v>127</v>
      </c>
    </row>
    <row r="467" spans="1:7" x14ac:dyDescent="0.3">
      <c r="A467" s="11">
        <v>45289</v>
      </c>
      <c r="B467" s="11" t="s">
        <v>32</v>
      </c>
      <c r="C467" t="s">
        <v>30</v>
      </c>
      <c r="D467">
        <v>119</v>
      </c>
      <c r="E467" t="s">
        <v>8</v>
      </c>
      <c r="F467">
        <v>93</v>
      </c>
      <c r="G467">
        <v>93</v>
      </c>
    </row>
    <row r="468" spans="1:7" x14ac:dyDescent="0.3">
      <c r="A468" s="11">
        <v>45289</v>
      </c>
      <c r="B468" s="11" t="s">
        <v>32</v>
      </c>
      <c r="C468" t="s">
        <v>20</v>
      </c>
      <c r="D468">
        <v>119</v>
      </c>
      <c r="E468" t="s">
        <v>10</v>
      </c>
      <c r="F468">
        <v>133</v>
      </c>
      <c r="G468">
        <v>133</v>
      </c>
    </row>
    <row r="469" spans="1:7" x14ac:dyDescent="0.3">
      <c r="A469" s="11">
        <v>45289</v>
      </c>
      <c r="B469" s="11" t="s">
        <v>9</v>
      </c>
      <c r="C469" t="s">
        <v>37</v>
      </c>
      <c r="D469">
        <v>128</v>
      </c>
      <c r="E469" t="s">
        <v>39</v>
      </c>
      <c r="F469">
        <v>134</v>
      </c>
      <c r="G469">
        <v>134</v>
      </c>
    </row>
    <row r="470" spans="1:7" x14ac:dyDescent="0.3">
      <c r="A470" s="11">
        <v>45289</v>
      </c>
      <c r="B470" s="11" t="s">
        <v>38</v>
      </c>
      <c r="C470" t="s">
        <v>29</v>
      </c>
      <c r="D470">
        <v>106</v>
      </c>
      <c r="E470" t="s">
        <v>40</v>
      </c>
      <c r="F470">
        <v>117</v>
      </c>
      <c r="G470">
        <v>117</v>
      </c>
    </row>
    <row r="471" spans="1:7" x14ac:dyDescent="0.3">
      <c r="A471" s="11">
        <v>45290</v>
      </c>
      <c r="B471" s="11" t="s">
        <v>50</v>
      </c>
      <c r="C471" t="s">
        <v>22</v>
      </c>
      <c r="D471">
        <v>109</v>
      </c>
      <c r="E471" t="s">
        <v>34</v>
      </c>
      <c r="F471">
        <v>117</v>
      </c>
      <c r="G471">
        <v>117</v>
      </c>
    </row>
    <row r="472" spans="1:7" x14ac:dyDescent="0.3">
      <c r="A472" s="11">
        <v>45290</v>
      </c>
      <c r="B472" s="11" t="s">
        <v>47</v>
      </c>
      <c r="C472" t="s">
        <v>24</v>
      </c>
      <c r="D472">
        <v>127</v>
      </c>
      <c r="E472" t="s">
        <v>21</v>
      </c>
      <c r="F472">
        <v>129</v>
      </c>
      <c r="G472">
        <v>129</v>
      </c>
    </row>
    <row r="473" spans="1:7" x14ac:dyDescent="0.3">
      <c r="A473" s="11">
        <v>45290</v>
      </c>
      <c r="B473" s="11" t="s">
        <v>12</v>
      </c>
      <c r="C473" t="s">
        <v>16</v>
      </c>
      <c r="D473">
        <v>126</v>
      </c>
      <c r="E473" t="s">
        <v>18</v>
      </c>
      <c r="F473">
        <v>140</v>
      </c>
      <c r="G473">
        <v>140</v>
      </c>
    </row>
    <row r="474" spans="1:7" x14ac:dyDescent="0.3">
      <c r="A474" s="11">
        <v>45290</v>
      </c>
      <c r="B474" s="11" t="s">
        <v>27</v>
      </c>
      <c r="C474" t="s">
        <v>41</v>
      </c>
      <c r="D474">
        <v>92</v>
      </c>
      <c r="E474" t="s">
        <v>31</v>
      </c>
      <c r="F474">
        <v>105</v>
      </c>
      <c r="G474">
        <v>105</v>
      </c>
    </row>
    <row r="475" spans="1:7" x14ac:dyDescent="0.3">
      <c r="A475" s="11">
        <v>45290</v>
      </c>
      <c r="B475" s="11" t="s">
        <v>27</v>
      </c>
      <c r="C475" t="s">
        <v>7</v>
      </c>
      <c r="D475">
        <v>106</v>
      </c>
      <c r="E475" t="s">
        <v>23</v>
      </c>
      <c r="F475">
        <v>108</v>
      </c>
      <c r="G475">
        <v>108</v>
      </c>
    </row>
    <row r="476" spans="1:7" x14ac:dyDescent="0.3">
      <c r="A476" s="11">
        <v>45290</v>
      </c>
      <c r="B476" s="11" t="s">
        <v>43</v>
      </c>
      <c r="C476" t="s">
        <v>36</v>
      </c>
      <c r="D476">
        <v>132</v>
      </c>
      <c r="E476" t="s">
        <v>11</v>
      </c>
      <c r="F476">
        <v>122</v>
      </c>
      <c r="G476">
        <v>122</v>
      </c>
    </row>
    <row r="477" spans="1:7" x14ac:dyDescent="0.3">
      <c r="A477" s="11">
        <v>45291</v>
      </c>
      <c r="B477" s="11" t="s">
        <v>46</v>
      </c>
      <c r="C477" t="s">
        <v>19</v>
      </c>
      <c r="D477">
        <v>130</v>
      </c>
      <c r="E477" t="s">
        <v>17</v>
      </c>
      <c r="F477">
        <v>126</v>
      </c>
      <c r="G477">
        <v>126</v>
      </c>
    </row>
    <row r="478" spans="1:7" x14ac:dyDescent="0.3">
      <c r="A478" s="11">
        <v>45291</v>
      </c>
      <c r="B478" s="11" t="s">
        <v>12</v>
      </c>
      <c r="C478" t="s">
        <v>7</v>
      </c>
      <c r="D478">
        <v>109</v>
      </c>
      <c r="E478" t="s">
        <v>28</v>
      </c>
      <c r="F478">
        <v>129</v>
      </c>
      <c r="G478">
        <v>129</v>
      </c>
    </row>
    <row r="479" spans="1:7" x14ac:dyDescent="0.3">
      <c r="A479" s="11">
        <v>45291</v>
      </c>
      <c r="B479" s="11" t="s">
        <v>12</v>
      </c>
      <c r="C479" t="s">
        <v>26</v>
      </c>
      <c r="D479">
        <v>108</v>
      </c>
      <c r="E479" t="s">
        <v>30</v>
      </c>
      <c r="F479">
        <v>124</v>
      </c>
      <c r="G479">
        <v>124</v>
      </c>
    </row>
    <row r="480" spans="1:7" x14ac:dyDescent="0.3">
      <c r="A480" s="11">
        <v>45291</v>
      </c>
      <c r="B480" s="11" t="s">
        <v>12</v>
      </c>
      <c r="C480" t="s">
        <v>15</v>
      </c>
      <c r="D480">
        <v>134</v>
      </c>
      <c r="E480" t="s">
        <v>37</v>
      </c>
      <c r="F480">
        <v>101</v>
      </c>
      <c r="G480">
        <v>101</v>
      </c>
    </row>
    <row r="481" spans="1:7" x14ac:dyDescent="0.3">
      <c r="A481" s="11">
        <v>45291</v>
      </c>
      <c r="B481" s="11" t="s">
        <v>27</v>
      </c>
      <c r="C481" t="s">
        <v>33</v>
      </c>
      <c r="D481">
        <v>123</v>
      </c>
      <c r="E481" t="s">
        <v>29</v>
      </c>
      <c r="F481">
        <v>92</v>
      </c>
      <c r="G481">
        <v>92</v>
      </c>
    </row>
    <row r="482" spans="1:7" x14ac:dyDescent="0.3">
      <c r="A482" s="11">
        <v>45291</v>
      </c>
      <c r="B482" s="11" t="s">
        <v>27</v>
      </c>
      <c r="C482" t="s">
        <v>14</v>
      </c>
      <c r="D482">
        <v>107</v>
      </c>
      <c r="E482" t="s">
        <v>10</v>
      </c>
      <c r="F482">
        <v>112</v>
      </c>
      <c r="G482">
        <v>112</v>
      </c>
    </row>
    <row r="483" spans="1:7" x14ac:dyDescent="0.3">
      <c r="A483" s="11">
        <v>45292</v>
      </c>
      <c r="B483" s="11" t="s">
        <v>46</v>
      </c>
      <c r="C483" t="s">
        <v>23</v>
      </c>
      <c r="D483">
        <v>106</v>
      </c>
      <c r="E483" t="s">
        <v>16</v>
      </c>
      <c r="F483">
        <v>112</v>
      </c>
      <c r="G483">
        <v>112</v>
      </c>
    </row>
    <row r="484" spans="1:7" x14ac:dyDescent="0.3">
      <c r="A484" s="11">
        <v>45292</v>
      </c>
      <c r="B484" s="11" t="s">
        <v>6</v>
      </c>
      <c r="C484" t="s">
        <v>25</v>
      </c>
      <c r="D484">
        <v>121</v>
      </c>
      <c r="E484" t="s">
        <v>24</v>
      </c>
      <c r="F484">
        <v>124</v>
      </c>
      <c r="G484">
        <v>124</v>
      </c>
    </row>
    <row r="485" spans="1:7" x14ac:dyDescent="0.3">
      <c r="A485" s="11">
        <v>45292</v>
      </c>
      <c r="B485" s="11" t="s">
        <v>27</v>
      </c>
      <c r="C485" t="s">
        <v>21</v>
      </c>
      <c r="D485">
        <v>113</v>
      </c>
      <c r="E485" t="s">
        <v>13</v>
      </c>
      <c r="F485">
        <v>136</v>
      </c>
      <c r="G485">
        <v>136</v>
      </c>
    </row>
    <row r="486" spans="1:7" x14ac:dyDescent="0.3">
      <c r="A486" s="11">
        <v>45292</v>
      </c>
      <c r="B486" s="11" t="s">
        <v>27</v>
      </c>
      <c r="C486" t="s">
        <v>18</v>
      </c>
      <c r="D486">
        <v>122</v>
      </c>
      <c r="E486" t="s">
        <v>42</v>
      </c>
      <c r="F486">
        <v>113</v>
      </c>
      <c r="G486">
        <v>113</v>
      </c>
    </row>
    <row r="487" spans="1:7" x14ac:dyDescent="0.3">
      <c r="A487" s="11">
        <v>45292</v>
      </c>
      <c r="B487" s="11" t="s">
        <v>32</v>
      </c>
      <c r="C487" t="s">
        <v>20</v>
      </c>
      <c r="D487">
        <v>93</v>
      </c>
      <c r="E487" t="s">
        <v>8</v>
      </c>
      <c r="F487">
        <v>111</v>
      </c>
      <c r="G487">
        <v>111</v>
      </c>
    </row>
    <row r="488" spans="1:7" x14ac:dyDescent="0.3">
      <c r="A488" s="11">
        <v>45292</v>
      </c>
      <c r="B488" s="11" t="s">
        <v>32</v>
      </c>
      <c r="C488" t="s">
        <v>39</v>
      </c>
      <c r="D488">
        <v>88</v>
      </c>
      <c r="E488" t="s">
        <v>10</v>
      </c>
      <c r="F488">
        <v>109</v>
      </c>
      <c r="G488">
        <v>109</v>
      </c>
    </row>
    <row r="489" spans="1:7" x14ac:dyDescent="0.3">
      <c r="A489" s="11">
        <v>45292</v>
      </c>
      <c r="B489" s="11" t="s">
        <v>32</v>
      </c>
      <c r="C489" t="s">
        <v>36</v>
      </c>
      <c r="D489">
        <v>90</v>
      </c>
      <c r="E489" t="s">
        <v>34</v>
      </c>
      <c r="F489">
        <v>127</v>
      </c>
      <c r="G489">
        <v>127</v>
      </c>
    </row>
    <row r="490" spans="1:7" x14ac:dyDescent="0.3">
      <c r="A490" s="11">
        <v>45292</v>
      </c>
      <c r="B490" s="11" t="s">
        <v>38</v>
      </c>
      <c r="C490" t="s">
        <v>22</v>
      </c>
      <c r="D490">
        <v>104</v>
      </c>
      <c r="E490" t="s">
        <v>40</v>
      </c>
      <c r="F490">
        <v>121</v>
      </c>
      <c r="G490">
        <v>121</v>
      </c>
    </row>
    <row r="491" spans="1:7" x14ac:dyDescent="0.3">
      <c r="A491" s="11">
        <v>45293</v>
      </c>
      <c r="B491" s="11" t="s">
        <v>12</v>
      </c>
      <c r="C491" t="s">
        <v>31</v>
      </c>
      <c r="D491">
        <v>97</v>
      </c>
      <c r="E491" t="s">
        <v>41</v>
      </c>
      <c r="F491">
        <v>110</v>
      </c>
      <c r="G491">
        <v>110</v>
      </c>
    </row>
    <row r="492" spans="1:7" x14ac:dyDescent="0.3">
      <c r="A492" s="11">
        <v>45293</v>
      </c>
      <c r="B492" s="11" t="s">
        <v>27</v>
      </c>
      <c r="C492" t="s">
        <v>37</v>
      </c>
      <c r="D492">
        <v>98</v>
      </c>
      <c r="E492" t="s">
        <v>29</v>
      </c>
      <c r="F492">
        <v>106</v>
      </c>
      <c r="G492">
        <v>106</v>
      </c>
    </row>
    <row r="493" spans="1:7" x14ac:dyDescent="0.3">
      <c r="A493" s="11">
        <v>45293</v>
      </c>
      <c r="B493" s="11" t="s">
        <v>27</v>
      </c>
      <c r="C493" t="s">
        <v>26</v>
      </c>
      <c r="D493">
        <v>85</v>
      </c>
      <c r="E493" t="s">
        <v>28</v>
      </c>
      <c r="F493">
        <v>112</v>
      </c>
      <c r="G493">
        <v>112</v>
      </c>
    </row>
    <row r="494" spans="1:7" x14ac:dyDescent="0.3">
      <c r="A494" s="11">
        <v>45293</v>
      </c>
      <c r="B494" s="11" t="s">
        <v>27</v>
      </c>
      <c r="C494" t="s">
        <v>15</v>
      </c>
      <c r="D494">
        <v>123</v>
      </c>
      <c r="E494" t="s">
        <v>30</v>
      </c>
      <c r="F494">
        <v>127</v>
      </c>
      <c r="G494">
        <v>127</v>
      </c>
    </row>
    <row r="495" spans="1:7" x14ac:dyDescent="0.3">
      <c r="A495" s="11">
        <v>45293</v>
      </c>
      <c r="B495" s="11" t="s">
        <v>9</v>
      </c>
      <c r="C495" t="s">
        <v>14</v>
      </c>
      <c r="D495">
        <v>115</v>
      </c>
      <c r="E495" t="s">
        <v>11</v>
      </c>
      <c r="F495">
        <v>121</v>
      </c>
      <c r="G495">
        <v>121</v>
      </c>
    </row>
    <row r="496" spans="1:7" x14ac:dyDescent="0.3">
      <c r="A496" s="11">
        <v>45293</v>
      </c>
      <c r="B496" s="11" t="s">
        <v>9</v>
      </c>
      <c r="C496" t="s">
        <v>20</v>
      </c>
      <c r="D496">
        <v>111</v>
      </c>
      <c r="E496" t="s">
        <v>33</v>
      </c>
      <c r="F496">
        <v>104</v>
      </c>
      <c r="G496">
        <v>104</v>
      </c>
    </row>
    <row r="497" spans="1:7" x14ac:dyDescent="0.3">
      <c r="A497" s="11">
        <v>45294</v>
      </c>
      <c r="B497" s="11" t="s">
        <v>12</v>
      </c>
      <c r="C497" t="s">
        <v>17</v>
      </c>
      <c r="D497">
        <v>101</v>
      </c>
      <c r="E497" t="s">
        <v>25</v>
      </c>
      <c r="F497">
        <v>140</v>
      </c>
      <c r="G497">
        <v>140</v>
      </c>
    </row>
    <row r="498" spans="1:7" x14ac:dyDescent="0.3">
      <c r="A498" s="11">
        <v>45294</v>
      </c>
      <c r="B498" s="11" t="s">
        <v>12</v>
      </c>
      <c r="C498" t="s">
        <v>42</v>
      </c>
      <c r="D498">
        <v>130</v>
      </c>
      <c r="E498" t="s">
        <v>18</v>
      </c>
      <c r="F498">
        <v>142</v>
      </c>
      <c r="G498">
        <v>142</v>
      </c>
    </row>
    <row r="499" spans="1:7" x14ac:dyDescent="0.3">
      <c r="A499" s="11">
        <v>45294</v>
      </c>
      <c r="B499" s="11" t="s">
        <v>6</v>
      </c>
      <c r="C499" t="s">
        <v>30</v>
      </c>
      <c r="D499">
        <v>138</v>
      </c>
      <c r="E499" t="s">
        <v>19</v>
      </c>
      <c r="F499">
        <v>141</v>
      </c>
      <c r="G499">
        <v>141</v>
      </c>
    </row>
    <row r="500" spans="1:7" x14ac:dyDescent="0.3">
      <c r="A500" s="11">
        <v>45294</v>
      </c>
      <c r="B500" s="11" t="s">
        <v>27</v>
      </c>
      <c r="C500" t="s">
        <v>26</v>
      </c>
      <c r="D500">
        <v>101</v>
      </c>
      <c r="E500" t="s">
        <v>13</v>
      </c>
      <c r="F500">
        <v>112</v>
      </c>
      <c r="G500">
        <v>112</v>
      </c>
    </row>
    <row r="501" spans="1:7" x14ac:dyDescent="0.3">
      <c r="A501" s="11">
        <v>45294</v>
      </c>
      <c r="B501" s="11" t="s">
        <v>27</v>
      </c>
      <c r="C501" t="s">
        <v>24</v>
      </c>
      <c r="D501">
        <v>116</v>
      </c>
      <c r="E501" t="s">
        <v>29</v>
      </c>
      <c r="F501">
        <v>111</v>
      </c>
      <c r="G501">
        <v>111</v>
      </c>
    </row>
    <row r="502" spans="1:7" x14ac:dyDescent="0.3">
      <c r="A502" s="11">
        <v>45294</v>
      </c>
      <c r="B502" s="11" t="s">
        <v>27</v>
      </c>
      <c r="C502" t="s">
        <v>28</v>
      </c>
      <c r="D502">
        <v>117</v>
      </c>
      <c r="E502" t="s">
        <v>23</v>
      </c>
      <c r="F502">
        <v>106</v>
      </c>
      <c r="G502">
        <v>106</v>
      </c>
    </row>
    <row r="503" spans="1:7" x14ac:dyDescent="0.3">
      <c r="A503" s="11">
        <v>45294</v>
      </c>
      <c r="B503" s="11" t="s">
        <v>43</v>
      </c>
      <c r="C503" t="s">
        <v>39</v>
      </c>
      <c r="D503">
        <v>97</v>
      </c>
      <c r="E503" t="s">
        <v>36</v>
      </c>
      <c r="F503">
        <v>126</v>
      </c>
      <c r="G503">
        <v>126</v>
      </c>
    </row>
    <row r="504" spans="1:7" x14ac:dyDescent="0.3">
      <c r="A504" s="11">
        <v>45294</v>
      </c>
      <c r="B504" s="11" t="s">
        <v>43</v>
      </c>
      <c r="C504" t="s">
        <v>31</v>
      </c>
      <c r="D504">
        <v>100</v>
      </c>
      <c r="E504" t="s">
        <v>16</v>
      </c>
      <c r="F504">
        <v>116</v>
      </c>
      <c r="G504">
        <v>116</v>
      </c>
    </row>
    <row r="505" spans="1:7" x14ac:dyDescent="0.3">
      <c r="A505" s="11">
        <v>45294</v>
      </c>
      <c r="B505" s="11" t="s">
        <v>32</v>
      </c>
      <c r="C505" t="s">
        <v>40</v>
      </c>
      <c r="D505">
        <v>131</v>
      </c>
      <c r="E505" t="s">
        <v>10</v>
      </c>
      <c r="F505">
        <v>122</v>
      </c>
      <c r="G505">
        <v>122</v>
      </c>
    </row>
    <row r="506" spans="1:7" x14ac:dyDescent="0.3">
      <c r="A506" s="11">
        <v>45294</v>
      </c>
      <c r="B506" s="11" t="s">
        <v>32</v>
      </c>
      <c r="C506" t="s">
        <v>21</v>
      </c>
      <c r="D506">
        <v>148</v>
      </c>
      <c r="E506" t="s">
        <v>34</v>
      </c>
      <c r="F506">
        <v>154</v>
      </c>
      <c r="G506">
        <v>154</v>
      </c>
    </row>
    <row r="507" spans="1:7" x14ac:dyDescent="0.3">
      <c r="A507" s="11">
        <v>45294</v>
      </c>
      <c r="B507" s="11" t="s">
        <v>9</v>
      </c>
      <c r="C507" t="s">
        <v>22</v>
      </c>
      <c r="D507">
        <v>110</v>
      </c>
      <c r="E507" t="s">
        <v>7</v>
      </c>
      <c r="F507">
        <v>96</v>
      </c>
      <c r="G507">
        <v>96</v>
      </c>
    </row>
    <row r="508" spans="1:7" x14ac:dyDescent="0.3">
      <c r="A508" s="11">
        <v>45294</v>
      </c>
      <c r="B508" s="11" t="s">
        <v>9</v>
      </c>
      <c r="C508" t="s">
        <v>14</v>
      </c>
      <c r="D508">
        <v>135</v>
      </c>
      <c r="E508" t="s">
        <v>33</v>
      </c>
      <c r="F508">
        <v>138</v>
      </c>
      <c r="G508">
        <v>138</v>
      </c>
    </row>
    <row r="509" spans="1:7" x14ac:dyDescent="0.3">
      <c r="A509" s="11">
        <v>45295</v>
      </c>
      <c r="B509" s="11" t="s">
        <v>6</v>
      </c>
      <c r="C509" t="s">
        <v>42</v>
      </c>
      <c r="D509">
        <v>125</v>
      </c>
      <c r="E509" t="s">
        <v>37</v>
      </c>
      <c r="F509">
        <v>121</v>
      </c>
      <c r="G509">
        <v>121</v>
      </c>
    </row>
    <row r="510" spans="1:7" x14ac:dyDescent="0.3">
      <c r="A510" s="11">
        <v>45295</v>
      </c>
      <c r="B510" s="11" t="s">
        <v>9</v>
      </c>
      <c r="C510" t="s">
        <v>8</v>
      </c>
      <c r="D510">
        <v>130</v>
      </c>
      <c r="E510" t="s">
        <v>11</v>
      </c>
      <c r="F510">
        <v>127</v>
      </c>
      <c r="G510">
        <v>127</v>
      </c>
    </row>
    <row r="511" spans="1:7" x14ac:dyDescent="0.3">
      <c r="A511" s="11">
        <v>45296</v>
      </c>
      <c r="B511" s="11" t="s">
        <v>12</v>
      </c>
      <c r="C511" t="s">
        <v>34</v>
      </c>
      <c r="D511">
        <v>97</v>
      </c>
      <c r="E511" t="s">
        <v>15</v>
      </c>
      <c r="F511">
        <v>126</v>
      </c>
      <c r="G511">
        <v>126</v>
      </c>
    </row>
    <row r="512" spans="1:7" x14ac:dyDescent="0.3">
      <c r="A512" s="11">
        <v>45296</v>
      </c>
      <c r="B512" s="11" t="s">
        <v>12</v>
      </c>
      <c r="C512" t="s">
        <v>19</v>
      </c>
      <c r="D512">
        <v>116</v>
      </c>
      <c r="E512" t="s">
        <v>18</v>
      </c>
      <c r="F512">
        <v>150</v>
      </c>
      <c r="G512">
        <v>150</v>
      </c>
    </row>
    <row r="513" spans="1:7" x14ac:dyDescent="0.3">
      <c r="A513" s="11">
        <v>45296</v>
      </c>
      <c r="B513" s="11" t="s">
        <v>6</v>
      </c>
      <c r="C513" t="s">
        <v>30</v>
      </c>
      <c r="D513">
        <v>115</v>
      </c>
      <c r="E513" t="s">
        <v>26</v>
      </c>
      <c r="F513">
        <v>124</v>
      </c>
      <c r="G513">
        <v>124</v>
      </c>
    </row>
    <row r="514" spans="1:7" x14ac:dyDescent="0.3">
      <c r="A514" s="11">
        <v>45296</v>
      </c>
      <c r="B514" s="11" t="s">
        <v>6</v>
      </c>
      <c r="C514" t="s">
        <v>17</v>
      </c>
      <c r="D514">
        <v>90</v>
      </c>
      <c r="E514" t="s">
        <v>25</v>
      </c>
      <c r="F514">
        <v>114</v>
      </c>
      <c r="G514">
        <v>114</v>
      </c>
    </row>
    <row r="515" spans="1:7" x14ac:dyDescent="0.3">
      <c r="A515" s="11">
        <v>45296</v>
      </c>
      <c r="B515" s="11" t="s">
        <v>6</v>
      </c>
      <c r="C515" t="s">
        <v>16</v>
      </c>
      <c r="D515">
        <v>128</v>
      </c>
      <c r="E515" t="s">
        <v>41</v>
      </c>
      <c r="F515">
        <v>92</v>
      </c>
      <c r="G515">
        <v>92</v>
      </c>
    </row>
    <row r="516" spans="1:7" x14ac:dyDescent="0.3">
      <c r="A516" s="11">
        <v>45296</v>
      </c>
      <c r="B516" s="11" t="s">
        <v>27</v>
      </c>
      <c r="C516" t="s">
        <v>20</v>
      </c>
      <c r="D516">
        <v>91</v>
      </c>
      <c r="E516" t="s">
        <v>31</v>
      </c>
      <c r="F516">
        <v>104</v>
      </c>
      <c r="G516">
        <v>104</v>
      </c>
    </row>
    <row r="517" spans="1:7" x14ac:dyDescent="0.3">
      <c r="A517" s="11">
        <v>45296</v>
      </c>
      <c r="B517" s="11" t="s">
        <v>27</v>
      </c>
      <c r="C517" t="s">
        <v>23</v>
      </c>
      <c r="D517">
        <v>122</v>
      </c>
      <c r="E517" t="s">
        <v>13</v>
      </c>
      <c r="F517">
        <v>95</v>
      </c>
      <c r="G517">
        <v>95</v>
      </c>
    </row>
    <row r="518" spans="1:7" x14ac:dyDescent="0.3">
      <c r="A518" s="11">
        <v>45296</v>
      </c>
      <c r="B518" s="11" t="s">
        <v>27</v>
      </c>
      <c r="C518" t="s">
        <v>40</v>
      </c>
      <c r="D518">
        <v>111</v>
      </c>
      <c r="E518" t="s">
        <v>28</v>
      </c>
      <c r="F518">
        <v>95</v>
      </c>
      <c r="G518">
        <v>95</v>
      </c>
    </row>
    <row r="519" spans="1:7" x14ac:dyDescent="0.3">
      <c r="A519" s="11">
        <v>45296</v>
      </c>
      <c r="B519" s="11" t="s">
        <v>43</v>
      </c>
      <c r="C519" t="s">
        <v>39</v>
      </c>
      <c r="D519">
        <v>103</v>
      </c>
      <c r="E519" t="s">
        <v>36</v>
      </c>
      <c r="F519">
        <v>139</v>
      </c>
      <c r="G519">
        <v>139</v>
      </c>
    </row>
    <row r="520" spans="1:7" x14ac:dyDescent="0.3">
      <c r="A520" s="11">
        <v>45296</v>
      </c>
      <c r="B520" s="11" t="s">
        <v>32</v>
      </c>
      <c r="C520" t="s">
        <v>14</v>
      </c>
      <c r="D520">
        <v>122</v>
      </c>
      <c r="E520" t="s">
        <v>8</v>
      </c>
      <c r="F520">
        <v>120</v>
      </c>
      <c r="G520">
        <v>120</v>
      </c>
    </row>
    <row r="521" spans="1:7" x14ac:dyDescent="0.3">
      <c r="A521" s="11">
        <v>45296</v>
      </c>
      <c r="B521" s="11" t="s">
        <v>32</v>
      </c>
      <c r="C521" t="s">
        <v>22</v>
      </c>
      <c r="D521">
        <v>97</v>
      </c>
      <c r="E521" t="s">
        <v>10</v>
      </c>
      <c r="F521">
        <v>113</v>
      </c>
      <c r="G521">
        <v>113</v>
      </c>
    </row>
    <row r="522" spans="1:7" x14ac:dyDescent="0.3">
      <c r="A522" s="11">
        <v>45296</v>
      </c>
      <c r="B522" s="11" t="s">
        <v>9</v>
      </c>
      <c r="C522" t="s">
        <v>21</v>
      </c>
      <c r="D522">
        <v>109</v>
      </c>
      <c r="E522" t="s">
        <v>11</v>
      </c>
      <c r="F522">
        <v>113</v>
      </c>
      <c r="G522">
        <v>113</v>
      </c>
    </row>
    <row r="523" spans="1:7" x14ac:dyDescent="0.3">
      <c r="A523" s="11">
        <v>45296</v>
      </c>
      <c r="B523" s="11" t="s">
        <v>9</v>
      </c>
      <c r="C523" t="s">
        <v>29</v>
      </c>
      <c r="D523">
        <v>127</v>
      </c>
      <c r="E523" t="s">
        <v>7</v>
      </c>
      <c r="F523">
        <v>113</v>
      </c>
      <c r="G523">
        <v>113</v>
      </c>
    </row>
    <row r="524" spans="1:7" x14ac:dyDescent="0.3">
      <c r="A524" s="11">
        <v>45296</v>
      </c>
      <c r="B524" s="11" t="s">
        <v>9</v>
      </c>
      <c r="C524" t="s">
        <v>24</v>
      </c>
      <c r="D524">
        <v>130</v>
      </c>
      <c r="E524" t="s">
        <v>33</v>
      </c>
      <c r="F524">
        <v>135</v>
      </c>
      <c r="G524">
        <v>135</v>
      </c>
    </row>
    <row r="525" spans="1:7" x14ac:dyDescent="0.3">
      <c r="A525" s="11">
        <v>45297</v>
      </c>
      <c r="B525" s="11" t="s">
        <v>12</v>
      </c>
      <c r="C525" t="s">
        <v>15</v>
      </c>
      <c r="D525">
        <v>118</v>
      </c>
      <c r="E525" t="s">
        <v>18</v>
      </c>
      <c r="F525">
        <v>101</v>
      </c>
      <c r="G525">
        <v>101</v>
      </c>
    </row>
    <row r="526" spans="1:7" x14ac:dyDescent="0.3">
      <c r="A526" s="11">
        <v>45297</v>
      </c>
      <c r="B526" s="11" t="s">
        <v>12</v>
      </c>
      <c r="C526" t="s">
        <v>16</v>
      </c>
      <c r="D526">
        <v>121</v>
      </c>
      <c r="E526" t="s">
        <v>17</v>
      </c>
      <c r="F526">
        <v>105</v>
      </c>
      <c r="G526">
        <v>105</v>
      </c>
    </row>
    <row r="527" spans="1:7" x14ac:dyDescent="0.3">
      <c r="A527" s="11">
        <v>45297</v>
      </c>
      <c r="B527" s="11" t="s">
        <v>6</v>
      </c>
      <c r="C527" t="s">
        <v>34</v>
      </c>
      <c r="D527">
        <v>120</v>
      </c>
      <c r="E527" t="s">
        <v>41</v>
      </c>
      <c r="F527">
        <v>109</v>
      </c>
      <c r="G527">
        <v>109</v>
      </c>
    </row>
    <row r="528" spans="1:7" x14ac:dyDescent="0.3">
      <c r="A528" s="11">
        <v>45297</v>
      </c>
      <c r="B528" s="11" t="s">
        <v>27</v>
      </c>
      <c r="C528" t="s">
        <v>42</v>
      </c>
      <c r="D528">
        <v>108</v>
      </c>
      <c r="E528" t="s">
        <v>13</v>
      </c>
      <c r="F528">
        <v>112</v>
      </c>
      <c r="G528">
        <v>112</v>
      </c>
    </row>
    <row r="529" spans="1:7" x14ac:dyDescent="0.3">
      <c r="A529" s="11">
        <v>45298</v>
      </c>
      <c r="B529" s="11" t="s">
        <v>45</v>
      </c>
      <c r="C529" t="s">
        <v>37</v>
      </c>
      <c r="D529">
        <v>115</v>
      </c>
      <c r="E529" t="s">
        <v>25</v>
      </c>
      <c r="F529">
        <v>117</v>
      </c>
      <c r="G529">
        <v>117</v>
      </c>
    </row>
    <row r="530" spans="1:7" x14ac:dyDescent="0.3">
      <c r="A530" s="11">
        <v>45298</v>
      </c>
      <c r="B530" s="11" t="s">
        <v>46</v>
      </c>
      <c r="C530" t="s">
        <v>39</v>
      </c>
      <c r="D530">
        <v>134</v>
      </c>
      <c r="E530" t="s">
        <v>26</v>
      </c>
      <c r="F530">
        <v>127</v>
      </c>
      <c r="G530">
        <v>127</v>
      </c>
    </row>
    <row r="531" spans="1:7" x14ac:dyDescent="0.3">
      <c r="A531" s="11">
        <v>45298</v>
      </c>
      <c r="B531" s="11" t="s">
        <v>47</v>
      </c>
      <c r="C531" t="s">
        <v>19</v>
      </c>
      <c r="D531">
        <v>110</v>
      </c>
      <c r="E531" t="s">
        <v>14</v>
      </c>
      <c r="F531">
        <v>117</v>
      </c>
      <c r="G531">
        <v>117</v>
      </c>
    </row>
    <row r="532" spans="1:7" x14ac:dyDescent="0.3">
      <c r="A532" s="11">
        <v>45298</v>
      </c>
      <c r="B532" s="11" t="s">
        <v>47</v>
      </c>
      <c r="C532" t="s">
        <v>28</v>
      </c>
      <c r="D532">
        <v>133</v>
      </c>
      <c r="E532" t="s">
        <v>33</v>
      </c>
      <c r="F532">
        <v>100</v>
      </c>
      <c r="G532">
        <v>100</v>
      </c>
    </row>
    <row r="533" spans="1:7" x14ac:dyDescent="0.3">
      <c r="A533" s="11">
        <v>45298</v>
      </c>
      <c r="B533" s="11" t="s">
        <v>6</v>
      </c>
      <c r="C533" t="s">
        <v>23</v>
      </c>
      <c r="D533">
        <v>108</v>
      </c>
      <c r="E533" t="s">
        <v>36</v>
      </c>
      <c r="F533">
        <v>115</v>
      </c>
      <c r="G533">
        <v>115</v>
      </c>
    </row>
    <row r="534" spans="1:7" x14ac:dyDescent="0.3">
      <c r="A534" s="11">
        <v>45298</v>
      </c>
      <c r="B534" s="11" t="s">
        <v>27</v>
      </c>
      <c r="C534" t="s">
        <v>21</v>
      </c>
      <c r="D534">
        <v>114</v>
      </c>
      <c r="E534" t="s">
        <v>8</v>
      </c>
      <c r="F534">
        <v>131</v>
      </c>
      <c r="G534">
        <v>131</v>
      </c>
    </row>
    <row r="535" spans="1:7" x14ac:dyDescent="0.3">
      <c r="A535" s="11">
        <v>45298</v>
      </c>
      <c r="B535" s="11" t="s">
        <v>27</v>
      </c>
      <c r="C535" t="s">
        <v>29</v>
      </c>
      <c r="D535">
        <v>121</v>
      </c>
      <c r="E535" t="s">
        <v>10</v>
      </c>
      <c r="F535">
        <v>115</v>
      </c>
      <c r="G535">
        <v>115</v>
      </c>
    </row>
    <row r="536" spans="1:7" x14ac:dyDescent="0.3">
      <c r="A536" s="11">
        <v>45298</v>
      </c>
      <c r="B536" s="11" t="s">
        <v>43</v>
      </c>
      <c r="C536" t="s">
        <v>24</v>
      </c>
      <c r="D536">
        <v>133</v>
      </c>
      <c r="E536" t="s">
        <v>11</v>
      </c>
      <c r="F536">
        <v>118</v>
      </c>
      <c r="G536">
        <v>118</v>
      </c>
    </row>
    <row r="537" spans="1:7" x14ac:dyDescent="0.3">
      <c r="A537" s="11">
        <v>45298</v>
      </c>
      <c r="B537" s="11" t="s">
        <v>35</v>
      </c>
      <c r="C537" t="s">
        <v>40</v>
      </c>
      <c r="D537">
        <v>103</v>
      </c>
      <c r="E537" t="s">
        <v>7</v>
      </c>
      <c r="F537">
        <v>106</v>
      </c>
      <c r="G537">
        <v>106</v>
      </c>
    </row>
    <row r="538" spans="1:7" x14ac:dyDescent="0.3">
      <c r="A538" s="11">
        <v>45299</v>
      </c>
      <c r="B538" s="11" t="s">
        <v>12</v>
      </c>
      <c r="C538" t="s">
        <v>31</v>
      </c>
      <c r="D538">
        <v>119</v>
      </c>
      <c r="E538" t="s">
        <v>20</v>
      </c>
      <c r="F538">
        <v>112</v>
      </c>
      <c r="G538">
        <v>112</v>
      </c>
    </row>
    <row r="539" spans="1:7" x14ac:dyDescent="0.3">
      <c r="A539" s="11">
        <v>45299</v>
      </c>
      <c r="B539" s="11" t="s">
        <v>12</v>
      </c>
      <c r="C539" t="s">
        <v>15</v>
      </c>
      <c r="D539">
        <v>131</v>
      </c>
      <c r="E539" t="s">
        <v>18</v>
      </c>
      <c r="F539">
        <v>133</v>
      </c>
      <c r="G539">
        <v>133</v>
      </c>
    </row>
    <row r="540" spans="1:7" x14ac:dyDescent="0.3">
      <c r="A540" s="11">
        <v>45299</v>
      </c>
      <c r="B540" s="11" t="s">
        <v>12</v>
      </c>
      <c r="C540" t="s">
        <v>30</v>
      </c>
      <c r="D540">
        <v>136</v>
      </c>
      <c r="E540" t="s">
        <v>17</v>
      </c>
      <c r="F540">
        <v>128</v>
      </c>
      <c r="G540">
        <v>128</v>
      </c>
    </row>
    <row r="541" spans="1:7" x14ac:dyDescent="0.3">
      <c r="A541" s="11">
        <v>45299</v>
      </c>
      <c r="B541" s="11" t="s">
        <v>6</v>
      </c>
      <c r="C541" t="s">
        <v>13</v>
      </c>
      <c r="D541">
        <v>113</v>
      </c>
      <c r="E541" t="s">
        <v>22</v>
      </c>
      <c r="F541">
        <v>120</v>
      </c>
      <c r="G541">
        <v>120</v>
      </c>
    </row>
    <row r="542" spans="1:7" x14ac:dyDescent="0.3">
      <c r="A542" s="11">
        <v>45299</v>
      </c>
      <c r="B542" s="11" t="s">
        <v>27</v>
      </c>
      <c r="C542" t="s">
        <v>34</v>
      </c>
      <c r="D542">
        <v>132</v>
      </c>
      <c r="E542" t="s">
        <v>42</v>
      </c>
      <c r="F542">
        <v>116</v>
      </c>
      <c r="G542">
        <v>116</v>
      </c>
    </row>
    <row r="543" spans="1:7" x14ac:dyDescent="0.3">
      <c r="A543" s="11">
        <v>45299</v>
      </c>
      <c r="B543" s="11" t="s">
        <v>38</v>
      </c>
      <c r="C543" t="s">
        <v>10</v>
      </c>
      <c r="D543">
        <v>111</v>
      </c>
      <c r="E543" t="s">
        <v>40</v>
      </c>
      <c r="F543">
        <v>138</v>
      </c>
      <c r="G543">
        <v>138</v>
      </c>
    </row>
    <row r="544" spans="1:7" x14ac:dyDescent="0.3">
      <c r="A544" s="11">
        <v>45300</v>
      </c>
      <c r="B544" s="11" t="s">
        <v>12</v>
      </c>
      <c r="C544" t="s">
        <v>33</v>
      </c>
      <c r="D544">
        <v>131</v>
      </c>
      <c r="E544" t="s">
        <v>21</v>
      </c>
      <c r="F544">
        <v>110</v>
      </c>
      <c r="G544">
        <v>110</v>
      </c>
    </row>
    <row r="545" spans="1:7" x14ac:dyDescent="0.3">
      <c r="A545" s="11">
        <v>45300</v>
      </c>
      <c r="B545" s="11" t="s">
        <v>12</v>
      </c>
      <c r="C545" t="s">
        <v>23</v>
      </c>
      <c r="D545">
        <v>113</v>
      </c>
      <c r="E545" t="s">
        <v>14</v>
      </c>
      <c r="F545">
        <v>92</v>
      </c>
      <c r="G545">
        <v>92</v>
      </c>
    </row>
    <row r="546" spans="1:7" x14ac:dyDescent="0.3">
      <c r="A546" s="11">
        <v>45300</v>
      </c>
      <c r="B546" s="11" t="s">
        <v>6</v>
      </c>
      <c r="C546" t="s">
        <v>39</v>
      </c>
      <c r="D546">
        <v>84</v>
      </c>
      <c r="E546" t="s">
        <v>16</v>
      </c>
      <c r="F546">
        <v>112</v>
      </c>
      <c r="G546">
        <v>112</v>
      </c>
    </row>
    <row r="547" spans="1:7" x14ac:dyDescent="0.3">
      <c r="A547" s="11">
        <v>45300</v>
      </c>
      <c r="B547" s="11" t="s">
        <v>43</v>
      </c>
      <c r="C547" t="s">
        <v>29</v>
      </c>
      <c r="D547">
        <v>120</v>
      </c>
      <c r="E547" t="s">
        <v>36</v>
      </c>
      <c r="F547">
        <v>103</v>
      </c>
      <c r="G547">
        <v>103</v>
      </c>
    </row>
    <row r="548" spans="1:7" x14ac:dyDescent="0.3">
      <c r="A548" s="11">
        <v>45300</v>
      </c>
      <c r="B548" s="11" t="s">
        <v>38</v>
      </c>
      <c r="C548" t="s">
        <v>24</v>
      </c>
      <c r="D548">
        <v>131</v>
      </c>
      <c r="E548" t="s">
        <v>7</v>
      </c>
      <c r="F548">
        <v>132</v>
      </c>
      <c r="G548">
        <v>132</v>
      </c>
    </row>
    <row r="549" spans="1:7" x14ac:dyDescent="0.3">
      <c r="A549" s="11">
        <v>45301</v>
      </c>
      <c r="B549" s="11" t="s">
        <v>12</v>
      </c>
      <c r="C549" t="s">
        <v>23</v>
      </c>
      <c r="D549">
        <v>120</v>
      </c>
      <c r="E549" t="s">
        <v>15</v>
      </c>
      <c r="F549">
        <v>127</v>
      </c>
      <c r="G549">
        <v>127</v>
      </c>
    </row>
    <row r="550" spans="1:7" x14ac:dyDescent="0.3">
      <c r="A550" s="11">
        <v>45301</v>
      </c>
      <c r="B550" s="11" t="s">
        <v>12</v>
      </c>
      <c r="C550" t="s">
        <v>33</v>
      </c>
      <c r="D550">
        <v>123</v>
      </c>
      <c r="E550" t="s">
        <v>20</v>
      </c>
      <c r="F550">
        <v>98</v>
      </c>
      <c r="G550">
        <v>98</v>
      </c>
    </row>
    <row r="551" spans="1:7" x14ac:dyDescent="0.3">
      <c r="A551" s="11">
        <v>45301</v>
      </c>
      <c r="B551" s="11" t="s">
        <v>12</v>
      </c>
      <c r="C551" t="s">
        <v>37</v>
      </c>
      <c r="D551">
        <v>130</v>
      </c>
      <c r="E551" t="s">
        <v>21</v>
      </c>
      <c r="F551">
        <v>108</v>
      </c>
      <c r="G551">
        <v>108</v>
      </c>
    </row>
    <row r="552" spans="1:7" x14ac:dyDescent="0.3">
      <c r="A552" s="11">
        <v>45301</v>
      </c>
      <c r="B552" s="11" t="s">
        <v>12</v>
      </c>
      <c r="C552" t="s">
        <v>17</v>
      </c>
      <c r="D552">
        <v>104</v>
      </c>
      <c r="E552" t="s">
        <v>18</v>
      </c>
      <c r="F552">
        <v>112</v>
      </c>
      <c r="G552">
        <v>112</v>
      </c>
    </row>
    <row r="553" spans="1:7" x14ac:dyDescent="0.3">
      <c r="A553" s="11">
        <v>45301</v>
      </c>
      <c r="B553" s="11" t="s">
        <v>6</v>
      </c>
      <c r="C553" t="s">
        <v>41</v>
      </c>
      <c r="D553">
        <v>132</v>
      </c>
      <c r="E553" t="s">
        <v>19</v>
      </c>
      <c r="F553">
        <v>139</v>
      </c>
      <c r="G553">
        <v>139</v>
      </c>
    </row>
    <row r="554" spans="1:7" x14ac:dyDescent="0.3">
      <c r="A554" s="11">
        <v>45301</v>
      </c>
      <c r="B554" s="11" t="s">
        <v>6</v>
      </c>
      <c r="C554" t="s">
        <v>30</v>
      </c>
      <c r="D554">
        <v>128</v>
      </c>
      <c r="E554" t="s">
        <v>22</v>
      </c>
      <c r="F554">
        <v>120</v>
      </c>
      <c r="G554">
        <v>120</v>
      </c>
    </row>
    <row r="555" spans="1:7" x14ac:dyDescent="0.3">
      <c r="A555" s="11">
        <v>45301</v>
      </c>
      <c r="B555" s="11" t="s">
        <v>27</v>
      </c>
      <c r="C555" t="s">
        <v>13</v>
      </c>
      <c r="D555">
        <v>119</v>
      </c>
      <c r="E555" t="s">
        <v>31</v>
      </c>
      <c r="F555">
        <v>124</v>
      </c>
      <c r="G555">
        <v>124</v>
      </c>
    </row>
    <row r="556" spans="1:7" x14ac:dyDescent="0.3">
      <c r="A556" s="11">
        <v>45301</v>
      </c>
      <c r="B556" s="11" t="s">
        <v>43</v>
      </c>
      <c r="C556" t="s">
        <v>28</v>
      </c>
      <c r="D556">
        <v>141</v>
      </c>
      <c r="E556" t="s">
        <v>11</v>
      </c>
      <c r="F556">
        <v>105</v>
      </c>
      <c r="G556">
        <v>105</v>
      </c>
    </row>
    <row r="557" spans="1:7" x14ac:dyDescent="0.3">
      <c r="A557" s="11">
        <v>45301</v>
      </c>
      <c r="B557" s="11" t="s">
        <v>9</v>
      </c>
      <c r="C557" t="s">
        <v>8</v>
      </c>
      <c r="D557">
        <v>111</v>
      </c>
      <c r="E557" t="s">
        <v>34</v>
      </c>
      <c r="F557">
        <v>124</v>
      </c>
      <c r="G557">
        <v>124</v>
      </c>
    </row>
    <row r="558" spans="1:7" x14ac:dyDescent="0.3">
      <c r="A558" s="11">
        <v>45301</v>
      </c>
      <c r="B558" s="11" t="s">
        <v>38</v>
      </c>
      <c r="C558" t="s">
        <v>24</v>
      </c>
      <c r="D558">
        <v>120</v>
      </c>
      <c r="E558" t="s">
        <v>40</v>
      </c>
      <c r="F558">
        <v>126</v>
      </c>
      <c r="G558">
        <v>126</v>
      </c>
    </row>
    <row r="559" spans="1:7" x14ac:dyDescent="0.3">
      <c r="A559" s="11">
        <v>45302</v>
      </c>
      <c r="B559" s="11" t="s">
        <v>53</v>
      </c>
      <c r="C559" t="s">
        <v>26</v>
      </c>
      <c r="D559">
        <v>102</v>
      </c>
      <c r="E559" t="s">
        <v>25</v>
      </c>
      <c r="F559">
        <v>111</v>
      </c>
      <c r="G559">
        <v>111</v>
      </c>
    </row>
    <row r="560" spans="1:7" x14ac:dyDescent="0.3">
      <c r="A560" s="11">
        <v>45302</v>
      </c>
      <c r="B560" s="11" t="s">
        <v>6</v>
      </c>
      <c r="C560" t="s">
        <v>15</v>
      </c>
      <c r="D560">
        <v>102</v>
      </c>
      <c r="E560" t="s">
        <v>42</v>
      </c>
      <c r="F560">
        <v>135</v>
      </c>
      <c r="G560">
        <v>135</v>
      </c>
    </row>
    <row r="561" spans="1:7" x14ac:dyDescent="0.3">
      <c r="A561" s="11">
        <v>45302</v>
      </c>
      <c r="B561" s="11" t="s">
        <v>27</v>
      </c>
      <c r="C561" t="s">
        <v>39</v>
      </c>
      <c r="D561">
        <v>77</v>
      </c>
      <c r="E561" t="s">
        <v>30</v>
      </c>
      <c r="F561">
        <v>139</v>
      </c>
      <c r="G561">
        <v>139</v>
      </c>
    </row>
    <row r="562" spans="1:7" x14ac:dyDescent="0.3">
      <c r="A562" s="11">
        <v>45302</v>
      </c>
      <c r="B562" s="11" t="s">
        <v>43</v>
      </c>
      <c r="C562" t="s">
        <v>16</v>
      </c>
      <c r="D562">
        <v>124</v>
      </c>
      <c r="E562" t="s">
        <v>36</v>
      </c>
      <c r="F562">
        <v>128</v>
      </c>
      <c r="G562">
        <v>128</v>
      </c>
    </row>
    <row r="563" spans="1:7" x14ac:dyDescent="0.3">
      <c r="A563" s="11">
        <v>45302</v>
      </c>
      <c r="B563" s="11" t="s">
        <v>9</v>
      </c>
      <c r="C563" t="s">
        <v>10</v>
      </c>
      <c r="D563">
        <v>127</v>
      </c>
      <c r="E563" t="s">
        <v>7</v>
      </c>
      <c r="F563">
        <v>109</v>
      </c>
      <c r="G563">
        <v>109</v>
      </c>
    </row>
    <row r="564" spans="1:7" x14ac:dyDescent="0.3">
      <c r="A564" s="11">
        <v>45303</v>
      </c>
      <c r="B564" s="11" t="s">
        <v>6</v>
      </c>
      <c r="C564" t="s">
        <v>18</v>
      </c>
      <c r="D564">
        <v>126</v>
      </c>
      <c r="E564" t="s">
        <v>19</v>
      </c>
      <c r="F564">
        <v>108</v>
      </c>
      <c r="G564">
        <v>108</v>
      </c>
    </row>
    <row r="565" spans="1:7" x14ac:dyDescent="0.3">
      <c r="A565" s="11">
        <v>45303</v>
      </c>
      <c r="B565" s="11" t="s">
        <v>6</v>
      </c>
      <c r="C565" t="s">
        <v>13</v>
      </c>
      <c r="D565">
        <v>112</v>
      </c>
      <c r="E565" t="s">
        <v>21</v>
      </c>
      <c r="F565">
        <v>110</v>
      </c>
      <c r="G565">
        <v>110</v>
      </c>
    </row>
    <row r="566" spans="1:7" x14ac:dyDescent="0.3">
      <c r="A566" s="11">
        <v>45303</v>
      </c>
      <c r="B566" s="11" t="s">
        <v>6</v>
      </c>
      <c r="C566" t="s">
        <v>33</v>
      </c>
      <c r="D566">
        <v>93</v>
      </c>
      <c r="E566" t="s">
        <v>41</v>
      </c>
      <c r="F566">
        <v>112</v>
      </c>
      <c r="G566">
        <v>112</v>
      </c>
    </row>
    <row r="567" spans="1:7" x14ac:dyDescent="0.3">
      <c r="A567" s="11">
        <v>45303</v>
      </c>
      <c r="B567" s="11" t="s">
        <v>27</v>
      </c>
      <c r="C567" t="s">
        <v>11</v>
      </c>
      <c r="D567">
        <v>140</v>
      </c>
      <c r="E567" t="s">
        <v>31</v>
      </c>
      <c r="F567">
        <v>131</v>
      </c>
      <c r="G567">
        <v>131</v>
      </c>
    </row>
    <row r="568" spans="1:7" x14ac:dyDescent="0.3">
      <c r="A568" s="11">
        <v>45303</v>
      </c>
      <c r="B568" s="11" t="s">
        <v>27</v>
      </c>
      <c r="C568" t="s">
        <v>40</v>
      </c>
      <c r="D568">
        <v>128</v>
      </c>
      <c r="E568" t="s">
        <v>29</v>
      </c>
      <c r="F568">
        <v>119</v>
      </c>
      <c r="G568">
        <v>119</v>
      </c>
    </row>
    <row r="569" spans="1:7" x14ac:dyDescent="0.3">
      <c r="A569" s="11">
        <v>45303</v>
      </c>
      <c r="B569" s="11" t="s">
        <v>27</v>
      </c>
      <c r="C569" t="s">
        <v>14</v>
      </c>
      <c r="D569">
        <v>96</v>
      </c>
      <c r="E569" t="s">
        <v>22</v>
      </c>
      <c r="F569">
        <v>99</v>
      </c>
      <c r="G569">
        <v>99</v>
      </c>
    </row>
    <row r="570" spans="1:7" x14ac:dyDescent="0.3">
      <c r="A570" s="11">
        <v>45303</v>
      </c>
      <c r="B570" s="11" t="s">
        <v>27</v>
      </c>
      <c r="C570" t="s">
        <v>39</v>
      </c>
      <c r="D570">
        <v>93</v>
      </c>
      <c r="E570" t="s">
        <v>23</v>
      </c>
      <c r="F570">
        <v>116</v>
      </c>
      <c r="G570">
        <v>116</v>
      </c>
    </row>
    <row r="571" spans="1:7" x14ac:dyDescent="0.3">
      <c r="A571" s="11">
        <v>45303</v>
      </c>
      <c r="B571" s="11" t="s">
        <v>27</v>
      </c>
      <c r="C571" t="s">
        <v>20</v>
      </c>
      <c r="D571">
        <v>99</v>
      </c>
      <c r="E571" t="s">
        <v>37</v>
      </c>
      <c r="F571">
        <v>135</v>
      </c>
      <c r="G571">
        <v>135</v>
      </c>
    </row>
    <row r="572" spans="1:7" x14ac:dyDescent="0.3">
      <c r="A572" s="11">
        <v>45303</v>
      </c>
      <c r="B572" s="11" t="s">
        <v>35</v>
      </c>
      <c r="C572" t="s">
        <v>24</v>
      </c>
      <c r="D572">
        <v>113</v>
      </c>
      <c r="E572" t="s">
        <v>34</v>
      </c>
      <c r="F572">
        <v>145</v>
      </c>
      <c r="G572">
        <v>145</v>
      </c>
    </row>
    <row r="573" spans="1:7" x14ac:dyDescent="0.3">
      <c r="A573" s="11">
        <v>45303</v>
      </c>
      <c r="B573" s="11" t="s">
        <v>9</v>
      </c>
      <c r="C573" t="s">
        <v>28</v>
      </c>
      <c r="D573">
        <v>113</v>
      </c>
      <c r="E573" t="s">
        <v>8</v>
      </c>
      <c r="F573">
        <v>125</v>
      </c>
      <c r="G573">
        <v>125</v>
      </c>
    </row>
    <row r="574" spans="1:7" x14ac:dyDescent="0.3">
      <c r="A574" s="11">
        <v>45304</v>
      </c>
      <c r="B574" s="11" t="s">
        <v>12</v>
      </c>
      <c r="C574" t="s">
        <v>13</v>
      </c>
      <c r="D574">
        <v>113</v>
      </c>
      <c r="E574" t="s">
        <v>15</v>
      </c>
      <c r="F574">
        <v>145</v>
      </c>
      <c r="G574">
        <v>145</v>
      </c>
    </row>
    <row r="575" spans="1:7" x14ac:dyDescent="0.3">
      <c r="A575" s="11">
        <v>45304</v>
      </c>
      <c r="B575" s="11" t="s">
        <v>6</v>
      </c>
      <c r="C575" t="s">
        <v>17</v>
      </c>
      <c r="D575">
        <v>127</v>
      </c>
      <c r="E575" t="s">
        <v>19</v>
      </c>
      <c r="F575">
        <v>99</v>
      </c>
      <c r="G575">
        <v>99</v>
      </c>
    </row>
    <row r="576" spans="1:7" x14ac:dyDescent="0.3">
      <c r="A576" s="11">
        <v>45304</v>
      </c>
      <c r="B576" s="11" t="s">
        <v>27</v>
      </c>
      <c r="C576" t="s">
        <v>16</v>
      </c>
      <c r="D576">
        <v>106</v>
      </c>
      <c r="E576" t="s">
        <v>29</v>
      </c>
      <c r="F576">
        <v>94</v>
      </c>
      <c r="G576">
        <v>94</v>
      </c>
    </row>
    <row r="577" spans="1:7" x14ac:dyDescent="0.3">
      <c r="A577" s="11">
        <v>45304</v>
      </c>
      <c r="B577" s="11" t="s">
        <v>27</v>
      </c>
      <c r="C577" t="s">
        <v>11</v>
      </c>
      <c r="D577">
        <v>118</v>
      </c>
      <c r="E577" t="s">
        <v>42</v>
      </c>
      <c r="F577">
        <v>129</v>
      </c>
      <c r="G577">
        <v>129</v>
      </c>
    </row>
    <row r="578" spans="1:7" x14ac:dyDescent="0.3">
      <c r="A578" s="11">
        <v>45304</v>
      </c>
      <c r="B578" s="11" t="s">
        <v>27</v>
      </c>
      <c r="C578" t="s">
        <v>14</v>
      </c>
      <c r="D578">
        <v>100</v>
      </c>
      <c r="E578" t="s">
        <v>30</v>
      </c>
      <c r="F578">
        <v>112</v>
      </c>
      <c r="G578">
        <v>112</v>
      </c>
    </row>
    <row r="579" spans="1:7" x14ac:dyDescent="0.3">
      <c r="A579" s="11">
        <v>45304</v>
      </c>
      <c r="B579" s="11" t="s">
        <v>43</v>
      </c>
      <c r="C579" t="s">
        <v>28</v>
      </c>
      <c r="D579">
        <v>118</v>
      </c>
      <c r="E579" t="s">
        <v>36</v>
      </c>
      <c r="F579">
        <v>108</v>
      </c>
      <c r="G579">
        <v>108</v>
      </c>
    </row>
    <row r="580" spans="1:7" x14ac:dyDescent="0.3">
      <c r="A580" s="11">
        <v>45304</v>
      </c>
      <c r="B580" s="11" t="s">
        <v>43</v>
      </c>
      <c r="C580" t="s">
        <v>31</v>
      </c>
      <c r="D580">
        <v>122</v>
      </c>
      <c r="E580" t="s">
        <v>37</v>
      </c>
      <c r="F580">
        <v>116</v>
      </c>
      <c r="G580">
        <v>116</v>
      </c>
    </row>
    <row r="581" spans="1:7" x14ac:dyDescent="0.3">
      <c r="A581" s="11">
        <v>45304</v>
      </c>
      <c r="B581" s="11" t="s">
        <v>35</v>
      </c>
      <c r="C581" t="s">
        <v>7</v>
      </c>
      <c r="D581">
        <v>125</v>
      </c>
      <c r="E581" t="s">
        <v>34</v>
      </c>
      <c r="F581">
        <v>132</v>
      </c>
      <c r="G581">
        <v>132</v>
      </c>
    </row>
    <row r="582" spans="1:7" x14ac:dyDescent="0.3">
      <c r="A582" s="11">
        <v>45305</v>
      </c>
      <c r="B582" s="11" t="s">
        <v>44</v>
      </c>
      <c r="C582" t="s">
        <v>18</v>
      </c>
      <c r="D582">
        <v>109</v>
      </c>
      <c r="E582" t="s">
        <v>8</v>
      </c>
      <c r="F582">
        <v>117</v>
      </c>
      <c r="G582">
        <v>117</v>
      </c>
    </row>
    <row r="583" spans="1:7" x14ac:dyDescent="0.3">
      <c r="A583" s="11">
        <v>45305</v>
      </c>
      <c r="B583" s="11" t="s">
        <v>47</v>
      </c>
      <c r="C583" t="s">
        <v>20</v>
      </c>
      <c r="D583">
        <v>87</v>
      </c>
      <c r="E583" t="s">
        <v>22</v>
      </c>
      <c r="F583">
        <v>104</v>
      </c>
      <c r="G583">
        <v>104</v>
      </c>
    </row>
    <row r="584" spans="1:7" x14ac:dyDescent="0.3">
      <c r="A584" s="11">
        <v>45305</v>
      </c>
      <c r="B584" s="11" t="s">
        <v>12</v>
      </c>
      <c r="C584" t="s">
        <v>33</v>
      </c>
      <c r="D584">
        <v>142</v>
      </c>
      <c r="E584" t="s">
        <v>42</v>
      </c>
      <c r="F584">
        <v>143</v>
      </c>
      <c r="G584">
        <v>143</v>
      </c>
    </row>
    <row r="585" spans="1:7" x14ac:dyDescent="0.3">
      <c r="A585" s="11">
        <v>45305</v>
      </c>
      <c r="B585" s="11" t="s">
        <v>12</v>
      </c>
      <c r="C585" t="s">
        <v>40</v>
      </c>
      <c r="D585">
        <v>105</v>
      </c>
      <c r="E585" t="s">
        <v>23</v>
      </c>
      <c r="F585">
        <v>109</v>
      </c>
      <c r="G585">
        <v>109</v>
      </c>
    </row>
    <row r="586" spans="1:7" x14ac:dyDescent="0.3">
      <c r="A586" s="11">
        <v>45305</v>
      </c>
      <c r="B586" s="11" t="s">
        <v>32</v>
      </c>
      <c r="C586" t="s">
        <v>10</v>
      </c>
      <c r="D586">
        <v>127</v>
      </c>
      <c r="E586" t="s">
        <v>39</v>
      </c>
      <c r="F586">
        <v>116</v>
      </c>
      <c r="G586">
        <v>116</v>
      </c>
    </row>
    <row r="587" spans="1:7" x14ac:dyDescent="0.3">
      <c r="A587" s="11">
        <v>45306</v>
      </c>
      <c r="B587" s="11" t="s">
        <v>45</v>
      </c>
      <c r="C587" t="s">
        <v>13</v>
      </c>
      <c r="D587">
        <v>115</v>
      </c>
      <c r="E587" t="s">
        <v>41</v>
      </c>
      <c r="F587">
        <v>124</v>
      </c>
      <c r="G587">
        <v>124</v>
      </c>
    </row>
    <row r="588" spans="1:7" x14ac:dyDescent="0.3">
      <c r="A588" s="11">
        <v>45306</v>
      </c>
      <c r="B588" s="11" t="s">
        <v>51</v>
      </c>
      <c r="C588" t="s">
        <v>28</v>
      </c>
      <c r="D588">
        <v>120</v>
      </c>
      <c r="E588" t="s">
        <v>36</v>
      </c>
      <c r="F588">
        <v>125</v>
      </c>
      <c r="G588">
        <v>125</v>
      </c>
    </row>
    <row r="589" spans="1:7" x14ac:dyDescent="0.3">
      <c r="A589" s="11">
        <v>45306</v>
      </c>
      <c r="B589" s="11" t="s">
        <v>46</v>
      </c>
      <c r="C589" t="s">
        <v>14</v>
      </c>
      <c r="D589">
        <v>98</v>
      </c>
      <c r="E589" t="s">
        <v>16</v>
      </c>
      <c r="F589">
        <v>94</v>
      </c>
      <c r="G589">
        <v>94</v>
      </c>
    </row>
    <row r="590" spans="1:7" x14ac:dyDescent="0.3">
      <c r="A590" s="11">
        <v>45306</v>
      </c>
      <c r="B590" s="11" t="s">
        <v>46</v>
      </c>
      <c r="C590" t="s">
        <v>21</v>
      </c>
      <c r="D590">
        <v>129</v>
      </c>
      <c r="E590" t="s">
        <v>17</v>
      </c>
      <c r="F590">
        <v>117</v>
      </c>
      <c r="G590">
        <v>117</v>
      </c>
    </row>
    <row r="591" spans="1:7" x14ac:dyDescent="0.3">
      <c r="A591" s="11">
        <v>45306</v>
      </c>
      <c r="B591" s="11" t="s">
        <v>44</v>
      </c>
      <c r="C591" t="s">
        <v>37</v>
      </c>
      <c r="D591">
        <v>99</v>
      </c>
      <c r="E591" t="s">
        <v>19</v>
      </c>
      <c r="F591">
        <v>109</v>
      </c>
      <c r="G591">
        <v>109</v>
      </c>
    </row>
    <row r="592" spans="1:7" x14ac:dyDescent="0.3">
      <c r="A592" s="11">
        <v>45306</v>
      </c>
      <c r="B592" s="11" t="s">
        <v>47</v>
      </c>
      <c r="C592" t="s">
        <v>11</v>
      </c>
      <c r="D592">
        <v>107</v>
      </c>
      <c r="E592" t="s">
        <v>29</v>
      </c>
      <c r="F592">
        <v>116</v>
      </c>
      <c r="G592">
        <v>116</v>
      </c>
    </row>
    <row r="593" spans="1:7" x14ac:dyDescent="0.3">
      <c r="A593" s="11">
        <v>45306</v>
      </c>
      <c r="B593" s="11" t="s">
        <v>12</v>
      </c>
      <c r="C593" t="s">
        <v>31</v>
      </c>
      <c r="D593">
        <v>91</v>
      </c>
      <c r="E593" t="s">
        <v>25</v>
      </c>
      <c r="F593">
        <v>109</v>
      </c>
      <c r="G593">
        <v>109</v>
      </c>
    </row>
    <row r="594" spans="1:7" x14ac:dyDescent="0.3">
      <c r="A594" s="11">
        <v>45306</v>
      </c>
      <c r="B594" s="11" t="s">
        <v>6</v>
      </c>
      <c r="C594" t="s">
        <v>22</v>
      </c>
      <c r="D594">
        <v>96</v>
      </c>
      <c r="E594" t="s">
        <v>26</v>
      </c>
      <c r="F594">
        <v>95</v>
      </c>
      <c r="G594">
        <v>95</v>
      </c>
    </row>
    <row r="595" spans="1:7" x14ac:dyDescent="0.3">
      <c r="A595" s="11">
        <v>45306</v>
      </c>
      <c r="B595" s="11" t="s">
        <v>6</v>
      </c>
      <c r="C595" t="s">
        <v>15</v>
      </c>
      <c r="D595">
        <v>105</v>
      </c>
      <c r="E595" t="s">
        <v>24</v>
      </c>
      <c r="F595">
        <v>96</v>
      </c>
      <c r="G595">
        <v>96</v>
      </c>
    </row>
    <row r="596" spans="1:7" x14ac:dyDescent="0.3">
      <c r="A596" s="11">
        <v>45306</v>
      </c>
      <c r="B596" s="11" t="s">
        <v>32</v>
      </c>
      <c r="C596" t="s">
        <v>18</v>
      </c>
      <c r="D596">
        <v>105</v>
      </c>
      <c r="E596" t="s">
        <v>34</v>
      </c>
      <c r="F596">
        <v>132</v>
      </c>
      <c r="G596">
        <v>132</v>
      </c>
    </row>
    <row r="597" spans="1:7" x14ac:dyDescent="0.3">
      <c r="A597" s="11">
        <v>45306</v>
      </c>
      <c r="B597" s="11" t="s">
        <v>38</v>
      </c>
      <c r="C597" t="s">
        <v>30</v>
      </c>
      <c r="D597">
        <v>105</v>
      </c>
      <c r="E597" t="s">
        <v>7</v>
      </c>
      <c r="F597">
        <v>112</v>
      </c>
      <c r="G597">
        <v>112</v>
      </c>
    </row>
    <row r="598" spans="1:7" x14ac:dyDescent="0.3">
      <c r="A598" s="11">
        <v>45307</v>
      </c>
      <c r="B598" s="11" t="s">
        <v>6</v>
      </c>
      <c r="C598" t="s">
        <v>8</v>
      </c>
      <c r="D598">
        <v>121</v>
      </c>
      <c r="E598" t="s">
        <v>41</v>
      </c>
      <c r="F598">
        <v>126</v>
      </c>
      <c r="G598">
        <v>126</v>
      </c>
    </row>
    <row r="599" spans="1:7" x14ac:dyDescent="0.3">
      <c r="A599" s="11">
        <v>45307</v>
      </c>
      <c r="B599" s="11" t="s">
        <v>32</v>
      </c>
      <c r="C599" t="s">
        <v>33</v>
      </c>
      <c r="D599">
        <v>117</v>
      </c>
      <c r="E599" t="s">
        <v>10</v>
      </c>
      <c r="F599">
        <v>119</v>
      </c>
      <c r="G599">
        <v>119</v>
      </c>
    </row>
    <row r="600" spans="1:7" x14ac:dyDescent="0.3">
      <c r="A600" s="11">
        <v>45307</v>
      </c>
      <c r="B600" s="11" t="s">
        <v>9</v>
      </c>
      <c r="C600" t="s">
        <v>30</v>
      </c>
      <c r="D600">
        <v>117</v>
      </c>
      <c r="E600" t="s">
        <v>40</v>
      </c>
      <c r="F600">
        <v>128</v>
      </c>
      <c r="G600">
        <v>128</v>
      </c>
    </row>
    <row r="601" spans="1:7" x14ac:dyDescent="0.3">
      <c r="A601" s="11">
        <v>45308</v>
      </c>
      <c r="B601" s="11" t="s">
        <v>12</v>
      </c>
      <c r="C601" t="s">
        <v>23</v>
      </c>
      <c r="D601">
        <v>124</v>
      </c>
      <c r="E601" t="s">
        <v>21</v>
      </c>
      <c r="F601">
        <v>117</v>
      </c>
      <c r="G601">
        <v>117</v>
      </c>
    </row>
    <row r="602" spans="1:7" x14ac:dyDescent="0.3">
      <c r="A602" s="11">
        <v>45308</v>
      </c>
      <c r="B602" s="11" t="s">
        <v>6</v>
      </c>
      <c r="C602" t="s">
        <v>14</v>
      </c>
      <c r="D602">
        <v>104</v>
      </c>
      <c r="E602" t="s">
        <v>19</v>
      </c>
      <c r="F602">
        <v>106</v>
      </c>
      <c r="G602">
        <v>106</v>
      </c>
    </row>
    <row r="603" spans="1:7" x14ac:dyDescent="0.3">
      <c r="A603" s="11">
        <v>45308</v>
      </c>
      <c r="B603" s="11" t="s">
        <v>6</v>
      </c>
      <c r="C603" t="s">
        <v>37</v>
      </c>
      <c r="D603">
        <v>98</v>
      </c>
      <c r="E603" t="s">
        <v>15</v>
      </c>
      <c r="F603">
        <v>117</v>
      </c>
      <c r="G603">
        <v>117</v>
      </c>
    </row>
    <row r="604" spans="1:7" x14ac:dyDescent="0.3">
      <c r="A604" s="11">
        <v>45308</v>
      </c>
      <c r="B604" s="11" t="s">
        <v>6</v>
      </c>
      <c r="C604" t="s">
        <v>42</v>
      </c>
      <c r="D604">
        <v>95</v>
      </c>
      <c r="E604" t="s">
        <v>25</v>
      </c>
      <c r="F604">
        <v>135</v>
      </c>
      <c r="G604">
        <v>135</v>
      </c>
    </row>
    <row r="605" spans="1:7" x14ac:dyDescent="0.3">
      <c r="A605" s="11">
        <v>45308</v>
      </c>
      <c r="B605" s="11" t="s">
        <v>6</v>
      </c>
      <c r="C605" t="s">
        <v>13</v>
      </c>
      <c r="D605">
        <v>94</v>
      </c>
      <c r="E605" t="s">
        <v>16</v>
      </c>
      <c r="F605">
        <v>109</v>
      </c>
      <c r="G605">
        <v>109</v>
      </c>
    </row>
    <row r="606" spans="1:7" x14ac:dyDescent="0.3">
      <c r="A606" s="11">
        <v>45308</v>
      </c>
      <c r="B606" s="11" t="s">
        <v>6</v>
      </c>
      <c r="C606" t="s">
        <v>22</v>
      </c>
      <c r="D606">
        <v>97</v>
      </c>
      <c r="E606" t="s">
        <v>24</v>
      </c>
      <c r="F606">
        <v>121</v>
      </c>
      <c r="G606">
        <v>121</v>
      </c>
    </row>
    <row r="607" spans="1:7" x14ac:dyDescent="0.3">
      <c r="A607" s="11">
        <v>45308</v>
      </c>
      <c r="B607" s="11" t="s">
        <v>27</v>
      </c>
      <c r="C607" t="s">
        <v>20</v>
      </c>
      <c r="D607">
        <v>112</v>
      </c>
      <c r="E607" t="s">
        <v>28</v>
      </c>
      <c r="F607">
        <v>132</v>
      </c>
      <c r="G607">
        <v>132</v>
      </c>
    </row>
    <row r="608" spans="1:7" x14ac:dyDescent="0.3">
      <c r="A608" s="11">
        <v>45308</v>
      </c>
      <c r="B608" s="11" t="s">
        <v>43</v>
      </c>
      <c r="C608" t="s">
        <v>36</v>
      </c>
      <c r="D608">
        <v>110</v>
      </c>
      <c r="E608" t="s">
        <v>7</v>
      </c>
      <c r="F608">
        <v>127</v>
      </c>
      <c r="G608">
        <v>127</v>
      </c>
    </row>
    <row r="609" spans="1:7" x14ac:dyDescent="0.3">
      <c r="A609" s="11">
        <v>45308</v>
      </c>
      <c r="B609" s="11" t="s">
        <v>9</v>
      </c>
      <c r="C609" t="s">
        <v>26</v>
      </c>
      <c r="D609">
        <v>103</v>
      </c>
      <c r="E609" t="s">
        <v>39</v>
      </c>
      <c r="F609">
        <v>105</v>
      </c>
      <c r="G609">
        <v>105</v>
      </c>
    </row>
    <row r="610" spans="1:7" x14ac:dyDescent="0.3">
      <c r="A610" s="11">
        <v>45309</v>
      </c>
      <c r="B610" s="11" t="s">
        <v>6</v>
      </c>
      <c r="C610" t="s">
        <v>17</v>
      </c>
      <c r="D610">
        <v>109</v>
      </c>
      <c r="E610" t="s">
        <v>16</v>
      </c>
      <c r="F610">
        <v>113</v>
      </c>
      <c r="G610">
        <v>113</v>
      </c>
    </row>
    <row r="611" spans="1:7" x14ac:dyDescent="0.3">
      <c r="A611" s="11">
        <v>45309</v>
      </c>
      <c r="B611" s="11" t="s">
        <v>6</v>
      </c>
      <c r="C611" t="s">
        <v>31</v>
      </c>
      <c r="D611">
        <v>116</v>
      </c>
      <c r="E611" t="s">
        <v>24</v>
      </c>
      <c r="F611">
        <v>110</v>
      </c>
      <c r="G611">
        <v>110</v>
      </c>
    </row>
    <row r="612" spans="1:7" x14ac:dyDescent="0.3">
      <c r="A612" s="11">
        <v>45309</v>
      </c>
      <c r="B612" s="11" t="s">
        <v>32</v>
      </c>
      <c r="C612" t="s">
        <v>30</v>
      </c>
      <c r="D612">
        <v>134</v>
      </c>
      <c r="E612" t="s">
        <v>34</v>
      </c>
      <c r="F612">
        <v>129</v>
      </c>
      <c r="G612">
        <v>129</v>
      </c>
    </row>
    <row r="613" spans="1:7" x14ac:dyDescent="0.3">
      <c r="A613" s="11">
        <v>45309</v>
      </c>
      <c r="B613" s="11" t="s">
        <v>9</v>
      </c>
      <c r="C613" t="s">
        <v>29</v>
      </c>
      <c r="D613">
        <v>103</v>
      </c>
      <c r="E613" t="s">
        <v>23</v>
      </c>
      <c r="F613">
        <v>118</v>
      </c>
      <c r="G613">
        <v>118</v>
      </c>
    </row>
    <row r="614" spans="1:7" x14ac:dyDescent="0.3">
      <c r="A614" s="11">
        <v>45309</v>
      </c>
      <c r="B614" s="11" t="s">
        <v>9</v>
      </c>
      <c r="C614" t="s">
        <v>18</v>
      </c>
      <c r="D614">
        <v>126</v>
      </c>
      <c r="E614" t="s">
        <v>33</v>
      </c>
      <c r="F614">
        <v>121</v>
      </c>
      <c r="G614">
        <v>121</v>
      </c>
    </row>
    <row r="615" spans="1:7" x14ac:dyDescent="0.3">
      <c r="A615" s="11">
        <v>45310</v>
      </c>
      <c r="B615" s="11" t="s">
        <v>12</v>
      </c>
      <c r="C615" t="s">
        <v>37</v>
      </c>
      <c r="D615">
        <v>120</v>
      </c>
      <c r="E615" t="s">
        <v>20</v>
      </c>
      <c r="F615">
        <v>124</v>
      </c>
      <c r="G615">
        <v>124</v>
      </c>
    </row>
    <row r="616" spans="1:7" x14ac:dyDescent="0.3">
      <c r="A616" s="11">
        <v>45310</v>
      </c>
      <c r="B616" s="11" t="s">
        <v>12</v>
      </c>
      <c r="C616" t="s">
        <v>41</v>
      </c>
      <c r="D616">
        <v>124</v>
      </c>
      <c r="E616" t="s">
        <v>14</v>
      </c>
      <c r="F616">
        <v>109</v>
      </c>
      <c r="G616">
        <v>109</v>
      </c>
    </row>
    <row r="617" spans="1:7" x14ac:dyDescent="0.3">
      <c r="A617" s="11">
        <v>45310</v>
      </c>
      <c r="B617" s="11" t="s">
        <v>6</v>
      </c>
      <c r="C617" t="s">
        <v>8</v>
      </c>
      <c r="D617">
        <v>102</v>
      </c>
      <c r="E617" t="s">
        <v>15</v>
      </c>
      <c r="F617">
        <v>100</v>
      </c>
      <c r="G617">
        <v>100</v>
      </c>
    </row>
    <row r="618" spans="1:7" x14ac:dyDescent="0.3">
      <c r="A618" s="11">
        <v>45310</v>
      </c>
      <c r="B618" s="11" t="s">
        <v>27</v>
      </c>
      <c r="C618" t="s">
        <v>19</v>
      </c>
      <c r="D618">
        <v>109</v>
      </c>
      <c r="E618" t="s">
        <v>22</v>
      </c>
      <c r="F618">
        <v>108</v>
      </c>
      <c r="G618">
        <v>108</v>
      </c>
    </row>
    <row r="619" spans="1:7" x14ac:dyDescent="0.3">
      <c r="A619" s="11">
        <v>45310</v>
      </c>
      <c r="B619" s="11" t="s">
        <v>27</v>
      </c>
      <c r="C619" t="s">
        <v>10</v>
      </c>
      <c r="D619">
        <v>123</v>
      </c>
      <c r="E619" t="s">
        <v>28</v>
      </c>
      <c r="F619">
        <v>109</v>
      </c>
      <c r="G619">
        <v>109</v>
      </c>
    </row>
    <row r="620" spans="1:7" x14ac:dyDescent="0.3">
      <c r="A620" s="11">
        <v>45310</v>
      </c>
      <c r="B620" s="11" t="s">
        <v>9</v>
      </c>
      <c r="C620" t="s">
        <v>18</v>
      </c>
      <c r="D620">
        <v>115</v>
      </c>
      <c r="E620" t="s">
        <v>39</v>
      </c>
      <c r="F620">
        <v>118</v>
      </c>
      <c r="G620">
        <v>118</v>
      </c>
    </row>
    <row r="621" spans="1:7" x14ac:dyDescent="0.3">
      <c r="A621" s="11">
        <v>45310</v>
      </c>
      <c r="B621" s="11" t="s">
        <v>38</v>
      </c>
      <c r="C621" t="s">
        <v>26</v>
      </c>
      <c r="D621">
        <v>130</v>
      </c>
      <c r="E621" t="s">
        <v>7</v>
      </c>
      <c r="F621">
        <v>112</v>
      </c>
      <c r="G621">
        <v>112</v>
      </c>
    </row>
    <row r="622" spans="1:7" x14ac:dyDescent="0.3">
      <c r="A622" s="11">
        <v>45311</v>
      </c>
      <c r="B622" s="11" t="s">
        <v>46</v>
      </c>
      <c r="C622" t="s">
        <v>42</v>
      </c>
      <c r="D622">
        <v>141</v>
      </c>
      <c r="E622" t="s">
        <v>21</v>
      </c>
      <c r="F622">
        <v>135</v>
      </c>
      <c r="G622">
        <v>135</v>
      </c>
    </row>
    <row r="623" spans="1:7" x14ac:dyDescent="0.3">
      <c r="A623" s="11">
        <v>45311</v>
      </c>
      <c r="B623" s="11" t="s">
        <v>12</v>
      </c>
      <c r="C623" t="s">
        <v>41</v>
      </c>
      <c r="D623">
        <v>97</v>
      </c>
      <c r="E623" t="s">
        <v>20</v>
      </c>
      <c r="F623">
        <v>89</v>
      </c>
      <c r="G623">
        <v>89</v>
      </c>
    </row>
    <row r="624" spans="1:7" x14ac:dyDescent="0.3">
      <c r="A624" s="11">
        <v>45311</v>
      </c>
      <c r="B624" s="11" t="s">
        <v>12</v>
      </c>
      <c r="C624" t="s">
        <v>37</v>
      </c>
      <c r="D624">
        <v>131</v>
      </c>
      <c r="E624" t="s">
        <v>17</v>
      </c>
      <c r="F624">
        <v>127</v>
      </c>
      <c r="G624">
        <v>127</v>
      </c>
    </row>
    <row r="625" spans="1:7" x14ac:dyDescent="0.3">
      <c r="A625" s="11">
        <v>45311</v>
      </c>
      <c r="B625" s="11" t="s">
        <v>6</v>
      </c>
      <c r="C625" t="s">
        <v>25</v>
      </c>
      <c r="D625">
        <v>116</v>
      </c>
      <c r="E625" t="s">
        <v>19</v>
      </c>
      <c r="F625">
        <v>95</v>
      </c>
      <c r="G625">
        <v>95</v>
      </c>
    </row>
    <row r="626" spans="1:7" x14ac:dyDescent="0.3">
      <c r="A626" s="11">
        <v>45311</v>
      </c>
      <c r="B626" s="11" t="s">
        <v>6</v>
      </c>
      <c r="C626" t="s">
        <v>24</v>
      </c>
      <c r="D626">
        <v>100</v>
      </c>
      <c r="E626" t="s">
        <v>16</v>
      </c>
      <c r="F626">
        <v>126</v>
      </c>
      <c r="G626">
        <v>126</v>
      </c>
    </row>
    <row r="627" spans="1:7" x14ac:dyDescent="0.3">
      <c r="A627" s="11">
        <v>45311</v>
      </c>
      <c r="B627" s="11" t="s">
        <v>27</v>
      </c>
      <c r="C627" t="s">
        <v>29</v>
      </c>
      <c r="D627">
        <v>96</v>
      </c>
      <c r="E627" t="s">
        <v>31</v>
      </c>
      <c r="F627">
        <v>125</v>
      </c>
      <c r="G627">
        <v>125</v>
      </c>
    </row>
    <row r="628" spans="1:7" x14ac:dyDescent="0.3">
      <c r="A628" s="11">
        <v>45311</v>
      </c>
      <c r="B628" s="11" t="s">
        <v>27</v>
      </c>
      <c r="C628" t="s">
        <v>34</v>
      </c>
      <c r="D628">
        <v>126</v>
      </c>
      <c r="E628" t="s">
        <v>13</v>
      </c>
      <c r="F628">
        <v>127</v>
      </c>
      <c r="G628">
        <v>127</v>
      </c>
    </row>
    <row r="629" spans="1:7" x14ac:dyDescent="0.3">
      <c r="A629" s="11">
        <v>45311</v>
      </c>
      <c r="B629" s="11" t="s">
        <v>27</v>
      </c>
      <c r="C629" t="s">
        <v>30</v>
      </c>
      <c r="D629">
        <v>102</v>
      </c>
      <c r="E629" t="s">
        <v>23</v>
      </c>
      <c r="F629">
        <v>97</v>
      </c>
      <c r="G629">
        <v>97</v>
      </c>
    </row>
    <row r="630" spans="1:7" x14ac:dyDescent="0.3">
      <c r="A630" s="11">
        <v>45312</v>
      </c>
      <c r="B630" s="11" t="s">
        <v>44</v>
      </c>
      <c r="C630" t="s">
        <v>26</v>
      </c>
      <c r="D630">
        <v>114</v>
      </c>
      <c r="E630" t="s">
        <v>40</v>
      </c>
      <c r="F630">
        <v>125</v>
      </c>
      <c r="G630">
        <v>125</v>
      </c>
    </row>
    <row r="631" spans="1:7" x14ac:dyDescent="0.3">
      <c r="A631" s="11">
        <v>45312</v>
      </c>
      <c r="B631" s="11" t="s">
        <v>47</v>
      </c>
      <c r="C631" t="s">
        <v>22</v>
      </c>
      <c r="D631">
        <v>87</v>
      </c>
      <c r="E631" t="s">
        <v>14</v>
      </c>
      <c r="F631">
        <v>105</v>
      </c>
      <c r="G631">
        <v>105</v>
      </c>
    </row>
    <row r="632" spans="1:7" x14ac:dyDescent="0.3">
      <c r="A632" s="11">
        <v>45312</v>
      </c>
      <c r="B632" s="11" t="s">
        <v>47</v>
      </c>
      <c r="C632" t="s">
        <v>8</v>
      </c>
      <c r="D632">
        <v>113</v>
      </c>
      <c r="E632" t="s">
        <v>17</v>
      </c>
      <c r="F632">
        <v>104</v>
      </c>
      <c r="G632">
        <v>104</v>
      </c>
    </row>
    <row r="633" spans="1:7" x14ac:dyDescent="0.3">
      <c r="A633" s="11">
        <v>45312</v>
      </c>
      <c r="B633" s="11" t="s">
        <v>12</v>
      </c>
      <c r="C633" t="s">
        <v>15</v>
      </c>
      <c r="D633">
        <v>116</v>
      </c>
      <c r="E633" t="s">
        <v>13</v>
      </c>
      <c r="F633">
        <v>107</v>
      </c>
      <c r="G633">
        <v>107</v>
      </c>
    </row>
    <row r="634" spans="1:7" x14ac:dyDescent="0.3">
      <c r="A634" s="11">
        <v>45312</v>
      </c>
      <c r="B634" s="11" t="s">
        <v>27</v>
      </c>
      <c r="C634" t="s">
        <v>18</v>
      </c>
      <c r="D634">
        <v>110</v>
      </c>
      <c r="E634" t="s">
        <v>10</v>
      </c>
      <c r="F634">
        <v>117</v>
      </c>
      <c r="G634">
        <v>117</v>
      </c>
    </row>
    <row r="635" spans="1:7" x14ac:dyDescent="0.3">
      <c r="A635" s="11">
        <v>45312</v>
      </c>
      <c r="B635" s="11" t="s">
        <v>9</v>
      </c>
      <c r="C635" t="s">
        <v>39</v>
      </c>
      <c r="D635">
        <v>110</v>
      </c>
      <c r="E635" t="s">
        <v>7</v>
      </c>
      <c r="F635">
        <v>134</v>
      </c>
      <c r="G635">
        <v>134</v>
      </c>
    </row>
    <row r="636" spans="1:7" x14ac:dyDescent="0.3">
      <c r="A636" s="11">
        <v>45313</v>
      </c>
      <c r="B636" s="11" t="s">
        <v>12</v>
      </c>
      <c r="C636" t="s">
        <v>42</v>
      </c>
      <c r="D636">
        <v>122</v>
      </c>
      <c r="E636" t="s">
        <v>21</v>
      </c>
      <c r="F636">
        <v>113</v>
      </c>
      <c r="G636">
        <v>113</v>
      </c>
    </row>
    <row r="637" spans="1:7" x14ac:dyDescent="0.3">
      <c r="A637" s="11">
        <v>45313</v>
      </c>
      <c r="B637" s="11" t="s">
        <v>12</v>
      </c>
      <c r="C637" t="s">
        <v>25</v>
      </c>
      <c r="D637">
        <v>126</v>
      </c>
      <c r="E637" t="s">
        <v>14</v>
      </c>
      <c r="F637">
        <v>99</v>
      </c>
      <c r="G637">
        <v>99</v>
      </c>
    </row>
    <row r="638" spans="1:7" x14ac:dyDescent="0.3">
      <c r="A638" s="11">
        <v>45313</v>
      </c>
      <c r="B638" s="11" t="s">
        <v>12</v>
      </c>
      <c r="C638" t="s">
        <v>37</v>
      </c>
      <c r="D638">
        <v>123</v>
      </c>
      <c r="E638" t="s">
        <v>41</v>
      </c>
      <c r="F638">
        <v>133</v>
      </c>
      <c r="G638">
        <v>133</v>
      </c>
    </row>
    <row r="639" spans="1:7" x14ac:dyDescent="0.3">
      <c r="A639" s="11">
        <v>45313</v>
      </c>
      <c r="B639" s="11" t="s">
        <v>6</v>
      </c>
      <c r="C639" t="s">
        <v>29</v>
      </c>
      <c r="D639">
        <v>108</v>
      </c>
      <c r="E639" t="s">
        <v>24</v>
      </c>
      <c r="F639">
        <v>100</v>
      </c>
      <c r="G639">
        <v>100</v>
      </c>
    </row>
    <row r="640" spans="1:7" x14ac:dyDescent="0.3">
      <c r="A640" s="11">
        <v>45313</v>
      </c>
      <c r="B640" s="11" t="s">
        <v>27</v>
      </c>
      <c r="C640" t="s">
        <v>20</v>
      </c>
      <c r="D640">
        <v>128</v>
      </c>
      <c r="E640" t="s">
        <v>23</v>
      </c>
      <c r="F640">
        <v>125</v>
      </c>
      <c r="G640">
        <v>125</v>
      </c>
    </row>
    <row r="641" spans="1:7" x14ac:dyDescent="0.3">
      <c r="A641" s="11">
        <v>45313</v>
      </c>
      <c r="B641" s="11" t="s">
        <v>43</v>
      </c>
      <c r="C641" t="s">
        <v>15</v>
      </c>
      <c r="D641">
        <v>119</v>
      </c>
      <c r="E641" t="s">
        <v>36</v>
      </c>
      <c r="F641">
        <v>110</v>
      </c>
      <c r="G641">
        <v>110</v>
      </c>
    </row>
    <row r="642" spans="1:7" x14ac:dyDescent="0.3">
      <c r="A642" s="11">
        <v>45313</v>
      </c>
      <c r="B642" s="11" t="s">
        <v>32</v>
      </c>
      <c r="C642" t="s">
        <v>31</v>
      </c>
      <c r="D642">
        <v>113</v>
      </c>
      <c r="E642" t="s">
        <v>10</v>
      </c>
      <c r="F642">
        <v>115</v>
      </c>
      <c r="G642">
        <v>115</v>
      </c>
    </row>
    <row r="643" spans="1:7" x14ac:dyDescent="0.3">
      <c r="A643" s="11">
        <v>45313</v>
      </c>
      <c r="B643" s="11" t="s">
        <v>9</v>
      </c>
      <c r="C643" t="s">
        <v>19</v>
      </c>
      <c r="D643">
        <v>107</v>
      </c>
      <c r="E643" t="s">
        <v>33</v>
      </c>
      <c r="F643">
        <v>122</v>
      </c>
      <c r="G643">
        <v>122</v>
      </c>
    </row>
    <row r="644" spans="1:7" x14ac:dyDescent="0.3">
      <c r="A644" s="11">
        <v>45314</v>
      </c>
      <c r="B644" s="11" t="s">
        <v>12</v>
      </c>
      <c r="C644" t="s">
        <v>8</v>
      </c>
      <c r="D644">
        <v>114</v>
      </c>
      <c r="E644" t="s">
        <v>18</v>
      </c>
      <c r="F644">
        <v>109</v>
      </c>
      <c r="G644">
        <v>109</v>
      </c>
    </row>
    <row r="645" spans="1:7" x14ac:dyDescent="0.3">
      <c r="A645" s="11">
        <v>45314</v>
      </c>
      <c r="B645" s="11" t="s">
        <v>6</v>
      </c>
      <c r="C645" t="s">
        <v>16</v>
      </c>
      <c r="D645">
        <v>108</v>
      </c>
      <c r="E645" t="s">
        <v>26</v>
      </c>
      <c r="F645">
        <v>103</v>
      </c>
      <c r="G645">
        <v>103</v>
      </c>
    </row>
    <row r="646" spans="1:7" x14ac:dyDescent="0.3">
      <c r="A646" s="11">
        <v>45314</v>
      </c>
      <c r="B646" s="11" t="s">
        <v>27</v>
      </c>
      <c r="C646" t="s">
        <v>34</v>
      </c>
      <c r="D646">
        <v>124</v>
      </c>
      <c r="E646" t="s">
        <v>28</v>
      </c>
      <c r="F646">
        <v>153</v>
      </c>
      <c r="G646">
        <v>153</v>
      </c>
    </row>
    <row r="647" spans="1:7" x14ac:dyDescent="0.3">
      <c r="A647" s="11">
        <v>45314</v>
      </c>
      <c r="B647" s="11" t="s">
        <v>27</v>
      </c>
      <c r="C647" t="s">
        <v>39</v>
      </c>
      <c r="D647">
        <v>109</v>
      </c>
      <c r="E647" t="s">
        <v>30</v>
      </c>
      <c r="F647">
        <v>111</v>
      </c>
      <c r="G647">
        <v>111</v>
      </c>
    </row>
    <row r="648" spans="1:7" x14ac:dyDescent="0.3">
      <c r="A648" s="11">
        <v>45314</v>
      </c>
      <c r="B648" s="11" t="s">
        <v>9</v>
      </c>
      <c r="C648" t="s">
        <v>7</v>
      </c>
      <c r="D648">
        <v>116</v>
      </c>
      <c r="E648" t="s">
        <v>40</v>
      </c>
      <c r="F648">
        <v>127</v>
      </c>
      <c r="G648">
        <v>127</v>
      </c>
    </row>
    <row r="649" spans="1:7" x14ac:dyDescent="0.3">
      <c r="A649" s="11">
        <v>45315</v>
      </c>
      <c r="B649" s="11" t="s">
        <v>12</v>
      </c>
      <c r="C649" t="s">
        <v>20</v>
      </c>
      <c r="D649">
        <v>106</v>
      </c>
      <c r="E649" t="s">
        <v>21</v>
      </c>
      <c r="F649">
        <v>113</v>
      </c>
      <c r="G649">
        <v>113</v>
      </c>
    </row>
    <row r="650" spans="1:7" x14ac:dyDescent="0.3">
      <c r="A650" s="11">
        <v>45315</v>
      </c>
      <c r="B650" s="11" t="s">
        <v>12</v>
      </c>
      <c r="C650" t="s">
        <v>23</v>
      </c>
      <c r="D650">
        <v>118</v>
      </c>
      <c r="E650" t="s">
        <v>17</v>
      </c>
      <c r="F650">
        <v>107</v>
      </c>
      <c r="G650">
        <v>107</v>
      </c>
    </row>
    <row r="651" spans="1:7" x14ac:dyDescent="0.3">
      <c r="A651" s="11">
        <v>45315</v>
      </c>
      <c r="B651" s="11" t="s">
        <v>6</v>
      </c>
      <c r="C651" t="s">
        <v>29</v>
      </c>
      <c r="D651">
        <v>105</v>
      </c>
      <c r="E651" t="s">
        <v>22</v>
      </c>
      <c r="F651">
        <v>96</v>
      </c>
      <c r="G651">
        <v>96</v>
      </c>
    </row>
    <row r="652" spans="1:7" x14ac:dyDescent="0.3">
      <c r="A652" s="11">
        <v>45315</v>
      </c>
      <c r="B652" s="11" t="s">
        <v>27</v>
      </c>
      <c r="C652" t="s">
        <v>39</v>
      </c>
      <c r="D652">
        <v>137</v>
      </c>
      <c r="E652" t="s">
        <v>13</v>
      </c>
      <c r="F652">
        <v>131</v>
      </c>
      <c r="G652">
        <v>131</v>
      </c>
    </row>
    <row r="653" spans="1:7" x14ac:dyDescent="0.3">
      <c r="A653" s="11">
        <v>45315</v>
      </c>
      <c r="B653" s="11" t="s">
        <v>27</v>
      </c>
      <c r="C653" t="s">
        <v>25</v>
      </c>
      <c r="D653">
        <v>116</v>
      </c>
      <c r="E653" t="s">
        <v>42</v>
      </c>
      <c r="F653">
        <v>126</v>
      </c>
      <c r="G653">
        <v>126</v>
      </c>
    </row>
    <row r="654" spans="1:7" x14ac:dyDescent="0.3">
      <c r="A654" s="11">
        <v>45315</v>
      </c>
      <c r="B654" s="11" t="s">
        <v>43</v>
      </c>
      <c r="C654" t="s">
        <v>10</v>
      </c>
      <c r="D654">
        <v>132</v>
      </c>
      <c r="E654" t="s">
        <v>36</v>
      </c>
      <c r="F654">
        <v>109</v>
      </c>
      <c r="G654">
        <v>109</v>
      </c>
    </row>
    <row r="655" spans="1:7" x14ac:dyDescent="0.3">
      <c r="A655" s="11">
        <v>45315</v>
      </c>
      <c r="B655" s="11" t="s">
        <v>35</v>
      </c>
      <c r="C655" t="s">
        <v>30</v>
      </c>
      <c r="D655">
        <v>140</v>
      </c>
      <c r="E655" t="s">
        <v>37</v>
      </c>
      <c r="F655">
        <v>114</v>
      </c>
      <c r="G655">
        <v>114</v>
      </c>
    </row>
    <row r="656" spans="1:7" x14ac:dyDescent="0.3">
      <c r="A656" s="11">
        <v>45315</v>
      </c>
      <c r="B656" s="11" t="s">
        <v>9</v>
      </c>
      <c r="C656" t="s">
        <v>19</v>
      </c>
      <c r="D656">
        <v>112</v>
      </c>
      <c r="E656" t="s">
        <v>11</v>
      </c>
      <c r="F656">
        <v>134</v>
      </c>
      <c r="G656">
        <v>134</v>
      </c>
    </row>
    <row r="657" spans="1:7" x14ac:dyDescent="0.3">
      <c r="A657" s="11">
        <v>45316</v>
      </c>
      <c r="B657" s="11" t="s">
        <v>12</v>
      </c>
      <c r="C657" t="s">
        <v>41</v>
      </c>
      <c r="D657">
        <v>122</v>
      </c>
      <c r="E657" t="s">
        <v>18</v>
      </c>
      <c r="F657">
        <v>134</v>
      </c>
      <c r="G657">
        <v>134</v>
      </c>
    </row>
    <row r="658" spans="1:7" x14ac:dyDescent="0.3">
      <c r="A658" s="11">
        <v>45316</v>
      </c>
      <c r="B658" s="11" t="s">
        <v>12</v>
      </c>
      <c r="C658" t="s">
        <v>34</v>
      </c>
      <c r="D658">
        <v>123</v>
      </c>
      <c r="E658" t="s">
        <v>17</v>
      </c>
      <c r="F658">
        <v>108</v>
      </c>
      <c r="G658">
        <v>108</v>
      </c>
    </row>
    <row r="659" spans="1:7" x14ac:dyDescent="0.3">
      <c r="A659" s="11">
        <v>45316</v>
      </c>
      <c r="B659" s="11" t="s">
        <v>6</v>
      </c>
      <c r="C659" t="s">
        <v>23</v>
      </c>
      <c r="D659">
        <v>96</v>
      </c>
      <c r="E659" t="s">
        <v>26</v>
      </c>
      <c r="F659">
        <v>94</v>
      </c>
      <c r="G659">
        <v>94</v>
      </c>
    </row>
    <row r="660" spans="1:7" x14ac:dyDescent="0.3">
      <c r="A660" s="11">
        <v>45316</v>
      </c>
      <c r="B660" s="11" t="s">
        <v>6</v>
      </c>
      <c r="C660" t="s">
        <v>15</v>
      </c>
      <c r="D660">
        <v>143</v>
      </c>
      <c r="E660" t="s">
        <v>22</v>
      </c>
      <c r="F660">
        <v>110</v>
      </c>
      <c r="G660">
        <v>110</v>
      </c>
    </row>
    <row r="661" spans="1:7" x14ac:dyDescent="0.3">
      <c r="A661" s="11">
        <v>45316</v>
      </c>
      <c r="B661" s="11" t="s">
        <v>6</v>
      </c>
      <c r="C661" t="s">
        <v>8</v>
      </c>
      <c r="D661">
        <v>84</v>
      </c>
      <c r="E661" t="s">
        <v>16</v>
      </c>
      <c r="F661">
        <v>122</v>
      </c>
      <c r="G661">
        <v>122</v>
      </c>
    </row>
    <row r="662" spans="1:7" x14ac:dyDescent="0.3">
      <c r="A662" s="11">
        <v>45316</v>
      </c>
      <c r="B662" s="11" t="s">
        <v>9</v>
      </c>
      <c r="C662" t="s">
        <v>33</v>
      </c>
      <c r="D662">
        <v>134</v>
      </c>
      <c r="E662" t="s">
        <v>11</v>
      </c>
      <c r="F662">
        <v>133</v>
      </c>
      <c r="G662">
        <v>133</v>
      </c>
    </row>
    <row r="663" spans="1:7" x14ac:dyDescent="0.3">
      <c r="A663" s="11">
        <v>45316</v>
      </c>
      <c r="B663" s="11" t="s">
        <v>38</v>
      </c>
      <c r="C663" t="s">
        <v>31</v>
      </c>
      <c r="D663">
        <v>132</v>
      </c>
      <c r="E663" t="s">
        <v>7</v>
      </c>
      <c r="F663">
        <v>141</v>
      </c>
      <c r="G663">
        <v>141</v>
      </c>
    </row>
    <row r="664" spans="1:7" x14ac:dyDescent="0.3">
      <c r="A664" s="11">
        <v>45317</v>
      </c>
      <c r="B664" s="11" t="s">
        <v>12</v>
      </c>
      <c r="C664" t="s">
        <v>36</v>
      </c>
      <c r="D664">
        <v>148</v>
      </c>
      <c r="E664" t="s">
        <v>19</v>
      </c>
      <c r="F664">
        <v>143</v>
      </c>
      <c r="G664">
        <v>143</v>
      </c>
    </row>
    <row r="665" spans="1:7" x14ac:dyDescent="0.3">
      <c r="A665" s="11">
        <v>45317</v>
      </c>
      <c r="B665" s="11" t="s">
        <v>12</v>
      </c>
      <c r="C665" t="s">
        <v>13</v>
      </c>
      <c r="D665">
        <v>138</v>
      </c>
      <c r="E665" t="s">
        <v>20</v>
      </c>
      <c r="F665">
        <v>104</v>
      </c>
      <c r="G665">
        <v>104</v>
      </c>
    </row>
    <row r="666" spans="1:7" x14ac:dyDescent="0.3">
      <c r="A666" s="11">
        <v>45317</v>
      </c>
      <c r="B666" s="11" t="s">
        <v>12</v>
      </c>
      <c r="C666" t="s">
        <v>10</v>
      </c>
      <c r="D666">
        <v>131</v>
      </c>
      <c r="E666" t="s">
        <v>18</v>
      </c>
      <c r="F666">
        <v>133</v>
      </c>
      <c r="G666">
        <v>133</v>
      </c>
    </row>
    <row r="667" spans="1:7" x14ac:dyDescent="0.3">
      <c r="A667" s="11">
        <v>45317</v>
      </c>
      <c r="B667" s="11" t="s">
        <v>6</v>
      </c>
      <c r="C667" t="s">
        <v>40</v>
      </c>
      <c r="D667">
        <v>127</v>
      </c>
      <c r="E667" t="s">
        <v>24</v>
      </c>
      <c r="F667">
        <v>107</v>
      </c>
      <c r="G667">
        <v>107</v>
      </c>
    </row>
    <row r="668" spans="1:7" x14ac:dyDescent="0.3">
      <c r="A668" s="11">
        <v>45317</v>
      </c>
      <c r="B668" s="11" t="s">
        <v>27</v>
      </c>
      <c r="C668" t="s">
        <v>14</v>
      </c>
      <c r="D668">
        <v>106</v>
      </c>
      <c r="E668" t="s">
        <v>29</v>
      </c>
      <c r="F668">
        <v>107</v>
      </c>
      <c r="G668">
        <v>107</v>
      </c>
    </row>
    <row r="669" spans="1:7" x14ac:dyDescent="0.3">
      <c r="A669" s="11">
        <v>45317</v>
      </c>
      <c r="B669" s="11" t="s">
        <v>27</v>
      </c>
      <c r="C669" t="s">
        <v>25</v>
      </c>
      <c r="D669">
        <v>112</v>
      </c>
      <c r="E669" t="s">
        <v>42</v>
      </c>
      <c r="F669">
        <v>100</v>
      </c>
      <c r="G669">
        <v>100</v>
      </c>
    </row>
    <row r="670" spans="1:7" x14ac:dyDescent="0.3">
      <c r="A670" s="11">
        <v>45317</v>
      </c>
      <c r="B670" s="11" t="s">
        <v>27</v>
      </c>
      <c r="C670" t="s">
        <v>30</v>
      </c>
      <c r="D670">
        <v>107</v>
      </c>
      <c r="E670" t="s">
        <v>28</v>
      </c>
      <c r="F670">
        <v>83</v>
      </c>
      <c r="G670">
        <v>83</v>
      </c>
    </row>
    <row r="671" spans="1:7" x14ac:dyDescent="0.3">
      <c r="A671" s="11">
        <v>45317</v>
      </c>
      <c r="B671" s="11" t="s">
        <v>35</v>
      </c>
      <c r="C671" t="s">
        <v>39</v>
      </c>
      <c r="D671">
        <v>100</v>
      </c>
      <c r="E671" t="s">
        <v>37</v>
      </c>
      <c r="F671">
        <v>116</v>
      </c>
      <c r="G671">
        <v>116</v>
      </c>
    </row>
    <row r="672" spans="1:7" x14ac:dyDescent="0.3">
      <c r="A672" s="11">
        <v>45318</v>
      </c>
      <c r="B672" s="11" t="s">
        <v>48</v>
      </c>
      <c r="C672" t="s">
        <v>17</v>
      </c>
      <c r="D672">
        <v>118</v>
      </c>
      <c r="E672" t="s">
        <v>21</v>
      </c>
      <c r="F672">
        <v>104</v>
      </c>
      <c r="G672">
        <v>104</v>
      </c>
    </row>
    <row r="673" spans="1:7" x14ac:dyDescent="0.3">
      <c r="A673" s="11">
        <v>45318</v>
      </c>
      <c r="B673" s="11" t="s">
        <v>46</v>
      </c>
      <c r="C673" t="s">
        <v>22</v>
      </c>
      <c r="D673">
        <v>109</v>
      </c>
      <c r="E673" t="s">
        <v>16</v>
      </c>
      <c r="F673">
        <v>125</v>
      </c>
      <c r="G673">
        <v>125</v>
      </c>
    </row>
    <row r="674" spans="1:7" x14ac:dyDescent="0.3">
      <c r="A674" s="11">
        <v>45318</v>
      </c>
      <c r="B674" s="11" t="s">
        <v>54</v>
      </c>
      <c r="C674" t="s">
        <v>41</v>
      </c>
      <c r="D674">
        <v>105</v>
      </c>
      <c r="E674" t="s">
        <v>8</v>
      </c>
      <c r="F674">
        <v>111</v>
      </c>
      <c r="G674">
        <v>111</v>
      </c>
    </row>
    <row r="675" spans="1:7" x14ac:dyDescent="0.3">
      <c r="A675" s="11">
        <v>45318</v>
      </c>
      <c r="B675" s="11" t="s">
        <v>47</v>
      </c>
      <c r="C675" t="s">
        <v>13</v>
      </c>
      <c r="D675">
        <v>104</v>
      </c>
      <c r="E675" t="s">
        <v>26</v>
      </c>
      <c r="F675">
        <v>106</v>
      </c>
      <c r="G675">
        <v>106</v>
      </c>
    </row>
    <row r="676" spans="1:7" x14ac:dyDescent="0.3">
      <c r="A676" s="11">
        <v>45318</v>
      </c>
      <c r="B676" s="11" t="s">
        <v>12</v>
      </c>
      <c r="C676" t="s">
        <v>40</v>
      </c>
      <c r="D676">
        <v>115</v>
      </c>
      <c r="E676" t="s">
        <v>15</v>
      </c>
      <c r="F676">
        <v>96</v>
      </c>
      <c r="G676">
        <v>96</v>
      </c>
    </row>
    <row r="677" spans="1:7" x14ac:dyDescent="0.3">
      <c r="A677" s="11">
        <v>45318</v>
      </c>
      <c r="B677" s="11" t="s">
        <v>12</v>
      </c>
      <c r="C677" t="s">
        <v>34</v>
      </c>
      <c r="D677">
        <v>134</v>
      </c>
      <c r="E677" t="s">
        <v>20</v>
      </c>
      <c r="F677">
        <v>122</v>
      </c>
      <c r="G677">
        <v>122</v>
      </c>
    </row>
    <row r="678" spans="1:7" x14ac:dyDescent="0.3">
      <c r="A678" s="11">
        <v>45318</v>
      </c>
      <c r="B678" s="11" t="s">
        <v>27</v>
      </c>
      <c r="C678" t="s">
        <v>28</v>
      </c>
      <c r="D678">
        <v>117</v>
      </c>
      <c r="E678" t="s">
        <v>42</v>
      </c>
      <c r="F678">
        <v>141</v>
      </c>
      <c r="G678">
        <v>141</v>
      </c>
    </row>
    <row r="679" spans="1:7" x14ac:dyDescent="0.3">
      <c r="A679" s="11">
        <v>45318</v>
      </c>
      <c r="B679" s="11" t="s">
        <v>43</v>
      </c>
      <c r="C679" t="s">
        <v>7</v>
      </c>
      <c r="D679">
        <v>145</v>
      </c>
      <c r="E679" t="s">
        <v>11</v>
      </c>
      <c r="F679">
        <v>144</v>
      </c>
      <c r="G679">
        <v>144</v>
      </c>
    </row>
    <row r="680" spans="1:7" x14ac:dyDescent="0.3">
      <c r="A680" s="11">
        <v>45318</v>
      </c>
      <c r="B680" s="11" t="s">
        <v>43</v>
      </c>
      <c r="C680" t="s">
        <v>23</v>
      </c>
      <c r="D680">
        <v>112</v>
      </c>
      <c r="E680" t="s">
        <v>37</v>
      </c>
      <c r="F680">
        <v>113</v>
      </c>
      <c r="G680">
        <v>113</v>
      </c>
    </row>
    <row r="681" spans="1:7" x14ac:dyDescent="0.3">
      <c r="A681" s="11">
        <v>45318</v>
      </c>
      <c r="B681" s="11" t="s">
        <v>32</v>
      </c>
      <c r="C681" t="s">
        <v>33</v>
      </c>
      <c r="D681">
        <v>120</v>
      </c>
      <c r="E681" t="s">
        <v>36</v>
      </c>
      <c r="F681">
        <v>115</v>
      </c>
      <c r="G681">
        <v>115</v>
      </c>
    </row>
    <row r="682" spans="1:7" x14ac:dyDescent="0.3">
      <c r="A682" s="11">
        <v>45319</v>
      </c>
      <c r="B682" s="11" t="s">
        <v>53</v>
      </c>
      <c r="C682" t="s">
        <v>30</v>
      </c>
      <c r="D682">
        <v>104</v>
      </c>
      <c r="E682" t="s">
        <v>21</v>
      </c>
      <c r="F682">
        <v>120</v>
      </c>
      <c r="G682">
        <v>120</v>
      </c>
    </row>
    <row r="683" spans="1:7" x14ac:dyDescent="0.3">
      <c r="A683" s="11">
        <v>45319</v>
      </c>
      <c r="B683" s="11" t="s">
        <v>44</v>
      </c>
      <c r="C683" t="s">
        <v>29</v>
      </c>
      <c r="D683">
        <v>110</v>
      </c>
      <c r="E683" t="s">
        <v>18</v>
      </c>
      <c r="F683">
        <v>116</v>
      </c>
      <c r="G683">
        <v>116</v>
      </c>
    </row>
    <row r="684" spans="1:7" x14ac:dyDescent="0.3">
      <c r="A684" s="11">
        <v>45319</v>
      </c>
      <c r="B684" s="11" t="s">
        <v>47</v>
      </c>
      <c r="C684" t="s">
        <v>24</v>
      </c>
      <c r="D684">
        <v>125</v>
      </c>
      <c r="E684" t="s">
        <v>19</v>
      </c>
      <c r="F684">
        <v>126</v>
      </c>
      <c r="G684">
        <v>126</v>
      </c>
    </row>
    <row r="685" spans="1:7" x14ac:dyDescent="0.3">
      <c r="A685" s="11">
        <v>45319</v>
      </c>
      <c r="B685" s="11" t="s">
        <v>47</v>
      </c>
      <c r="C685" t="s">
        <v>10</v>
      </c>
      <c r="D685">
        <v>98</v>
      </c>
      <c r="E685" t="s">
        <v>14</v>
      </c>
      <c r="F685">
        <v>113</v>
      </c>
      <c r="G685">
        <v>113</v>
      </c>
    </row>
    <row r="686" spans="1:7" x14ac:dyDescent="0.3">
      <c r="A686" s="11">
        <v>45319</v>
      </c>
      <c r="B686" s="11" t="s">
        <v>32</v>
      </c>
      <c r="C686" t="s">
        <v>31</v>
      </c>
      <c r="D686">
        <v>104</v>
      </c>
      <c r="E686" t="s">
        <v>39</v>
      </c>
      <c r="F686">
        <v>96</v>
      </c>
      <c r="G686">
        <v>96</v>
      </c>
    </row>
    <row r="687" spans="1:7" x14ac:dyDescent="0.3">
      <c r="A687" s="11">
        <v>45320</v>
      </c>
      <c r="B687" s="11" t="s">
        <v>12</v>
      </c>
      <c r="C687" t="s">
        <v>16</v>
      </c>
      <c r="D687">
        <v>0</v>
      </c>
      <c r="E687" t="s">
        <v>20</v>
      </c>
      <c r="F687">
        <v>0</v>
      </c>
      <c r="G687">
        <v>0</v>
      </c>
    </row>
    <row r="688" spans="1:7" x14ac:dyDescent="0.3">
      <c r="A688" s="11">
        <v>45320</v>
      </c>
      <c r="B688" s="11" t="s">
        <v>12</v>
      </c>
      <c r="C688" t="s">
        <v>40</v>
      </c>
      <c r="D688">
        <v>0</v>
      </c>
      <c r="E688" t="s">
        <v>25</v>
      </c>
      <c r="F688">
        <v>0</v>
      </c>
      <c r="G688">
        <v>0</v>
      </c>
    </row>
    <row r="689" spans="1:7" x14ac:dyDescent="0.3">
      <c r="A689" s="11">
        <v>45320</v>
      </c>
      <c r="B689" s="11" t="s">
        <v>6</v>
      </c>
      <c r="C689" t="s">
        <v>28</v>
      </c>
      <c r="D689">
        <v>0</v>
      </c>
      <c r="E689" t="s">
        <v>15</v>
      </c>
      <c r="F689">
        <v>0</v>
      </c>
      <c r="G689">
        <v>0</v>
      </c>
    </row>
    <row r="690" spans="1:7" x14ac:dyDescent="0.3">
      <c r="A690" s="11">
        <v>45320</v>
      </c>
      <c r="B690" s="11" t="s">
        <v>6</v>
      </c>
      <c r="C690" t="s">
        <v>34</v>
      </c>
      <c r="D690">
        <v>0</v>
      </c>
      <c r="E690" t="s">
        <v>26</v>
      </c>
      <c r="F690">
        <v>0</v>
      </c>
      <c r="G690">
        <v>0</v>
      </c>
    </row>
    <row r="691" spans="1:7" x14ac:dyDescent="0.3">
      <c r="A691" s="11">
        <v>45320</v>
      </c>
      <c r="B691" s="11" t="s">
        <v>6</v>
      </c>
      <c r="C691" t="s">
        <v>10</v>
      </c>
      <c r="D691">
        <v>0</v>
      </c>
      <c r="E691" t="s">
        <v>22</v>
      </c>
      <c r="F691">
        <v>0</v>
      </c>
      <c r="G691">
        <v>0</v>
      </c>
    </row>
    <row r="692" spans="1:7" x14ac:dyDescent="0.3">
      <c r="A692" s="11">
        <v>45320</v>
      </c>
      <c r="B692" s="11" t="s">
        <v>27</v>
      </c>
      <c r="C692" t="s">
        <v>7</v>
      </c>
      <c r="D692">
        <v>0</v>
      </c>
      <c r="E692" t="s">
        <v>13</v>
      </c>
      <c r="F692">
        <v>0</v>
      </c>
      <c r="G692">
        <v>0</v>
      </c>
    </row>
    <row r="693" spans="1:7" x14ac:dyDescent="0.3">
      <c r="A693" s="11">
        <v>45320</v>
      </c>
      <c r="B693" s="11" t="s">
        <v>27</v>
      </c>
      <c r="C693" t="s">
        <v>33</v>
      </c>
      <c r="D693">
        <v>0</v>
      </c>
      <c r="E693" t="s">
        <v>29</v>
      </c>
      <c r="F693">
        <v>0</v>
      </c>
      <c r="G693">
        <v>0</v>
      </c>
    </row>
    <row r="694" spans="1:7" x14ac:dyDescent="0.3">
      <c r="A694" s="11">
        <v>45320</v>
      </c>
      <c r="B694" s="11" t="s">
        <v>27</v>
      </c>
      <c r="C694" t="s">
        <v>23</v>
      </c>
      <c r="D694">
        <v>0</v>
      </c>
      <c r="E694" t="s">
        <v>30</v>
      </c>
      <c r="F694">
        <v>0</v>
      </c>
      <c r="G694">
        <v>0</v>
      </c>
    </row>
    <row r="695" spans="1:7" x14ac:dyDescent="0.3">
      <c r="A695" s="11">
        <v>45320</v>
      </c>
      <c r="B695" s="11" t="s">
        <v>27</v>
      </c>
      <c r="C695" t="s">
        <v>17</v>
      </c>
      <c r="D695">
        <v>0</v>
      </c>
      <c r="E695" t="s">
        <v>37</v>
      </c>
      <c r="F695">
        <v>0</v>
      </c>
      <c r="G695">
        <v>0</v>
      </c>
    </row>
    <row r="696" spans="1:7" x14ac:dyDescent="0.3">
      <c r="A696" s="11">
        <v>45320</v>
      </c>
      <c r="B696" s="11" t="s">
        <v>43</v>
      </c>
      <c r="C696" t="s">
        <v>14</v>
      </c>
      <c r="D696">
        <v>0</v>
      </c>
      <c r="E696" t="s">
        <v>36</v>
      </c>
      <c r="F696">
        <v>0</v>
      </c>
      <c r="G696">
        <v>0</v>
      </c>
    </row>
    <row r="697" spans="1:7" x14ac:dyDescent="0.3">
      <c r="A697" s="11">
        <v>45320</v>
      </c>
      <c r="B697" s="11" t="s">
        <v>32</v>
      </c>
      <c r="C697" t="s">
        <v>42</v>
      </c>
      <c r="D697">
        <v>0</v>
      </c>
      <c r="E697" t="s">
        <v>8</v>
      </c>
      <c r="F697">
        <v>0</v>
      </c>
      <c r="G697">
        <v>0</v>
      </c>
    </row>
    <row r="698" spans="1:7" x14ac:dyDescent="0.3">
      <c r="A698" s="11">
        <v>45320</v>
      </c>
      <c r="B698" s="11" t="s">
        <v>9</v>
      </c>
      <c r="C698" t="s">
        <v>41</v>
      </c>
      <c r="D698">
        <v>0</v>
      </c>
      <c r="E698" t="s">
        <v>39</v>
      </c>
      <c r="F698">
        <v>0</v>
      </c>
      <c r="G698">
        <v>0</v>
      </c>
    </row>
    <row r="699" spans="1:7" x14ac:dyDescent="0.3">
      <c r="A699" s="11">
        <v>45321</v>
      </c>
      <c r="B699" s="11" t="s">
        <v>6</v>
      </c>
      <c r="C699" t="s">
        <v>7</v>
      </c>
      <c r="D699">
        <v>0</v>
      </c>
      <c r="E699" t="s">
        <v>19</v>
      </c>
      <c r="F699">
        <v>0</v>
      </c>
      <c r="G699">
        <v>0</v>
      </c>
    </row>
    <row r="700" spans="1:7" x14ac:dyDescent="0.3">
      <c r="A700" s="11">
        <v>45321</v>
      </c>
      <c r="B700" s="11" t="s">
        <v>6</v>
      </c>
      <c r="C700" t="s">
        <v>18</v>
      </c>
      <c r="D700">
        <v>0</v>
      </c>
      <c r="E700" t="s">
        <v>15</v>
      </c>
      <c r="F700">
        <v>0</v>
      </c>
      <c r="G700">
        <v>0</v>
      </c>
    </row>
    <row r="701" spans="1:7" x14ac:dyDescent="0.3">
      <c r="A701" s="11">
        <v>45321</v>
      </c>
      <c r="B701" s="11" t="s">
        <v>6</v>
      </c>
      <c r="C701" t="s">
        <v>34</v>
      </c>
      <c r="D701">
        <v>0</v>
      </c>
      <c r="E701" t="s">
        <v>16</v>
      </c>
      <c r="F701">
        <v>0</v>
      </c>
      <c r="G701">
        <v>0</v>
      </c>
    </row>
    <row r="702" spans="1:7" x14ac:dyDescent="0.3">
      <c r="A702" s="11">
        <v>45321</v>
      </c>
      <c r="B702" s="11" t="s">
        <v>27</v>
      </c>
      <c r="C702" t="s">
        <v>24</v>
      </c>
      <c r="D702">
        <v>0</v>
      </c>
      <c r="E702" t="s">
        <v>31</v>
      </c>
      <c r="F702">
        <v>0</v>
      </c>
      <c r="G702">
        <v>0</v>
      </c>
    </row>
    <row r="703" spans="1:7" x14ac:dyDescent="0.3">
      <c r="A703" s="11">
        <v>45321</v>
      </c>
      <c r="B703" s="11" t="s">
        <v>9</v>
      </c>
      <c r="C703" t="s">
        <v>41</v>
      </c>
      <c r="D703">
        <v>0</v>
      </c>
      <c r="E703" t="s">
        <v>11</v>
      </c>
      <c r="F703">
        <v>0</v>
      </c>
      <c r="G703">
        <v>0</v>
      </c>
    </row>
    <row r="704" spans="1:7" x14ac:dyDescent="0.3">
      <c r="A704" s="11">
        <v>45322</v>
      </c>
      <c r="B704" s="11" t="s">
        <v>12</v>
      </c>
      <c r="C704" t="s">
        <v>31</v>
      </c>
      <c r="D704">
        <v>0</v>
      </c>
      <c r="E704" t="s">
        <v>20</v>
      </c>
      <c r="F704">
        <v>0</v>
      </c>
      <c r="G704">
        <v>0</v>
      </c>
    </row>
    <row r="705" spans="1:7" x14ac:dyDescent="0.3">
      <c r="A705" s="11">
        <v>45322</v>
      </c>
      <c r="B705" s="11" t="s">
        <v>12</v>
      </c>
      <c r="C705" t="s">
        <v>21</v>
      </c>
      <c r="D705">
        <v>0</v>
      </c>
      <c r="E705" t="s">
        <v>25</v>
      </c>
      <c r="F705">
        <v>0</v>
      </c>
      <c r="G705">
        <v>0</v>
      </c>
    </row>
    <row r="706" spans="1:7" x14ac:dyDescent="0.3">
      <c r="A706" s="11">
        <v>45322</v>
      </c>
      <c r="B706" s="11" t="s">
        <v>12</v>
      </c>
      <c r="C706" t="s">
        <v>40</v>
      </c>
      <c r="D706">
        <v>0</v>
      </c>
      <c r="E706" t="s">
        <v>17</v>
      </c>
      <c r="F706">
        <v>0</v>
      </c>
      <c r="G706">
        <v>0</v>
      </c>
    </row>
    <row r="707" spans="1:7" x14ac:dyDescent="0.3">
      <c r="A707" s="11">
        <v>45322</v>
      </c>
      <c r="B707" s="11" t="s">
        <v>6</v>
      </c>
      <c r="C707" t="s">
        <v>33</v>
      </c>
      <c r="D707">
        <v>0</v>
      </c>
      <c r="E707" t="s">
        <v>22</v>
      </c>
      <c r="F707">
        <v>0</v>
      </c>
      <c r="G707">
        <v>0</v>
      </c>
    </row>
    <row r="708" spans="1:7" x14ac:dyDescent="0.3">
      <c r="A708" s="11">
        <v>45322</v>
      </c>
      <c r="B708" s="11" t="s">
        <v>27</v>
      </c>
      <c r="C708" t="s">
        <v>28</v>
      </c>
      <c r="D708">
        <v>0</v>
      </c>
      <c r="E708" t="s">
        <v>13</v>
      </c>
      <c r="F708">
        <v>0</v>
      </c>
      <c r="G708">
        <v>0</v>
      </c>
    </row>
    <row r="709" spans="1:7" x14ac:dyDescent="0.3">
      <c r="A709" s="11">
        <v>45322</v>
      </c>
      <c r="B709" s="11" t="s">
        <v>27</v>
      </c>
      <c r="C709" t="s">
        <v>36</v>
      </c>
      <c r="D709">
        <v>0</v>
      </c>
      <c r="E709" t="s">
        <v>23</v>
      </c>
      <c r="F709">
        <v>0</v>
      </c>
      <c r="G709">
        <v>0</v>
      </c>
    </row>
    <row r="710" spans="1:7" x14ac:dyDescent="0.3">
      <c r="A710" s="11">
        <v>45322</v>
      </c>
      <c r="B710" s="11" t="s">
        <v>27</v>
      </c>
      <c r="C710" t="s">
        <v>8</v>
      </c>
      <c r="D710">
        <v>0</v>
      </c>
      <c r="E710" t="s">
        <v>30</v>
      </c>
      <c r="F710">
        <v>0</v>
      </c>
      <c r="G710">
        <v>0</v>
      </c>
    </row>
    <row r="711" spans="1:7" x14ac:dyDescent="0.3">
      <c r="A711" s="11">
        <v>45322</v>
      </c>
      <c r="B711" s="11" t="s">
        <v>27</v>
      </c>
      <c r="C711" t="s">
        <v>14</v>
      </c>
      <c r="D711">
        <v>0</v>
      </c>
      <c r="E711" t="s">
        <v>37</v>
      </c>
      <c r="F711">
        <v>0</v>
      </c>
      <c r="G711">
        <v>0</v>
      </c>
    </row>
    <row r="712" spans="1:7" x14ac:dyDescent="0.3">
      <c r="A712" s="11">
        <v>45322</v>
      </c>
      <c r="B712" s="11" t="s">
        <v>43</v>
      </c>
      <c r="C712" t="s">
        <v>10</v>
      </c>
      <c r="D712">
        <v>0</v>
      </c>
      <c r="E712" t="s">
        <v>26</v>
      </c>
      <c r="F712">
        <v>0</v>
      </c>
      <c r="G712">
        <v>0</v>
      </c>
    </row>
    <row r="713" spans="1:7" x14ac:dyDescent="0.3">
      <c r="A713" s="11">
        <v>45322</v>
      </c>
      <c r="B713" s="11" t="s">
        <v>9</v>
      </c>
      <c r="C713" t="s">
        <v>42</v>
      </c>
      <c r="D713">
        <v>0</v>
      </c>
      <c r="E713" t="s">
        <v>39</v>
      </c>
      <c r="F713">
        <v>0</v>
      </c>
      <c r="G713">
        <v>0</v>
      </c>
    </row>
    <row r="714" spans="1:7" x14ac:dyDescent="0.3">
      <c r="A714" s="11">
        <v>45323</v>
      </c>
      <c r="B714" s="11" t="s">
        <v>6</v>
      </c>
      <c r="C714" t="s">
        <v>7</v>
      </c>
      <c r="D714">
        <v>0</v>
      </c>
      <c r="E714" t="s">
        <v>15</v>
      </c>
      <c r="F714">
        <v>0</v>
      </c>
      <c r="G714">
        <v>0</v>
      </c>
    </row>
    <row r="715" spans="1:7" x14ac:dyDescent="0.3">
      <c r="A715" s="11">
        <v>45323</v>
      </c>
      <c r="B715" s="11" t="s">
        <v>6</v>
      </c>
      <c r="C715" t="s">
        <v>18</v>
      </c>
      <c r="D715">
        <v>0</v>
      </c>
      <c r="E715" t="s">
        <v>16</v>
      </c>
      <c r="F715">
        <v>0</v>
      </c>
      <c r="G715">
        <v>0</v>
      </c>
    </row>
    <row r="716" spans="1:7" x14ac:dyDescent="0.3">
      <c r="A716" s="11">
        <v>45323</v>
      </c>
      <c r="B716" s="11" t="s">
        <v>27</v>
      </c>
      <c r="C716" t="s">
        <v>25</v>
      </c>
      <c r="D716">
        <v>0</v>
      </c>
      <c r="E716" t="s">
        <v>29</v>
      </c>
      <c r="F716">
        <v>0</v>
      </c>
      <c r="G716">
        <v>0</v>
      </c>
    </row>
    <row r="717" spans="1:7" x14ac:dyDescent="0.3">
      <c r="A717" s="11">
        <v>45323</v>
      </c>
      <c r="B717" s="11" t="s">
        <v>9</v>
      </c>
      <c r="C717" t="s">
        <v>41</v>
      </c>
      <c r="D717">
        <v>0</v>
      </c>
      <c r="E717" t="s">
        <v>34</v>
      </c>
      <c r="F717">
        <v>0</v>
      </c>
      <c r="G717">
        <v>0</v>
      </c>
    </row>
    <row r="718" spans="1:7" x14ac:dyDescent="0.3">
      <c r="A718" s="11">
        <v>45324</v>
      </c>
      <c r="B718" s="11" t="s">
        <v>12</v>
      </c>
      <c r="C718" t="s">
        <v>40</v>
      </c>
      <c r="D718">
        <v>0</v>
      </c>
      <c r="E718" t="s">
        <v>21</v>
      </c>
      <c r="F718">
        <v>0</v>
      </c>
      <c r="G718">
        <v>0</v>
      </c>
    </row>
    <row r="719" spans="1:7" x14ac:dyDescent="0.3">
      <c r="A719" s="11">
        <v>45324</v>
      </c>
      <c r="B719" s="11" t="s">
        <v>12</v>
      </c>
      <c r="C719" t="s">
        <v>22</v>
      </c>
      <c r="D719">
        <v>0</v>
      </c>
      <c r="E719" t="s">
        <v>17</v>
      </c>
      <c r="F719">
        <v>0</v>
      </c>
      <c r="G719">
        <v>0</v>
      </c>
    </row>
    <row r="720" spans="1:7" x14ac:dyDescent="0.3">
      <c r="A720" s="11">
        <v>45324</v>
      </c>
      <c r="B720" s="11" t="s">
        <v>6</v>
      </c>
      <c r="C720" t="s">
        <v>10</v>
      </c>
      <c r="D720">
        <v>0</v>
      </c>
      <c r="E720" t="s">
        <v>19</v>
      </c>
      <c r="F720">
        <v>0</v>
      </c>
      <c r="G720">
        <v>0</v>
      </c>
    </row>
    <row r="721" spans="1:7" x14ac:dyDescent="0.3">
      <c r="A721" s="11">
        <v>45324</v>
      </c>
      <c r="B721" s="11" t="s">
        <v>6</v>
      </c>
      <c r="C721" t="s">
        <v>33</v>
      </c>
      <c r="D721">
        <v>0</v>
      </c>
      <c r="E721" t="s">
        <v>18</v>
      </c>
      <c r="F721">
        <v>0</v>
      </c>
      <c r="G721">
        <v>0</v>
      </c>
    </row>
    <row r="722" spans="1:7" x14ac:dyDescent="0.3">
      <c r="A722" s="11">
        <v>45324</v>
      </c>
      <c r="B722" s="11" t="s">
        <v>27</v>
      </c>
      <c r="C722" t="s">
        <v>24</v>
      </c>
      <c r="D722">
        <v>0</v>
      </c>
      <c r="E722" t="s">
        <v>13</v>
      </c>
      <c r="F722">
        <v>0</v>
      </c>
      <c r="G722">
        <v>0</v>
      </c>
    </row>
    <row r="723" spans="1:7" x14ac:dyDescent="0.3">
      <c r="A723" s="11">
        <v>45324</v>
      </c>
      <c r="B723" s="11" t="s">
        <v>27</v>
      </c>
      <c r="C723" t="s">
        <v>11</v>
      </c>
      <c r="D723">
        <v>0</v>
      </c>
      <c r="E723" t="s">
        <v>29</v>
      </c>
      <c r="F723">
        <v>0</v>
      </c>
      <c r="G723">
        <v>0</v>
      </c>
    </row>
    <row r="724" spans="1:7" x14ac:dyDescent="0.3">
      <c r="A724" s="11">
        <v>45324</v>
      </c>
      <c r="B724" s="11" t="s">
        <v>27</v>
      </c>
      <c r="C724" t="s">
        <v>14</v>
      </c>
      <c r="D724">
        <v>0</v>
      </c>
      <c r="E724" t="s">
        <v>23</v>
      </c>
      <c r="F724">
        <v>0</v>
      </c>
      <c r="G724">
        <v>0</v>
      </c>
    </row>
    <row r="725" spans="1:7" x14ac:dyDescent="0.3">
      <c r="A725" s="11">
        <v>45324</v>
      </c>
      <c r="B725" s="11" t="s">
        <v>27</v>
      </c>
      <c r="C725" t="s">
        <v>20</v>
      </c>
      <c r="D725">
        <v>0</v>
      </c>
      <c r="E725" t="s">
        <v>30</v>
      </c>
      <c r="F725">
        <v>0</v>
      </c>
      <c r="G725">
        <v>0</v>
      </c>
    </row>
    <row r="726" spans="1:7" x14ac:dyDescent="0.3">
      <c r="A726" s="11">
        <v>45324</v>
      </c>
      <c r="B726" s="11" t="s">
        <v>27</v>
      </c>
      <c r="C726" t="s">
        <v>28</v>
      </c>
      <c r="D726">
        <v>0</v>
      </c>
      <c r="E726" t="s">
        <v>37</v>
      </c>
      <c r="F726">
        <v>0</v>
      </c>
      <c r="G726">
        <v>0</v>
      </c>
    </row>
    <row r="727" spans="1:7" x14ac:dyDescent="0.3">
      <c r="A727" s="11">
        <v>45324</v>
      </c>
      <c r="B727" s="11" t="s">
        <v>32</v>
      </c>
      <c r="C727" t="s">
        <v>39</v>
      </c>
      <c r="D727">
        <v>0</v>
      </c>
      <c r="E727" t="s">
        <v>8</v>
      </c>
      <c r="F727">
        <v>0</v>
      </c>
      <c r="G727">
        <v>0</v>
      </c>
    </row>
    <row r="728" spans="1:7" x14ac:dyDescent="0.3">
      <c r="A728" s="11">
        <v>45325</v>
      </c>
      <c r="B728" s="11" t="s">
        <v>47</v>
      </c>
      <c r="C728" t="s">
        <v>26</v>
      </c>
      <c r="D728">
        <v>0</v>
      </c>
      <c r="E728" t="s">
        <v>41</v>
      </c>
      <c r="F728">
        <v>0</v>
      </c>
      <c r="G728">
        <v>0</v>
      </c>
    </row>
    <row r="729" spans="1:7" x14ac:dyDescent="0.3">
      <c r="A729" s="11">
        <v>45325</v>
      </c>
      <c r="B729" s="11" t="s">
        <v>6</v>
      </c>
      <c r="C729" t="s">
        <v>11</v>
      </c>
      <c r="D729">
        <v>0</v>
      </c>
      <c r="E729" t="s">
        <v>19</v>
      </c>
      <c r="F729">
        <v>0</v>
      </c>
      <c r="G729">
        <v>0</v>
      </c>
    </row>
    <row r="730" spans="1:7" x14ac:dyDescent="0.3">
      <c r="A730" s="11">
        <v>45325</v>
      </c>
      <c r="B730" s="11" t="s">
        <v>27</v>
      </c>
      <c r="C730" t="s">
        <v>33</v>
      </c>
      <c r="D730">
        <v>0</v>
      </c>
      <c r="E730" t="s">
        <v>31</v>
      </c>
      <c r="F730">
        <v>0</v>
      </c>
      <c r="G730">
        <v>0</v>
      </c>
    </row>
    <row r="731" spans="1:7" x14ac:dyDescent="0.3">
      <c r="A731" s="11">
        <v>45325</v>
      </c>
      <c r="B731" s="11" t="s">
        <v>43</v>
      </c>
      <c r="C731" t="s">
        <v>42</v>
      </c>
      <c r="D731">
        <v>0</v>
      </c>
      <c r="E731" t="s">
        <v>36</v>
      </c>
      <c r="F731">
        <v>0</v>
      </c>
      <c r="G731">
        <v>0</v>
      </c>
    </row>
    <row r="732" spans="1:7" x14ac:dyDescent="0.3">
      <c r="A732" s="11">
        <v>45325</v>
      </c>
      <c r="B732" s="11" t="s">
        <v>43</v>
      </c>
      <c r="C732" t="s">
        <v>7</v>
      </c>
      <c r="D732">
        <v>0</v>
      </c>
      <c r="E732" t="s">
        <v>16</v>
      </c>
      <c r="F732">
        <v>0</v>
      </c>
      <c r="G732">
        <v>0</v>
      </c>
    </row>
    <row r="733" spans="1:7" x14ac:dyDescent="0.3">
      <c r="A733" s="11">
        <v>45325</v>
      </c>
      <c r="B733" s="11" t="s">
        <v>43</v>
      </c>
      <c r="C733" t="s">
        <v>25</v>
      </c>
      <c r="D733">
        <v>0</v>
      </c>
      <c r="E733" t="s">
        <v>37</v>
      </c>
      <c r="F733">
        <v>0</v>
      </c>
      <c r="G733">
        <v>0</v>
      </c>
    </row>
    <row r="734" spans="1:7" x14ac:dyDescent="0.3">
      <c r="A734" s="11">
        <v>45326</v>
      </c>
      <c r="B734" s="11" t="s">
        <v>46</v>
      </c>
      <c r="C734" t="s">
        <v>14</v>
      </c>
      <c r="D734">
        <v>0</v>
      </c>
      <c r="E734" t="s">
        <v>21</v>
      </c>
      <c r="F734">
        <v>0</v>
      </c>
      <c r="G734">
        <v>0</v>
      </c>
    </row>
    <row r="735" spans="1:7" x14ac:dyDescent="0.3">
      <c r="A735" s="11">
        <v>45326</v>
      </c>
      <c r="B735" s="11" t="s">
        <v>44</v>
      </c>
      <c r="C735" t="s">
        <v>10</v>
      </c>
      <c r="D735">
        <v>0</v>
      </c>
      <c r="E735" t="s">
        <v>17</v>
      </c>
      <c r="F735">
        <v>0</v>
      </c>
      <c r="G735">
        <v>0</v>
      </c>
    </row>
    <row r="736" spans="1:7" x14ac:dyDescent="0.3">
      <c r="A736" s="11">
        <v>45326</v>
      </c>
      <c r="B736" s="11" t="s">
        <v>47</v>
      </c>
      <c r="C736" t="s">
        <v>29</v>
      </c>
      <c r="D736">
        <v>0</v>
      </c>
      <c r="E736" t="s">
        <v>15</v>
      </c>
      <c r="F736">
        <v>0</v>
      </c>
      <c r="G736">
        <v>0</v>
      </c>
    </row>
    <row r="737" spans="1:7" x14ac:dyDescent="0.3">
      <c r="A737" s="11">
        <v>45326</v>
      </c>
      <c r="B737" s="11" t="s">
        <v>47</v>
      </c>
      <c r="C737" t="s">
        <v>18</v>
      </c>
      <c r="D737">
        <v>0</v>
      </c>
      <c r="E737" t="s">
        <v>20</v>
      </c>
      <c r="F737">
        <v>0</v>
      </c>
      <c r="G737">
        <v>0</v>
      </c>
    </row>
    <row r="738" spans="1:7" x14ac:dyDescent="0.3">
      <c r="A738" s="11">
        <v>45326</v>
      </c>
      <c r="B738" s="11" t="s">
        <v>47</v>
      </c>
      <c r="C738" t="s">
        <v>40</v>
      </c>
      <c r="D738">
        <v>0</v>
      </c>
      <c r="E738" t="s">
        <v>22</v>
      </c>
      <c r="F738">
        <v>0</v>
      </c>
      <c r="G738">
        <v>0</v>
      </c>
    </row>
    <row r="739" spans="1:7" x14ac:dyDescent="0.3">
      <c r="A739" s="11">
        <v>45326</v>
      </c>
      <c r="B739" s="11" t="s">
        <v>12</v>
      </c>
      <c r="C739" t="s">
        <v>13</v>
      </c>
      <c r="D739">
        <v>0</v>
      </c>
      <c r="E739" t="s">
        <v>23</v>
      </c>
      <c r="F739">
        <v>0</v>
      </c>
      <c r="G739">
        <v>0</v>
      </c>
    </row>
    <row r="740" spans="1:7" x14ac:dyDescent="0.3">
      <c r="A740" s="11">
        <v>45326</v>
      </c>
      <c r="B740" s="11" t="s">
        <v>12</v>
      </c>
      <c r="C740" t="s">
        <v>24</v>
      </c>
      <c r="D740">
        <v>0</v>
      </c>
      <c r="E740" t="s">
        <v>30</v>
      </c>
      <c r="F740">
        <v>0</v>
      </c>
      <c r="G740">
        <v>0</v>
      </c>
    </row>
    <row r="741" spans="1:7" x14ac:dyDescent="0.3">
      <c r="A741" s="11">
        <v>45326</v>
      </c>
      <c r="B741" s="11" t="s">
        <v>27</v>
      </c>
      <c r="C741" t="s">
        <v>42</v>
      </c>
      <c r="D741">
        <v>0</v>
      </c>
      <c r="E741" t="s">
        <v>34</v>
      </c>
      <c r="F741">
        <v>0</v>
      </c>
      <c r="G741">
        <v>0</v>
      </c>
    </row>
    <row r="742" spans="1:7" x14ac:dyDescent="0.3">
      <c r="A742" s="11">
        <v>45326</v>
      </c>
      <c r="B742" s="11" t="s">
        <v>43</v>
      </c>
      <c r="C742" t="s">
        <v>39</v>
      </c>
      <c r="D742">
        <v>0</v>
      </c>
      <c r="E742" t="s">
        <v>8</v>
      </c>
      <c r="F742">
        <v>0</v>
      </c>
      <c r="G742">
        <v>0</v>
      </c>
    </row>
    <row r="743" spans="1:7" x14ac:dyDescent="0.3">
      <c r="A743" s="11">
        <v>45327</v>
      </c>
      <c r="B743" s="11" t="s">
        <v>12</v>
      </c>
      <c r="C743" t="s">
        <v>7</v>
      </c>
      <c r="D743">
        <v>0</v>
      </c>
      <c r="E743" t="s">
        <v>20</v>
      </c>
      <c r="F743">
        <v>0</v>
      </c>
      <c r="G743">
        <v>0</v>
      </c>
    </row>
    <row r="744" spans="1:7" x14ac:dyDescent="0.3">
      <c r="A744" s="11">
        <v>45327</v>
      </c>
      <c r="B744" s="11" t="s">
        <v>12</v>
      </c>
      <c r="C744" t="s">
        <v>33</v>
      </c>
      <c r="D744">
        <v>0</v>
      </c>
      <c r="E744" t="s">
        <v>25</v>
      </c>
      <c r="F744">
        <v>0</v>
      </c>
      <c r="G744">
        <v>0</v>
      </c>
    </row>
    <row r="745" spans="1:7" x14ac:dyDescent="0.3">
      <c r="A745" s="11">
        <v>45327</v>
      </c>
      <c r="B745" s="11" t="s">
        <v>12</v>
      </c>
      <c r="C745" t="s">
        <v>36</v>
      </c>
      <c r="D745">
        <v>0</v>
      </c>
      <c r="E745" t="s">
        <v>41</v>
      </c>
      <c r="F745">
        <v>0</v>
      </c>
      <c r="G745">
        <v>0</v>
      </c>
    </row>
    <row r="746" spans="1:7" x14ac:dyDescent="0.3">
      <c r="A746" s="11">
        <v>45327</v>
      </c>
      <c r="B746" s="11" t="s">
        <v>6</v>
      </c>
      <c r="C746" t="s">
        <v>40</v>
      </c>
      <c r="D746">
        <v>0</v>
      </c>
      <c r="E746" t="s">
        <v>19</v>
      </c>
      <c r="F746">
        <v>0</v>
      </c>
      <c r="G746">
        <v>0</v>
      </c>
    </row>
    <row r="747" spans="1:7" x14ac:dyDescent="0.3">
      <c r="A747" s="11">
        <v>45327</v>
      </c>
      <c r="B747" s="11" t="s">
        <v>6</v>
      </c>
      <c r="C747" t="s">
        <v>11</v>
      </c>
      <c r="D747">
        <v>0</v>
      </c>
      <c r="E747" t="s">
        <v>26</v>
      </c>
      <c r="F747">
        <v>0</v>
      </c>
      <c r="G747">
        <v>0</v>
      </c>
    </row>
    <row r="748" spans="1:7" x14ac:dyDescent="0.3">
      <c r="A748" s="11">
        <v>45327</v>
      </c>
      <c r="B748" s="11" t="s">
        <v>27</v>
      </c>
      <c r="C748" t="s">
        <v>24</v>
      </c>
      <c r="D748">
        <v>0</v>
      </c>
      <c r="E748" t="s">
        <v>28</v>
      </c>
      <c r="F748">
        <v>0</v>
      </c>
      <c r="G748">
        <v>0</v>
      </c>
    </row>
    <row r="749" spans="1:7" x14ac:dyDescent="0.3">
      <c r="A749" s="11">
        <v>45328</v>
      </c>
      <c r="B749" s="11" t="s">
        <v>12</v>
      </c>
      <c r="C749" t="s">
        <v>13</v>
      </c>
      <c r="D749">
        <v>0</v>
      </c>
      <c r="E749" t="s">
        <v>18</v>
      </c>
      <c r="F749">
        <v>0</v>
      </c>
      <c r="G749">
        <v>0</v>
      </c>
    </row>
    <row r="750" spans="1:7" x14ac:dyDescent="0.3">
      <c r="A750" s="11">
        <v>45328</v>
      </c>
      <c r="B750" s="11" t="s">
        <v>6</v>
      </c>
      <c r="C750" t="s">
        <v>36</v>
      </c>
      <c r="D750">
        <v>0</v>
      </c>
      <c r="E750" t="s">
        <v>26</v>
      </c>
      <c r="F750">
        <v>0</v>
      </c>
      <c r="G750">
        <v>0</v>
      </c>
    </row>
    <row r="751" spans="1:7" x14ac:dyDescent="0.3">
      <c r="A751" s="11">
        <v>45328</v>
      </c>
      <c r="B751" s="11" t="s">
        <v>6</v>
      </c>
      <c r="C751" t="s">
        <v>14</v>
      </c>
      <c r="D751">
        <v>0</v>
      </c>
      <c r="E751" t="s">
        <v>22</v>
      </c>
      <c r="F751">
        <v>0</v>
      </c>
      <c r="G751">
        <v>0</v>
      </c>
    </row>
    <row r="752" spans="1:7" x14ac:dyDescent="0.3">
      <c r="A752" s="11">
        <v>45328</v>
      </c>
      <c r="B752" s="11" t="s">
        <v>6</v>
      </c>
      <c r="C752" t="s">
        <v>29</v>
      </c>
      <c r="D752">
        <v>0</v>
      </c>
      <c r="E752" t="s">
        <v>16</v>
      </c>
      <c r="F752">
        <v>0</v>
      </c>
      <c r="G752">
        <v>0</v>
      </c>
    </row>
    <row r="753" spans="1:7" x14ac:dyDescent="0.3">
      <c r="A753" s="11">
        <v>45328</v>
      </c>
      <c r="B753" s="11" t="s">
        <v>27</v>
      </c>
      <c r="C753" t="s">
        <v>23</v>
      </c>
      <c r="D753">
        <v>0</v>
      </c>
      <c r="E753" t="s">
        <v>31</v>
      </c>
      <c r="F753">
        <v>0</v>
      </c>
      <c r="G753">
        <v>0</v>
      </c>
    </row>
    <row r="754" spans="1:7" x14ac:dyDescent="0.3">
      <c r="A754" s="11">
        <v>45328</v>
      </c>
      <c r="B754" s="11" t="s">
        <v>32</v>
      </c>
      <c r="C754" t="s">
        <v>30</v>
      </c>
      <c r="D754">
        <v>0</v>
      </c>
      <c r="E754" t="s">
        <v>34</v>
      </c>
      <c r="F754">
        <v>0</v>
      </c>
      <c r="G754">
        <v>0</v>
      </c>
    </row>
    <row r="755" spans="1:7" x14ac:dyDescent="0.3">
      <c r="A755" s="11">
        <v>45328</v>
      </c>
      <c r="B755" s="11" t="s">
        <v>9</v>
      </c>
      <c r="C755" t="s">
        <v>42</v>
      </c>
      <c r="D755">
        <v>0</v>
      </c>
      <c r="E755" t="s">
        <v>10</v>
      </c>
      <c r="F755">
        <v>0</v>
      </c>
      <c r="G755">
        <v>0</v>
      </c>
    </row>
    <row r="756" spans="1:7" x14ac:dyDescent="0.3">
      <c r="A756" s="11">
        <v>45329</v>
      </c>
      <c r="B756" s="11" t="s">
        <v>12</v>
      </c>
      <c r="C756" t="s">
        <v>24</v>
      </c>
      <c r="D756">
        <v>0</v>
      </c>
      <c r="E756" t="s">
        <v>20</v>
      </c>
      <c r="F756">
        <v>0</v>
      </c>
      <c r="G756">
        <v>0</v>
      </c>
    </row>
    <row r="757" spans="1:7" x14ac:dyDescent="0.3">
      <c r="A757" s="11">
        <v>45329</v>
      </c>
      <c r="B757" s="11" t="s">
        <v>12</v>
      </c>
      <c r="C757" t="s">
        <v>25</v>
      </c>
      <c r="D757">
        <v>0</v>
      </c>
      <c r="E757" t="s">
        <v>17</v>
      </c>
      <c r="F757">
        <v>0</v>
      </c>
      <c r="G757">
        <v>0</v>
      </c>
    </row>
    <row r="758" spans="1:7" x14ac:dyDescent="0.3">
      <c r="A758" s="11">
        <v>45329</v>
      </c>
      <c r="B758" s="11" t="s">
        <v>6</v>
      </c>
      <c r="C758" t="s">
        <v>19</v>
      </c>
      <c r="D758">
        <v>0</v>
      </c>
      <c r="E758" t="s">
        <v>15</v>
      </c>
      <c r="F758">
        <v>0</v>
      </c>
      <c r="G758">
        <v>0</v>
      </c>
    </row>
    <row r="759" spans="1:7" x14ac:dyDescent="0.3">
      <c r="A759" s="11">
        <v>45329</v>
      </c>
      <c r="B759" s="11" t="s">
        <v>6</v>
      </c>
      <c r="C759" t="s">
        <v>37</v>
      </c>
      <c r="D759">
        <v>0</v>
      </c>
      <c r="E759" t="s">
        <v>22</v>
      </c>
      <c r="F759">
        <v>0</v>
      </c>
      <c r="G759">
        <v>0</v>
      </c>
    </row>
    <row r="760" spans="1:7" x14ac:dyDescent="0.3">
      <c r="A760" s="11">
        <v>45329</v>
      </c>
      <c r="B760" s="11" t="s">
        <v>6</v>
      </c>
      <c r="C760" t="s">
        <v>11</v>
      </c>
      <c r="D760">
        <v>0</v>
      </c>
      <c r="E760" t="s">
        <v>41</v>
      </c>
      <c r="F760">
        <v>0</v>
      </c>
      <c r="G760">
        <v>0</v>
      </c>
    </row>
    <row r="761" spans="1:7" x14ac:dyDescent="0.3">
      <c r="A761" s="11">
        <v>45329</v>
      </c>
      <c r="B761" s="11" t="s">
        <v>9</v>
      </c>
      <c r="C761" t="s">
        <v>28</v>
      </c>
      <c r="D761">
        <v>0</v>
      </c>
      <c r="E761" t="s">
        <v>40</v>
      </c>
      <c r="F761">
        <v>0</v>
      </c>
      <c r="G761">
        <v>0</v>
      </c>
    </row>
    <row r="762" spans="1:7" x14ac:dyDescent="0.3">
      <c r="A762" s="11">
        <v>45329</v>
      </c>
      <c r="B762" s="11" t="s">
        <v>9</v>
      </c>
      <c r="C762" t="s">
        <v>21</v>
      </c>
      <c r="D762">
        <v>0</v>
      </c>
      <c r="E762" t="s">
        <v>33</v>
      </c>
      <c r="F762">
        <v>0</v>
      </c>
      <c r="G762">
        <v>0</v>
      </c>
    </row>
    <row r="763" spans="1:7" x14ac:dyDescent="0.3">
      <c r="A763" s="11">
        <v>45330</v>
      </c>
      <c r="B763" s="11" t="s">
        <v>12</v>
      </c>
      <c r="C763" t="s">
        <v>11</v>
      </c>
      <c r="D763">
        <v>0</v>
      </c>
      <c r="E763" t="s">
        <v>18</v>
      </c>
      <c r="F763">
        <v>0</v>
      </c>
      <c r="G763">
        <v>0</v>
      </c>
    </row>
    <row r="764" spans="1:7" x14ac:dyDescent="0.3">
      <c r="A764" s="11">
        <v>45330</v>
      </c>
      <c r="B764" s="11" t="s">
        <v>12</v>
      </c>
      <c r="C764" t="s">
        <v>37</v>
      </c>
      <c r="D764">
        <v>0</v>
      </c>
      <c r="E764" t="s">
        <v>14</v>
      </c>
      <c r="F764">
        <v>0</v>
      </c>
      <c r="G764">
        <v>0</v>
      </c>
    </row>
    <row r="765" spans="1:7" x14ac:dyDescent="0.3">
      <c r="A765" s="11">
        <v>45330</v>
      </c>
      <c r="B765" s="11" t="s">
        <v>6</v>
      </c>
      <c r="C765" t="s">
        <v>25</v>
      </c>
      <c r="D765">
        <v>0</v>
      </c>
      <c r="E765" t="s">
        <v>26</v>
      </c>
      <c r="F765">
        <v>0</v>
      </c>
      <c r="G765">
        <v>0</v>
      </c>
    </row>
    <row r="766" spans="1:7" x14ac:dyDescent="0.3">
      <c r="A766" s="11">
        <v>45330</v>
      </c>
      <c r="B766" s="11" t="s">
        <v>6</v>
      </c>
      <c r="C766" t="s">
        <v>36</v>
      </c>
      <c r="D766">
        <v>0</v>
      </c>
      <c r="E766" t="s">
        <v>16</v>
      </c>
      <c r="F766">
        <v>0</v>
      </c>
      <c r="G766">
        <v>0</v>
      </c>
    </row>
    <row r="767" spans="1:7" x14ac:dyDescent="0.3">
      <c r="A767" s="11">
        <v>45330</v>
      </c>
      <c r="B767" s="11" t="s">
        <v>27</v>
      </c>
      <c r="C767" t="s">
        <v>31</v>
      </c>
      <c r="D767">
        <v>0</v>
      </c>
      <c r="E767" t="s">
        <v>29</v>
      </c>
      <c r="F767">
        <v>0</v>
      </c>
      <c r="G767">
        <v>0</v>
      </c>
    </row>
    <row r="768" spans="1:7" x14ac:dyDescent="0.3">
      <c r="A768" s="11">
        <v>45330</v>
      </c>
      <c r="B768" s="11" t="s">
        <v>27</v>
      </c>
      <c r="C768" t="s">
        <v>23</v>
      </c>
      <c r="D768">
        <v>0</v>
      </c>
      <c r="E768" t="s">
        <v>42</v>
      </c>
      <c r="F768">
        <v>0</v>
      </c>
      <c r="G768">
        <v>0</v>
      </c>
    </row>
    <row r="769" spans="1:7" x14ac:dyDescent="0.3">
      <c r="A769" s="11">
        <v>45330</v>
      </c>
      <c r="B769" s="11" t="s">
        <v>32</v>
      </c>
      <c r="C769" t="s">
        <v>34</v>
      </c>
      <c r="D769">
        <v>0</v>
      </c>
      <c r="E769" t="s">
        <v>10</v>
      </c>
      <c r="F769">
        <v>0</v>
      </c>
      <c r="G769">
        <v>0</v>
      </c>
    </row>
    <row r="770" spans="1:7" x14ac:dyDescent="0.3">
      <c r="A770" s="11">
        <v>45330</v>
      </c>
      <c r="B770" s="11" t="s">
        <v>9</v>
      </c>
      <c r="C770" t="s">
        <v>8</v>
      </c>
      <c r="D770">
        <v>0</v>
      </c>
      <c r="E770" t="s">
        <v>7</v>
      </c>
      <c r="F770">
        <v>0</v>
      </c>
      <c r="G770">
        <v>0</v>
      </c>
    </row>
    <row r="771" spans="1:7" x14ac:dyDescent="0.3">
      <c r="A771" s="11">
        <v>45330</v>
      </c>
      <c r="B771" s="11" t="s">
        <v>9</v>
      </c>
      <c r="C771" t="s">
        <v>21</v>
      </c>
      <c r="D771">
        <v>0</v>
      </c>
      <c r="E771" t="s">
        <v>39</v>
      </c>
      <c r="F771">
        <v>0</v>
      </c>
      <c r="G771">
        <v>0</v>
      </c>
    </row>
    <row r="772" spans="1:7" x14ac:dyDescent="0.3">
      <c r="A772" s="11">
        <v>45331</v>
      </c>
      <c r="B772" s="11" t="s">
        <v>12</v>
      </c>
      <c r="C772" t="s">
        <v>19</v>
      </c>
      <c r="D772">
        <v>0</v>
      </c>
      <c r="E772" t="s">
        <v>41</v>
      </c>
      <c r="F772">
        <v>0</v>
      </c>
      <c r="G772">
        <v>0</v>
      </c>
    </row>
    <row r="773" spans="1:7" x14ac:dyDescent="0.3">
      <c r="A773" s="11">
        <v>45331</v>
      </c>
      <c r="B773" s="11" t="s">
        <v>6</v>
      </c>
      <c r="C773" t="s">
        <v>17</v>
      </c>
      <c r="D773">
        <v>0</v>
      </c>
      <c r="E773" t="s">
        <v>15</v>
      </c>
      <c r="F773">
        <v>0</v>
      </c>
      <c r="G773">
        <v>0</v>
      </c>
    </row>
    <row r="774" spans="1:7" x14ac:dyDescent="0.3">
      <c r="A774" s="11">
        <v>45331</v>
      </c>
      <c r="B774" s="11" t="s">
        <v>6</v>
      </c>
      <c r="C774" t="s">
        <v>13</v>
      </c>
      <c r="D774">
        <v>0</v>
      </c>
      <c r="E774" t="s">
        <v>24</v>
      </c>
      <c r="F774">
        <v>0</v>
      </c>
      <c r="G774">
        <v>0</v>
      </c>
    </row>
    <row r="775" spans="1:7" x14ac:dyDescent="0.3">
      <c r="A775" s="11">
        <v>45331</v>
      </c>
      <c r="B775" s="11" t="s">
        <v>27</v>
      </c>
      <c r="C775" t="s">
        <v>20</v>
      </c>
      <c r="D775">
        <v>0</v>
      </c>
      <c r="E775" t="s">
        <v>42</v>
      </c>
      <c r="F775">
        <v>0</v>
      </c>
      <c r="G775">
        <v>0</v>
      </c>
    </row>
    <row r="776" spans="1:7" x14ac:dyDescent="0.3">
      <c r="A776" s="11">
        <v>45331</v>
      </c>
      <c r="B776" s="11" t="s">
        <v>9</v>
      </c>
      <c r="C776" t="s">
        <v>8</v>
      </c>
      <c r="D776">
        <v>0</v>
      </c>
      <c r="E776" t="s">
        <v>33</v>
      </c>
      <c r="F776">
        <v>0</v>
      </c>
      <c r="G776">
        <v>0</v>
      </c>
    </row>
    <row r="777" spans="1:7" x14ac:dyDescent="0.3">
      <c r="A777" s="11">
        <v>45331</v>
      </c>
      <c r="B777" s="11" t="s">
        <v>38</v>
      </c>
      <c r="C777" t="s">
        <v>28</v>
      </c>
      <c r="D777">
        <v>0</v>
      </c>
      <c r="E777" t="s">
        <v>7</v>
      </c>
      <c r="F777">
        <v>0</v>
      </c>
      <c r="G777">
        <v>0</v>
      </c>
    </row>
    <row r="778" spans="1:7" x14ac:dyDescent="0.3">
      <c r="A778" s="11">
        <v>45332</v>
      </c>
      <c r="B778" s="11" t="s">
        <v>46</v>
      </c>
      <c r="C778" t="s">
        <v>30</v>
      </c>
      <c r="D778">
        <v>0</v>
      </c>
      <c r="E778" t="s">
        <v>36</v>
      </c>
      <c r="F778">
        <v>0</v>
      </c>
      <c r="G778">
        <v>0</v>
      </c>
    </row>
    <row r="779" spans="1:7" x14ac:dyDescent="0.3">
      <c r="A779" s="11">
        <v>45332</v>
      </c>
      <c r="B779" s="11" t="s">
        <v>44</v>
      </c>
      <c r="C779" t="s">
        <v>21</v>
      </c>
      <c r="D779">
        <v>0</v>
      </c>
      <c r="E779" t="s">
        <v>40</v>
      </c>
      <c r="F779">
        <v>0</v>
      </c>
      <c r="G779">
        <v>0</v>
      </c>
    </row>
    <row r="780" spans="1:7" x14ac:dyDescent="0.3">
      <c r="A780" s="11">
        <v>45332</v>
      </c>
      <c r="B780" s="11" t="s">
        <v>47</v>
      </c>
      <c r="C780" t="s">
        <v>37</v>
      </c>
      <c r="D780">
        <v>0</v>
      </c>
      <c r="E780" t="s">
        <v>26</v>
      </c>
      <c r="F780">
        <v>0</v>
      </c>
      <c r="G780">
        <v>0</v>
      </c>
    </row>
    <row r="781" spans="1:7" x14ac:dyDescent="0.3">
      <c r="A781" s="11">
        <v>45332</v>
      </c>
      <c r="B781" s="11" t="s">
        <v>12</v>
      </c>
      <c r="C781" t="s">
        <v>29</v>
      </c>
      <c r="D781">
        <v>0</v>
      </c>
      <c r="E781" t="s">
        <v>20</v>
      </c>
      <c r="F781">
        <v>0</v>
      </c>
      <c r="G781">
        <v>0</v>
      </c>
    </row>
    <row r="782" spans="1:7" x14ac:dyDescent="0.3">
      <c r="A782" s="11">
        <v>45332</v>
      </c>
      <c r="B782" s="11" t="s">
        <v>12</v>
      </c>
      <c r="C782" t="s">
        <v>31</v>
      </c>
      <c r="D782">
        <v>0</v>
      </c>
      <c r="E782" t="s">
        <v>14</v>
      </c>
      <c r="F782">
        <v>0</v>
      </c>
      <c r="G782">
        <v>0</v>
      </c>
    </row>
    <row r="783" spans="1:7" x14ac:dyDescent="0.3">
      <c r="A783" s="11">
        <v>45332</v>
      </c>
      <c r="B783" s="11" t="s">
        <v>12</v>
      </c>
      <c r="C783" t="s">
        <v>41</v>
      </c>
      <c r="D783">
        <v>0</v>
      </c>
      <c r="E783" t="s">
        <v>17</v>
      </c>
      <c r="F783">
        <v>0</v>
      </c>
      <c r="G783">
        <v>0</v>
      </c>
    </row>
    <row r="784" spans="1:7" x14ac:dyDescent="0.3">
      <c r="A784" s="11">
        <v>45332</v>
      </c>
      <c r="B784" s="11" t="s">
        <v>6</v>
      </c>
      <c r="C784" t="s">
        <v>13</v>
      </c>
      <c r="D784">
        <v>0</v>
      </c>
      <c r="E784" t="s">
        <v>19</v>
      </c>
      <c r="F784">
        <v>0</v>
      </c>
      <c r="G784">
        <v>0</v>
      </c>
    </row>
    <row r="785" spans="1:7" x14ac:dyDescent="0.3">
      <c r="A785" s="11">
        <v>45332</v>
      </c>
      <c r="B785" s="11" t="s">
        <v>6</v>
      </c>
      <c r="C785" t="s">
        <v>18</v>
      </c>
      <c r="D785">
        <v>0</v>
      </c>
      <c r="E785" t="s">
        <v>16</v>
      </c>
      <c r="F785">
        <v>0</v>
      </c>
      <c r="G785">
        <v>0</v>
      </c>
    </row>
    <row r="786" spans="1:7" x14ac:dyDescent="0.3">
      <c r="A786" s="11">
        <v>45332</v>
      </c>
      <c r="B786" s="11" t="s">
        <v>6</v>
      </c>
      <c r="C786" t="s">
        <v>25</v>
      </c>
      <c r="D786">
        <v>0</v>
      </c>
      <c r="E786" t="s">
        <v>24</v>
      </c>
      <c r="F786">
        <v>0</v>
      </c>
      <c r="G786">
        <v>0</v>
      </c>
    </row>
    <row r="787" spans="1:7" x14ac:dyDescent="0.3">
      <c r="A787" s="11">
        <v>45332</v>
      </c>
      <c r="B787" s="11" t="s">
        <v>43</v>
      </c>
      <c r="C787" t="s">
        <v>10</v>
      </c>
      <c r="D787">
        <v>0</v>
      </c>
      <c r="E787" t="s">
        <v>11</v>
      </c>
      <c r="F787">
        <v>0</v>
      </c>
      <c r="G787">
        <v>0</v>
      </c>
    </row>
    <row r="788" spans="1:7" x14ac:dyDescent="0.3">
      <c r="A788" s="11">
        <v>45332</v>
      </c>
      <c r="B788" s="11" t="s">
        <v>9</v>
      </c>
      <c r="C788" t="s">
        <v>28</v>
      </c>
      <c r="D788">
        <v>0</v>
      </c>
      <c r="E788" t="s">
        <v>39</v>
      </c>
      <c r="F788">
        <v>0</v>
      </c>
      <c r="G788">
        <v>0</v>
      </c>
    </row>
    <row r="789" spans="1:7" x14ac:dyDescent="0.3">
      <c r="A789" s="11">
        <v>45333</v>
      </c>
      <c r="B789" s="11" t="s">
        <v>53</v>
      </c>
      <c r="C789" t="s">
        <v>15</v>
      </c>
      <c r="D789">
        <v>0</v>
      </c>
      <c r="E789" t="s">
        <v>22</v>
      </c>
      <c r="F789">
        <v>0</v>
      </c>
      <c r="G789">
        <v>0</v>
      </c>
    </row>
    <row r="790" spans="1:7" x14ac:dyDescent="0.3">
      <c r="A790" s="11">
        <v>45333</v>
      </c>
      <c r="B790" s="11" t="s">
        <v>46</v>
      </c>
      <c r="C790" t="s">
        <v>33</v>
      </c>
      <c r="D790">
        <v>0</v>
      </c>
      <c r="E790" t="s">
        <v>30</v>
      </c>
      <c r="F790">
        <v>0</v>
      </c>
      <c r="G790">
        <v>0</v>
      </c>
    </row>
    <row r="791" spans="1:7" x14ac:dyDescent="0.3">
      <c r="A791" s="11">
        <v>45334</v>
      </c>
      <c r="B791" s="11" t="s">
        <v>12</v>
      </c>
      <c r="C791" t="s">
        <v>18</v>
      </c>
      <c r="D791">
        <v>0</v>
      </c>
      <c r="E791" t="s">
        <v>20</v>
      </c>
      <c r="F791">
        <v>0</v>
      </c>
      <c r="G791">
        <v>0</v>
      </c>
    </row>
    <row r="792" spans="1:7" x14ac:dyDescent="0.3">
      <c r="A792" s="11">
        <v>45334</v>
      </c>
      <c r="B792" s="11" t="s">
        <v>12</v>
      </c>
      <c r="C792" t="s">
        <v>41</v>
      </c>
      <c r="D792">
        <v>0</v>
      </c>
      <c r="E792" t="s">
        <v>25</v>
      </c>
      <c r="F792">
        <v>0</v>
      </c>
      <c r="G792">
        <v>0</v>
      </c>
    </row>
    <row r="793" spans="1:7" x14ac:dyDescent="0.3">
      <c r="A793" s="11">
        <v>45334</v>
      </c>
      <c r="B793" s="11" t="s">
        <v>6</v>
      </c>
      <c r="C793" t="s">
        <v>31</v>
      </c>
      <c r="D793">
        <v>0</v>
      </c>
      <c r="E793" t="s">
        <v>19</v>
      </c>
      <c r="F793">
        <v>0</v>
      </c>
      <c r="G793">
        <v>0</v>
      </c>
    </row>
    <row r="794" spans="1:7" x14ac:dyDescent="0.3">
      <c r="A794" s="11">
        <v>45334</v>
      </c>
      <c r="B794" s="11" t="s">
        <v>6</v>
      </c>
      <c r="C794" t="s">
        <v>37</v>
      </c>
      <c r="D794">
        <v>0</v>
      </c>
      <c r="E794" t="s">
        <v>24</v>
      </c>
      <c r="F794">
        <v>0</v>
      </c>
      <c r="G794">
        <v>0</v>
      </c>
    </row>
    <row r="795" spans="1:7" x14ac:dyDescent="0.3">
      <c r="A795" s="11">
        <v>45334</v>
      </c>
      <c r="B795" s="11" t="s">
        <v>27</v>
      </c>
      <c r="C795" t="s">
        <v>16</v>
      </c>
      <c r="D795">
        <v>0</v>
      </c>
      <c r="E795" t="s">
        <v>13</v>
      </c>
      <c r="F795">
        <v>0</v>
      </c>
      <c r="G795">
        <v>0</v>
      </c>
    </row>
    <row r="796" spans="1:7" x14ac:dyDescent="0.3">
      <c r="A796" s="11">
        <v>45334</v>
      </c>
      <c r="B796" s="11" t="s">
        <v>27</v>
      </c>
      <c r="C796" t="s">
        <v>28</v>
      </c>
      <c r="D796">
        <v>0</v>
      </c>
      <c r="E796" t="s">
        <v>29</v>
      </c>
      <c r="F796">
        <v>0</v>
      </c>
      <c r="G796">
        <v>0</v>
      </c>
    </row>
    <row r="797" spans="1:7" x14ac:dyDescent="0.3">
      <c r="A797" s="11">
        <v>45334</v>
      </c>
      <c r="B797" s="11" t="s">
        <v>27</v>
      </c>
      <c r="C797" t="s">
        <v>8</v>
      </c>
      <c r="D797">
        <v>0</v>
      </c>
      <c r="E797" t="s">
        <v>42</v>
      </c>
      <c r="F797">
        <v>0</v>
      </c>
      <c r="G797">
        <v>0</v>
      </c>
    </row>
    <row r="798" spans="1:7" x14ac:dyDescent="0.3">
      <c r="A798" s="11">
        <v>45334</v>
      </c>
      <c r="B798" s="11" t="s">
        <v>43</v>
      </c>
      <c r="C798" t="s">
        <v>17</v>
      </c>
      <c r="D798">
        <v>0</v>
      </c>
      <c r="E798" t="s">
        <v>36</v>
      </c>
      <c r="F798">
        <v>0</v>
      </c>
      <c r="G798">
        <v>0</v>
      </c>
    </row>
    <row r="799" spans="1:7" x14ac:dyDescent="0.3">
      <c r="A799" s="11">
        <v>45334</v>
      </c>
      <c r="B799" s="11" t="s">
        <v>32</v>
      </c>
      <c r="C799" t="s">
        <v>11</v>
      </c>
      <c r="D799">
        <v>0</v>
      </c>
      <c r="E799" t="s">
        <v>34</v>
      </c>
      <c r="F799">
        <v>0</v>
      </c>
      <c r="G799">
        <v>0</v>
      </c>
    </row>
    <row r="800" spans="1:7" x14ac:dyDescent="0.3">
      <c r="A800" s="11">
        <v>45334</v>
      </c>
      <c r="B800" s="11" t="s">
        <v>38</v>
      </c>
      <c r="C800" t="s">
        <v>23</v>
      </c>
      <c r="D800">
        <v>0</v>
      </c>
      <c r="E800" t="s">
        <v>40</v>
      </c>
      <c r="F800">
        <v>0</v>
      </c>
      <c r="G800">
        <v>0</v>
      </c>
    </row>
    <row r="801" spans="1:7" x14ac:dyDescent="0.3">
      <c r="A801" s="11">
        <v>45335</v>
      </c>
      <c r="B801" s="11" t="s">
        <v>6</v>
      </c>
      <c r="C801" t="s">
        <v>15</v>
      </c>
      <c r="D801">
        <v>0</v>
      </c>
      <c r="E801" t="s">
        <v>26</v>
      </c>
      <c r="F801">
        <v>0</v>
      </c>
      <c r="G801">
        <v>0</v>
      </c>
    </row>
    <row r="802" spans="1:7" x14ac:dyDescent="0.3">
      <c r="A802" s="11">
        <v>45335</v>
      </c>
      <c r="B802" s="11" t="s">
        <v>6</v>
      </c>
      <c r="C802" t="s">
        <v>30</v>
      </c>
      <c r="D802">
        <v>0</v>
      </c>
      <c r="E802" t="s">
        <v>14</v>
      </c>
      <c r="F802">
        <v>0</v>
      </c>
      <c r="G802">
        <v>0</v>
      </c>
    </row>
    <row r="803" spans="1:7" x14ac:dyDescent="0.3">
      <c r="A803" s="11">
        <v>45335</v>
      </c>
      <c r="B803" s="11" t="s">
        <v>27</v>
      </c>
      <c r="C803" t="s">
        <v>22</v>
      </c>
      <c r="D803">
        <v>0</v>
      </c>
      <c r="E803" t="s">
        <v>42</v>
      </c>
      <c r="F803">
        <v>0</v>
      </c>
      <c r="G803">
        <v>0</v>
      </c>
    </row>
    <row r="804" spans="1:7" x14ac:dyDescent="0.3">
      <c r="A804" s="11">
        <v>45335</v>
      </c>
      <c r="B804" s="11" t="s">
        <v>9</v>
      </c>
      <c r="C804" t="s">
        <v>33</v>
      </c>
      <c r="D804">
        <v>0</v>
      </c>
      <c r="E804" t="s">
        <v>10</v>
      </c>
      <c r="F804">
        <v>0</v>
      </c>
      <c r="G804">
        <v>0</v>
      </c>
    </row>
    <row r="805" spans="1:7" x14ac:dyDescent="0.3">
      <c r="A805" s="11">
        <v>45335</v>
      </c>
      <c r="B805" s="11" t="s">
        <v>9</v>
      </c>
      <c r="C805" t="s">
        <v>23</v>
      </c>
      <c r="D805">
        <v>0</v>
      </c>
      <c r="E805" t="s">
        <v>39</v>
      </c>
      <c r="F805">
        <v>0</v>
      </c>
      <c r="G805">
        <v>0</v>
      </c>
    </row>
    <row r="806" spans="1:7" x14ac:dyDescent="0.3">
      <c r="A806" s="11">
        <v>45335</v>
      </c>
      <c r="B806" s="11" t="s">
        <v>38</v>
      </c>
      <c r="C806" t="s">
        <v>21</v>
      </c>
      <c r="D806">
        <v>0</v>
      </c>
      <c r="E806" t="s">
        <v>7</v>
      </c>
      <c r="F806">
        <v>0</v>
      </c>
      <c r="G806">
        <v>0</v>
      </c>
    </row>
    <row r="807" spans="1:7" x14ac:dyDescent="0.3">
      <c r="A807" s="11">
        <v>45336</v>
      </c>
      <c r="B807" s="11" t="s">
        <v>12</v>
      </c>
      <c r="C807" t="s">
        <v>19</v>
      </c>
      <c r="D807">
        <v>0</v>
      </c>
      <c r="E807" t="s">
        <v>20</v>
      </c>
      <c r="F807">
        <v>0</v>
      </c>
      <c r="G807">
        <v>0</v>
      </c>
    </row>
    <row r="808" spans="1:7" x14ac:dyDescent="0.3">
      <c r="A808" s="11">
        <v>45336</v>
      </c>
      <c r="B808" s="11" t="s">
        <v>12</v>
      </c>
      <c r="C808" t="s">
        <v>16</v>
      </c>
      <c r="D808">
        <v>0</v>
      </c>
      <c r="E808" t="s">
        <v>14</v>
      </c>
      <c r="F808">
        <v>0</v>
      </c>
      <c r="G808">
        <v>0</v>
      </c>
    </row>
    <row r="809" spans="1:7" x14ac:dyDescent="0.3">
      <c r="A809" s="11">
        <v>45336</v>
      </c>
      <c r="B809" s="11" t="s">
        <v>12</v>
      </c>
      <c r="C809" t="s">
        <v>22</v>
      </c>
      <c r="D809">
        <v>0</v>
      </c>
      <c r="E809" t="s">
        <v>41</v>
      </c>
      <c r="F809">
        <v>0</v>
      </c>
      <c r="G809">
        <v>0</v>
      </c>
    </row>
    <row r="810" spans="1:7" x14ac:dyDescent="0.3">
      <c r="A810" s="11">
        <v>45336</v>
      </c>
      <c r="B810" s="11" t="s">
        <v>6</v>
      </c>
      <c r="C810" t="s">
        <v>26</v>
      </c>
      <c r="D810">
        <v>0</v>
      </c>
      <c r="E810" t="s">
        <v>15</v>
      </c>
      <c r="F810">
        <v>0</v>
      </c>
      <c r="G810">
        <v>0</v>
      </c>
    </row>
    <row r="811" spans="1:7" x14ac:dyDescent="0.3">
      <c r="A811" s="11">
        <v>45336</v>
      </c>
      <c r="B811" s="11" t="s">
        <v>6</v>
      </c>
      <c r="C811" t="s">
        <v>31</v>
      </c>
      <c r="D811">
        <v>0</v>
      </c>
      <c r="E811" t="s">
        <v>25</v>
      </c>
      <c r="F811">
        <v>0</v>
      </c>
      <c r="G811">
        <v>0</v>
      </c>
    </row>
    <row r="812" spans="1:7" x14ac:dyDescent="0.3">
      <c r="A812" s="11">
        <v>45336</v>
      </c>
      <c r="B812" s="11" t="s">
        <v>6</v>
      </c>
      <c r="C812" t="s">
        <v>18</v>
      </c>
      <c r="D812">
        <v>0</v>
      </c>
      <c r="E812" t="s">
        <v>24</v>
      </c>
      <c r="F812">
        <v>0</v>
      </c>
      <c r="G812">
        <v>0</v>
      </c>
    </row>
    <row r="813" spans="1:7" x14ac:dyDescent="0.3">
      <c r="A813" s="11">
        <v>45336</v>
      </c>
      <c r="B813" s="11" t="s">
        <v>27</v>
      </c>
      <c r="C813" t="s">
        <v>13</v>
      </c>
      <c r="D813">
        <v>0</v>
      </c>
      <c r="E813" t="s">
        <v>29</v>
      </c>
      <c r="F813">
        <v>0</v>
      </c>
      <c r="G813">
        <v>0</v>
      </c>
    </row>
    <row r="814" spans="1:7" x14ac:dyDescent="0.3">
      <c r="A814" s="11">
        <v>45336</v>
      </c>
      <c r="B814" s="11" t="s">
        <v>27</v>
      </c>
      <c r="C814" t="s">
        <v>17</v>
      </c>
      <c r="D814">
        <v>0</v>
      </c>
      <c r="E814" t="s">
        <v>28</v>
      </c>
      <c r="F814">
        <v>0</v>
      </c>
      <c r="G814">
        <v>0</v>
      </c>
    </row>
    <row r="815" spans="1:7" x14ac:dyDescent="0.3">
      <c r="A815" s="11">
        <v>45336</v>
      </c>
      <c r="B815" s="11" t="s">
        <v>43</v>
      </c>
      <c r="C815" t="s">
        <v>37</v>
      </c>
      <c r="D815">
        <v>0</v>
      </c>
      <c r="E815" t="s">
        <v>36</v>
      </c>
      <c r="F815">
        <v>0</v>
      </c>
      <c r="G815">
        <v>0</v>
      </c>
    </row>
    <row r="816" spans="1:7" x14ac:dyDescent="0.3">
      <c r="A816" s="11">
        <v>45336</v>
      </c>
      <c r="B816" s="11" t="s">
        <v>32</v>
      </c>
      <c r="C816" t="s">
        <v>33</v>
      </c>
      <c r="D816">
        <v>0</v>
      </c>
      <c r="E816" t="s">
        <v>8</v>
      </c>
      <c r="F816">
        <v>0</v>
      </c>
      <c r="G816">
        <v>0</v>
      </c>
    </row>
    <row r="817" spans="1:7" x14ac:dyDescent="0.3">
      <c r="A817" s="11">
        <v>45336</v>
      </c>
      <c r="B817" s="11" t="s">
        <v>32</v>
      </c>
      <c r="C817" t="s">
        <v>21</v>
      </c>
      <c r="D817">
        <v>0</v>
      </c>
      <c r="E817" t="s">
        <v>10</v>
      </c>
      <c r="F817">
        <v>0</v>
      </c>
      <c r="G817">
        <v>0</v>
      </c>
    </row>
    <row r="818" spans="1:7" x14ac:dyDescent="0.3">
      <c r="A818" s="11">
        <v>45336</v>
      </c>
      <c r="B818" s="11" t="s">
        <v>32</v>
      </c>
      <c r="C818" t="s">
        <v>7</v>
      </c>
      <c r="D818">
        <v>0</v>
      </c>
      <c r="E818" t="s">
        <v>34</v>
      </c>
      <c r="F818">
        <v>0</v>
      </c>
      <c r="G818">
        <v>0</v>
      </c>
    </row>
    <row r="819" spans="1:7" x14ac:dyDescent="0.3">
      <c r="A819" s="11">
        <v>45336</v>
      </c>
      <c r="B819" s="11" t="s">
        <v>9</v>
      </c>
      <c r="C819" t="s">
        <v>40</v>
      </c>
      <c r="D819">
        <v>0</v>
      </c>
      <c r="E819" t="s">
        <v>11</v>
      </c>
      <c r="F819">
        <v>0</v>
      </c>
      <c r="G819">
        <v>0</v>
      </c>
    </row>
    <row r="820" spans="1:7" x14ac:dyDescent="0.3">
      <c r="A820" s="11">
        <v>45337</v>
      </c>
      <c r="B820" s="11" t="s">
        <v>43</v>
      </c>
      <c r="C820" t="s">
        <v>42</v>
      </c>
      <c r="D820">
        <v>0</v>
      </c>
      <c r="E820" t="s">
        <v>29</v>
      </c>
      <c r="F820">
        <v>0</v>
      </c>
      <c r="G820">
        <v>0</v>
      </c>
    </row>
    <row r="821" spans="1:7" x14ac:dyDescent="0.3">
      <c r="A821" s="11">
        <v>45337</v>
      </c>
      <c r="B821" s="11" t="s">
        <v>32</v>
      </c>
      <c r="C821" t="s">
        <v>11</v>
      </c>
      <c r="D821">
        <v>0</v>
      </c>
      <c r="E821" t="s">
        <v>34</v>
      </c>
      <c r="F821">
        <v>0</v>
      </c>
      <c r="G821">
        <v>0</v>
      </c>
    </row>
    <row r="822" spans="1:7" x14ac:dyDescent="0.3">
      <c r="A822" s="11">
        <v>45337</v>
      </c>
      <c r="B822" s="11" t="s">
        <v>9</v>
      </c>
      <c r="C822" t="s">
        <v>23</v>
      </c>
      <c r="D822">
        <v>0</v>
      </c>
      <c r="E822" t="s">
        <v>39</v>
      </c>
      <c r="F822">
        <v>0</v>
      </c>
      <c r="G822">
        <v>0</v>
      </c>
    </row>
    <row r="823" spans="1:7" x14ac:dyDescent="0.3">
      <c r="A823" s="11">
        <v>45344</v>
      </c>
      <c r="B823" s="11" t="s">
        <v>12</v>
      </c>
      <c r="C823" t="s">
        <v>14</v>
      </c>
      <c r="D823">
        <v>0</v>
      </c>
      <c r="E823" t="s">
        <v>25</v>
      </c>
      <c r="F823">
        <v>0</v>
      </c>
      <c r="G823">
        <v>0</v>
      </c>
    </row>
    <row r="824" spans="1:7" x14ac:dyDescent="0.3">
      <c r="A824" s="11">
        <v>45344</v>
      </c>
      <c r="B824" s="11" t="s">
        <v>12</v>
      </c>
      <c r="C824" t="s">
        <v>21</v>
      </c>
      <c r="D824">
        <v>0</v>
      </c>
      <c r="E824" t="s">
        <v>18</v>
      </c>
      <c r="F824">
        <v>0</v>
      </c>
      <c r="G824">
        <v>0</v>
      </c>
    </row>
    <row r="825" spans="1:7" x14ac:dyDescent="0.3">
      <c r="A825" s="11">
        <v>45344</v>
      </c>
      <c r="B825" s="11" t="s">
        <v>12</v>
      </c>
      <c r="C825" t="s">
        <v>16</v>
      </c>
      <c r="D825">
        <v>0</v>
      </c>
      <c r="E825" t="s">
        <v>41</v>
      </c>
      <c r="F825">
        <v>0</v>
      </c>
      <c r="G825">
        <v>0</v>
      </c>
    </row>
    <row r="826" spans="1:7" x14ac:dyDescent="0.3">
      <c r="A826" s="11">
        <v>45344</v>
      </c>
      <c r="B826" s="11" t="s">
        <v>12</v>
      </c>
      <c r="C826" t="s">
        <v>26</v>
      </c>
      <c r="D826">
        <v>0</v>
      </c>
      <c r="E826" t="s">
        <v>24</v>
      </c>
      <c r="F826">
        <v>0</v>
      </c>
      <c r="G826">
        <v>0</v>
      </c>
    </row>
    <row r="827" spans="1:7" x14ac:dyDescent="0.3">
      <c r="A827" s="11">
        <v>45344</v>
      </c>
      <c r="B827" s="11" t="s">
        <v>6</v>
      </c>
      <c r="C827" t="s">
        <v>10</v>
      </c>
      <c r="D827">
        <v>0</v>
      </c>
      <c r="E827" t="s">
        <v>36</v>
      </c>
      <c r="F827">
        <v>0</v>
      </c>
      <c r="G827">
        <v>0</v>
      </c>
    </row>
    <row r="828" spans="1:7" x14ac:dyDescent="0.3">
      <c r="A828" s="11">
        <v>45344</v>
      </c>
      <c r="B828" s="11" t="s">
        <v>27</v>
      </c>
      <c r="C828" t="s">
        <v>15</v>
      </c>
      <c r="D828">
        <v>0</v>
      </c>
      <c r="E828" t="s">
        <v>31</v>
      </c>
      <c r="F828">
        <v>0</v>
      </c>
      <c r="G828">
        <v>0</v>
      </c>
    </row>
    <row r="829" spans="1:7" x14ac:dyDescent="0.3">
      <c r="A829" s="11">
        <v>45344</v>
      </c>
      <c r="B829" s="11" t="s">
        <v>27</v>
      </c>
      <c r="C829" t="s">
        <v>13</v>
      </c>
      <c r="D829">
        <v>0</v>
      </c>
      <c r="E829" t="s">
        <v>28</v>
      </c>
      <c r="F829">
        <v>0</v>
      </c>
      <c r="G829">
        <v>0</v>
      </c>
    </row>
    <row r="830" spans="1:7" x14ac:dyDescent="0.3">
      <c r="A830" s="11">
        <v>45344</v>
      </c>
      <c r="B830" s="11" t="s">
        <v>27</v>
      </c>
      <c r="C830" t="s">
        <v>40</v>
      </c>
      <c r="D830">
        <v>0</v>
      </c>
      <c r="E830" t="s">
        <v>30</v>
      </c>
      <c r="F830">
        <v>0</v>
      </c>
      <c r="G830">
        <v>0</v>
      </c>
    </row>
    <row r="831" spans="1:7" x14ac:dyDescent="0.3">
      <c r="A831" s="11">
        <v>45344</v>
      </c>
      <c r="B831" s="11" t="s">
        <v>32</v>
      </c>
      <c r="C831" t="s">
        <v>17</v>
      </c>
      <c r="D831">
        <v>0</v>
      </c>
      <c r="E831" t="s">
        <v>8</v>
      </c>
      <c r="F831">
        <v>0</v>
      </c>
      <c r="G831">
        <v>0</v>
      </c>
    </row>
    <row r="832" spans="1:7" x14ac:dyDescent="0.3">
      <c r="A832" s="11">
        <v>45344</v>
      </c>
      <c r="B832" s="11" t="s">
        <v>32</v>
      </c>
      <c r="C832" t="s">
        <v>20</v>
      </c>
      <c r="D832">
        <v>0</v>
      </c>
      <c r="E832" t="s">
        <v>34</v>
      </c>
      <c r="F832">
        <v>0</v>
      </c>
      <c r="G832">
        <v>0</v>
      </c>
    </row>
    <row r="833" spans="1:7" x14ac:dyDescent="0.3">
      <c r="A833" s="11">
        <v>45344</v>
      </c>
      <c r="B833" s="11" t="s">
        <v>9</v>
      </c>
      <c r="C833" t="s">
        <v>7</v>
      </c>
      <c r="D833">
        <v>0</v>
      </c>
      <c r="E833" t="s">
        <v>11</v>
      </c>
      <c r="F833">
        <v>0</v>
      </c>
      <c r="G833">
        <v>0</v>
      </c>
    </row>
    <row r="834" spans="1:7" x14ac:dyDescent="0.3">
      <c r="A834" s="11">
        <v>45344</v>
      </c>
      <c r="B834" s="11" t="s">
        <v>9</v>
      </c>
      <c r="C834" t="s">
        <v>37</v>
      </c>
      <c r="D834">
        <v>0</v>
      </c>
      <c r="E834" t="s">
        <v>33</v>
      </c>
      <c r="F834">
        <v>0</v>
      </c>
      <c r="G834">
        <v>0</v>
      </c>
    </row>
    <row r="835" spans="1:7" x14ac:dyDescent="0.3">
      <c r="A835" s="11">
        <v>45345</v>
      </c>
      <c r="B835" s="11" t="s">
        <v>6</v>
      </c>
      <c r="C835" t="s">
        <v>24</v>
      </c>
      <c r="D835">
        <v>0</v>
      </c>
      <c r="E835" t="s">
        <v>19</v>
      </c>
      <c r="F835">
        <v>0</v>
      </c>
      <c r="G835">
        <v>0</v>
      </c>
    </row>
    <row r="836" spans="1:7" x14ac:dyDescent="0.3">
      <c r="A836" s="11">
        <v>45345</v>
      </c>
      <c r="B836" s="11" t="s">
        <v>6</v>
      </c>
      <c r="C836" t="s">
        <v>25</v>
      </c>
      <c r="D836">
        <v>0</v>
      </c>
      <c r="E836" t="s">
        <v>41</v>
      </c>
      <c r="F836">
        <v>0</v>
      </c>
      <c r="G836">
        <v>0</v>
      </c>
    </row>
    <row r="837" spans="1:7" x14ac:dyDescent="0.3">
      <c r="A837" s="11">
        <v>45345</v>
      </c>
      <c r="B837" s="11" t="s">
        <v>27</v>
      </c>
      <c r="C837" t="s">
        <v>10</v>
      </c>
      <c r="D837">
        <v>0</v>
      </c>
      <c r="E837" t="s">
        <v>13</v>
      </c>
      <c r="F837">
        <v>0</v>
      </c>
      <c r="G837">
        <v>0</v>
      </c>
    </row>
    <row r="838" spans="1:7" x14ac:dyDescent="0.3">
      <c r="A838" s="11">
        <v>45345</v>
      </c>
      <c r="B838" s="11" t="s">
        <v>27</v>
      </c>
      <c r="C838" t="s">
        <v>40</v>
      </c>
      <c r="D838">
        <v>0</v>
      </c>
      <c r="E838" t="s">
        <v>29</v>
      </c>
      <c r="F838">
        <v>0</v>
      </c>
      <c r="G838">
        <v>0</v>
      </c>
    </row>
    <row r="839" spans="1:7" x14ac:dyDescent="0.3">
      <c r="A839" s="11">
        <v>45345</v>
      </c>
      <c r="B839" s="11" t="s">
        <v>27</v>
      </c>
      <c r="C839" t="s">
        <v>42</v>
      </c>
      <c r="D839">
        <v>0</v>
      </c>
      <c r="E839" t="s">
        <v>23</v>
      </c>
      <c r="F839">
        <v>0</v>
      </c>
      <c r="G839">
        <v>0</v>
      </c>
    </row>
    <row r="840" spans="1:7" x14ac:dyDescent="0.3">
      <c r="A840" s="11">
        <v>45345</v>
      </c>
      <c r="B840" s="11" t="s">
        <v>27</v>
      </c>
      <c r="C840" t="s">
        <v>17</v>
      </c>
      <c r="D840">
        <v>0</v>
      </c>
      <c r="E840" t="s">
        <v>30</v>
      </c>
      <c r="F840">
        <v>0</v>
      </c>
      <c r="G840">
        <v>0</v>
      </c>
    </row>
    <row r="841" spans="1:7" x14ac:dyDescent="0.3">
      <c r="A841" s="11">
        <v>45345</v>
      </c>
      <c r="B841" s="11" t="s">
        <v>9</v>
      </c>
      <c r="C841" t="s">
        <v>20</v>
      </c>
      <c r="D841">
        <v>0</v>
      </c>
      <c r="E841" t="s">
        <v>11</v>
      </c>
      <c r="F841">
        <v>0</v>
      </c>
      <c r="G841">
        <v>0</v>
      </c>
    </row>
    <row r="842" spans="1:7" x14ac:dyDescent="0.3">
      <c r="A842" s="11">
        <v>45345</v>
      </c>
      <c r="B842" s="11" t="s">
        <v>9</v>
      </c>
      <c r="C842" t="s">
        <v>22</v>
      </c>
      <c r="D842">
        <v>0</v>
      </c>
      <c r="E842" t="s">
        <v>28</v>
      </c>
      <c r="F842">
        <v>0</v>
      </c>
      <c r="G842">
        <v>0</v>
      </c>
    </row>
    <row r="843" spans="1:7" x14ac:dyDescent="0.3">
      <c r="A843" s="11">
        <v>45345</v>
      </c>
      <c r="B843" s="11" t="s">
        <v>9</v>
      </c>
      <c r="C843" t="s">
        <v>8</v>
      </c>
      <c r="D843">
        <v>0</v>
      </c>
      <c r="E843" t="s">
        <v>39</v>
      </c>
      <c r="F843">
        <v>0</v>
      </c>
      <c r="G843">
        <v>0</v>
      </c>
    </row>
    <row r="844" spans="1:7" x14ac:dyDescent="0.3">
      <c r="A844" s="11">
        <v>45345</v>
      </c>
      <c r="B844" s="11" t="s">
        <v>38</v>
      </c>
      <c r="C844" t="s">
        <v>37</v>
      </c>
      <c r="D844">
        <v>0</v>
      </c>
      <c r="E844" t="s">
        <v>7</v>
      </c>
      <c r="F844">
        <v>0</v>
      </c>
      <c r="G844">
        <v>0</v>
      </c>
    </row>
    <row r="845" spans="1:7" x14ac:dyDescent="0.3">
      <c r="A845" s="11">
        <v>45346</v>
      </c>
      <c r="B845" s="11" t="s">
        <v>27</v>
      </c>
      <c r="C845" t="s">
        <v>14</v>
      </c>
      <c r="D845">
        <v>0</v>
      </c>
      <c r="E845" t="s">
        <v>21</v>
      </c>
      <c r="F845">
        <v>0</v>
      </c>
      <c r="G845">
        <v>0</v>
      </c>
    </row>
    <row r="846" spans="1:7" x14ac:dyDescent="0.3">
      <c r="A846" s="11">
        <v>45346</v>
      </c>
      <c r="B846" s="11" t="s">
        <v>27</v>
      </c>
      <c r="C846" t="s">
        <v>26</v>
      </c>
      <c r="D846">
        <v>0</v>
      </c>
      <c r="E846" t="s">
        <v>23</v>
      </c>
      <c r="F846">
        <v>0</v>
      </c>
      <c r="G846">
        <v>0</v>
      </c>
    </row>
    <row r="847" spans="1:7" x14ac:dyDescent="0.3">
      <c r="A847" s="11">
        <v>45346</v>
      </c>
      <c r="B847" s="11" t="s">
        <v>43</v>
      </c>
      <c r="C847" t="s">
        <v>15</v>
      </c>
      <c r="D847">
        <v>0</v>
      </c>
      <c r="E847" t="s">
        <v>16</v>
      </c>
      <c r="F847">
        <v>0</v>
      </c>
      <c r="G847">
        <v>0</v>
      </c>
    </row>
    <row r="848" spans="1:7" x14ac:dyDescent="0.3">
      <c r="A848" s="11">
        <v>45347</v>
      </c>
      <c r="B848" s="11" t="s">
        <v>45</v>
      </c>
      <c r="C848" t="s">
        <v>42</v>
      </c>
      <c r="D848">
        <v>0</v>
      </c>
      <c r="E848" t="s">
        <v>41</v>
      </c>
      <c r="F848">
        <v>0</v>
      </c>
      <c r="G848">
        <v>0</v>
      </c>
    </row>
    <row r="849" spans="1:7" x14ac:dyDescent="0.3">
      <c r="A849" s="11">
        <v>45347</v>
      </c>
      <c r="B849" s="11" t="s">
        <v>44</v>
      </c>
      <c r="C849" t="s">
        <v>7</v>
      </c>
      <c r="D849">
        <v>0</v>
      </c>
      <c r="E849" t="s">
        <v>10</v>
      </c>
      <c r="F849">
        <v>0</v>
      </c>
      <c r="G849">
        <v>0</v>
      </c>
    </row>
    <row r="850" spans="1:7" x14ac:dyDescent="0.3">
      <c r="A850" s="11">
        <v>45347</v>
      </c>
      <c r="B850" s="11" t="s">
        <v>50</v>
      </c>
      <c r="C850" t="s">
        <v>36</v>
      </c>
      <c r="D850">
        <v>0</v>
      </c>
      <c r="E850" t="s">
        <v>18</v>
      </c>
      <c r="F850">
        <v>0</v>
      </c>
      <c r="G850">
        <v>0</v>
      </c>
    </row>
    <row r="851" spans="1:7" x14ac:dyDescent="0.3">
      <c r="A851" s="11">
        <v>45347</v>
      </c>
      <c r="B851" s="11" t="s">
        <v>47</v>
      </c>
      <c r="C851" t="s">
        <v>25</v>
      </c>
      <c r="D851">
        <v>0</v>
      </c>
      <c r="E851" t="s">
        <v>17</v>
      </c>
      <c r="F851">
        <v>0</v>
      </c>
      <c r="G851">
        <v>0</v>
      </c>
    </row>
    <row r="852" spans="1:7" x14ac:dyDescent="0.3">
      <c r="A852" s="11">
        <v>45347</v>
      </c>
      <c r="B852" s="11" t="s">
        <v>12</v>
      </c>
      <c r="C852" t="s">
        <v>14</v>
      </c>
      <c r="D852">
        <v>0</v>
      </c>
      <c r="E852" t="s">
        <v>19</v>
      </c>
      <c r="F852">
        <v>0</v>
      </c>
      <c r="G852">
        <v>0</v>
      </c>
    </row>
    <row r="853" spans="1:7" x14ac:dyDescent="0.3">
      <c r="A853" s="11">
        <v>45347</v>
      </c>
      <c r="B853" s="11" t="s">
        <v>12</v>
      </c>
      <c r="C853" t="s">
        <v>8</v>
      </c>
      <c r="D853">
        <v>0</v>
      </c>
      <c r="E853" t="s">
        <v>11</v>
      </c>
      <c r="F853">
        <v>0</v>
      </c>
      <c r="G853">
        <v>0</v>
      </c>
    </row>
    <row r="854" spans="1:7" x14ac:dyDescent="0.3">
      <c r="A854" s="11">
        <v>45347</v>
      </c>
      <c r="B854" s="11" t="s">
        <v>12</v>
      </c>
      <c r="C854" t="s">
        <v>30</v>
      </c>
      <c r="D854">
        <v>0</v>
      </c>
      <c r="E854" t="s">
        <v>13</v>
      </c>
      <c r="F854">
        <v>0</v>
      </c>
      <c r="G854">
        <v>0</v>
      </c>
    </row>
    <row r="855" spans="1:7" x14ac:dyDescent="0.3">
      <c r="A855" s="11">
        <v>45347</v>
      </c>
      <c r="B855" s="11" t="s">
        <v>12</v>
      </c>
      <c r="C855" t="s">
        <v>31</v>
      </c>
      <c r="D855">
        <v>0</v>
      </c>
      <c r="E855" t="s">
        <v>28</v>
      </c>
      <c r="F855">
        <v>0</v>
      </c>
      <c r="G855">
        <v>0</v>
      </c>
    </row>
    <row r="856" spans="1:7" x14ac:dyDescent="0.3">
      <c r="A856" s="11">
        <v>45347</v>
      </c>
      <c r="B856" s="11" t="s">
        <v>27</v>
      </c>
      <c r="C856" t="s">
        <v>37</v>
      </c>
      <c r="D856">
        <v>0</v>
      </c>
      <c r="E856" t="s">
        <v>34</v>
      </c>
      <c r="F856">
        <v>0</v>
      </c>
      <c r="G856">
        <v>0</v>
      </c>
    </row>
    <row r="857" spans="1:7" x14ac:dyDescent="0.3">
      <c r="A857" s="11">
        <v>45347</v>
      </c>
      <c r="B857" s="11" t="s">
        <v>32</v>
      </c>
      <c r="C857" t="s">
        <v>20</v>
      </c>
      <c r="D857">
        <v>0</v>
      </c>
      <c r="E857" t="s">
        <v>39</v>
      </c>
      <c r="F857">
        <v>0</v>
      </c>
      <c r="G857">
        <v>0</v>
      </c>
    </row>
    <row r="858" spans="1:7" x14ac:dyDescent="0.3">
      <c r="A858" s="11">
        <v>45347</v>
      </c>
      <c r="B858" s="11" t="s">
        <v>35</v>
      </c>
      <c r="C858" t="s">
        <v>33</v>
      </c>
      <c r="D858">
        <v>0</v>
      </c>
      <c r="E858" t="s">
        <v>40</v>
      </c>
      <c r="F858">
        <v>0</v>
      </c>
      <c r="G858">
        <v>0</v>
      </c>
    </row>
    <row r="859" spans="1:7" x14ac:dyDescent="0.3">
      <c r="A859" s="11">
        <v>45348</v>
      </c>
      <c r="B859" s="11" t="s">
        <v>12</v>
      </c>
      <c r="C859" t="s">
        <v>24</v>
      </c>
      <c r="D859">
        <v>0</v>
      </c>
      <c r="E859" t="s">
        <v>18</v>
      </c>
      <c r="F859">
        <v>0</v>
      </c>
      <c r="G859">
        <v>0</v>
      </c>
    </row>
    <row r="860" spans="1:7" x14ac:dyDescent="0.3">
      <c r="A860" s="11">
        <v>45348</v>
      </c>
      <c r="B860" s="11" t="s">
        <v>6</v>
      </c>
      <c r="C860" t="s">
        <v>21</v>
      </c>
      <c r="D860">
        <v>0</v>
      </c>
      <c r="E860" t="s">
        <v>16</v>
      </c>
      <c r="F860">
        <v>0</v>
      </c>
      <c r="G860">
        <v>0</v>
      </c>
    </row>
    <row r="861" spans="1:7" x14ac:dyDescent="0.3">
      <c r="A861" s="11">
        <v>45348</v>
      </c>
      <c r="B861" s="11" t="s">
        <v>27</v>
      </c>
      <c r="C861" t="s">
        <v>26</v>
      </c>
      <c r="D861">
        <v>0</v>
      </c>
      <c r="E861" t="s">
        <v>29</v>
      </c>
      <c r="F861">
        <v>0</v>
      </c>
      <c r="G861">
        <v>0</v>
      </c>
    </row>
    <row r="862" spans="1:7" x14ac:dyDescent="0.3">
      <c r="A862" s="11">
        <v>45348</v>
      </c>
      <c r="B862" s="11" t="s">
        <v>9</v>
      </c>
      <c r="C862" t="s">
        <v>22</v>
      </c>
      <c r="D862">
        <v>0</v>
      </c>
      <c r="E862" t="s">
        <v>33</v>
      </c>
      <c r="F862">
        <v>0</v>
      </c>
      <c r="G862">
        <v>0</v>
      </c>
    </row>
    <row r="863" spans="1:7" x14ac:dyDescent="0.3">
      <c r="A863" s="11">
        <v>45349</v>
      </c>
      <c r="B863" s="11" t="s">
        <v>12</v>
      </c>
      <c r="C863" t="s">
        <v>36</v>
      </c>
      <c r="D863">
        <v>0</v>
      </c>
      <c r="E863" t="s">
        <v>25</v>
      </c>
      <c r="F863">
        <v>0</v>
      </c>
      <c r="G863">
        <v>0</v>
      </c>
    </row>
    <row r="864" spans="1:7" x14ac:dyDescent="0.3">
      <c r="A864" s="11">
        <v>45349</v>
      </c>
      <c r="B864" s="11" t="s">
        <v>12</v>
      </c>
      <c r="C864" t="s">
        <v>26</v>
      </c>
      <c r="D864">
        <v>0</v>
      </c>
      <c r="E864" t="s">
        <v>14</v>
      </c>
      <c r="F864">
        <v>0</v>
      </c>
      <c r="G864">
        <v>0</v>
      </c>
    </row>
    <row r="865" spans="1:7" x14ac:dyDescent="0.3">
      <c r="A865" s="11">
        <v>45349</v>
      </c>
      <c r="B865" s="11" t="s">
        <v>12</v>
      </c>
      <c r="C865" t="s">
        <v>11</v>
      </c>
      <c r="D865">
        <v>0</v>
      </c>
      <c r="E865" t="s">
        <v>17</v>
      </c>
      <c r="F865">
        <v>0</v>
      </c>
      <c r="G865">
        <v>0</v>
      </c>
    </row>
    <row r="866" spans="1:7" x14ac:dyDescent="0.3">
      <c r="A866" s="11">
        <v>45349</v>
      </c>
      <c r="B866" s="11" t="s">
        <v>6</v>
      </c>
      <c r="C866" t="s">
        <v>34</v>
      </c>
      <c r="D866">
        <v>0</v>
      </c>
      <c r="E866" t="s">
        <v>19</v>
      </c>
      <c r="F866">
        <v>0</v>
      </c>
      <c r="G866">
        <v>0</v>
      </c>
    </row>
    <row r="867" spans="1:7" x14ac:dyDescent="0.3">
      <c r="A867" s="11">
        <v>45349</v>
      </c>
      <c r="B867" s="11" t="s">
        <v>6</v>
      </c>
      <c r="C867" t="s">
        <v>41</v>
      </c>
      <c r="D867">
        <v>0</v>
      </c>
      <c r="E867" t="s">
        <v>15</v>
      </c>
      <c r="F867">
        <v>0</v>
      </c>
      <c r="G867">
        <v>0</v>
      </c>
    </row>
    <row r="868" spans="1:7" x14ac:dyDescent="0.3">
      <c r="A868" s="11">
        <v>45349</v>
      </c>
      <c r="B868" s="11" t="s">
        <v>6</v>
      </c>
      <c r="C868" t="s">
        <v>37</v>
      </c>
      <c r="D868">
        <v>0</v>
      </c>
      <c r="E868" t="s">
        <v>23</v>
      </c>
      <c r="F868">
        <v>0</v>
      </c>
      <c r="G868">
        <v>0</v>
      </c>
    </row>
    <row r="869" spans="1:7" x14ac:dyDescent="0.3">
      <c r="A869" s="11">
        <v>45349</v>
      </c>
      <c r="B869" s="11" t="s">
        <v>6</v>
      </c>
      <c r="C869" t="s">
        <v>28</v>
      </c>
      <c r="D869">
        <v>0</v>
      </c>
      <c r="E869" t="s">
        <v>16</v>
      </c>
      <c r="F869">
        <v>0</v>
      </c>
      <c r="G869">
        <v>0</v>
      </c>
    </row>
    <row r="870" spans="1:7" x14ac:dyDescent="0.3">
      <c r="A870" s="11">
        <v>45349</v>
      </c>
      <c r="B870" s="11" t="s">
        <v>27</v>
      </c>
      <c r="C870" t="s">
        <v>21</v>
      </c>
      <c r="D870">
        <v>0</v>
      </c>
      <c r="E870" t="s">
        <v>31</v>
      </c>
      <c r="F870">
        <v>0</v>
      </c>
      <c r="G870">
        <v>0</v>
      </c>
    </row>
    <row r="871" spans="1:7" x14ac:dyDescent="0.3">
      <c r="A871" s="11">
        <v>45349</v>
      </c>
      <c r="B871" s="11" t="s">
        <v>27</v>
      </c>
      <c r="C871" t="s">
        <v>20</v>
      </c>
      <c r="D871">
        <v>0</v>
      </c>
      <c r="E871" t="s">
        <v>42</v>
      </c>
      <c r="F871">
        <v>0</v>
      </c>
      <c r="G871">
        <v>0</v>
      </c>
    </row>
    <row r="872" spans="1:7" x14ac:dyDescent="0.3">
      <c r="A872" s="11">
        <v>45349</v>
      </c>
      <c r="B872" s="11" t="s">
        <v>9</v>
      </c>
      <c r="C872" t="s">
        <v>13</v>
      </c>
      <c r="D872">
        <v>0</v>
      </c>
      <c r="E872" t="s">
        <v>30</v>
      </c>
      <c r="F872">
        <v>0</v>
      </c>
      <c r="G872">
        <v>0</v>
      </c>
    </row>
    <row r="873" spans="1:7" x14ac:dyDescent="0.3">
      <c r="A873" s="11">
        <v>45349</v>
      </c>
      <c r="B873" s="11" t="s">
        <v>9</v>
      </c>
      <c r="C873" t="s">
        <v>22</v>
      </c>
      <c r="D873">
        <v>0</v>
      </c>
      <c r="E873" t="s">
        <v>39</v>
      </c>
      <c r="F873">
        <v>0</v>
      </c>
      <c r="G873">
        <v>0</v>
      </c>
    </row>
    <row r="874" spans="1:7" x14ac:dyDescent="0.3">
      <c r="A874" s="11">
        <v>45350</v>
      </c>
      <c r="B874" s="11" t="s">
        <v>12</v>
      </c>
      <c r="C874" t="s">
        <v>28</v>
      </c>
      <c r="D874">
        <v>0</v>
      </c>
      <c r="E874" t="s">
        <v>18</v>
      </c>
      <c r="F874">
        <v>0</v>
      </c>
      <c r="G874">
        <v>0</v>
      </c>
    </row>
    <row r="875" spans="1:7" x14ac:dyDescent="0.3">
      <c r="A875" s="11">
        <v>45350</v>
      </c>
      <c r="B875" s="11" t="s">
        <v>6</v>
      </c>
      <c r="C875" t="s">
        <v>29</v>
      </c>
      <c r="D875">
        <v>0</v>
      </c>
      <c r="E875" t="s">
        <v>23</v>
      </c>
      <c r="F875">
        <v>0</v>
      </c>
      <c r="G875">
        <v>0</v>
      </c>
    </row>
    <row r="876" spans="1:7" x14ac:dyDescent="0.3">
      <c r="A876" s="11">
        <v>45350</v>
      </c>
      <c r="B876" s="11" t="s">
        <v>6</v>
      </c>
      <c r="C876" t="s">
        <v>36</v>
      </c>
      <c r="D876">
        <v>0</v>
      </c>
      <c r="E876" t="s">
        <v>24</v>
      </c>
      <c r="F876">
        <v>0</v>
      </c>
      <c r="G876">
        <v>0</v>
      </c>
    </row>
    <row r="877" spans="1:7" x14ac:dyDescent="0.3">
      <c r="A877" s="11">
        <v>45350</v>
      </c>
      <c r="B877" s="11" t="s">
        <v>27</v>
      </c>
      <c r="C877" t="s">
        <v>25</v>
      </c>
      <c r="D877">
        <v>0</v>
      </c>
      <c r="E877" t="s">
        <v>31</v>
      </c>
      <c r="F877">
        <v>0</v>
      </c>
      <c r="G877">
        <v>0</v>
      </c>
    </row>
    <row r="878" spans="1:7" x14ac:dyDescent="0.3">
      <c r="A878" s="11">
        <v>45350</v>
      </c>
      <c r="B878" s="11" t="s">
        <v>32</v>
      </c>
      <c r="C878" t="s">
        <v>33</v>
      </c>
      <c r="D878">
        <v>0</v>
      </c>
      <c r="E878" t="s">
        <v>8</v>
      </c>
      <c r="F878">
        <v>0</v>
      </c>
      <c r="G878">
        <v>0</v>
      </c>
    </row>
    <row r="879" spans="1:7" x14ac:dyDescent="0.3">
      <c r="A879" s="11">
        <v>45350</v>
      </c>
      <c r="B879" s="11" t="s">
        <v>9</v>
      </c>
      <c r="C879" t="s">
        <v>7</v>
      </c>
      <c r="D879">
        <v>0</v>
      </c>
      <c r="E879" t="s">
        <v>40</v>
      </c>
      <c r="F879">
        <v>0</v>
      </c>
      <c r="G879">
        <v>0</v>
      </c>
    </row>
    <row r="880" spans="1:7" x14ac:dyDescent="0.3">
      <c r="A880" s="11">
        <v>45351</v>
      </c>
      <c r="B880" s="11" t="s">
        <v>12</v>
      </c>
      <c r="C880" t="s">
        <v>42</v>
      </c>
      <c r="D880">
        <v>0</v>
      </c>
      <c r="E880" t="s">
        <v>20</v>
      </c>
      <c r="F880">
        <v>0</v>
      </c>
      <c r="G880">
        <v>0</v>
      </c>
    </row>
    <row r="881" spans="1:7" x14ac:dyDescent="0.3">
      <c r="A881" s="11">
        <v>45351</v>
      </c>
      <c r="B881" s="11" t="s">
        <v>12</v>
      </c>
      <c r="C881" t="s">
        <v>34</v>
      </c>
      <c r="D881">
        <v>0</v>
      </c>
      <c r="E881" t="s">
        <v>14</v>
      </c>
      <c r="F881">
        <v>0</v>
      </c>
      <c r="G881">
        <v>0</v>
      </c>
    </row>
    <row r="882" spans="1:7" x14ac:dyDescent="0.3">
      <c r="A882" s="11">
        <v>45351</v>
      </c>
      <c r="B882" s="11" t="s">
        <v>6</v>
      </c>
      <c r="C882" t="s">
        <v>19</v>
      </c>
      <c r="D882">
        <v>0</v>
      </c>
      <c r="E882" t="s">
        <v>26</v>
      </c>
      <c r="F882">
        <v>0</v>
      </c>
      <c r="G882">
        <v>0</v>
      </c>
    </row>
    <row r="883" spans="1:7" x14ac:dyDescent="0.3">
      <c r="A883" s="11">
        <v>45351</v>
      </c>
      <c r="B883" s="11" t="s">
        <v>6</v>
      </c>
      <c r="C883" t="s">
        <v>11</v>
      </c>
      <c r="D883">
        <v>0</v>
      </c>
      <c r="E883" t="s">
        <v>16</v>
      </c>
      <c r="F883">
        <v>0</v>
      </c>
      <c r="G883">
        <v>0</v>
      </c>
    </row>
    <row r="884" spans="1:7" x14ac:dyDescent="0.3">
      <c r="A884" s="11">
        <v>45351</v>
      </c>
      <c r="B884" s="11" t="s">
        <v>43</v>
      </c>
      <c r="C884" t="s">
        <v>30</v>
      </c>
      <c r="D884">
        <v>0</v>
      </c>
      <c r="E884" t="s">
        <v>37</v>
      </c>
      <c r="F884">
        <v>0</v>
      </c>
      <c r="G884">
        <v>0</v>
      </c>
    </row>
    <row r="885" spans="1:7" x14ac:dyDescent="0.3">
      <c r="A885" s="11">
        <v>45351</v>
      </c>
      <c r="B885" s="11" t="s">
        <v>32</v>
      </c>
      <c r="C885" t="s">
        <v>13</v>
      </c>
      <c r="D885">
        <v>0</v>
      </c>
      <c r="E885" t="s">
        <v>10</v>
      </c>
      <c r="F885">
        <v>0</v>
      </c>
      <c r="G885">
        <v>0</v>
      </c>
    </row>
    <row r="886" spans="1:7" x14ac:dyDescent="0.3">
      <c r="A886" s="11">
        <v>45351</v>
      </c>
      <c r="B886" s="11" t="s">
        <v>9</v>
      </c>
      <c r="C886" t="s">
        <v>22</v>
      </c>
      <c r="D886">
        <v>0</v>
      </c>
      <c r="E886" t="s">
        <v>8</v>
      </c>
      <c r="F886">
        <v>0</v>
      </c>
      <c r="G886">
        <v>0</v>
      </c>
    </row>
    <row r="887" spans="1:7" x14ac:dyDescent="0.3">
      <c r="A887" s="11">
        <v>45351</v>
      </c>
      <c r="B887" s="11" t="s">
        <v>38</v>
      </c>
      <c r="C887" t="s">
        <v>17</v>
      </c>
      <c r="D887">
        <v>0</v>
      </c>
      <c r="E887" t="s">
        <v>7</v>
      </c>
      <c r="F887">
        <v>0</v>
      </c>
      <c r="G887">
        <v>0</v>
      </c>
    </row>
    <row r="888" spans="1:7" x14ac:dyDescent="0.3">
      <c r="A888" s="11">
        <v>45352</v>
      </c>
      <c r="B888" s="11" t="s">
        <v>12</v>
      </c>
      <c r="C888" t="s">
        <v>25</v>
      </c>
      <c r="D888">
        <v>0</v>
      </c>
      <c r="E888" t="s">
        <v>21</v>
      </c>
      <c r="F888">
        <v>0</v>
      </c>
      <c r="G888">
        <v>0</v>
      </c>
    </row>
    <row r="889" spans="1:7" x14ac:dyDescent="0.3">
      <c r="A889" s="11">
        <v>45352</v>
      </c>
      <c r="B889" s="11" t="s">
        <v>12</v>
      </c>
      <c r="C889" t="s">
        <v>20</v>
      </c>
      <c r="D889">
        <v>0</v>
      </c>
      <c r="E889" t="s">
        <v>41</v>
      </c>
      <c r="F889">
        <v>0</v>
      </c>
      <c r="G889">
        <v>0</v>
      </c>
    </row>
    <row r="890" spans="1:7" x14ac:dyDescent="0.3">
      <c r="A890" s="11">
        <v>45352</v>
      </c>
      <c r="B890" s="11" t="s">
        <v>6</v>
      </c>
      <c r="C890" t="s">
        <v>36</v>
      </c>
      <c r="D890">
        <v>0</v>
      </c>
      <c r="E890" t="s">
        <v>15</v>
      </c>
      <c r="F890">
        <v>0</v>
      </c>
      <c r="G890">
        <v>0</v>
      </c>
    </row>
    <row r="891" spans="1:7" x14ac:dyDescent="0.3">
      <c r="A891" s="11">
        <v>45352</v>
      </c>
      <c r="B891" s="11" t="s">
        <v>6</v>
      </c>
      <c r="C891" t="s">
        <v>11</v>
      </c>
      <c r="D891">
        <v>0</v>
      </c>
      <c r="E891" t="s">
        <v>24</v>
      </c>
      <c r="F891">
        <v>0</v>
      </c>
      <c r="G891">
        <v>0</v>
      </c>
    </row>
    <row r="892" spans="1:7" x14ac:dyDescent="0.3">
      <c r="A892" s="11">
        <v>45352</v>
      </c>
      <c r="B892" s="11" t="s">
        <v>27</v>
      </c>
      <c r="C892" t="s">
        <v>39</v>
      </c>
      <c r="D892">
        <v>0</v>
      </c>
      <c r="E892" t="s">
        <v>29</v>
      </c>
      <c r="F892">
        <v>0</v>
      </c>
      <c r="G892">
        <v>0</v>
      </c>
    </row>
    <row r="893" spans="1:7" x14ac:dyDescent="0.3">
      <c r="A893" s="11">
        <v>45352</v>
      </c>
      <c r="B893" s="11" t="s">
        <v>27</v>
      </c>
      <c r="C893" t="s">
        <v>33</v>
      </c>
      <c r="D893">
        <v>0</v>
      </c>
      <c r="E893" t="s">
        <v>23</v>
      </c>
      <c r="F893">
        <v>0</v>
      </c>
      <c r="G893">
        <v>0</v>
      </c>
    </row>
    <row r="894" spans="1:7" x14ac:dyDescent="0.3">
      <c r="A894" s="11">
        <v>45352</v>
      </c>
      <c r="B894" s="11" t="s">
        <v>27</v>
      </c>
      <c r="C894" t="s">
        <v>18</v>
      </c>
      <c r="D894">
        <v>0</v>
      </c>
      <c r="E894" t="s">
        <v>28</v>
      </c>
      <c r="F894">
        <v>0</v>
      </c>
      <c r="G894">
        <v>0</v>
      </c>
    </row>
    <row r="895" spans="1:7" x14ac:dyDescent="0.3">
      <c r="A895" s="11">
        <v>45352</v>
      </c>
      <c r="B895" s="11" t="s">
        <v>9</v>
      </c>
      <c r="C895" t="s">
        <v>42</v>
      </c>
      <c r="D895">
        <v>0</v>
      </c>
      <c r="E895" t="s">
        <v>31</v>
      </c>
      <c r="F895">
        <v>0</v>
      </c>
      <c r="G895">
        <v>0</v>
      </c>
    </row>
    <row r="896" spans="1:7" x14ac:dyDescent="0.3">
      <c r="A896" s="11">
        <v>45352</v>
      </c>
      <c r="B896" s="11" t="s">
        <v>38</v>
      </c>
      <c r="C896" t="s">
        <v>17</v>
      </c>
      <c r="D896">
        <v>0</v>
      </c>
      <c r="E896" t="s">
        <v>40</v>
      </c>
      <c r="F896">
        <v>0</v>
      </c>
      <c r="G896">
        <v>0</v>
      </c>
    </row>
    <row r="897" spans="1:7" x14ac:dyDescent="0.3">
      <c r="A897" s="11">
        <v>45353</v>
      </c>
      <c r="B897" s="11" t="s">
        <v>46</v>
      </c>
      <c r="C897" t="s">
        <v>19</v>
      </c>
      <c r="D897">
        <v>0</v>
      </c>
      <c r="E897" t="s">
        <v>26</v>
      </c>
      <c r="F897">
        <v>0</v>
      </c>
      <c r="G897">
        <v>0</v>
      </c>
    </row>
    <row r="898" spans="1:7" x14ac:dyDescent="0.3">
      <c r="A898" s="11">
        <v>45353</v>
      </c>
      <c r="B898" s="11" t="s">
        <v>50</v>
      </c>
      <c r="C898" t="s">
        <v>34</v>
      </c>
      <c r="D898">
        <v>0</v>
      </c>
      <c r="E898" t="s">
        <v>22</v>
      </c>
      <c r="F898">
        <v>0</v>
      </c>
      <c r="G898">
        <v>0</v>
      </c>
    </row>
    <row r="899" spans="1:7" x14ac:dyDescent="0.3">
      <c r="A899" s="11">
        <v>45353</v>
      </c>
      <c r="B899" s="11" t="s">
        <v>27</v>
      </c>
      <c r="C899" t="s">
        <v>39</v>
      </c>
      <c r="D899">
        <v>0</v>
      </c>
      <c r="E899" t="s">
        <v>29</v>
      </c>
      <c r="F899">
        <v>0</v>
      </c>
      <c r="G899">
        <v>0</v>
      </c>
    </row>
    <row r="900" spans="1:7" x14ac:dyDescent="0.3">
      <c r="A900" s="11">
        <v>45353</v>
      </c>
      <c r="B900" s="11" t="s">
        <v>43</v>
      </c>
      <c r="C900" t="s">
        <v>8</v>
      </c>
      <c r="D900">
        <v>0</v>
      </c>
      <c r="E900" t="s">
        <v>7</v>
      </c>
      <c r="F900">
        <v>0</v>
      </c>
      <c r="G900">
        <v>0</v>
      </c>
    </row>
    <row r="901" spans="1:7" x14ac:dyDescent="0.3">
      <c r="A901" s="11">
        <v>45353</v>
      </c>
      <c r="B901" s="11" t="s">
        <v>32</v>
      </c>
      <c r="C901" t="s">
        <v>13</v>
      </c>
      <c r="D901">
        <v>0</v>
      </c>
      <c r="E901" t="s">
        <v>10</v>
      </c>
      <c r="F901">
        <v>0</v>
      </c>
      <c r="G901">
        <v>0</v>
      </c>
    </row>
    <row r="902" spans="1:7" x14ac:dyDescent="0.3">
      <c r="A902" s="11">
        <v>45354</v>
      </c>
      <c r="B902" s="11" t="s">
        <v>45</v>
      </c>
      <c r="C902" t="s">
        <v>41</v>
      </c>
      <c r="D902">
        <v>0</v>
      </c>
      <c r="E902" t="s">
        <v>36</v>
      </c>
      <c r="F902">
        <v>0</v>
      </c>
      <c r="G902">
        <v>0</v>
      </c>
    </row>
    <row r="903" spans="1:7" x14ac:dyDescent="0.3">
      <c r="A903" s="11">
        <v>45354</v>
      </c>
      <c r="B903" s="11" t="s">
        <v>44</v>
      </c>
      <c r="C903" t="s">
        <v>11</v>
      </c>
      <c r="D903">
        <v>0</v>
      </c>
      <c r="E903" t="s">
        <v>15</v>
      </c>
      <c r="F903">
        <v>0</v>
      </c>
      <c r="G903">
        <v>0</v>
      </c>
    </row>
    <row r="904" spans="1:7" x14ac:dyDescent="0.3">
      <c r="A904" s="11">
        <v>45354</v>
      </c>
      <c r="B904" s="11" t="s">
        <v>44</v>
      </c>
      <c r="C904" t="s">
        <v>40</v>
      </c>
      <c r="D904">
        <v>0</v>
      </c>
      <c r="E904" t="s">
        <v>23</v>
      </c>
      <c r="F904">
        <v>0</v>
      </c>
      <c r="G904">
        <v>0</v>
      </c>
    </row>
    <row r="905" spans="1:7" x14ac:dyDescent="0.3">
      <c r="A905" s="11">
        <v>45354</v>
      </c>
      <c r="B905" s="11" t="s">
        <v>47</v>
      </c>
      <c r="C905" t="s">
        <v>21</v>
      </c>
      <c r="D905">
        <v>0</v>
      </c>
      <c r="E905" t="s">
        <v>14</v>
      </c>
      <c r="F905">
        <v>0</v>
      </c>
      <c r="G905">
        <v>0</v>
      </c>
    </row>
    <row r="906" spans="1:7" x14ac:dyDescent="0.3">
      <c r="A906" s="11">
        <v>45354</v>
      </c>
      <c r="B906" s="11" t="s">
        <v>47</v>
      </c>
      <c r="C906" t="s">
        <v>20</v>
      </c>
      <c r="D906">
        <v>0</v>
      </c>
      <c r="E906" t="s">
        <v>24</v>
      </c>
      <c r="F906">
        <v>0</v>
      </c>
      <c r="G906">
        <v>0</v>
      </c>
    </row>
    <row r="907" spans="1:7" x14ac:dyDescent="0.3">
      <c r="A907" s="11">
        <v>45354</v>
      </c>
      <c r="B907" s="11" t="s">
        <v>12</v>
      </c>
      <c r="C907" t="s">
        <v>16</v>
      </c>
      <c r="D907">
        <v>0</v>
      </c>
      <c r="E907" t="s">
        <v>25</v>
      </c>
      <c r="F907">
        <v>0</v>
      </c>
      <c r="G907">
        <v>0</v>
      </c>
    </row>
    <row r="908" spans="1:7" x14ac:dyDescent="0.3">
      <c r="A908" s="11">
        <v>45354</v>
      </c>
      <c r="B908" s="11" t="s">
        <v>12</v>
      </c>
      <c r="C908" t="s">
        <v>18</v>
      </c>
      <c r="D908">
        <v>0</v>
      </c>
      <c r="E908" t="s">
        <v>37</v>
      </c>
      <c r="F908">
        <v>0</v>
      </c>
      <c r="G908">
        <v>0</v>
      </c>
    </row>
    <row r="909" spans="1:7" x14ac:dyDescent="0.3">
      <c r="A909" s="11">
        <v>45354</v>
      </c>
      <c r="B909" s="11" t="s">
        <v>35</v>
      </c>
      <c r="C909" t="s">
        <v>30</v>
      </c>
      <c r="D909">
        <v>0</v>
      </c>
      <c r="E909" t="s">
        <v>10</v>
      </c>
      <c r="F909">
        <v>0</v>
      </c>
      <c r="G909">
        <v>0</v>
      </c>
    </row>
    <row r="910" spans="1:7" x14ac:dyDescent="0.3">
      <c r="A910" s="11">
        <v>45355</v>
      </c>
      <c r="B910" s="11" t="s">
        <v>6</v>
      </c>
      <c r="C910" t="s">
        <v>29</v>
      </c>
      <c r="D910">
        <v>0</v>
      </c>
      <c r="E910" t="s">
        <v>26</v>
      </c>
      <c r="F910">
        <v>0</v>
      </c>
      <c r="G910">
        <v>0</v>
      </c>
    </row>
    <row r="911" spans="1:7" x14ac:dyDescent="0.3">
      <c r="A911" s="11">
        <v>45355</v>
      </c>
      <c r="B911" s="11" t="s">
        <v>27</v>
      </c>
      <c r="C911" t="s">
        <v>40</v>
      </c>
      <c r="D911">
        <v>0</v>
      </c>
      <c r="E911" t="s">
        <v>42</v>
      </c>
      <c r="F911">
        <v>0</v>
      </c>
      <c r="G911">
        <v>0</v>
      </c>
    </row>
    <row r="912" spans="1:7" x14ac:dyDescent="0.3">
      <c r="A912" s="11">
        <v>45355</v>
      </c>
      <c r="B912" s="11" t="s">
        <v>27</v>
      </c>
      <c r="C912" t="s">
        <v>39</v>
      </c>
      <c r="D912">
        <v>0</v>
      </c>
      <c r="E912" t="s">
        <v>23</v>
      </c>
      <c r="F912">
        <v>0</v>
      </c>
      <c r="G912">
        <v>0</v>
      </c>
    </row>
    <row r="913" spans="1:7" x14ac:dyDescent="0.3">
      <c r="A913" s="11">
        <v>45355</v>
      </c>
      <c r="B913" s="11" t="s">
        <v>32</v>
      </c>
      <c r="C913" t="s">
        <v>17</v>
      </c>
      <c r="D913">
        <v>0</v>
      </c>
      <c r="E913" t="s">
        <v>34</v>
      </c>
      <c r="F913">
        <v>0</v>
      </c>
      <c r="G913">
        <v>0</v>
      </c>
    </row>
    <row r="914" spans="1:7" x14ac:dyDescent="0.3">
      <c r="A914" s="11">
        <v>45355</v>
      </c>
      <c r="B914" s="11" t="s">
        <v>9</v>
      </c>
      <c r="C914" t="s">
        <v>31</v>
      </c>
      <c r="D914">
        <v>0</v>
      </c>
      <c r="E914" t="s">
        <v>33</v>
      </c>
      <c r="F914">
        <v>0</v>
      </c>
      <c r="G914">
        <v>0</v>
      </c>
    </row>
    <row r="915" spans="1:7" x14ac:dyDescent="0.3">
      <c r="A915" s="11">
        <v>45355</v>
      </c>
      <c r="B915" s="11" t="s">
        <v>38</v>
      </c>
      <c r="C915" t="s">
        <v>30</v>
      </c>
      <c r="D915">
        <v>0</v>
      </c>
      <c r="E915" t="s">
        <v>7</v>
      </c>
      <c r="F915">
        <v>0</v>
      </c>
      <c r="G915">
        <v>0</v>
      </c>
    </row>
    <row r="916" spans="1:7" x14ac:dyDescent="0.3">
      <c r="A916" s="11">
        <v>45356</v>
      </c>
      <c r="B916" s="11" t="s">
        <v>12</v>
      </c>
      <c r="C916" t="s">
        <v>14</v>
      </c>
      <c r="D916">
        <v>0</v>
      </c>
      <c r="E916" t="s">
        <v>20</v>
      </c>
      <c r="F916">
        <v>0</v>
      </c>
      <c r="G916">
        <v>0</v>
      </c>
    </row>
    <row r="917" spans="1:7" x14ac:dyDescent="0.3">
      <c r="A917" s="11">
        <v>45356</v>
      </c>
      <c r="B917" s="11" t="s">
        <v>12</v>
      </c>
      <c r="C917" t="s">
        <v>15</v>
      </c>
      <c r="D917">
        <v>0</v>
      </c>
      <c r="E917" t="s">
        <v>25</v>
      </c>
      <c r="F917">
        <v>0</v>
      </c>
      <c r="G917">
        <v>0</v>
      </c>
    </row>
    <row r="918" spans="1:7" x14ac:dyDescent="0.3">
      <c r="A918" s="11">
        <v>45356</v>
      </c>
      <c r="B918" s="11" t="s">
        <v>6</v>
      </c>
      <c r="C918" t="s">
        <v>41</v>
      </c>
      <c r="D918">
        <v>0</v>
      </c>
      <c r="E918" t="s">
        <v>26</v>
      </c>
      <c r="F918">
        <v>0</v>
      </c>
      <c r="G918">
        <v>0</v>
      </c>
    </row>
    <row r="919" spans="1:7" x14ac:dyDescent="0.3">
      <c r="A919" s="11">
        <v>45356</v>
      </c>
      <c r="B919" s="11" t="s">
        <v>6</v>
      </c>
      <c r="C919" t="s">
        <v>21</v>
      </c>
      <c r="D919">
        <v>0</v>
      </c>
      <c r="E919" t="s">
        <v>22</v>
      </c>
      <c r="F919">
        <v>0</v>
      </c>
      <c r="G919">
        <v>0</v>
      </c>
    </row>
    <row r="920" spans="1:7" x14ac:dyDescent="0.3">
      <c r="A920" s="11">
        <v>45356</v>
      </c>
      <c r="B920" s="11" t="s">
        <v>6</v>
      </c>
      <c r="C920" t="s">
        <v>19</v>
      </c>
      <c r="D920">
        <v>0</v>
      </c>
      <c r="E920" t="s">
        <v>16</v>
      </c>
      <c r="F920">
        <v>0</v>
      </c>
      <c r="G920">
        <v>0</v>
      </c>
    </row>
    <row r="921" spans="1:7" x14ac:dyDescent="0.3">
      <c r="A921" s="11">
        <v>45356</v>
      </c>
      <c r="B921" s="11" t="s">
        <v>6</v>
      </c>
      <c r="C921" t="s">
        <v>28</v>
      </c>
      <c r="D921">
        <v>0</v>
      </c>
      <c r="E921" t="s">
        <v>24</v>
      </c>
      <c r="F921">
        <v>0</v>
      </c>
      <c r="G921">
        <v>0</v>
      </c>
    </row>
    <row r="922" spans="1:7" x14ac:dyDescent="0.3">
      <c r="A922" s="11">
        <v>45356</v>
      </c>
      <c r="B922" s="11" t="s">
        <v>27</v>
      </c>
      <c r="C922" t="s">
        <v>37</v>
      </c>
      <c r="D922">
        <v>0</v>
      </c>
      <c r="E922" t="s">
        <v>13</v>
      </c>
      <c r="F922">
        <v>0</v>
      </c>
      <c r="G922">
        <v>0</v>
      </c>
    </row>
    <row r="923" spans="1:7" x14ac:dyDescent="0.3">
      <c r="A923" s="11">
        <v>45356</v>
      </c>
      <c r="B923" s="11" t="s">
        <v>43</v>
      </c>
      <c r="C923" t="s">
        <v>18</v>
      </c>
      <c r="D923">
        <v>0</v>
      </c>
      <c r="E923" t="s">
        <v>36</v>
      </c>
      <c r="F923">
        <v>0</v>
      </c>
      <c r="G923">
        <v>0</v>
      </c>
    </row>
    <row r="924" spans="1:7" x14ac:dyDescent="0.3">
      <c r="A924" s="11">
        <v>45356</v>
      </c>
      <c r="B924" s="11" t="s">
        <v>9</v>
      </c>
      <c r="C924" t="s">
        <v>10</v>
      </c>
      <c r="D924">
        <v>0</v>
      </c>
      <c r="E924" t="s">
        <v>8</v>
      </c>
      <c r="F924">
        <v>0</v>
      </c>
      <c r="G924">
        <v>0</v>
      </c>
    </row>
    <row r="925" spans="1:7" x14ac:dyDescent="0.3">
      <c r="A925" s="11">
        <v>45357</v>
      </c>
      <c r="B925" s="11" t="s">
        <v>12</v>
      </c>
      <c r="C925" t="s">
        <v>14</v>
      </c>
      <c r="D925">
        <v>0</v>
      </c>
      <c r="E925" t="s">
        <v>17</v>
      </c>
      <c r="F925">
        <v>0</v>
      </c>
      <c r="G925">
        <v>0</v>
      </c>
    </row>
    <row r="926" spans="1:7" x14ac:dyDescent="0.3">
      <c r="A926" s="11">
        <v>45357</v>
      </c>
      <c r="B926" s="11" t="s">
        <v>6</v>
      </c>
      <c r="C926" t="s">
        <v>25</v>
      </c>
      <c r="D926">
        <v>0</v>
      </c>
      <c r="E926" t="s">
        <v>19</v>
      </c>
      <c r="F926">
        <v>0</v>
      </c>
      <c r="G926">
        <v>0</v>
      </c>
    </row>
    <row r="927" spans="1:7" x14ac:dyDescent="0.3">
      <c r="A927" s="11">
        <v>45357</v>
      </c>
      <c r="B927" s="11" t="s">
        <v>6</v>
      </c>
      <c r="C927" t="s">
        <v>29</v>
      </c>
      <c r="D927">
        <v>0</v>
      </c>
      <c r="E927" t="s">
        <v>41</v>
      </c>
      <c r="F927">
        <v>0</v>
      </c>
      <c r="G927">
        <v>0</v>
      </c>
    </row>
    <row r="928" spans="1:7" x14ac:dyDescent="0.3">
      <c r="A928" s="11">
        <v>45357</v>
      </c>
      <c r="B928" s="11" t="s">
        <v>27</v>
      </c>
      <c r="C928" t="s">
        <v>40</v>
      </c>
      <c r="D928">
        <v>0</v>
      </c>
      <c r="E928" t="s">
        <v>13</v>
      </c>
      <c r="F928">
        <v>0</v>
      </c>
      <c r="G928">
        <v>0</v>
      </c>
    </row>
    <row r="929" spans="1:7" x14ac:dyDescent="0.3">
      <c r="A929" s="11">
        <v>45357</v>
      </c>
      <c r="B929" s="11" t="s">
        <v>32</v>
      </c>
      <c r="C929" t="s">
        <v>31</v>
      </c>
      <c r="D929">
        <v>0</v>
      </c>
      <c r="E929" t="s">
        <v>34</v>
      </c>
      <c r="F929">
        <v>0</v>
      </c>
      <c r="G929">
        <v>0</v>
      </c>
    </row>
    <row r="930" spans="1:7" x14ac:dyDescent="0.3">
      <c r="A930" s="11">
        <v>45357</v>
      </c>
      <c r="B930" s="11" t="s">
        <v>9</v>
      </c>
      <c r="C930" t="s">
        <v>42</v>
      </c>
      <c r="D930">
        <v>0</v>
      </c>
      <c r="E930" t="s">
        <v>11</v>
      </c>
      <c r="F930">
        <v>0</v>
      </c>
      <c r="G930">
        <v>0</v>
      </c>
    </row>
    <row r="931" spans="1:7" x14ac:dyDescent="0.3">
      <c r="A931" s="11">
        <v>45357</v>
      </c>
      <c r="B931" s="11" t="s">
        <v>9</v>
      </c>
      <c r="C931" t="s">
        <v>30</v>
      </c>
      <c r="D931">
        <v>0</v>
      </c>
      <c r="E931" t="s">
        <v>39</v>
      </c>
      <c r="F931">
        <v>0</v>
      </c>
      <c r="G931">
        <v>0</v>
      </c>
    </row>
    <row r="932" spans="1:7" x14ac:dyDescent="0.3">
      <c r="A932" s="11">
        <v>45357</v>
      </c>
      <c r="B932" s="11" t="s">
        <v>38</v>
      </c>
      <c r="C932" t="s">
        <v>33</v>
      </c>
      <c r="D932">
        <v>0</v>
      </c>
      <c r="E932" t="s">
        <v>7</v>
      </c>
      <c r="F932">
        <v>0</v>
      </c>
      <c r="G932">
        <v>0</v>
      </c>
    </row>
    <row r="933" spans="1:7" x14ac:dyDescent="0.3">
      <c r="A933" s="11">
        <v>45358</v>
      </c>
      <c r="B933" s="11" t="s">
        <v>12</v>
      </c>
      <c r="C933" t="s">
        <v>26</v>
      </c>
      <c r="D933">
        <v>0</v>
      </c>
      <c r="E933" t="s">
        <v>21</v>
      </c>
      <c r="F933">
        <v>0</v>
      </c>
      <c r="G933">
        <v>0</v>
      </c>
    </row>
    <row r="934" spans="1:7" x14ac:dyDescent="0.3">
      <c r="A934" s="11">
        <v>45358</v>
      </c>
      <c r="B934" s="11" t="s">
        <v>12</v>
      </c>
      <c r="C934" t="s">
        <v>23</v>
      </c>
      <c r="D934">
        <v>0</v>
      </c>
      <c r="E934" t="s">
        <v>18</v>
      </c>
      <c r="F934">
        <v>0</v>
      </c>
      <c r="G934">
        <v>0</v>
      </c>
    </row>
    <row r="935" spans="1:7" x14ac:dyDescent="0.3">
      <c r="A935" s="11">
        <v>45358</v>
      </c>
      <c r="B935" s="11" t="s">
        <v>6</v>
      </c>
      <c r="C935" t="s">
        <v>22</v>
      </c>
      <c r="D935">
        <v>0</v>
      </c>
      <c r="E935" t="s">
        <v>36</v>
      </c>
      <c r="F935">
        <v>0</v>
      </c>
      <c r="G935">
        <v>0</v>
      </c>
    </row>
    <row r="936" spans="1:7" x14ac:dyDescent="0.3">
      <c r="A936" s="11">
        <v>45358</v>
      </c>
      <c r="B936" s="11" t="s">
        <v>32</v>
      </c>
      <c r="C936" t="s">
        <v>24</v>
      </c>
      <c r="D936">
        <v>0</v>
      </c>
      <c r="E936" t="s">
        <v>10</v>
      </c>
      <c r="F936">
        <v>0</v>
      </c>
      <c r="G936">
        <v>0</v>
      </c>
    </row>
    <row r="937" spans="1:7" x14ac:dyDescent="0.3">
      <c r="A937" s="11">
        <v>45358</v>
      </c>
      <c r="B937" s="11" t="s">
        <v>9</v>
      </c>
      <c r="C937" t="s">
        <v>15</v>
      </c>
      <c r="D937">
        <v>0</v>
      </c>
      <c r="E937" t="s">
        <v>8</v>
      </c>
      <c r="F937">
        <v>0</v>
      </c>
      <c r="G937">
        <v>0</v>
      </c>
    </row>
    <row r="938" spans="1:7" x14ac:dyDescent="0.3">
      <c r="A938" s="11">
        <v>45358</v>
      </c>
      <c r="B938" s="11" t="s">
        <v>9</v>
      </c>
      <c r="C938" t="s">
        <v>31</v>
      </c>
      <c r="D938">
        <v>0</v>
      </c>
      <c r="E938" t="s">
        <v>11</v>
      </c>
      <c r="F938">
        <v>0</v>
      </c>
      <c r="G938">
        <v>0</v>
      </c>
    </row>
    <row r="939" spans="1:7" x14ac:dyDescent="0.3">
      <c r="A939" s="11">
        <v>45358</v>
      </c>
      <c r="B939" s="11" t="s">
        <v>9</v>
      </c>
      <c r="C939" t="s">
        <v>37</v>
      </c>
      <c r="D939">
        <v>0</v>
      </c>
      <c r="E939" t="s">
        <v>33</v>
      </c>
      <c r="F939">
        <v>0</v>
      </c>
      <c r="G939">
        <v>0</v>
      </c>
    </row>
    <row r="940" spans="1:7" x14ac:dyDescent="0.3">
      <c r="A940" s="11">
        <v>45359</v>
      </c>
      <c r="B940" s="11" t="s">
        <v>12</v>
      </c>
      <c r="C940" t="s">
        <v>28</v>
      </c>
      <c r="D940">
        <v>0</v>
      </c>
      <c r="E940" t="s">
        <v>41</v>
      </c>
      <c r="F940">
        <v>0</v>
      </c>
      <c r="G940">
        <v>0</v>
      </c>
    </row>
    <row r="941" spans="1:7" x14ac:dyDescent="0.3">
      <c r="A941" s="11">
        <v>45359</v>
      </c>
      <c r="B941" s="11" t="s">
        <v>12</v>
      </c>
      <c r="C941" t="s">
        <v>20</v>
      </c>
      <c r="D941">
        <v>0</v>
      </c>
      <c r="E941" t="s">
        <v>17</v>
      </c>
      <c r="F941">
        <v>0</v>
      </c>
      <c r="G941">
        <v>0</v>
      </c>
    </row>
    <row r="942" spans="1:7" x14ac:dyDescent="0.3">
      <c r="A942" s="11">
        <v>45359</v>
      </c>
      <c r="B942" s="11" t="s">
        <v>6</v>
      </c>
      <c r="C942" t="s">
        <v>23</v>
      </c>
      <c r="D942">
        <v>0</v>
      </c>
      <c r="E942" t="s">
        <v>25</v>
      </c>
      <c r="F942">
        <v>0</v>
      </c>
      <c r="G942">
        <v>0</v>
      </c>
    </row>
    <row r="943" spans="1:7" x14ac:dyDescent="0.3">
      <c r="A943" s="11">
        <v>45359</v>
      </c>
      <c r="B943" s="11" t="s">
        <v>6</v>
      </c>
      <c r="C943" t="s">
        <v>19</v>
      </c>
      <c r="D943">
        <v>0</v>
      </c>
      <c r="E943" t="s">
        <v>29</v>
      </c>
      <c r="F943">
        <v>0</v>
      </c>
      <c r="G943">
        <v>0</v>
      </c>
    </row>
    <row r="944" spans="1:7" x14ac:dyDescent="0.3">
      <c r="A944" s="11">
        <v>45359</v>
      </c>
      <c r="B944" s="11" t="s">
        <v>6</v>
      </c>
      <c r="C944" t="s">
        <v>14</v>
      </c>
      <c r="D944">
        <v>0</v>
      </c>
      <c r="E944" t="s">
        <v>16</v>
      </c>
      <c r="F944">
        <v>0</v>
      </c>
      <c r="G944">
        <v>0</v>
      </c>
    </row>
    <row r="945" spans="1:7" x14ac:dyDescent="0.3">
      <c r="A945" s="11">
        <v>45359</v>
      </c>
      <c r="B945" s="11" t="s">
        <v>27</v>
      </c>
      <c r="C945" t="s">
        <v>22</v>
      </c>
      <c r="D945">
        <v>0</v>
      </c>
      <c r="E945" t="s">
        <v>30</v>
      </c>
      <c r="F945">
        <v>0</v>
      </c>
      <c r="G945">
        <v>0</v>
      </c>
    </row>
    <row r="946" spans="1:7" x14ac:dyDescent="0.3">
      <c r="A946" s="11">
        <v>45359</v>
      </c>
      <c r="B946" s="11" t="s">
        <v>9</v>
      </c>
      <c r="C946" t="s">
        <v>42</v>
      </c>
      <c r="D946">
        <v>0</v>
      </c>
      <c r="E946" t="s">
        <v>7</v>
      </c>
      <c r="F946">
        <v>0</v>
      </c>
      <c r="G946">
        <v>0</v>
      </c>
    </row>
    <row r="947" spans="1:7" x14ac:dyDescent="0.3">
      <c r="A947" s="11">
        <v>45359</v>
      </c>
      <c r="B947" s="11" t="s">
        <v>9</v>
      </c>
      <c r="C947" t="s">
        <v>13</v>
      </c>
      <c r="D947">
        <v>0</v>
      </c>
      <c r="E947" t="s">
        <v>39</v>
      </c>
      <c r="F947">
        <v>0</v>
      </c>
      <c r="G947">
        <v>0</v>
      </c>
    </row>
    <row r="948" spans="1:7" x14ac:dyDescent="0.3">
      <c r="A948" s="11">
        <v>45360</v>
      </c>
      <c r="B948" s="11" t="s">
        <v>49</v>
      </c>
      <c r="C948" t="s">
        <v>31</v>
      </c>
      <c r="D948">
        <v>0</v>
      </c>
      <c r="E948" t="s">
        <v>40</v>
      </c>
      <c r="F948">
        <v>0</v>
      </c>
      <c r="G948">
        <v>0</v>
      </c>
    </row>
    <row r="949" spans="1:7" x14ac:dyDescent="0.3">
      <c r="A949" s="11">
        <v>45360</v>
      </c>
      <c r="B949" s="11" t="s">
        <v>12</v>
      </c>
      <c r="C949" t="s">
        <v>26</v>
      </c>
      <c r="D949">
        <v>0</v>
      </c>
      <c r="E949" t="s">
        <v>20</v>
      </c>
      <c r="F949">
        <v>0</v>
      </c>
      <c r="G949">
        <v>0</v>
      </c>
    </row>
    <row r="950" spans="1:7" x14ac:dyDescent="0.3">
      <c r="A950" s="11">
        <v>45360</v>
      </c>
      <c r="B950" s="11" t="s">
        <v>12</v>
      </c>
      <c r="C950" t="s">
        <v>36</v>
      </c>
      <c r="D950">
        <v>0</v>
      </c>
      <c r="E950" t="s">
        <v>21</v>
      </c>
      <c r="F950">
        <v>0</v>
      </c>
      <c r="G950">
        <v>0</v>
      </c>
    </row>
    <row r="951" spans="1:7" x14ac:dyDescent="0.3">
      <c r="A951" s="11">
        <v>45360</v>
      </c>
      <c r="B951" s="11" t="s">
        <v>43</v>
      </c>
      <c r="C951" t="s">
        <v>37</v>
      </c>
      <c r="D951">
        <v>0</v>
      </c>
      <c r="E951" t="s">
        <v>11</v>
      </c>
      <c r="F951">
        <v>0</v>
      </c>
      <c r="G951">
        <v>0</v>
      </c>
    </row>
    <row r="952" spans="1:7" x14ac:dyDescent="0.3">
      <c r="A952" s="11">
        <v>45360</v>
      </c>
      <c r="B952" s="11" t="s">
        <v>43</v>
      </c>
      <c r="C952" t="s">
        <v>15</v>
      </c>
      <c r="D952">
        <v>0</v>
      </c>
      <c r="E952" t="s">
        <v>10</v>
      </c>
      <c r="F952">
        <v>0</v>
      </c>
      <c r="G952">
        <v>0</v>
      </c>
    </row>
    <row r="953" spans="1:7" x14ac:dyDescent="0.3">
      <c r="A953" s="11">
        <v>45360</v>
      </c>
      <c r="B953" s="11" t="s">
        <v>9</v>
      </c>
      <c r="C953" t="s">
        <v>34</v>
      </c>
      <c r="D953">
        <v>0</v>
      </c>
      <c r="E953" t="s">
        <v>8</v>
      </c>
      <c r="F953">
        <v>0</v>
      </c>
      <c r="G953">
        <v>0</v>
      </c>
    </row>
    <row r="954" spans="1:7" x14ac:dyDescent="0.3">
      <c r="A954" s="11">
        <v>45360</v>
      </c>
      <c r="B954" s="11" t="s">
        <v>9</v>
      </c>
      <c r="C954" t="s">
        <v>24</v>
      </c>
      <c r="D954">
        <v>0</v>
      </c>
      <c r="E954" t="s">
        <v>39</v>
      </c>
      <c r="F954">
        <v>0</v>
      </c>
      <c r="G954">
        <v>0</v>
      </c>
    </row>
    <row r="955" spans="1:7" x14ac:dyDescent="0.3">
      <c r="A955" s="11">
        <v>45361</v>
      </c>
      <c r="B955" s="11" t="s">
        <v>46</v>
      </c>
      <c r="C955" t="s">
        <v>42</v>
      </c>
      <c r="D955">
        <v>0</v>
      </c>
      <c r="E955" t="s">
        <v>40</v>
      </c>
      <c r="F955">
        <v>0</v>
      </c>
      <c r="G955">
        <v>0</v>
      </c>
    </row>
    <row r="956" spans="1:7" x14ac:dyDescent="0.3">
      <c r="A956" s="11">
        <v>45361</v>
      </c>
      <c r="B956" s="11" t="s">
        <v>47</v>
      </c>
      <c r="C956" t="s">
        <v>28</v>
      </c>
      <c r="D956">
        <v>0</v>
      </c>
      <c r="E956" t="s">
        <v>19</v>
      </c>
      <c r="F956">
        <v>0</v>
      </c>
      <c r="G956">
        <v>0</v>
      </c>
    </row>
    <row r="957" spans="1:7" x14ac:dyDescent="0.3">
      <c r="A957" s="11">
        <v>45361</v>
      </c>
      <c r="B957" s="11" t="s">
        <v>47</v>
      </c>
      <c r="C957" t="s">
        <v>17</v>
      </c>
      <c r="D957">
        <v>0</v>
      </c>
      <c r="E957" t="s">
        <v>22</v>
      </c>
      <c r="F957">
        <v>0</v>
      </c>
      <c r="G957">
        <v>0</v>
      </c>
    </row>
    <row r="958" spans="1:7" x14ac:dyDescent="0.3">
      <c r="A958" s="11">
        <v>45361</v>
      </c>
      <c r="B958" s="11" t="s">
        <v>47</v>
      </c>
      <c r="C958" t="s">
        <v>41</v>
      </c>
      <c r="D958">
        <v>0</v>
      </c>
      <c r="E958" t="s">
        <v>16</v>
      </c>
      <c r="F958">
        <v>0</v>
      </c>
      <c r="G958">
        <v>0</v>
      </c>
    </row>
    <row r="959" spans="1:7" x14ac:dyDescent="0.3">
      <c r="A959" s="11">
        <v>45361</v>
      </c>
      <c r="B959" s="11" t="s">
        <v>47</v>
      </c>
      <c r="C959" t="s">
        <v>18</v>
      </c>
      <c r="D959">
        <v>0</v>
      </c>
      <c r="E959" t="s">
        <v>14</v>
      </c>
      <c r="F959">
        <v>0</v>
      </c>
      <c r="G959">
        <v>0</v>
      </c>
    </row>
    <row r="960" spans="1:7" x14ac:dyDescent="0.3">
      <c r="A960" s="11">
        <v>45361</v>
      </c>
      <c r="B960" s="11" t="s">
        <v>47</v>
      </c>
      <c r="C960" t="s">
        <v>13</v>
      </c>
      <c r="D960">
        <v>0</v>
      </c>
      <c r="E960" t="s">
        <v>33</v>
      </c>
      <c r="F960">
        <v>0</v>
      </c>
      <c r="G960">
        <v>0</v>
      </c>
    </row>
    <row r="961" spans="1:7" x14ac:dyDescent="0.3">
      <c r="A961" s="11">
        <v>45361</v>
      </c>
      <c r="B961" s="11" t="s">
        <v>12</v>
      </c>
      <c r="C961" t="s">
        <v>26</v>
      </c>
      <c r="D961">
        <v>0</v>
      </c>
      <c r="E961" t="s">
        <v>25</v>
      </c>
      <c r="F961">
        <v>0</v>
      </c>
      <c r="G961">
        <v>0</v>
      </c>
    </row>
    <row r="962" spans="1:7" x14ac:dyDescent="0.3">
      <c r="A962" s="11">
        <v>45361</v>
      </c>
      <c r="B962" s="11" t="s">
        <v>12</v>
      </c>
      <c r="C962" t="s">
        <v>29</v>
      </c>
      <c r="D962">
        <v>0</v>
      </c>
      <c r="E962" t="s">
        <v>30</v>
      </c>
      <c r="F962">
        <v>0</v>
      </c>
      <c r="G962">
        <v>0</v>
      </c>
    </row>
    <row r="963" spans="1:7" x14ac:dyDescent="0.3">
      <c r="A963" s="11">
        <v>45361</v>
      </c>
      <c r="B963" s="11" t="s">
        <v>35</v>
      </c>
      <c r="C963" t="s">
        <v>23</v>
      </c>
      <c r="D963">
        <v>0</v>
      </c>
      <c r="E963" t="s">
        <v>7</v>
      </c>
      <c r="F963">
        <v>0</v>
      </c>
      <c r="G963">
        <v>0</v>
      </c>
    </row>
    <row r="964" spans="1:7" x14ac:dyDescent="0.3">
      <c r="A964" s="11">
        <v>45362</v>
      </c>
      <c r="B964" s="11" t="s">
        <v>12</v>
      </c>
      <c r="C964" t="s">
        <v>20</v>
      </c>
      <c r="D964">
        <v>0</v>
      </c>
      <c r="E964" t="s">
        <v>21</v>
      </c>
      <c r="F964">
        <v>0</v>
      </c>
      <c r="G964">
        <v>0</v>
      </c>
    </row>
    <row r="965" spans="1:7" x14ac:dyDescent="0.3">
      <c r="A965" s="11">
        <v>45362</v>
      </c>
      <c r="B965" s="11" t="s">
        <v>6</v>
      </c>
      <c r="C965" t="s">
        <v>10</v>
      </c>
      <c r="D965">
        <v>0</v>
      </c>
      <c r="E965" t="s">
        <v>25</v>
      </c>
      <c r="F965">
        <v>0</v>
      </c>
      <c r="G965">
        <v>0</v>
      </c>
    </row>
    <row r="966" spans="1:7" x14ac:dyDescent="0.3">
      <c r="A966" s="11">
        <v>45362</v>
      </c>
      <c r="B966" s="11" t="s">
        <v>27</v>
      </c>
      <c r="C966" t="s">
        <v>36</v>
      </c>
      <c r="D966">
        <v>0</v>
      </c>
      <c r="E966" t="s">
        <v>31</v>
      </c>
      <c r="F966">
        <v>0</v>
      </c>
      <c r="G966">
        <v>0</v>
      </c>
    </row>
    <row r="967" spans="1:7" x14ac:dyDescent="0.3">
      <c r="A967" s="11">
        <v>45362</v>
      </c>
      <c r="B967" s="11" t="s">
        <v>27</v>
      </c>
      <c r="C967" t="s">
        <v>11</v>
      </c>
      <c r="D967">
        <v>0</v>
      </c>
      <c r="E967" t="s">
        <v>37</v>
      </c>
      <c r="F967">
        <v>0</v>
      </c>
      <c r="G967">
        <v>0</v>
      </c>
    </row>
    <row r="968" spans="1:7" x14ac:dyDescent="0.3">
      <c r="A968" s="11">
        <v>45362</v>
      </c>
      <c r="B968" s="11" t="s">
        <v>32</v>
      </c>
      <c r="C968" t="s">
        <v>24</v>
      </c>
      <c r="D968">
        <v>0</v>
      </c>
      <c r="E968" t="s">
        <v>8</v>
      </c>
      <c r="F968">
        <v>0</v>
      </c>
      <c r="G968">
        <v>0</v>
      </c>
    </row>
    <row r="969" spans="1:7" x14ac:dyDescent="0.3">
      <c r="A969" s="11">
        <v>45362</v>
      </c>
      <c r="B969" s="11" t="s">
        <v>38</v>
      </c>
      <c r="C969" t="s">
        <v>15</v>
      </c>
      <c r="D969">
        <v>0</v>
      </c>
      <c r="E969" t="s">
        <v>39</v>
      </c>
      <c r="F969">
        <v>0</v>
      </c>
      <c r="G969">
        <v>0</v>
      </c>
    </row>
    <row r="970" spans="1:7" x14ac:dyDescent="0.3">
      <c r="A970" s="11">
        <v>45363</v>
      </c>
      <c r="B970" s="11" t="s">
        <v>6</v>
      </c>
      <c r="C970" t="s">
        <v>41</v>
      </c>
      <c r="D970">
        <v>0</v>
      </c>
      <c r="E970" t="s">
        <v>16</v>
      </c>
      <c r="F970">
        <v>0</v>
      </c>
      <c r="G970">
        <v>0</v>
      </c>
    </row>
    <row r="971" spans="1:7" x14ac:dyDescent="0.3">
      <c r="A971" s="11">
        <v>45363</v>
      </c>
      <c r="B971" s="11" t="s">
        <v>27</v>
      </c>
      <c r="C971" t="s">
        <v>17</v>
      </c>
      <c r="D971">
        <v>0</v>
      </c>
      <c r="E971" t="s">
        <v>29</v>
      </c>
      <c r="F971">
        <v>0</v>
      </c>
      <c r="G971">
        <v>0</v>
      </c>
    </row>
    <row r="972" spans="1:7" x14ac:dyDescent="0.3">
      <c r="A972" s="11">
        <v>45363</v>
      </c>
      <c r="B972" s="11" t="s">
        <v>27</v>
      </c>
      <c r="C972" t="s">
        <v>18</v>
      </c>
      <c r="D972">
        <v>0</v>
      </c>
      <c r="E972" t="s">
        <v>30</v>
      </c>
      <c r="F972">
        <v>0</v>
      </c>
      <c r="G972">
        <v>0</v>
      </c>
    </row>
    <row r="973" spans="1:7" x14ac:dyDescent="0.3">
      <c r="A973" s="11">
        <v>45363</v>
      </c>
      <c r="B973" s="11" t="s">
        <v>43</v>
      </c>
      <c r="C973" t="s">
        <v>13</v>
      </c>
      <c r="D973">
        <v>0</v>
      </c>
      <c r="E973" t="s">
        <v>37</v>
      </c>
      <c r="F973">
        <v>0</v>
      </c>
      <c r="G973">
        <v>0</v>
      </c>
    </row>
    <row r="974" spans="1:7" x14ac:dyDescent="0.3">
      <c r="A974" s="11">
        <v>45363</v>
      </c>
      <c r="B974" s="11" t="s">
        <v>32</v>
      </c>
      <c r="C974" t="s">
        <v>15</v>
      </c>
      <c r="D974">
        <v>0</v>
      </c>
      <c r="E974" t="s">
        <v>34</v>
      </c>
      <c r="F974">
        <v>0</v>
      </c>
      <c r="G974">
        <v>0</v>
      </c>
    </row>
    <row r="975" spans="1:7" x14ac:dyDescent="0.3">
      <c r="A975" s="11">
        <v>45363</v>
      </c>
      <c r="B975" s="11" t="s">
        <v>9</v>
      </c>
      <c r="C975" t="s">
        <v>23</v>
      </c>
      <c r="D975">
        <v>0</v>
      </c>
      <c r="E975" t="s">
        <v>40</v>
      </c>
      <c r="F975">
        <v>0</v>
      </c>
      <c r="G975">
        <v>0</v>
      </c>
    </row>
    <row r="976" spans="1:7" x14ac:dyDescent="0.3">
      <c r="A976" s="11">
        <v>45363</v>
      </c>
      <c r="B976" s="11" t="s">
        <v>9</v>
      </c>
      <c r="C976" t="s">
        <v>42</v>
      </c>
      <c r="D976">
        <v>0</v>
      </c>
      <c r="E976" t="s">
        <v>33</v>
      </c>
      <c r="F976">
        <v>0</v>
      </c>
      <c r="G976">
        <v>0</v>
      </c>
    </row>
    <row r="977" spans="1:7" x14ac:dyDescent="0.3">
      <c r="A977" s="11">
        <v>45364</v>
      </c>
      <c r="B977" s="11" t="s">
        <v>12</v>
      </c>
      <c r="C977" t="s">
        <v>24</v>
      </c>
      <c r="D977">
        <v>0</v>
      </c>
      <c r="E977" t="s">
        <v>21</v>
      </c>
      <c r="F977">
        <v>0</v>
      </c>
      <c r="G977">
        <v>0</v>
      </c>
    </row>
    <row r="978" spans="1:7" x14ac:dyDescent="0.3">
      <c r="A978" s="11">
        <v>45364</v>
      </c>
      <c r="B978" s="11" t="s">
        <v>12</v>
      </c>
      <c r="C978" t="s">
        <v>26</v>
      </c>
      <c r="D978">
        <v>0</v>
      </c>
      <c r="E978" t="s">
        <v>14</v>
      </c>
      <c r="F978">
        <v>0</v>
      </c>
      <c r="G978">
        <v>0</v>
      </c>
    </row>
    <row r="979" spans="1:7" x14ac:dyDescent="0.3">
      <c r="A979" s="11">
        <v>45364</v>
      </c>
      <c r="B979" s="11" t="s">
        <v>6</v>
      </c>
      <c r="C979" t="s">
        <v>31</v>
      </c>
      <c r="D979">
        <v>0</v>
      </c>
      <c r="E979" t="s">
        <v>18</v>
      </c>
      <c r="F979">
        <v>0</v>
      </c>
      <c r="G979">
        <v>0</v>
      </c>
    </row>
    <row r="980" spans="1:7" x14ac:dyDescent="0.3">
      <c r="A980" s="11">
        <v>45364</v>
      </c>
      <c r="B980" s="11" t="s">
        <v>6</v>
      </c>
      <c r="C980" t="s">
        <v>8</v>
      </c>
      <c r="D980">
        <v>0</v>
      </c>
      <c r="E980" t="s">
        <v>22</v>
      </c>
      <c r="F980">
        <v>0</v>
      </c>
      <c r="G980">
        <v>0</v>
      </c>
    </row>
    <row r="981" spans="1:7" x14ac:dyDescent="0.3">
      <c r="A981" s="11">
        <v>45364</v>
      </c>
      <c r="B981" s="11" t="s">
        <v>27</v>
      </c>
      <c r="C981" t="s">
        <v>20</v>
      </c>
      <c r="D981">
        <v>0</v>
      </c>
      <c r="E981" t="s">
        <v>29</v>
      </c>
      <c r="F981">
        <v>0</v>
      </c>
      <c r="G981">
        <v>0</v>
      </c>
    </row>
    <row r="982" spans="1:7" x14ac:dyDescent="0.3">
      <c r="A982" s="11">
        <v>45364</v>
      </c>
      <c r="B982" s="11" t="s">
        <v>27</v>
      </c>
      <c r="C982" t="s">
        <v>25</v>
      </c>
      <c r="D982">
        <v>0</v>
      </c>
      <c r="E982" t="s">
        <v>28</v>
      </c>
      <c r="F982">
        <v>0</v>
      </c>
      <c r="G982">
        <v>0</v>
      </c>
    </row>
    <row r="983" spans="1:7" x14ac:dyDescent="0.3">
      <c r="A983" s="11">
        <v>45364</v>
      </c>
      <c r="B983" s="11" t="s">
        <v>43</v>
      </c>
      <c r="C983" t="s">
        <v>11</v>
      </c>
      <c r="D983">
        <v>0</v>
      </c>
      <c r="E983" t="s">
        <v>36</v>
      </c>
      <c r="F983">
        <v>0</v>
      </c>
      <c r="G983">
        <v>0</v>
      </c>
    </row>
    <row r="984" spans="1:7" x14ac:dyDescent="0.3">
      <c r="A984" s="11">
        <v>45364</v>
      </c>
      <c r="B984" s="11" t="s">
        <v>9</v>
      </c>
      <c r="C984" t="s">
        <v>19</v>
      </c>
      <c r="D984">
        <v>0</v>
      </c>
      <c r="E984" t="s">
        <v>39</v>
      </c>
      <c r="F984">
        <v>0</v>
      </c>
      <c r="G984">
        <v>0</v>
      </c>
    </row>
    <row r="985" spans="1:7" x14ac:dyDescent="0.3">
      <c r="A985" s="11">
        <v>45364</v>
      </c>
      <c r="B985" s="11" t="s">
        <v>9</v>
      </c>
      <c r="C985" t="s">
        <v>7</v>
      </c>
      <c r="D985">
        <v>0</v>
      </c>
      <c r="E985" t="s">
        <v>33</v>
      </c>
      <c r="F985">
        <v>0</v>
      </c>
      <c r="G985">
        <v>0</v>
      </c>
    </row>
    <row r="986" spans="1:7" x14ac:dyDescent="0.3">
      <c r="A986" s="11">
        <v>45365</v>
      </c>
      <c r="B986" s="11" t="s">
        <v>6</v>
      </c>
      <c r="C986" t="s">
        <v>10</v>
      </c>
      <c r="D986">
        <v>0</v>
      </c>
      <c r="E986" t="s">
        <v>15</v>
      </c>
      <c r="F986">
        <v>0</v>
      </c>
      <c r="G986">
        <v>0</v>
      </c>
    </row>
    <row r="987" spans="1:7" x14ac:dyDescent="0.3">
      <c r="A987" s="11">
        <v>45365</v>
      </c>
      <c r="B987" s="11" t="s">
        <v>27</v>
      </c>
      <c r="C987" t="s">
        <v>40</v>
      </c>
      <c r="D987">
        <v>0</v>
      </c>
      <c r="E987" t="s">
        <v>31</v>
      </c>
      <c r="F987">
        <v>0</v>
      </c>
      <c r="G987">
        <v>0</v>
      </c>
    </row>
    <row r="988" spans="1:7" x14ac:dyDescent="0.3">
      <c r="A988" s="11">
        <v>45365</v>
      </c>
      <c r="B988" s="11" t="s">
        <v>27</v>
      </c>
      <c r="C988" t="s">
        <v>17</v>
      </c>
      <c r="D988">
        <v>0</v>
      </c>
      <c r="E988" t="s">
        <v>13</v>
      </c>
      <c r="F988">
        <v>0</v>
      </c>
      <c r="G988">
        <v>0</v>
      </c>
    </row>
    <row r="989" spans="1:7" x14ac:dyDescent="0.3">
      <c r="A989" s="11">
        <v>45365</v>
      </c>
      <c r="B989" s="11" t="s">
        <v>27</v>
      </c>
      <c r="C989" t="s">
        <v>41</v>
      </c>
      <c r="D989">
        <v>0</v>
      </c>
      <c r="E989" t="s">
        <v>42</v>
      </c>
      <c r="F989">
        <v>0</v>
      </c>
      <c r="G989">
        <v>0</v>
      </c>
    </row>
    <row r="990" spans="1:7" x14ac:dyDescent="0.3">
      <c r="A990" s="11">
        <v>45365</v>
      </c>
      <c r="B990" s="11" t="s">
        <v>9</v>
      </c>
      <c r="C990" t="s">
        <v>36</v>
      </c>
      <c r="D990">
        <v>0</v>
      </c>
      <c r="E990" t="s">
        <v>30</v>
      </c>
      <c r="F990">
        <v>0</v>
      </c>
      <c r="G990">
        <v>0</v>
      </c>
    </row>
    <row r="991" spans="1:7" x14ac:dyDescent="0.3">
      <c r="A991" s="11">
        <v>45365</v>
      </c>
      <c r="B991" s="11" t="s">
        <v>9</v>
      </c>
      <c r="C991" t="s">
        <v>16</v>
      </c>
      <c r="D991">
        <v>0</v>
      </c>
      <c r="E991" t="s">
        <v>39</v>
      </c>
      <c r="F991">
        <v>0</v>
      </c>
      <c r="G991">
        <v>0</v>
      </c>
    </row>
    <row r="992" spans="1:7" x14ac:dyDescent="0.3">
      <c r="A992" s="11">
        <v>45366</v>
      </c>
      <c r="B992" s="11" t="s">
        <v>12</v>
      </c>
      <c r="C992" t="s">
        <v>10</v>
      </c>
      <c r="D992">
        <v>0</v>
      </c>
      <c r="E992" t="s">
        <v>20</v>
      </c>
      <c r="F992">
        <v>0</v>
      </c>
      <c r="G992">
        <v>0</v>
      </c>
    </row>
    <row r="993" spans="1:7" x14ac:dyDescent="0.3">
      <c r="A993" s="11">
        <v>45366</v>
      </c>
      <c r="B993" s="11" t="s">
        <v>12</v>
      </c>
      <c r="C993" t="s">
        <v>22</v>
      </c>
      <c r="D993">
        <v>0</v>
      </c>
      <c r="E993" t="s">
        <v>21</v>
      </c>
      <c r="F993">
        <v>0</v>
      </c>
      <c r="G993">
        <v>0</v>
      </c>
    </row>
    <row r="994" spans="1:7" x14ac:dyDescent="0.3">
      <c r="A994" s="11">
        <v>45366</v>
      </c>
      <c r="B994" s="11" t="s">
        <v>6</v>
      </c>
      <c r="C994" t="s">
        <v>14</v>
      </c>
      <c r="D994">
        <v>0</v>
      </c>
      <c r="E994" t="s">
        <v>24</v>
      </c>
      <c r="F994">
        <v>0</v>
      </c>
      <c r="G994">
        <v>0</v>
      </c>
    </row>
    <row r="995" spans="1:7" x14ac:dyDescent="0.3">
      <c r="A995" s="11">
        <v>45366</v>
      </c>
      <c r="B995" s="11" t="s">
        <v>27</v>
      </c>
      <c r="C995" t="s">
        <v>40</v>
      </c>
      <c r="D995">
        <v>0</v>
      </c>
      <c r="E995" t="s">
        <v>28</v>
      </c>
      <c r="F995">
        <v>0</v>
      </c>
      <c r="G995">
        <v>0</v>
      </c>
    </row>
    <row r="996" spans="1:7" x14ac:dyDescent="0.3">
      <c r="A996" s="11">
        <v>45366</v>
      </c>
      <c r="B996" s="11" t="s">
        <v>43</v>
      </c>
      <c r="C996" t="s">
        <v>8</v>
      </c>
      <c r="D996">
        <v>0</v>
      </c>
      <c r="E996" t="s">
        <v>37</v>
      </c>
      <c r="F996">
        <v>0</v>
      </c>
      <c r="G996">
        <v>0</v>
      </c>
    </row>
    <row r="997" spans="1:7" x14ac:dyDescent="0.3">
      <c r="A997" s="11">
        <v>45366</v>
      </c>
      <c r="B997" s="11" t="s">
        <v>35</v>
      </c>
      <c r="C997" t="s">
        <v>19</v>
      </c>
      <c r="D997">
        <v>0</v>
      </c>
      <c r="E997" t="s">
        <v>34</v>
      </c>
      <c r="F997">
        <v>0</v>
      </c>
      <c r="G997">
        <v>0</v>
      </c>
    </row>
    <row r="998" spans="1:7" x14ac:dyDescent="0.3">
      <c r="A998" s="11">
        <v>45367</v>
      </c>
      <c r="B998" s="11" t="s">
        <v>50</v>
      </c>
      <c r="C998" t="s">
        <v>25</v>
      </c>
      <c r="D998">
        <v>0</v>
      </c>
      <c r="E998" t="s">
        <v>13</v>
      </c>
      <c r="F998">
        <v>0</v>
      </c>
      <c r="G998">
        <v>0</v>
      </c>
    </row>
    <row r="999" spans="1:7" x14ac:dyDescent="0.3">
      <c r="A999" s="11">
        <v>45367</v>
      </c>
      <c r="B999" s="11" t="s">
        <v>12</v>
      </c>
      <c r="C999" t="s">
        <v>26</v>
      </c>
      <c r="D999">
        <v>0</v>
      </c>
      <c r="E999" t="s">
        <v>18</v>
      </c>
      <c r="F999">
        <v>0</v>
      </c>
      <c r="G999">
        <v>0</v>
      </c>
    </row>
    <row r="1000" spans="1:7" x14ac:dyDescent="0.3">
      <c r="A1000" s="11">
        <v>45367</v>
      </c>
      <c r="B1000" s="11" t="s">
        <v>12</v>
      </c>
      <c r="C1000" t="s">
        <v>39</v>
      </c>
      <c r="D1000">
        <v>0</v>
      </c>
      <c r="E1000" t="s">
        <v>28</v>
      </c>
      <c r="F1000">
        <v>0</v>
      </c>
      <c r="G1000">
        <v>0</v>
      </c>
    </row>
    <row r="1001" spans="1:7" x14ac:dyDescent="0.3">
      <c r="A1001" s="11">
        <v>45367</v>
      </c>
      <c r="B1001" s="11" t="s">
        <v>12</v>
      </c>
      <c r="C1001" t="s">
        <v>20</v>
      </c>
      <c r="D1001">
        <v>0</v>
      </c>
      <c r="E1001" t="s">
        <v>41</v>
      </c>
      <c r="F1001">
        <v>0</v>
      </c>
      <c r="G1001">
        <v>0</v>
      </c>
    </row>
    <row r="1002" spans="1:7" x14ac:dyDescent="0.3">
      <c r="A1002" s="11">
        <v>45367</v>
      </c>
      <c r="B1002" s="11" t="s">
        <v>27</v>
      </c>
      <c r="C1002" t="s">
        <v>17</v>
      </c>
      <c r="D1002">
        <v>0</v>
      </c>
      <c r="E1002" t="s">
        <v>31</v>
      </c>
      <c r="F1002">
        <v>0</v>
      </c>
      <c r="G1002">
        <v>0</v>
      </c>
    </row>
    <row r="1003" spans="1:7" x14ac:dyDescent="0.3">
      <c r="A1003" s="11">
        <v>45367</v>
      </c>
      <c r="B1003" s="11" t="s">
        <v>27</v>
      </c>
      <c r="C1003" t="s">
        <v>30</v>
      </c>
      <c r="D1003">
        <v>0</v>
      </c>
      <c r="E1003" t="s">
        <v>29</v>
      </c>
      <c r="F1003">
        <v>0</v>
      </c>
      <c r="G1003">
        <v>0</v>
      </c>
    </row>
    <row r="1004" spans="1:7" x14ac:dyDescent="0.3">
      <c r="A1004" s="11">
        <v>45367</v>
      </c>
      <c r="B1004" s="11" t="s">
        <v>43</v>
      </c>
      <c r="C1004" t="s">
        <v>11</v>
      </c>
      <c r="D1004">
        <v>0</v>
      </c>
      <c r="E1004" t="s">
        <v>7</v>
      </c>
      <c r="F1004">
        <v>0</v>
      </c>
      <c r="G1004">
        <v>0</v>
      </c>
    </row>
    <row r="1005" spans="1:7" x14ac:dyDescent="0.3">
      <c r="A1005" s="11">
        <v>45367</v>
      </c>
      <c r="B1005" s="11" t="s">
        <v>35</v>
      </c>
      <c r="C1005" t="s">
        <v>23</v>
      </c>
      <c r="D1005">
        <v>0</v>
      </c>
      <c r="E1005" t="s">
        <v>34</v>
      </c>
      <c r="F1005">
        <v>0</v>
      </c>
      <c r="G1005">
        <v>0</v>
      </c>
    </row>
    <row r="1006" spans="1:7" x14ac:dyDescent="0.3">
      <c r="A1006" s="11">
        <v>45367</v>
      </c>
      <c r="B1006" s="11" t="s">
        <v>9</v>
      </c>
      <c r="C1006" t="s">
        <v>16</v>
      </c>
      <c r="D1006">
        <v>0</v>
      </c>
      <c r="E1006" t="s">
        <v>33</v>
      </c>
      <c r="F1006">
        <v>0</v>
      </c>
      <c r="G1006">
        <v>0</v>
      </c>
    </row>
    <row r="1007" spans="1:7" x14ac:dyDescent="0.3">
      <c r="A1007" s="11">
        <v>45368</v>
      </c>
      <c r="B1007" s="11" t="s">
        <v>45</v>
      </c>
      <c r="C1007" t="s">
        <v>10</v>
      </c>
      <c r="D1007">
        <v>0</v>
      </c>
      <c r="E1007" t="s">
        <v>42</v>
      </c>
      <c r="F1007">
        <v>0</v>
      </c>
      <c r="G1007">
        <v>0</v>
      </c>
    </row>
    <row r="1008" spans="1:7" x14ac:dyDescent="0.3">
      <c r="A1008" s="11">
        <v>45368</v>
      </c>
      <c r="B1008" s="11" t="s">
        <v>46</v>
      </c>
      <c r="C1008" t="s">
        <v>22</v>
      </c>
      <c r="D1008">
        <v>0</v>
      </c>
      <c r="E1008" t="s">
        <v>21</v>
      </c>
      <c r="F1008">
        <v>0</v>
      </c>
      <c r="G1008">
        <v>0</v>
      </c>
    </row>
    <row r="1009" spans="1:7" x14ac:dyDescent="0.3">
      <c r="A1009" s="11">
        <v>45368</v>
      </c>
      <c r="B1009" s="11" t="s">
        <v>44</v>
      </c>
      <c r="C1009" t="s">
        <v>8</v>
      </c>
      <c r="D1009">
        <v>0</v>
      </c>
      <c r="E1009" t="s">
        <v>36</v>
      </c>
      <c r="F1009">
        <v>0</v>
      </c>
      <c r="G1009">
        <v>0</v>
      </c>
    </row>
    <row r="1010" spans="1:7" x14ac:dyDescent="0.3">
      <c r="A1010" s="11">
        <v>45368</v>
      </c>
      <c r="B1010" s="11" t="s">
        <v>47</v>
      </c>
      <c r="C1010" t="s">
        <v>24</v>
      </c>
      <c r="D1010">
        <v>0</v>
      </c>
      <c r="E1010" t="s">
        <v>14</v>
      </c>
      <c r="F1010">
        <v>0</v>
      </c>
      <c r="G1010">
        <v>0</v>
      </c>
    </row>
    <row r="1011" spans="1:7" x14ac:dyDescent="0.3">
      <c r="A1011" s="11">
        <v>45368</v>
      </c>
      <c r="B1011" s="11" t="s">
        <v>47</v>
      </c>
      <c r="C1011" t="s">
        <v>15</v>
      </c>
      <c r="D1011">
        <v>0</v>
      </c>
      <c r="E1011" t="s">
        <v>17</v>
      </c>
      <c r="F1011">
        <v>0</v>
      </c>
      <c r="G1011">
        <v>0</v>
      </c>
    </row>
    <row r="1012" spans="1:7" x14ac:dyDescent="0.3">
      <c r="A1012" s="11">
        <v>45368</v>
      </c>
      <c r="B1012" s="11" t="s">
        <v>12</v>
      </c>
      <c r="C1012" t="s">
        <v>26</v>
      </c>
      <c r="D1012">
        <v>0</v>
      </c>
      <c r="E1012" t="s">
        <v>37</v>
      </c>
      <c r="F1012">
        <v>0</v>
      </c>
      <c r="G1012">
        <v>0</v>
      </c>
    </row>
    <row r="1013" spans="1:7" x14ac:dyDescent="0.3">
      <c r="A1013" s="11">
        <v>45368</v>
      </c>
      <c r="B1013" s="11" t="s">
        <v>35</v>
      </c>
      <c r="C1013" t="s">
        <v>19</v>
      </c>
      <c r="D1013">
        <v>0</v>
      </c>
      <c r="E1013" t="s">
        <v>40</v>
      </c>
      <c r="F1013">
        <v>0</v>
      </c>
      <c r="G1013">
        <v>0</v>
      </c>
    </row>
    <row r="1014" spans="1:7" x14ac:dyDescent="0.3">
      <c r="A1014" s="11">
        <v>45369</v>
      </c>
      <c r="B1014" s="11" t="s">
        <v>12</v>
      </c>
      <c r="C1014" t="s">
        <v>25</v>
      </c>
      <c r="D1014">
        <v>0</v>
      </c>
      <c r="E1014" t="s">
        <v>18</v>
      </c>
      <c r="F1014">
        <v>0</v>
      </c>
      <c r="G1014">
        <v>0</v>
      </c>
    </row>
    <row r="1015" spans="1:7" x14ac:dyDescent="0.3">
      <c r="A1015" s="11">
        <v>45369</v>
      </c>
      <c r="B1015" s="11" t="s">
        <v>6</v>
      </c>
      <c r="C1015" t="s">
        <v>21</v>
      </c>
      <c r="D1015">
        <v>0</v>
      </c>
      <c r="E1015" t="s">
        <v>15</v>
      </c>
      <c r="F1015">
        <v>0</v>
      </c>
      <c r="G1015">
        <v>0</v>
      </c>
    </row>
    <row r="1016" spans="1:7" x14ac:dyDescent="0.3">
      <c r="A1016" s="11">
        <v>45369</v>
      </c>
      <c r="B1016" s="11" t="s">
        <v>6</v>
      </c>
      <c r="C1016" t="s">
        <v>22</v>
      </c>
      <c r="D1016">
        <v>0</v>
      </c>
      <c r="E1016" t="s">
        <v>41</v>
      </c>
      <c r="F1016">
        <v>0</v>
      </c>
      <c r="G1016">
        <v>0</v>
      </c>
    </row>
    <row r="1017" spans="1:7" x14ac:dyDescent="0.3">
      <c r="A1017" s="11">
        <v>45369</v>
      </c>
      <c r="B1017" s="11" t="s">
        <v>27</v>
      </c>
      <c r="C1017" t="s">
        <v>39</v>
      </c>
      <c r="D1017">
        <v>0</v>
      </c>
      <c r="E1017" t="s">
        <v>31</v>
      </c>
      <c r="F1017">
        <v>0</v>
      </c>
      <c r="G1017">
        <v>0</v>
      </c>
    </row>
    <row r="1018" spans="1:7" x14ac:dyDescent="0.3">
      <c r="A1018" s="11">
        <v>45369</v>
      </c>
      <c r="B1018" s="11" t="s">
        <v>32</v>
      </c>
      <c r="C1018" t="s">
        <v>23</v>
      </c>
      <c r="D1018">
        <v>0</v>
      </c>
      <c r="E1018" t="s">
        <v>34</v>
      </c>
      <c r="F1018">
        <v>0</v>
      </c>
      <c r="G1018">
        <v>0</v>
      </c>
    </row>
    <row r="1019" spans="1:7" x14ac:dyDescent="0.3">
      <c r="A1019" s="11">
        <v>45369</v>
      </c>
      <c r="B1019" s="11" t="s">
        <v>9</v>
      </c>
      <c r="C1019" t="s">
        <v>16</v>
      </c>
      <c r="D1019">
        <v>0</v>
      </c>
      <c r="E1019" t="s">
        <v>11</v>
      </c>
      <c r="F1019">
        <v>0</v>
      </c>
      <c r="G1019">
        <v>0</v>
      </c>
    </row>
    <row r="1020" spans="1:7" x14ac:dyDescent="0.3">
      <c r="A1020" s="11">
        <v>45369</v>
      </c>
      <c r="B1020" s="11" t="s">
        <v>9</v>
      </c>
      <c r="C1020" t="s">
        <v>29</v>
      </c>
      <c r="D1020">
        <v>0</v>
      </c>
      <c r="E1020" t="s">
        <v>33</v>
      </c>
      <c r="F1020">
        <v>0</v>
      </c>
      <c r="G1020">
        <v>0</v>
      </c>
    </row>
    <row r="1021" spans="1:7" x14ac:dyDescent="0.3">
      <c r="A1021" s="11">
        <v>45369</v>
      </c>
      <c r="B1021" s="11" t="s">
        <v>38</v>
      </c>
      <c r="C1021" t="s">
        <v>19</v>
      </c>
      <c r="D1021">
        <v>0</v>
      </c>
      <c r="E1021" t="s">
        <v>7</v>
      </c>
      <c r="F1021">
        <v>0</v>
      </c>
      <c r="G1021">
        <v>0</v>
      </c>
    </row>
    <row r="1022" spans="1:7" x14ac:dyDescent="0.3">
      <c r="A1022" s="11">
        <v>45370</v>
      </c>
      <c r="B1022" s="11" t="s">
        <v>12</v>
      </c>
      <c r="C1022" t="s">
        <v>20</v>
      </c>
      <c r="D1022">
        <v>0</v>
      </c>
      <c r="E1022" t="s">
        <v>14</v>
      </c>
      <c r="F1022">
        <v>0</v>
      </c>
      <c r="G1022">
        <v>0</v>
      </c>
    </row>
    <row r="1023" spans="1:7" x14ac:dyDescent="0.3">
      <c r="A1023" s="11">
        <v>45370</v>
      </c>
      <c r="B1023" s="11" t="s">
        <v>12</v>
      </c>
      <c r="C1023" t="s">
        <v>13</v>
      </c>
      <c r="D1023">
        <v>0</v>
      </c>
      <c r="E1023" t="s">
        <v>17</v>
      </c>
      <c r="F1023">
        <v>0</v>
      </c>
      <c r="G1023">
        <v>0</v>
      </c>
    </row>
    <row r="1024" spans="1:7" x14ac:dyDescent="0.3">
      <c r="A1024" s="11">
        <v>45370</v>
      </c>
      <c r="B1024" s="11" t="s">
        <v>6</v>
      </c>
      <c r="C1024" t="s">
        <v>28</v>
      </c>
      <c r="D1024">
        <v>0</v>
      </c>
      <c r="E1024" t="s">
        <v>26</v>
      </c>
      <c r="F1024">
        <v>0</v>
      </c>
      <c r="G1024">
        <v>0</v>
      </c>
    </row>
    <row r="1025" spans="1:7" x14ac:dyDescent="0.3">
      <c r="A1025" s="11">
        <v>45370</v>
      </c>
      <c r="B1025" s="11" t="s">
        <v>27</v>
      </c>
      <c r="C1025" t="s">
        <v>36</v>
      </c>
      <c r="D1025">
        <v>0</v>
      </c>
      <c r="E1025" t="s">
        <v>37</v>
      </c>
      <c r="F1025">
        <v>0</v>
      </c>
      <c r="G1025">
        <v>0</v>
      </c>
    </row>
    <row r="1026" spans="1:7" x14ac:dyDescent="0.3">
      <c r="A1026" s="11">
        <v>45370</v>
      </c>
      <c r="B1026" s="11" t="s">
        <v>32</v>
      </c>
      <c r="C1026" t="s">
        <v>8</v>
      </c>
      <c r="D1026">
        <v>0</v>
      </c>
      <c r="E1026" t="s">
        <v>23</v>
      </c>
      <c r="F1026">
        <v>0</v>
      </c>
      <c r="G1026">
        <v>0</v>
      </c>
    </row>
    <row r="1027" spans="1:7" x14ac:dyDescent="0.3">
      <c r="A1027" s="11">
        <v>45371</v>
      </c>
      <c r="B1027" s="11" t="s">
        <v>12</v>
      </c>
      <c r="C1027" t="s">
        <v>22</v>
      </c>
      <c r="D1027">
        <v>0</v>
      </c>
      <c r="E1027" t="s">
        <v>25</v>
      </c>
      <c r="F1027">
        <v>0</v>
      </c>
      <c r="G1027">
        <v>0</v>
      </c>
    </row>
    <row r="1028" spans="1:7" x14ac:dyDescent="0.3">
      <c r="A1028" s="11">
        <v>45371</v>
      </c>
      <c r="B1028" s="11" t="s">
        <v>12</v>
      </c>
      <c r="C1028" t="s">
        <v>18</v>
      </c>
      <c r="D1028">
        <v>0</v>
      </c>
      <c r="E1028" t="s">
        <v>21</v>
      </c>
      <c r="F1028">
        <v>0</v>
      </c>
      <c r="G1028">
        <v>0</v>
      </c>
    </row>
    <row r="1029" spans="1:7" x14ac:dyDescent="0.3">
      <c r="A1029" s="11">
        <v>45371</v>
      </c>
      <c r="B1029" s="11" t="s">
        <v>6</v>
      </c>
      <c r="C1029" t="s">
        <v>42</v>
      </c>
      <c r="D1029">
        <v>0</v>
      </c>
      <c r="E1029" t="s">
        <v>15</v>
      </c>
      <c r="F1029">
        <v>0</v>
      </c>
      <c r="G1029">
        <v>0</v>
      </c>
    </row>
    <row r="1030" spans="1:7" x14ac:dyDescent="0.3">
      <c r="A1030" s="11">
        <v>45371</v>
      </c>
      <c r="B1030" s="11" t="s">
        <v>6</v>
      </c>
      <c r="C1030" t="s">
        <v>33</v>
      </c>
      <c r="D1030">
        <v>0</v>
      </c>
      <c r="E1030" t="s">
        <v>24</v>
      </c>
      <c r="F1030">
        <v>0</v>
      </c>
      <c r="G1030">
        <v>0</v>
      </c>
    </row>
    <row r="1031" spans="1:7" x14ac:dyDescent="0.3">
      <c r="A1031" s="11">
        <v>45371</v>
      </c>
      <c r="B1031" s="11" t="s">
        <v>27</v>
      </c>
      <c r="C1031" t="s">
        <v>34</v>
      </c>
      <c r="D1031">
        <v>0</v>
      </c>
      <c r="E1031" t="s">
        <v>30</v>
      </c>
      <c r="F1031">
        <v>0</v>
      </c>
      <c r="G1031">
        <v>0</v>
      </c>
    </row>
    <row r="1032" spans="1:7" x14ac:dyDescent="0.3">
      <c r="A1032" s="11">
        <v>45371</v>
      </c>
      <c r="B1032" s="11" t="s">
        <v>9</v>
      </c>
      <c r="C1032" t="s">
        <v>29</v>
      </c>
      <c r="D1032">
        <v>0</v>
      </c>
      <c r="E1032" t="s">
        <v>11</v>
      </c>
      <c r="F1032">
        <v>0</v>
      </c>
      <c r="G1032">
        <v>0</v>
      </c>
    </row>
    <row r="1033" spans="1:7" x14ac:dyDescent="0.3">
      <c r="A1033" s="11">
        <v>45371</v>
      </c>
      <c r="B1033" s="11" t="s">
        <v>9</v>
      </c>
      <c r="C1033" t="s">
        <v>41</v>
      </c>
      <c r="D1033">
        <v>0</v>
      </c>
      <c r="E1033" t="s">
        <v>10</v>
      </c>
      <c r="F1033">
        <v>0</v>
      </c>
      <c r="G1033">
        <v>0</v>
      </c>
    </row>
    <row r="1034" spans="1:7" x14ac:dyDescent="0.3">
      <c r="A1034" s="11">
        <v>45371</v>
      </c>
      <c r="B1034" s="11" t="s">
        <v>9</v>
      </c>
      <c r="C1034" t="s">
        <v>40</v>
      </c>
      <c r="D1034">
        <v>0</v>
      </c>
      <c r="E1034" t="s">
        <v>39</v>
      </c>
      <c r="F1034">
        <v>0</v>
      </c>
      <c r="G1034">
        <v>0</v>
      </c>
    </row>
    <row r="1035" spans="1:7" x14ac:dyDescent="0.3">
      <c r="A1035" s="11">
        <v>45372</v>
      </c>
      <c r="B1035" s="11" t="s">
        <v>12</v>
      </c>
      <c r="C1035" t="s">
        <v>28</v>
      </c>
      <c r="D1035">
        <v>0</v>
      </c>
      <c r="E1035" t="s">
        <v>14</v>
      </c>
      <c r="F1035">
        <v>0</v>
      </c>
      <c r="G1035">
        <v>0</v>
      </c>
    </row>
    <row r="1036" spans="1:7" x14ac:dyDescent="0.3">
      <c r="A1036" s="11">
        <v>45372</v>
      </c>
      <c r="B1036" s="11" t="s">
        <v>12</v>
      </c>
      <c r="C1036" t="s">
        <v>33</v>
      </c>
      <c r="D1036">
        <v>0</v>
      </c>
      <c r="E1036" t="s">
        <v>17</v>
      </c>
      <c r="F1036">
        <v>0</v>
      </c>
      <c r="G1036">
        <v>0</v>
      </c>
    </row>
    <row r="1037" spans="1:7" x14ac:dyDescent="0.3">
      <c r="A1037" s="11">
        <v>45372</v>
      </c>
      <c r="B1037" s="11" t="s">
        <v>27</v>
      </c>
      <c r="C1037" t="s">
        <v>31</v>
      </c>
      <c r="D1037">
        <v>0</v>
      </c>
      <c r="E1037" t="s">
        <v>13</v>
      </c>
      <c r="F1037">
        <v>0</v>
      </c>
      <c r="G1037">
        <v>0</v>
      </c>
    </row>
    <row r="1038" spans="1:7" x14ac:dyDescent="0.3">
      <c r="A1038" s="11">
        <v>45372</v>
      </c>
      <c r="B1038" s="11" t="s">
        <v>27</v>
      </c>
      <c r="C1038" t="s">
        <v>26</v>
      </c>
      <c r="D1038">
        <v>0</v>
      </c>
      <c r="E1038" t="s">
        <v>42</v>
      </c>
      <c r="F1038">
        <v>0</v>
      </c>
      <c r="G1038">
        <v>0</v>
      </c>
    </row>
    <row r="1039" spans="1:7" x14ac:dyDescent="0.3">
      <c r="A1039" s="11">
        <v>45372</v>
      </c>
      <c r="B1039" s="11" t="s">
        <v>43</v>
      </c>
      <c r="C1039" t="s">
        <v>34</v>
      </c>
      <c r="D1039">
        <v>0</v>
      </c>
      <c r="E1039" t="s">
        <v>36</v>
      </c>
      <c r="F1039">
        <v>0</v>
      </c>
      <c r="G1039">
        <v>0</v>
      </c>
    </row>
    <row r="1040" spans="1:7" x14ac:dyDescent="0.3">
      <c r="A1040" s="11">
        <v>45372</v>
      </c>
      <c r="B1040" s="11" t="s">
        <v>32</v>
      </c>
      <c r="C1040" t="s">
        <v>16</v>
      </c>
      <c r="D1040">
        <v>0</v>
      </c>
      <c r="E1040" t="s">
        <v>8</v>
      </c>
      <c r="F1040">
        <v>0</v>
      </c>
      <c r="G1040">
        <v>0</v>
      </c>
    </row>
    <row r="1041" spans="1:7" x14ac:dyDescent="0.3">
      <c r="A1041" s="11">
        <v>45372</v>
      </c>
      <c r="B1041" s="11" t="s">
        <v>38</v>
      </c>
      <c r="C1041" t="s">
        <v>19</v>
      </c>
      <c r="D1041">
        <v>0</v>
      </c>
      <c r="E1041" t="s">
        <v>10</v>
      </c>
      <c r="F1041">
        <v>0</v>
      </c>
      <c r="G1041">
        <v>0</v>
      </c>
    </row>
    <row r="1042" spans="1:7" x14ac:dyDescent="0.3">
      <c r="A1042" s="11">
        <v>45373</v>
      </c>
      <c r="B1042" s="11" t="s">
        <v>12</v>
      </c>
      <c r="C1042" t="s">
        <v>15</v>
      </c>
      <c r="D1042">
        <v>0</v>
      </c>
      <c r="E1042" t="s">
        <v>21</v>
      </c>
      <c r="F1042">
        <v>0</v>
      </c>
      <c r="G1042">
        <v>0</v>
      </c>
    </row>
    <row r="1043" spans="1:7" x14ac:dyDescent="0.3">
      <c r="A1043" s="11">
        <v>45373</v>
      </c>
      <c r="B1043" s="11" t="s">
        <v>12</v>
      </c>
      <c r="C1043" t="s">
        <v>30</v>
      </c>
      <c r="D1043">
        <v>0</v>
      </c>
      <c r="E1043" t="s">
        <v>24</v>
      </c>
      <c r="F1043">
        <v>0</v>
      </c>
      <c r="G1043">
        <v>0</v>
      </c>
    </row>
    <row r="1044" spans="1:7" x14ac:dyDescent="0.3">
      <c r="A1044" s="11">
        <v>45373</v>
      </c>
      <c r="B1044" s="11" t="s">
        <v>27</v>
      </c>
      <c r="C1044" t="s">
        <v>28</v>
      </c>
      <c r="D1044">
        <v>0</v>
      </c>
      <c r="E1044" t="s">
        <v>22</v>
      </c>
      <c r="F1044">
        <v>0</v>
      </c>
      <c r="G1044">
        <v>0</v>
      </c>
    </row>
    <row r="1045" spans="1:7" x14ac:dyDescent="0.3">
      <c r="A1045" s="11">
        <v>45373</v>
      </c>
      <c r="B1045" s="11" t="s">
        <v>27</v>
      </c>
      <c r="C1045" t="s">
        <v>25</v>
      </c>
      <c r="D1045">
        <v>0</v>
      </c>
      <c r="E1045" t="s">
        <v>23</v>
      </c>
      <c r="F1045">
        <v>0</v>
      </c>
      <c r="G1045">
        <v>0</v>
      </c>
    </row>
    <row r="1046" spans="1:7" x14ac:dyDescent="0.3">
      <c r="A1046" s="11">
        <v>45373</v>
      </c>
      <c r="B1046" s="11" t="s">
        <v>27</v>
      </c>
      <c r="C1046" t="s">
        <v>29</v>
      </c>
      <c r="D1046">
        <v>0</v>
      </c>
      <c r="E1046" t="s">
        <v>37</v>
      </c>
      <c r="F1046">
        <v>0</v>
      </c>
      <c r="G1046">
        <v>0</v>
      </c>
    </row>
    <row r="1047" spans="1:7" x14ac:dyDescent="0.3">
      <c r="A1047" s="11">
        <v>45373</v>
      </c>
      <c r="B1047" s="11" t="s">
        <v>9</v>
      </c>
      <c r="C1047" t="s">
        <v>18</v>
      </c>
      <c r="D1047">
        <v>0</v>
      </c>
      <c r="E1047" t="s">
        <v>11</v>
      </c>
      <c r="F1047">
        <v>0</v>
      </c>
      <c r="G1047">
        <v>0</v>
      </c>
    </row>
    <row r="1048" spans="1:7" x14ac:dyDescent="0.3">
      <c r="A1048" s="11">
        <v>45373</v>
      </c>
      <c r="B1048" s="11" t="s">
        <v>9</v>
      </c>
      <c r="C1048" t="s">
        <v>40</v>
      </c>
      <c r="D1048">
        <v>0</v>
      </c>
      <c r="E1048" t="s">
        <v>39</v>
      </c>
      <c r="F1048">
        <v>0</v>
      </c>
      <c r="G1048">
        <v>0</v>
      </c>
    </row>
    <row r="1049" spans="1:7" x14ac:dyDescent="0.3">
      <c r="A1049" s="11">
        <v>45373</v>
      </c>
      <c r="B1049" s="11" t="s">
        <v>38</v>
      </c>
      <c r="C1049" t="s">
        <v>41</v>
      </c>
      <c r="D1049">
        <v>0</v>
      </c>
      <c r="E1049" t="s">
        <v>7</v>
      </c>
      <c r="F1049">
        <v>0</v>
      </c>
      <c r="G1049">
        <v>0</v>
      </c>
    </row>
    <row r="1050" spans="1:7" x14ac:dyDescent="0.3">
      <c r="A1050" s="11">
        <v>45374</v>
      </c>
      <c r="B1050" s="11" t="s">
        <v>45</v>
      </c>
      <c r="C1050" t="s">
        <v>26</v>
      </c>
      <c r="D1050">
        <v>0</v>
      </c>
      <c r="E1050" t="s">
        <v>16</v>
      </c>
      <c r="F1050">
        <v>0</v>
      </c>
      <c r="G1050">
        <v>0</v>
      </c>
    </row>
    <row r="1051" spans="1:7" x14ac:dyDescent="0.3">
      <c r="A1051" s="11">
        <v>45374</v>
      </c>
      <c r="B1051" s="11" t="s">
        <v>12</v>
      </c>
      <c r="C1051" t="s">
        <v>33</v>
      </c>
      <c r="D1051">
        <v>0</v>
      </c>
      <c r="E1051" t="s">
        <v>14</v>
      </c>
      <c r="F1051">
        <v>0</v>
      </c>
      <c r="G1051">
        <v>0</v>
      </c>
    </row>
    <row r="1052" spans="1:7" x14ac:dyDescent="0.3">
      <c r="A1052" s="11">
        <v>45374</v>
      </c>
      <c r="B1052" s="11" t="s">
        <v>6</v>
      </c>
      <c r="C1052" t="s">
        <v>20</v>
      </c>
      <c r="D1052">
        <v>0</v>
      </c>
      <c r="E1052" t="s">
        <v>19</v>
      </c>
      <c r="F1052">
        <v>0</v>
      </c>
      <c r="G1052">
        <v>0</v>
      </c>
    </row>
    <row r="1053" spans="1:7" x14ac:dyDescent="0.3">
      <c r="A1053" s="11">
        <v>45374</v>
      </c>
      <c r="B1053" s="11" t="s">
        <v>27</v>
      </c>
      <c r="C1053" t="s">
        <v>15</v>
      </c>
      <c r="D1053">
        <v>0</v>
      </c>
      <c r="E1053" t="s">
        <v>31</v>
      </c>
      <c r="F1053">
        <v>0</v>
      </c>
      <c r="G1053">
        <v>0</v>
      </c>
    </row>
    <row r="1054" spans="1:7" x14ac:dyDescent="0.3">
      <c r="A1054" s="11">
        <v>45374</v>
      </c>
      <c r="B1054" s="11" t="s">
        <v>27</v>
      </c>
      <c r="C1054" t="s">
        <v>34</v>
      </c>
      <c r="D1054">
        <v>0</v>
      </c>
      <c r="E1054" t="s">
        <v>13</v>
      </c>
      <c r="F1054">
        <v>0</v>
      </c>
      <c r="G1054">
        <v>0</v>
      </c>
    </row>
    <row r="1055" spans="1:7" x14ac:dyDescent="0.3">
      <c r="A1055" s="11">
        <v>45374</v>
      </c>
      <c r="B1055" s="11" t="s">
        <v>27</v>
      </c>
      <c r="C1055" t="s">
        <v>10</v>
      </c>
      <c r="D1055">
        <v>0</v>
      </c>
      <c r="E1055" t="s">
        <v>37</v>
      </c>
      <c r="F1055">
        <v>0</v>
      </c>
      <c r="G1055">
        <v>0</v>
      </c>
    </row>
    <row r="1056" spans="1:7" x14ac:dyDescent="0.3">
      <c r="A1056" s="11">
        <v>45374</v>
      </c>
      <c r="B1056" s="11" t="s">
        <v>27</v>
      </c>
      <c r="C1056" t="s">
        <v>24</v>
      </c>
      <c r="D1056">
        <v>0</v>
      </c>
      <c r="E1056" t="s">
        <v>17</v>
      </c>
      <c r="F1056">
        <v>0</v>
      </c>
      <c r="G1056">
        <v>0</v>
      </c>
    </row>
    <row r="1057" spans="1:7" x14ac:dyDescent="0.3">
      <c r="A1057" s="11">
        <v>45374</v>
      </c>
      <c r="B1057" s="11" t="s">
        <v>9</v>
      </c>
      <c r="C1057" t="s">
        <v>8</v>
      </c>
      <c r="D1057">
        <v>0</v>
      </c>
      <c r="E1057" t="s">
        <v>39</v>
      </c>
      <c r="F1057">
        <v>0</v>
      </c>
      <c r="G1057">
        <v>0</v>
      </c>
    </row>
    <row r="1058" spans="1:7" x14ac:dyDescent="0.3">
      <c r="A1058" s="11">
        <v>45375</v>
      </c>
      <c r="B1058" s="11" t="s">
        <v>46</v>
      </c>
      <c r="C1058" t="s">
        <v>28</v>
      </c>
      <c r="D1058">
        <v>0</v>
      </c>
      <c r="E1058" t="s">
        <v>21</v>
      </c>
      <c r="F1058">
        <v>0</v>
      </c>
      <c r="G1058">
        <v>0</v>
      </c>
    </row>
    <row r="1059" spans="1:7" x14ac:dyDescent="0.3">
      <c r="A1059" s="11">
        <v>45375</v>
      </c>
      <c r="B1059" s="11" t="s">
        <v>44</v>
      </c>
      <c r="C1059" t="s">
        <v>41</v>
      </c>
      <c r="D1059">
        <v>0</v>
      </c>
      <c r="E1059" t="s">
        <v>40</v>
      </c>
      <c r="F1059">
        <v>0</v>
      </c>
      <c r="G1059">
        <v>0</v>
      </c>
    </row>
    <row r="1060" spans="1:7" x14ac:dyDescent="0.3">
      <c r="A1060" s="11">
        <v>45375</v>
      </c>
      <c r="B1060" s="11" t="s">
        <v>47</v>
      </c>
      <c r="C1060" t="s">
        <v>25</v>
      </c>
      <c r="D1060">
        <v>0</v>
      </c>
      <c r="E1060" t="s">
        <v>22</v>
      </c>
      <c r="F1060">
        <v>0</v>
      </c>
      <c r="G1060">
        <v>0</v>
      </c>
    </row>
    <row r="1061" spans="1:7" x14ac:dyDescent="0.3">
      <c r="A1061" s="11">
        <v>45375</v>
      </c>
      <c r="B1061" s="11" t="s">
        <v>12</v>
      </c>
      <c r="C1061" t="s">
        <v>30</v>
      </c>
      <c r="D1061">
        <v>0</v>
      </c>
      <c r="E1061" t="s">
        <v>42</v>
      </c>
      <c r="F1061">
        <v>0</v>
      </c>
      <c r="G1061">
        <v>0</v>
      </c>
    </row>
    <row r="1062" spans="1:7" x14ac:dyDescent="0.3">
      <c r="A1062" s="11">
        <v>45375</v>
      </c>
      <c r="B1062" s="11" t="s">
        <v>12</v>
      </c>
      <c r="C1062" t="s">
        <v>11</v>
      </c>
      <c r="D1062">
        <v>0</v>
      </c>
      <c r="E1062" t="s">
        <v>23</v>
      </c>
      <c r="F1062">
        <v>0</v>
      </c>
      <c r="G1062">
        <v>0</v>
      </c>
    </row>
    <row r="1063" spans="1:7" x14ac:dyDescent="0.3">
      <c r="A1063" s="11">
        <v>45375</v>
      </c>
      <c r="B1063" s="11" t="s">
        <v>9</v>
      </c>
      <c r="C1063" t="s">
        <v>18</v>
      </c>
      <c r="D1063">
        <v>0</v>
      </c>
      <c r="E1063" t="s">
        <v>7</v>
      </c>
      <c r="F1063">
        <v>0</v>
      </c>
      <c r="G1063">
        <v>0</v>
      </c>
    </row>
    <row r="1064" spans="1:7" x14ac:dyDescent="0.3">
      <c r="A1064" s="11">
        <v>45376</v>
      </c>
      <c r="B1064" s="11" t="s">
        <v>12</v>
      </c>
      <c r="C1064" t="s">
        <v>20</v>
      </c>
      <c r="D1064">
        <v>0</v>
      </c>
      <c r="E1064" t="s">
        <v>25</v>
      </c>
      <c r="F1064">
        <v>0</v>
      </c>
      <c r="G1064">
        <v>0</v>
      </c>
    </row>
    <row r="1065" spans="1:7" x14ac:dyDescent="0.3">
      <c r="A1065" s="11">
        <v>45376</v>
      </c>
      <c r="B1065" s="11" t="s">
        <v>6</v>
      </c>
      <c r="C1065" t="s">
        <v>15</v>
      </c>
      <c r="D1065">
        <v>0</v>
      </c>
      <c r="E1065" t="s">
        <v>19</v>
      </c>
      <c r="F1065">
        <v>0</v>
      </c>
      <c r="G1065">
        <v>0</v>
      </c>
    </row>
    <row r="1066" spans="1:7" x14ac:dyDescent="0.3">
      <c r="A1066" s="11">
        <v>45376</v>
      </c>
      <c r="B1066" s="11" t="s">
        <v>6</v>
      </c>
      <c r="C1066" t="s">
        <v>21</v>
      </c>
      <c r="D1066">
        <v>0</v>
      </c>
      <c r="E1066" t="s">
        <v>16</v>
      </c>
      <c r="F1066">
        <v>0</v>
      </c>
      <c r="G1066">
        <v>0</v>
      </c>
    </row>
    <row r="1067" spans="1:7" x14ac:dyDescent="0.3">
      <c r="A1067" s="11">
        <v>45376</v>
      </c>
      <c r="B1067" s="11" t="s">
        <v>6</v>
      </c>
      <c r="C1067" t="s">
        <v>26</v>
      </c>
      <c r="D1067">
        <v>0</v>
      </c>
      <c r="E1067" t="s">
        <v>24</v>
      </c>
      <c r="F1067">
        <v>0</v>
      </c>
      <c r="G1067">
        <v>0</v>
      </c>
    </row>
    <row r="1068" spans="1:7" x14ac:dyDescent="0.3">
      <c r="A1068" s="11">
        <v>45376</v>
      </c>
      <c r="B1068" s="11" t="s">
        <v>27</v>
      </c>
      <c r="C1068" t="s">
        <v>17</v>
      </c>
      <c r="D1068">
        <v>0</v>
      </c>
      <c r="E1068" t="s">
        <v>31</v>
      </c>
      <c r="F1068">
        <v>0</v>
      </c>
      <c r="G1068">
        <v>0</v>
      </c>
    </row>
    <row r="1069" spans="1:7" x14ac:dyDescent="0.3">
      <c r="A1069" s="11">
        <v>45376</v>
      </c>
      <c r="B1069" s="11" t="s">
        <v>27</v>
      </c>
      <c r="C1069" t="s">
        <v>39</v>
      </c>
      <c r="D1069">
        <v>0</v>
      </c>
      <c r="E1069" t="s">
        <v>13</v>
      </c>
      <c r="F1069">
        <v>0</v>
      </c>
      <c r="G1069">
        <v>0</v>
      </c>
    </row>
    <row r="1070" spans="1:7" x14ac:dyDescent="0.3">
      <c r="A1070" s="11">
        <v>45376</v>
      </c>
      <c r="B1070" s="11" t="s">
        <v>27</v>
      </c>
      <c r="C1070" t="s">
        <v>10</v>
      </c>
      <c r="D1070">
        <v>0</v>
      </c>
      <c r="E1070" t="s">
        <v>37</v>
      </c>
      <c r="F1070">
        <v>0</v>
      </c>
      <c r="G1070">
        <v>0</v>
      </c>
    </row>
    <row r="1071" spans="1:7" x14ac:dyDescent="0.3">
      <c r="A1071" s="11">
        <v>45376</v>
      </c>
      <c r="B1071" s="11" t="s">
        <v>32</v>
      </c>
      <c r="C1071" t="s">
        <v>29</v>
      </c>
      <c r="D1071">
        <v>0</v>
      </c>
      <c r="E1071" t="s">
        <v>8</v>
      </c>
      <c r="F1071">
        <v>0</v>
      </c>
      <c r="G1071">
        <v>0</v>
      </c>
    </row>
    <row r="1072" spans="1:7" x14ac:dyDescent="0.3">
      <c r="A1072" s="11">
        <v>45376</v>
      </c>
      <c r="B1072" s="11" t="s">
        <v>32</v>
      </c>
      <c r="C1072" t="s">
        <v>36</v>
      </c>
      <c r="D1072">
        <v>0</v>
      </c>
      <c r="E1072" t="s">
        <v>34</v>
      </c>
      <c r="F1072">
        <v>0</v>
      </c>
      <c r="G1072">
        <v>0</v>
      </c>
    </row>
    <row r="1073" spans="1:7" x14ac:dyDescent="0.3">
      <c r="A1073" s="11">
        <v>45376</v>
      </c>
      <c r="B1073" s="11" t="s">
        <v>9</v>
      </c>
      <c r="C1073" t="s">
        <v>41</v>
      </c>
      <c r="D1073">
        <v>0</v>
      </c>
      <c r="E1073" t="s">
        <v>33</v>
      </c>
      <c r="F1073">
        <v>0</v>
      </c>
      <c r="G1073">
        <v>0</v>
      </c>
    </row>
    <row r="1074" spans="1:7" x14ac:dyDescent="0.3">
      <c r="A1074" s="11">
        <v>45376</v>
      </c>
      <c r="B1074" s="11" t="s">
        <v>38</v>
      </c>
      <c r="C1074" t="s">
        <v>18</v>
      </c>
      <c r="D1074">
        <v>0</v>
      </c>
      <c r="E1074" t="s">
        <v>40</v>
      </c>
      <c r="F1074">
        <v>0</v>
      </c>
      <c r="G1074">
        <v>0</v>
      </c>
    </row>
    <row r="1075" spans="1:7" x14ac:dyDescent="0.3">
      <c r="A1075" s="11">
        <v>45377</v>
      </c>
      <c r="B1075" s="11" t="s">
        <v>6</v>
      </c>
      <c r="C1075" t="s">
        <v>11</v>
      </c>
      <c r="D1075">
        <v>0</v>
      </c>
      <c r="E1075" t="s">
        <v>22</v>
      </c>
      <c r="F1075">
        <v>0</v>
      </c>
      <c r="G1075">
        <v>0</v>
      </c>
    </row>
    <row r="1076" spans="1:7" x14ac:dyDescent="0.3">
      <c r="A1076" s="11">
        <v>45377</v>
      </c>
      <c r="B1076" s="11" t="s">
        <v>6</v>
      </c>
      <c r="C1076" t="s">
        <v>7</v>
      </c>
      <c r="D1076">
        <v>0</v>
      </c>
      <c r="E1076" t="s">
        <v>42</v>
      </c>
      <c r="F1076">
        <v>0</v>
      </c>
      <c r="G1076">
        <v>0</v>
      </c>
    </row>
    <row r="1077" spans="1:7" x14ac:dyDescent="0.3">
      <c r="A1077" s="11">
        <v>45377</v>
      </c>
      <c r="B1077" s="11" t="s">
        <v>27</v>
      </c>
      <c r="C1077" t="s">
        <v>30</v>
      </c>
      <c r="D1077">
        <v>0</v>
      </c>
      <c r="E1077" t="s">
        <v>28</v>
      </c>
      <c r="F1077">
        <v>0</v>
      </c>
      <c r="G1077">
        <v>0</v>
      </c>
    </row>
    <row r="1078" spans="1:7" x14ac:dyDescent="0.3">
      <c r="A1078" s="11">
        <v>45377</v>
      </c>
      <c r="B1078" s="11" t="s">
        <v>9</v>
      </c>
      <c r="C1078" t="s">
        <v>36</v>
      </c>
      <c r="D1078">
        <v>0</v>
      </c>
      <c r="E1078" t="s">
        <v>33</v>
      </c>
      <c r="F1078">
        <v>0</v>
      </c>
      <c r="G1078">
        <v>0</v>
      </c>
    </row>
    <row r="1079" spans="1:7" x14ac:dyDescent="0.3">
      <c r="A1079" s="11">
        <v>45378</v>
      </c>
      <c r="B1079" s="11" t="s">
        <v>12</v>
      </c>
      <c r="C1079" t="s">
        <v>25</v>
      </c>
      <c r="D1079">
        <v>0</v>
      </c>
      <c r="E1079" t="s">
        <v>20</v>
      </c>
      <c r="F1079">
        <v>0</v>
      </c>
      <c r="G1079">
        <v>0</v>
      </c>
    </row>
    <row r="1080" spans="1:7" x14ac:dyDescent="0.3">
      <c r="A1080" s="11">
        <v>45378</v>
      </c>
      <c r="B1080" s="11" t="s">
        <v>12</v>
      </c>
      <c r="C1080" t="s">
        <v>11</v>
      </c>
      <c r="D1080">
        <v>0</v>
      </c>
      <c r="E1080" t="s">
        <v>14</v>
      </c>
      <c r="F1080">
        <v>0</v>
      </c>
      <c r="G1080">
        <v>0</v>
      </c>
    </row>
    <row r="1081" spans="1:7" x14ac:dyDescent="0.3">
      <c r="A1081" s="11">
        <v>45378</v>
      </c>
      <c r="B1081" s="11" t="s">
        <v>12</v>
      </c>
      <c r="C1081" t="s">
        <v>26</v>
      </c>
      <c r="D1081">
        <v>0</v>
      </c>
      <c r="E1081" t="s">
        <v>17</v>
      </c>
      <c r="F1081">
        <v>0</v>
      </c>
      <c r="G1081">
        <v>0</v>
      </c>
    </row>
    <row r="1082" spans="1:7" x14ac:dyDescent="0.3">
      <c r="A1082" s="11">
        <v>45378</v>
      </c>
      <c r="B1082" s="11" t="s">
        <v>6</v>
      </c>
      <c r="C1082" t="s">
        <v>39</v>
      </c>
      <c r="D1082">
        <v>0</v>
      </c>
      <c r="E1082" t="s">
        <v>19</v>
      </c>
      <c r="F1082">
        <v>0</v>
      </c>
      <c r="G1082">
        <v>0</v>
      </c>
    </row>
    <row r="1083" spans="1:7" x14ac:dyDescent="0.3">
      <c r="A1083" s="11">
        <v>45378</v>
      </c>
      <c r="B1083" s="11" t="s">
        <v>6</v>
      </c>
      <c r="C1083" t="s">
        <v>40</v>
      </c>
      <c r="D1083">
        <v>0</v>
      </c>
      <c r="E1083" t="s">
        <v>41</v>
      </c>
      <c r="F1083">
        <v>0</v>
      </c>
      <c r="G1083">
        <v>0</v>
      </c>
    </row>
    <row r="1084" spans="1:7" x14ac:dyDescent="0.3">
      <c r="A1084" s="11">
        <v>45378</v>
      </c>
      <c r="B1084" s="11" t="s">
        <v>6</v>
      </c>
      <c r="C1084" t="s">
        <v>16</v>
      </c>
      <c r="D1084">
        <v>0</v>
      </c>
      <c r="E1084" t="s">
        <v>24</v>
      </c>
      <c r="F1084">
        <v>0</v>
      </c>
      <c r="G1084">
        <v>0</v>
      </c>
    </row>
    <row r="1085" spans="1:7" x14ac:dyDescent="0.3">
      <c r="A1085" s="11">
        <v>45378</v>
      </c>
      <c r="B1085" s="11" t="s">
        <v>27</v>
      </c>
      <c r="C1085" t="s">
        <v>18</v>
      </c>
      <c r="D1085">
        <v>0</v>
      </c>
      <c r="E1085" t="s">
        <v>31</v>
      </c>
      <c r="F1085">
        <v>0</v>
      </c>
      <c r="G1085">
        <v>0</v>
      </c>
    </row>
    <row r="1086" spans="1:7" x14ac:dyDescent="0.3">
      <c r="A1086" s="11">
        <v>45378</v>
      </c>
      <c r="B1086" s="11" t="s">
        <v>27</v>
      </c>
      <c r="C1086" t="s">
        <v>7</v>
      </c>
      <c r="D1086">
        <v>0</v>
      </c>
      <c r="E1086" t="s">
        <v>29</v>
      </c>
      <c r="F1086">
        <v>0</v>
      </c>
      <c r="G1086">
        <v>0</v>
      </c>
    </row>
    <row r="1087" spans="1:7" x14ac:dyDescent="0.3">
      <c r="A1087" s="11">
        <v>45378</v>
      </c>
      <c r="B1087" s="11" t="s">
        <v>27</v>
      </c>
      <c r="C1087" t="s">
        <v>21</v>
      </c>
      <c r="D1087">
        <v>0</v>
      </c>
      <c r="E1087" t="s">
        <v>23</v>
      </c>
      <c r="F1087">
        <v>0</v>
      </c>
      <c r="G1087">
        <v>0</v>
      </c>
    </row>
    <row r="1088" spans="1:7" x14ac:dyDescent="0.3">
      <c r="A1088" s="11">
        <v>45378</v>
      </c>
      <c r="B1088" s="11" t="s">
        <v>27</v>
      </c>
      <c r="C1088" t="s">
        <v>13</v>
      </c>
      <c r="D1088">
        <v>0</v>
      </c>
      <c r="E1088" t="s">
        <v>30</v>
      </c>
      <c r="F1088">
        <v>0</v>
      </c>
      <c r="G1088">
        <v>0</v>
      </c>
    </row>
    <row r="1089" spans="1:7" x14ac:dyDescent="0.3">
      <c r="A1089" s="11">
        <v>45378</v>
      </c>
      <c r="B1089" s="11" t="s">
        <v>32</v>
      </c>
      <c r="C1089" t="s">
        <v>37</v>
      </c>
      <c r="D1089">
        <v>0</v>
      </c>
      <c r="E1089" t="s">
        <v>34</v>
      </c>
      <c r="F1089">
        <v>0</v>
      </c>
      <c r="G1089">
        <v>0</v>
      </c>
    </row>
    <row r="1090" spans="1:7" x14ac:dyDescent="0.3">
      <c r="A1090" s="11">
        <v>45378</v>
      </c>
      <c r="B1090" s="11" t="s">
        <v>9</v>
      </c>
      <c r="C1090" t="s">
        <v>10</v>
      </c>
      <c r="D1090">
        <v>0</v>
      </c>
      <c r="E1090" t="s">
        <v>8</v>
      </c>
      <c r="F1090">
        <v>0</v>
      </c>
      <c r="G1090">
        <v>0</v>
      </c>
    </row>
    <row r="1091" spans="1:7" x14ac:dyDescent="0.3">
      <c r="A1091" s="11">
        <v>45379</v>
      </c>
      <c r="B1091" s="11" t="s">
        <v>6</v>
      </c>
      <c r="C1091" t="s">
        <v>15</v>
      </c>
      <c r="D1091">
        <v>0</v>
      </c>
      <c r="E1091" t="s">
        <v>19</v>
      </c>
      <c r="F1091">
        <v>0</v>
      </c>
      <c r="G1091">
        <v>0</v>
      </c>
    </row>
    <row r="1092" spans="1:7" x14ac:dyDescent="0.3">
      <c r="A1092" s="11">
        <v>45379</v>
      </c>
      <c r="B1092" s="11" t="s">
        <v>27</v>
      </c>
      <c r="C1092" t="s">
        <v>42</v>
      </c>
      <c r="D1092">
        <v>0</v>
      </c>
      <c r="E1092" t="s">
        <v>28</v>
      </c>
      <c r="F1092">
        <v>0</v>
      </c>
      <c r="G1092">
        <v>0</v>
      </c>
    </row>
    <row r="1093" spans="1:7" x14ac:dyDescent="0.3">
      <c r="A1093" s="11">
        <v>45380</v>
      </c>
      <c r="B1093" s="11" t="s">
        <v>12</v>
      </c>
      <c r="C1093" t="s">
        <v>11</v>
      </c>
      <c r="D1093">
        <v>0</v>
      </c>
      <c r="E1093" t="s">
        <v>20</v>
      </c>
      <c r="F1093">
        <v>0</v>
      </c>
      <c r="G1093">
        <v>0</v>
      </c>
    </row>
    <row r="1094" spans="1:7" x14ac:dyDescent="0.3">
      <c r="A1094" s="11">
        <v>45380</v>
      </c>
      <c r="B1094" s="11" t="s">
        <v>12</v>
      </c>
      <c r="C1094" t="s">
        <v>7</v>
      </c>
      <c r="D1094">
        <v>0</v>
      </c>
      <c r="E1094" t="s">
        <v>18</v>
      </c>
      <c r="F1094">
        <v>0</v>
      </c>
      <c r="G1094">
        <v>0</v>
      </c>
    </row>
    <row r="1095" spans="1:7" x14ac:dyDescent="0.3">
      <c r="A1095" s="11">
        <v>45380</v>
      </c>
      <c r="B1095" s="11" t="s">
        <v>12</v>
      </c>
      <c r="C1095" t="s">
        <v>40</v>
      </c>
      <c r="D1095">
        <v>0</v>
      </c>
      <c r="E1095" t="s">
        <v>14</v>
      </c>
      <c r="F1095">
        <v>0</v>
      </c>
      <c r="G1095">
        <v>0</v>
      </c>
    </row>
    <row r="1096" spans="1:7" x14ac:dyDescent="0.3">
      <c r="A1096" s="11">
        <v>45380</v>
      </c>
      <c r="B1096" s="11" t="s">
        <v>12</v>
      </c>
      <c r="C1096" t="s">
        <v>21</v>
      </c>
      <c r="D1096">
        <v>0</v>
      </c>
      <c r="E1096" t="s">
        <v>17</v>
      </c>
      <c r="F1096">
        <v>0</v>
      </c>
      <c r="G1096">
        <v>0</v>
      </c>
    </row>
    <row r="1097" spans="1:7" x14ac:dyDescent="0.3">
      <c r="A1097" s="11">
        <v>45380</v>
      </c>
      <c r="B1097" s="11" t="s">
        <v>6</v>
      </c>
      <c r="C1097" t="s">
        <v>31</v>
      </c>
      <c r="D1097">
        <v>0</v>
      </c>
      <c r="E1097" t="s">
        <v>26</v>
      </c>
      <c r="F1097">
        <v>0</v>
      </c>
      <c r="G1097">
        <v>0</v>
      </c>
    </row>
    <row r="1098" spans="1:7" x14ac:dyDescent="0.3">
      <c r="A1098" s="11">
        <v>45380</v>
      </c>
      <c r="B1098" s="11" t="s">
        <v>6</v>
      </c>
      <c r="C1098" t="s">
        <v>41</v>
      </c>
      <c r="D1098">
        <v>0</v>
      </c>
      <c r="E1098" t="s">
        <v>25</v>
      </c>
      <c r="F1098">
        <v>0</v>
      </c>
      <c r="G1098">
        <v>0</v>
      </c>
    </row>
    <row r="1099" spans="1:7" x14ac:dyDescent="0.3">
      <c r="A1099" s="11">
        <v>45380</v>
      </c>
      <c r="B1099" s="11" t="s">
        <v>27</v>
      </c>
      <c r="C1099" t="s">
        <v>39</v>
      </c>
      <c r="D1099">
        <v>0</v>
      </c>
      <c r="E1099" t="s">
        <v>22</v>
      </c>
      <c r="F1099">
        <v>0</v>
      </c>
      <c r="G1099">
        <v>0</v>
      </c>
    </row>
    <row r="1100" spans="1:7" x14ac:dyDescent="0.3">
      <c r="A1100" s="11">
        <v>45380</v>
      </c>
      <c r="B1100" s="11" t="s">
        <v>27</v>
      </c>
      <c r="C1100" t="s">
        <v>10</v>
      </c>
      <c r="D1100">
        <v>0</v>
      </c>
      <c r="E1100" t="s">
        <v>30</v>
      </c>
      <c r="F1100">
        <v>0</v>
      </c>
      <c r="G1100">
        <v>0</v>
      </c>
    </row>
    <row r="1101" spans="1:7" x14ac:dyDescent="0.3">
      <c r="A1101" s="11">
        <v>45380</v>
      </c>
      <c r="B1101" s="11" t="s">
        <v>27</v>
      </c>
      <c r="C1101" t="s">
        <v>16</v>
      </c>
      <c r="D1101">
        <v>0</v>
      </c>
      <c r="E1101" t="s">
        <v>37</v>
      </c>
      <c r="F1101">
        <v>0</v>
      </c>
      <c r="G1101">
        <v>0</v>
      </c>
    </row>
    <row r="1102" spans="1:7" x14ac:dyDescent="0.3">
      <c r="A1102" s="11">
        <v>45380</v>
      </c>
      <c r="B1102" s="11" t="s">
        <v>32</v>
      </c>
      <c r="C1102" t="s">
        <v>23</v>
      </c>
      <c r="D1102">
        <v>0</v>
      </c>
      <c r="E1102" t="s">
        <v>8</v>
      </c>
      <c r="F1102">
        <v>0</v>
      </c>
      <c r="G1102">
        <v>0</v>
      </c>
    </row>
    <row r="1103" spans="1:7" x14ac:dyDescent="0.3">
      <c r="A1103" s="11">
        <v>45380</v>
      </c>
      <c r="B1103" s="11" t="s">
        <v>35</v>
      </c>
      <c r="C1103" t="s">
        <v>13</v>
      </c>
      <c r="D1103">
        <v>0</v>
      </c>
      <c r="E1103" t="s">
        <v>34</v>
      </c>
      <c r="F1103">
        <v>0</v>
      </c>
      <c r="G1103">
        <v>0</v>
      </c>
    </row>
    <row r="1104" spans="1:7" x14ac:dyDescent="0.3">
      <c r="A1104" s="11">
        <v>45380</v>
      </c>
      <c r="B1104" s="11" t="s">
        <v>9</v>
      </c>
      <c r="C1104" t="s">
        <v>36</v>
      </c>
      <c r="D1104">
        <v>0</v>
      </c>
      <c r="E1104" t="s">
        <v>33</v>
      </c>
      <c r="F1104">
        <v>0</v>
      </c>
      <c r="G1104">
        <v>0</v>
      </c>
    </row>
    <row r="1105" spans="1:7" x14ac:dyDescent="0.3">
      <c r="A1105" s="11">
        <v>45381</v>
      </c>
      <c r="B1105" s="11" t="s">
        <v>50</v>
      </c>
      <c r="C1105" t="s">
        <v>15</v>
      </c>
      <c r="D1105">
        <v>0</v>
      </c>
      <c r="E1105" t="s">
        <v>28</v>
      </c>
      <c r="F1105">
        <v>0</v>
      </c>
      <c r="G1105">
        <v>0</v>
      </c>
    </row>
    <row r="1106" spans="1:7" x14ac:dyDescent="0.3">
      <c r="A1106" s="11">
        <v>45381</v>
      </c>
      <c r="B1106" s="11" t="s">
        <v>12</v>
      </c>
      <c r="C1106" t="s">
        <v>29</v>
      </c>
      <c r="D1106">
        <v>0</v>
      </c>
      <c r="E1106" t="s">
        <v>14</v>
      </c>
      <c r="F1106">
        <v>0</v>
      </c>
      <c r="G1106">
        <v>0</v>
      </c>
    </row>
    <row r="1107" spans="1:7" x14ac:dyDescent="0.3">
      <c r="A1107" s="11">
        <v>45381</v>
      </c>
      <c r="B1107" s="11" t="s">
        <v>6</v>
      </c>
      <c r="C1107" t="s">
        <v>42</v>
      </c>
      <c r="D1107">
        <v>0</v>
      </c>
      <c r="E1107" t="s">
        <v>19</v>
      </c>
      <c r="F1107">
        <v>0</v>
      </c>
      <c r="G1107">
        <v>0</v>
      </c>
    </row>
    <row r="1108" spans="1:7" x14ac:dyDescent="0.3">
      <c r="A1108" s="11">
        <v>45382</v>
      </c>
      <c r="B1108" s="11" t="s">
        <v>44</v>
      </c>
      <c r="C1108" t="s">
        <v>25</v>
      </c>
      <c r="D1108">
        <v>0</v>
      </c>
      <c r="E1108" t="s">
        <v>8</v>
      </c>
      <c r="F1108">
        <v>0</v>
      </c>
      <c r="G1108">
        <v>0</v>
      </c>
    </row>
    <row r="1109" spans="1:7" x14ac:dyDescent="0.3">
      <c r="A1109" s="11">
        <v>45382</v>
      </c>
      <c r="B1109" s="11" t="s">
        <v>47</v>
      </c>
      <c r="C1109" t="s">
        <v>7</v>
      </c>
      <c r="D1109">
        <v>0</v>
      </c>
      <c r="E1109" t="s">
        <v>26</v>
      </c>
      <c r="F1109">
        <v>0</v>
      </c>
      <c r="G1109">
        <v>0</v>
      </c>
    </row>
    <row r="1110" spans="1:7" x14ac:dyDescent="0.3">
      <c r="A1110" s="11">
        <v>45382</v>
      </c>
      <c r="B1110" s="11" t="s">
        <v>47</v>
      </c>
      <c r="C1110" t="s">
        <v>40</v>
      </c>
      <c r="D1110">
        <v>0</v>
      </c>
      <c r="E1110" t="s">
        <v>20</v>
      </c>
      <c r="F1110">
        <v>0</v>
      </c>
      <c r="G1110">
        <v>0</v>
      </c>
    </row>
    <row r="1111" spans="1:7" x14ac:dyDescent="0.3">
      <c r="A1111" s="11">
        <v>45382</v>
      </c>
      <c r="B1111" s="11" t="s">
        <v>47</v>
      </c>
      <c r="C1111" t="s">
        <v>41</v>
      </c>
      <c r="D1111">
        <v>0</v>
      </c>
      <c r="E1111" t="s">
        <v>24</v>
      </c>
      <c r="F1111">
        <v>0</v>
      </c>
      <c r="G1111">
        <v>0</v>
      </c>
    </row>
    <row r="1112" spans="1:7" x14ac:dyDescent="0.3">
      <c r="A1112" s="11">
        <v>45382</v>
      </c>
      <c r="B1112" s="11" t="s">
        <v>47</v>
      </c>
      <c r="C1112" t="s">
        <v>22</v>
      </c>
      <c r="D1112">
        <v>0</v>
      </c>
      <c r="E1112" t="s">
        <v>17</v>
      </c>
      <c r="F1112">
        <v>0</v>
      </c>
      <c r="G1112">
        <v>0</v>
      </c>
    </row>
    <row r="1113" spans="1:7" x14ac:dyDescent="0.3">
      <c r="A1113" s="11">
        <v>45382</v>
      </c>
      <c r="B1113" s="11" t="s">
        <v>12</v>
      </c>
      <c r="C1113" t="s">
        <v>36</v>
      </c>
      <c r="D1113">
        <v>0</v>
      </c>
      <c r="E1113" t="s">
        <v>13</v>
      </c>
      <c r="F1113">
        <v>0</v>
      </c>
      <c r="G1113">
        <v>0</v>
      </c>
    </row>
    <row r="1114" spans="1:7" x14ac:dyDescent="0.3">
      <c r="A1114" s="11">
        <v>45382</v>
      </c>
      <c r="B1114" s="11" t="s">
        <v>12</v>
      </c>
      <c r="C1114" t="s">
        <v>31</v>
      </c>
      <c r="D1114">
        <v>0</v>
      </c>
      <c r="E1114" t="s">
        <v>23</v>
      </c>
      <c r="F1114">
        <v>0</v>
      </c>
      <c r="G1114">
        <v>0</v>
      </c>
    </row>
    <row r="1115" spans="1:7" x14ac:dyDescent="0.3">
      <c r="A1115" s="11">
        <v>45382</v>
      </c>
      <c r="B1115" s="11" t="s">
        <v>12</v>
      </c>
      <c r="C1115" t="s">
        <v>30</v>
      </c>
      <c r="D1115">
        <v>0</v>
      </c>
      <c r="E1115" t="s">
        <v>16</v>
      </c>
      <c r="F1115">
        <v>0</v>
      </c>
      <c r="G1115">
        <v>0</v>
      </c>
    </row>
    <row r="1116" spans="1:7" x14ac:dyDescent="0.3">
      <c r="A1116" s="11">
        <v>45382</v>
      </c>
      <c r="B1116" s="11" t="s">
        <v>12</v>
      </c>
      <c r="C1116" t="s">
        <v>11</v>
      </c>
      <c r="D1116">
        <v>0</v>
      </c>
      <c r="E1116" t="s">
        <v>37</v>
      </c>
      <c r="F1116">
        <v>0</v>
      </c>
      <c r="G1116">
        <v>0</v>
      </c>
    </row>
    <row r="1117" spans="1:7" x14ac:dyDescent="0.3">
      <c r="A1117" s="11">
        <v>45382</v>
      </c>
      <c r="B1117" s="11" t="s">
        <v>32</v>
      </c>
      <c r="C1117" t="s">
        <v>34</v>
      </c>
      <c r="D1117">
        <v>0</v>
      </c>
      <c r="E1117" t="s">
        <v>33</v>
      </c>
      <c r="F1117">
        <v>0</v>
      </c>
      <c r="G1117">
        <v>0</v>
      </c>
    </row>
    <row r="1118" spans="1:7" x14ac:dyDescent="0.3">
      <c r="A1118" s="11">
        <v>45383</v>
      </c>
      <c r="B1118" s="11" t="s">
        <v>12</v>
      </c>
      <c r="C1118" t="s">
        <v>15</v>
      </c>
      <c r="D1118">
        <v>0</v>
      </c>
      <c r="E1118" t="s">
        <v>20</v>
      </c>
      <c r="F1118">
        <v>0</v>
      </c>
      <c r="G1118">
        <v>0</v>
      </c>
    </row>
    <row r="1119" spans="1:7" x14ac:dyDescent="0.3">
      <c r="A1119" s="11">
        <v>45383</v>
      </c>
      <c r="B1119" s="11" t="s">
        <v>12</v>
      </c>
      <c r="C1119" t="s">
        <v>29</v>
      </c>
      <c r="D1119">
        <v>0</v>
      </c>
      <c r="E1119" t="s">
        <v>21</v>
      </c>
      <c r="F1119">
        <v>0</v>
      </c>
      <c r="G1119">
        <v>0</v>
      </c>
    </row>
    <row r="1120" spans="1:7" x14ac:dyDescent="0.3">
      <c r="A1120" s="11">
        <v>45383</v>
      </c>
      <c r="B1120" s="11" t="s">
        <v>12</v>
      </c>
      <c r="C1120" t="s">
        <v>26</v>
      </c>
      <c r="D1120">
        <v>0</v>
      </c>
      <c r="E1120" t="s">
        <v>18</v>
      </c>
      <c r="F1120">
        <v>0</v>
      </c>
      <c r="G1120">
        <v>0</v>
      </c>
    </row>
    <row r="1121" spans="1:7" x14ac:dyDescent="0.3">
      <c r="A1121" s="11">
        <v>45383</v>
      </c>
      <c r="B1121" s="11" t="s">
        <v>12</v>
      </c>
      <c r="C1121" t="s">
        <v>39</v>
      </c>
      <c r="D1121">
        <v>0</v>
      </c>
      <c r="E1121" t="s">
        <v>14</v>
      </c>
      <c r="F1121">
        <v>0</v>
      </c>
      <c r="G1121">
        <v>0</v>
      </c>
    </row>
    <row r="1122" spans="1:7" x14ac:dyDescent="0.3">
      <c r="A1122" s="11">
        <v>45383</v>
      </c>
      <c r="B1122" s="11" t="s">
        <v>27</v>
      </c>
      <c r="C1122" t="s">
        <v>19</v>
      </c>
      <c r="D1122">
        <v>0</v>
      </c>
      <c r="E1122" t="s">
        <v>31</v>
      </c>
      <c r="F1122">
        <v>0</v>
      </c>
      <c r="G1122">
        <v>0</v>
      </c>
    </row>
    <row r="1123" spans="1:7" x14ac:dyDescent="0.3">
      <c r="A1123" s="11">
        <v>45383</v>
      </c>
      <c r="B1123" s="11" t="s">
        <v>27</v>
      </c>
      <c r="C1123" t="s">
        <v>10</v>
      </c>
      <c r="D1123">
        <v>0</v>
      </c>
      <c r="E1123" t="s">
        <v>28</v>
      </c>
      <c r="F1123">
        <v>0</v>
      </c>
      <c r="G1123">
        <v>0</v>
      </c>
    </row>
    <row r="1124" spans="1:7" x14ac:dyDescent="0.3">
      <c r="A1124" s="11">
        <v>45384</v>
      </c>
      <c r="B1124" s="11" t="s">
        <v>12</v>
      </c>
      <c r="C1124" t="s">
        <v>7</v>
      </c>
      <c r="D1124">
        <v>0</v>
      </c>
      <c r="E1124" t="s">
        <v>24</v>
      </c>
      <c r="F1124">
        <v>0</v>
      </c>
      <c r="G1124">
        <v>0</v>
      </c>
    </row>
    <row r="1125" spans="1:7" x14ac:dyDescent="0.3">
      <c r="A1125" s="11">
        <v>45384</v>
      </c>
      <c r="B1125" s="11" t="s">
        <v>12</v>
      </c>
      <c r="C1125" t="s">
        <v>42</v>
      </c>
      <c r="D1125">
        <v>0</v>
      </c>
      <c r="E1125" t="s">
        <v>17</v>
      </c>
      <c r="F1125">
        <v>0</v>
      </c>
      <c r="G1125">
        <v>0</v>
      </c>
    </row>
    <row r="1126" spans="1:7" x14ac:dyDescent="0.3">
      <c r="A1126" s="11">
        <v>45384</v>
      </c>
      <c r="B1126" s="11" t="s">
        <v>6</v>
      </c>
      <c r="C1126" t="s">
        <v>16</v>
      </c>
      <c r="D1126">
        <v>0</v>
      </c>
      <c r="E1126" t="s">
        <v>22</v>
      </c>
      <c r="F1126">
        <v>0</v>
      </c>
      <c r="G1126">
        <v>0</v>
      </c>
    </row>
    <row r="1127" spans="1:7" x14ac:dyDescent="0.3">
      <c r="A1127" s="11">
        <v>45384</v>
      </c>
      <c r="B1127" s="11" t="s">
        <v>6</v>
      </c>
      <c r="C1127" t="s">
        <v>30</v>
      </c>
      <c r="D1127">
        <v>0</v>
      </c>
      <c r="E1127" t="s">
        <v>41</v>
      </c>
      <c r="F1127">
        <v>0</v>
      </c>
      <c r="G1127">
        <v>0</v>
      </c>
    </row>
    <row r="1128" spans="1:7" x14ac:dyDescent="0.3">
      <c r="A1128" s="11">
        <v>45384</v>
      </c>
      <c r="B1128" s="11" t="s">
        <v>27</v>
      </c>
      <c r="C1128" t="s">
        <v>13</v>
      </c>
      <c r="D1128">
        <v>0</v>
      </c>
      <c r="E1128" t="s">
        <v>23</v>
      </c>
      <c r="F1128">
        <v>0</v>
      </c>
      <c r="G1128">
        <v>0</v>
      </c>
    </row>
    <row r="1129" spans="1:7" x14ac:dyDescent="0.3">
      <c r="A1129" s="11">
        <v>45384</v>
      </c>
      <c r="B1129" s="11" t="s">
        <v>32</v>
      </c>
      <c r="C1129" t="s">
        <v>37</v>
      </c>
      <c r="D1129">
        <v>0</v>
      </c>
      <c r="E1129" t="s">
        <v>8</v>
      </c>
      <c r="F1129">
        <v>0</v>
      </c>
      <c r="G1129">
        <v>0</v>
      </c>
    </row>
    <row r="1130" spans="1:7" x14ac:dyDescent="0.3">
      <c r="A1130" s="11">
        <v>45384</v>
      </c>
      <c r="B1130" s="11" t="s">
        <v>32</v>
      </c>
      <c r="C1130" t="s">
        <v>25</v>
      </c>
      <c r="D1130">
        <v>0</v>
      </c>
      <c r="E1130" t="s">
        <v>34</v>
      </c>
      <c r="F1130">
        <v>0</v>
      </c>
      <c r="G1130">
        <v>0</v>
      </c>
    </row>
    <row r="1131" spans="1:7" x14ac:dyDescent="0.3">
      <c r="A1131" s="11">
        <v>45384</v>
      </c>
      <c r="B1131" s="11" t="s">
        <v>9</v>
      </c>
      <c r="C1131" t="s">
        <v>36</v>
      </c>
      <c r="D1131">
        <v>0</v>
      </c>
      <c r="E1131" t="s">
        <v>11</v>
      </c>
      <c r="F1131">
        <v>0</v>
      </c>
      <c r="G1131">
        <v>0</v>
      </c>
    </row>
    <row r="1132" spans="1:7" x14ac:dyDescent="0.3">
      <c r="A1132" s="11">
        <v>45384</v>
      </c>
      <c r="B1132" s="11" t="s">
        <v>9</v>
      </c>
      <c r="C1132" t="s">
        <v>40</v>
      </c>
      <c r="D1132">
        <v>0</v>
      </c>
      <c r="E1132" t="s">
        <v>33</v>
      </c>
      <c r="F1132">
        <v>0</v>
      </c>
      <c r="G1132">
        <v>0</v>
      </c>
    </row>
    <row r="1133" spans="1:7" x14ac:dyDescent="0.3">
      <c r="A1133" s="11">
        <v>45385</v>
      </c>
      <c r="B1133" s="11" t="s">
        <v>12</v>
      </c>
      <c r="C1133" t="s">
        <v>39</v>
      </c>
      <c r="D1133">
        <v>0</v>
      </c>
      <c r="E1133" t="s">
        <v>20</v>
      </c>
      <c r="F1133">
        <v>0</v>
      </c>
      <c r="G1133">
        <v>0</v>
      </c>
    </row>
    <row r="1134" spans="1:7" x14ac:dyDescent="0.3">
      <c r="A1134" s="11">
        <v>45385</v>
      </c>
      <c r="B1134" s="11" t="s">
        <v>12</v>
      </c>
      <c r="C1134" t="s">
        <v>7</v>
      </c>
      <c r="D1134">
        <v>0</v>
      </c>
      <c r="E1134" t="s">
        <v>17</v>
      </c>
      <c r="F1134">
        <v>0</v>
      </c>
      <c r="G1134">
        <v>0</v>
      </c>
    </row>
    <row r="1135" spans="1:7" x14ac:dyDescent="0.3">
      <c r="A1135" s="11">
        <v>45385</v>
      </c>
      <c r="B1135" s="11" t="s">
        <v>6</v>
      </c>
      <c r="C1135" t="s">
        <v>21</v>
      </c>
      <c r="D1135">
        <v>0</v>
      </c>
      <c r="E1135" t="s">
        <v>19</v>
      </c>
      <c r="F1135">
        <v>0</v>
      </c>
      <c r="G1135">
        <v>0</v>
      </c>
    </row>
    <row r="1136" spans="1:7" x14ac:dyDescent="0.3">
      <c r="A1136" s="11">
        <v>45385</v>
      </c>
      <c r="B1136" s="11" t="s">
        <v>6</v>
      </c>
      <c r="C1136" t="s">
        <v>30</v>
      </c>
      <c r="D1136">
        <v>0</v>
      </c>
      <c r="E1136" t="s">
        <v>15</v>
      </c>
      <c r="F1136">
        <v>0</v>
      </c>
      <c r="G1136">
        <v>0</v>
      </c>
    </row>
    <row r="1137" spans="1:7" x14ac:dyDescent="0.3">
      <c r="A1137" s="11">
        <v>45385</v>
      </c>
      <c r="B1137" s="11" t="s">
        <v>6</v>
      </c>
      <c r="C1137" t="s">
        <v>18</v>
      </c>
      <c r="D1137">
        <v>0</v>
      </c>
      <c r="E1137" t="s">
        <v>26</v>
      </c>
      <c r="F1137">
        <v>0</v>
      </c>
      <c r="G1137">
        <v>0</v>
      </c>
    </row>
    <row r="1138" spans="1:7" x14ac:dyDescent="0.3">
      <c r="A1138" s="11">
        <v>45385</v>
      </c>
      <c r="B1138" s="11" t="s">
        <v>6</v>
      </c>
      <c r="C1138" t="s">
        <v>29</v>
      </c>
      <c r="D1138">
        <v>0</v>
      </c>
      <c r="E1138" t="s">
        <v>42</v>
      </c>
      <c r="F1138">
        <v>0</v>
      </c>
      <c r="G1138">
        <v>0</v>
      </c>
    </row>
    <row r="1139" spans="1:7" x14ac:dyDescent="0.3">
      <c r="A1139" s="11">
        <v>45385</v>
      </c>
      <c r="B1139" s="11" t="s">
        <v>27</v>
      </c>
      <c r="C1139" t="s">
        <v>24</v>
      </c>
      <c r="D1139">
        <v>0</v>
      </c>
      <c r="E1139" t="s">
        <v>23</v>
      </c>
      <c r="F1139">
        <v>0</v>
      </c>
      <c r="G1139">
        <v>0</v>
      </c>
    </row>
    <row r="1140" spans="1:7" x14ac:dyDescent="0.3">
      <c r="A1140" s="11">
        <v>45385</v>
      </c>
      <c r="B1140" s="11" t="s">
        <v>27</v>
      </c>
      <c r="C1140" t="s">
        <v>14</v>
      </c>
      <c r="D1140">
        <v>0</v>
      </c>
      <c r="E1140" t="s">
        <v>28</v>
      </c>
      <c r="F1140">
        <v>0</v>
      </c>
      <c r="G1140">
        <v>0</v>
      </c>
    </row>
    <row r="1141" spans="1:7" x14ac:dyDescent="0.3">
      <c r="A1141" s="11">
        <v>45385</v>
      </c>
      <c r="B1141" s="11" t="s">
        <v>9</v>
      </c>
      <c r="C1141" t="s">
        <v>25</v>
      </c>
      <c r="D1141">
        <v>0</v>
      </c>
      <c r="E1141" t="s">
        <v>10</v>
      </c>
      <c r="F1141">
        <v>0</v>
      </c>
      <c r="G1141">
        <v>0</v>
      </c>
    </row>
    <row r="1142" spans="1:7" x14ac:dyDescent="0.3">
      <c r="A1142" s="11">
        <v>45386</v>
      </c>
      <c r="B1142" s="11" t="s">
        <v>6</v>
      </c>
      <c r="C1142" t="s">
        <v>41</v>
      </c>
      <c r="D1142">
        <v>0</v>
      </c>
      <c r="E1142" t="s">
        <v>22</v>
      </c>
      <c r="F1142">
        <v>0</v>
      </c>
      <c r="G1142">
        <v>0</v>
      </c>
    </row>
    <row r="1143" spans="1:7" x14ac:dyDescent="0.3">
      <c r="A1143" s="11">
        <v>45386</v>
      </c>
      <c r="B1143" s="11" t="s">
        <v>6</v>
      </c>
      <c r="C1143" t="s">
        <v>33</v>
      </c>
      <c r="D1143">
        <v>0</v>
      </c>
      <c r="E1143" t="s">
        <v>16</v>
      </c>
      <c r="F1143">
        <v>0</v>
      </c>
      <c r="G1143">
        <v>0</v>
      </c>
    </row>
    <row r="1144" spans="1:7" x14ac:dyDescent="0.3">
      <c r="A1144" s="11">
        <v>45386</v>
      </c>
      <c r="B1144" s="11" t="s">
        <v>27</v>
      </c>
      <c r="C1144" t="s">
        <v>11</v>
      </c>
      <c r="D1144">
        <v>0</v>
      </c>
      <c r="E1144" t="s">
        <v>13</v>
      </c>
      <c r="F1144">
        <v>0</v>
      </c>
      <c r="G1144">
        <v>0</v>
      </c>
    </row>
    <row r="1145" spans="1:7" x14ac:dyDescent="0.3">
      <c r="A1145" s="11">
        <v>45386</v>
      </c>
      <c r="B1145" s="11" t="s">
        <v>43</v>
      </c>
      <c r="C1145" t="s">
        <v>19</v>
      </c>
      <c r="D1145">
        <v>0</v>
      </c>
      <c r="E1145" t="s">
        <v>36</v>
      </c>
      <c r="F1145">
        <v>0</v>
      </c>
      <c r="G1145">
        <v>0</v>
      </c>
    </row>
    <row r="1146" spans="1:7" x14ac:dyDescent="0.3">
      <c r="A1146" s="11">
        <v>45386</v>
      </c>
      <c r="B1146" s="11" t="s">
        <v>9</v>
      </c>
      <c r="C1146" t="s">
        <v>8</v>
      </c>
      <c r="D1146">
        <v>0</v>
      </c>
      <c r="E1146" t="s">
        <v>40</v>
      </c>
      <c r="F1146">
        <v>0</v>
      </c>
      <c r="G1146">
        <v>0</v>
      </c>
    </row>
    <row r="1147" spans="1:7" x14ac:dyDescent="0.3">
      <c r="A1147" s="11">
        <v>45387</v>
      </c>
      <c r="B1147" s="11" t="s">
        <v>12</v>
      </c>
      <c r="C1147" t="s">
        <v>14</v>
      </c>
      <c r="D1147">
        <v>0</v>
      </c>
      <c r="E1147" t="s">
        <v>20</v>
      </c>
      <c r="F1147">
        <v>0</v>
      </c>
      <c r="G1147">
        <v>0</v>
      </c>
    </row>
    <row r="1148" spans="1:7" x14ac:dyDescent="0.3">
      <c r="A1148" s="11">
        <v>45387</v>
      </c>
      <c r="B1148" s="11" t="s">
        <v>12</v>
      </c>
      <c r="C1148" t="s">
        <v>30</v>
      </c>
      <c r="D1148">
        <v>0</v>
      </c>
      <c r="E1148" t="s">
        <v>18</v>
      </c>
      <c r="F1148">
        <v>0</v>
      </c>
      <c r="G1148">
        <v>0</v>
      </c>
    </row>
    <row r="1149" spans="1:7" x14ac:dyDescent="0.3">
      <c r="A1149" s="11">
        <v>45387</v>
      </c>
      <c r="B1149" s="11" t="s">
        <v>12</v>
      </c>
      <c r="C1149" t="s">
        <v>39</v>
      </c>
      <c r="D1149">
        <v>0</v>
      </c>
      <c r="E1149" t="s">
        <v>17</v>
      </c>
      <c r="F1149">
        <v>0</v>
      </c>
      <c r="G1149">
        <v>0</v>
      </c>
    </row>
    <row r="1150" spans="1:7" x14ac:dyDescent="0.3">
      <c r="A1150" s="11">
        <v>45387</v>
      </c>
      <c r="B1150" s="11" t="s">
        <v>6</v>
      </c>
      <c r="C1150" t="s">
        <v>33</v>
      </c>
      <c r="D1150">
        <v>0</v>
      </c>
      <c r="E1150" t="s">
        <v>15</v>
      </c>
      <c r="F1150">
        <v>0</v>
      </c>
      <c r="G1150">
        <v>0</v>
      </c>
    </row>
    <row r="1151" spans="1:7" x14ac:dyDescent="0.3">
      <c r="A1151" s="11">
        <v>45387</v>
      </c>
      <c r="B1151" s="11" t="s">
        <v>27</v>
      </c>
      <c r="C1151" t="s">
        <v>16</v>
      </c>
      <c r="D1151">
        <v>0</v>
      </c>
      <c r="E1151" t="s">
        <v>31</v>
      </c>
      <c r="F1151">
        <v>0</v>
      </c>
      <c r="G1151">
        <v>0</v>
      </c>
    </row>
    <row r="1152" spans="1:7" x14ac:dyDescent="0.3">
      <c r="A1152" s="11">
        <v>45387</v>
      </c>
      <c r="B1152" s="11" t="s">
        <v>27</v>
      </c>
      <c r="C1152" t="s">
        <v>22</v>
      </c>
      <c r="D1152">
        <v>0</v>
      </c>
      <c r="E1152" t="s">
        <v>13</v>
      </c>
      <c r="F1152">
        <v>0</v>
      </c>
      <c r="G1152">
        <v>0</v>
      </c>
    </row>
    <row r="1153" spans="1:7" x14ac:dyDescent="0.3">
      <c r="A1153" s="11">
        <v>45387</v>
      </c>
      <c r="B1153" s="11" t="s">
        <v>27</v>
      </c>
      <c r="C1153" t="s">
        <v>21</v>
      </c>
      <c r="D1153">
        <v>0</v>
      </c>
      <c r="E1153" t="s">
        <v>29</v>
      </c>
      <c r="F1153">
        <v>0</v>
      </c>
      <c r="G1153">
        <v>0</v>
      </c>
    </row>
    <row r="1154" spans="1:7" x14ac:dyDescent="0.3">
      <c r="A1154" s="11">
        <v>45387</v>
      </c>
      <c r="B1154" s="11" t="s">
        <v>27</v>
      </c>
      <c r="C1154" t="s">
        <v>24</v>
      </c>
      <c r="D1154">
        <v>0</v>
      </c>
      <c r="E1154" t="s">
        <v>42</v>
      </c>
      <c r="F1154">
        <v>0</v>
      </c>
      <c r="G1154">
        <v>0</v>
      </c>
    </row>
    <row r="1155" spans="1:7" x14ac:dyDescent="0.3">
      <c r="A1155" s="11">
        <v>45387</v>
      </c>
      <c r="B1155" s="11" t="s">
        <v>27</v>
      </c>
      <c r="C1155" t="s">
        <v>37</v>
      </c>
      <c r="D1155">
        <v>0</v>
      </c>
      <c r="E1155" t="s">
        <v>28</v>
      </c>
      <c r="F1155">
        <v>0</v>
      </c>
      <c r="G1155">
        <v>0</v>
      </c>
    </row>
    <row r="1156" spans="1:7" x14ac:dyDescent="0.3">
      <c r="A1156" s="11">
        <v>45387</v>
      </c>
      <c r="B1156" s="11" t="s">
        <v>43</v>
      </c>
      <c r="C1156" t="s">
        <v>11</v>
      </c>
      <c r="D1156">
        <v>0</v>
      </c>
      <c r="E1156" t="s">
        <v>36</v>
      </c>
      <c r="F1156">
        <v>0</v>
      </c>
      <c r="G1156">
        <v>0</v>
      </c>
    </row>
    <row r="1157" spans="1:7" x14ac:dyDescent="0.3">
      <c r="A1157" s="11">
        <v>45387</v>
      </c>
      <c r="B1157" s="11" t="s">
        <v>9</v>
      </c>
      <c r="C1157" t="s">
        <v>23</v>
      </c>
      <c r="D1157">
        <v>0</v>
      </c>
      <c r="E1157" t="s">
        <v>10</v>
      </c>
      <c r="F1157">
        <v>0</v>
      </c>
      <c r="G1157">
        <v>0</v>
      </c>
    </row>
    <row r="1158" spans="1:7" x14ac:dyDescent="0.3">
      <c r="A1158" s="11">
        <v>45387</v>
      </c>
      <c r="B1158" s="11" t="s">
        <v>38</v>
      </c>
      <c r="C1158" t="s">
        <v>34</v>
      </c>
      <c r="D1158">
        <v>0</v>
      </c>
      <c r="E1158" t="s">
        <v>40</v>
      </c>
      <c r="F1158">
        <v>0</v>
      </c>
      <c r="G1158">
        <v>0</v>
      </c>
    </row>
    <row r="1159" spans="1:7" x14ac:dyDescent="0.3">
      <c r="A1159" s="11">
        <v>45388</v>
      </c>
      <c r="B1159" s="11" t="s">
        <v>44</v>
      </c>
      <c r="C1159" t="s">
        <v>25</v>
      </c>
      <c r="D1159">
        <v>0</v>
      </c>
      <c r="E1159" t="s">
        <v>7</v>
      </c>
      <c r="F1159">
        <v>0</v>
      </c>
      <c r="G1159">
        <v>0</v>
      </c>
    </row>
    <row r="1160" spans="1:7" x14ac:dyDescent="0.3">
      <c r="A1160" s="11">
        <v>45388</v>
      </c>
      <c r="B1160" s="11" t="s">
        <v>12</v>
      </c>
      <c r="C1160" t="s">
        <v>21</v>
      </c>
      <c r="D1160">
        <v>0</v>
      </c>
      <c r="E1160" t="s">
        <v>26</v>
      </c>
      <c r="F1160">
        <v>0</v>
      </c>
      <c r="G1160">
        <v>0</v>
      </c>
    </row>
    <row r="1161" spans="1:7" x14ac:dyDescent="0.3">
      <c r="A1161" s="11">
        <v>45388</v>
      </c>
      <c r="B1161" s="11" t="s">
        <v>27</v>
      </c>
      <c r="C1161" t="s">
        <v>41</v>
      </c>
      <c r="D1161">
        <v>0</v>
      </c>
      <c r="E1161" t="s">
        <v>29</v>
      </c>
      <c r="F1161">
        <v>0</v>
      </c>
      <c r="G1161">
        <v>0</v>
      </c>
    </row>
    <row r="1162" spans="1:7" x14ac:dyDescent="0.3">
      <c r="A1162" s="11">
        <v>45388</v>
      </c>
      <c r="B1162" s="11" t="s">
        <v>32</v>
      </c>
      <c r="C1162" t="s">
        <v>19</v>
      </c>
      <c r="D1162">
        <v>0</v>
      </c>
      <c r="E1162" t="s">
        <v>8</v>
      </c>
      <c r="F1162">
        <v>0</v>
      </c>
      <c r="G1162">
        <v>0</v>
      </c>
    </row>
    <row r="1163" spans="1:7" x14ac:dyDescent="0.3">
      <c r="A1163" s="11">
        <v>45389</v>
      </c>
      <c r="B1163" s="11" t="s">
        <v>44</v>
      </c>
      <c r="C1163" t="s">
        <v>13</v>
      </c>
      <c r="D1163">
        <v>0</v>
      </c>
      <c r="E1163" t="s">
        <v>36</v>
      </c>
      <c r="F1163">
        <v>0</v>
      </c>
      <c r="G1163">
        <v>0</v>
      </c>
    </row>
    <row r="1164" spans="1:7" x14ac:dyDescent="0.3">
      <c r="A1164" s="11">
        <v>45389</v>
      </c>
      <c r="B1164" s="11" t="s">
        <v>44</v>
      </c>
      <c r="C1164" t="s">
        <v>25</v>
      </c>
      <c r="D1164">
        <v>0</v>
      </c>
      <c r="E1164" t="s">
        <v>40</v>
      </c>
      <c r="F1164">
        <v>0</v>
      </c>
      <c r="G1164">
        <v>0</v>
      </c>
    </row>
    <row r="1165" spans="1:7" x14ac:dyDescent="0.3">
      <c r="A1165" s="11">
        <v>45389</v>
      </c>
      <c r="B1165" s="11" t="s">
        <v>50</v>
      </c>
      <c r="C1165" t="s">
        <v>22</v>
      </c>
      <c r="D1165">
        <v>0</v>
      </c>
      <c r="E1165" t="s">
        <v>18</v>
      </c>
      <c r="F1165">
        <v>0</v>
      </c>
      <c r="G1165">
        <v>0</v>
      </c>
    </row>
    <row r="1166" spans="1:7" x14ac:dyDescent="0.3">
      <c r="A1166" s="11">
        <v>45389</v>
      </c>
      <c r="B1166" s="11" t="s">
        <v>47</v>
      </c>
      <c r="C1166" t="s">
        <v>39</v>
      </c>
      <c r="D1166">
        <v>0</v>
      </c>
      <c r="E1166" t="s">
        <v>15</v>
      </c>
      <c r="F1166">
        <v>0</v>
      </c>
      <c r="G1166">
        <v>0</v>
      </c>
    </row>
    <row r="1167" spans="1:7" x14ac:dyDescent="0.3">
      <c r="A1167" s="11">
        <v>45389</v>
      </c>
      <c r="B1167" s="11" t="s">
        <v>47</v>
      </c>
      <c r="C1167" t="s">
        <v>30</v>
      </c>
      <c r="D1167">
        <v>0</v>
      </c>
      <c r="E1167" t="s">
        <v>20</v>
      </c>
      <c r="F1167">
        <v>0</v>
      </c>
      <c r="G1167">
        <v>0</v>
      </c>
    </row>
    <row r="1168" spans="1:7" x14ac:dyDescent="0.3">
      <c r="A1168" s="11">
        <v>45389</v>
      </c>
      <c r="B1168" s="11" t="s">
        <v>47</v>
      </c>
      <c r="C1168" t="s">
        <v>31</v>
      </c>
      <c r="D1168">
        <v>0</v>
      </c>
      <c r="E1168" t="s">
        <v>14</v>
      </c>
      <c r="F1168">
        <v>0</v>
      </c>
      <c r="G1168">
        <v>0</v>
      </c>
    </row>
    <row r="1169" spans="1:7" x14ac:dyDescent="0.3">
      <c r="A1169" s="11">
        <v>45389</v>
      </c>
      <c r="B1169" s="11" t="s">
        <v>47</v>
      </c>
      <c r="C1169" t="s">
        <v>28</v>
      </c>
      <c r="D1169">
        <v>0</v>
      </c>
      <c r="E1169" t="s">
        <v>10</v>
      </c>
      <c r="F1169">
        <v>0</v>
      </c>
      <c r="G1169">
        <v>0</v>
      </c>
    </row>
    <row r="1170" spans="1:7" x14ac:dyDescent="0.3">
      <c r="A1170" s="11">
        <v>45389</v>
      </c>
      <c r="B1170" s="11" t="s">
        <v>47</v>
      </c>
      <c r="C1170" t="s">
        <v>17</v>
      </c>
      <c r="D1170">
        <v>0</v>
      </c>
      <c r="E1170" t="s">
        <v>24</v>
      </c>
      <c r="F1170">
        <v>0</v>
      </c>
      <c r="G1170">
        <v>0</v>
      </c>
    </row>
    <row r="1171" spans="1:7" x14ac:dyDescent="0.3">
      <c r="A1171" s="11">
        <v>45389</v>
      </c>
      <c r="B1171" s="11" t="s">
        <v>12</v>
      </c>
      <c r="C1171" t="s">
        <v>16</v>
      </c>
      <c r="D1171">
        <v>0</v>
      </c>
      <c r="E1171" t="s">
        <v>42</v>
      </c>
      <c r="F1171">
        <v>0</v>
      </c>
      <c r="G1171">
        <v>0</v>
      </c>
    </row>
    <row r="1172" spans="1:7" x14ac:dyDescent="0.3">
      <c r="A1172" s="11">
        <v>45389</v>
      </c>
      <c r="B1172" s="11" t="s">
        <v>12</v>
      </c>
      <c r="C1172" t="s">
        <v>41</v>
      </c>
      <c r="D1172">
        <v>0</v>
      </c>
      <c r="E1172" t="s">
        <v>37</v>
      </c>
      <c r="F1172">
        <v>0</v>
      </c>
      <c r="G1172">
        <v>0</v>
      </c>
    </row>
    <row r="1173" spans="1:7" x14ac:dyDescent="0.3">
      <c r="A1173" s="11">
        <v>45389</v>
      </c>
      <c r="B1173" s="11" t="s">
        <v>6</v>
      </c>
      <c r="C1173" t="s">
        <v>33</v>
      </c>
      <c r="D1173">
        <v>0</v>
      </c>
      <c r="E1173" t="s">
        <v>26</v>
      </c>
      <c r="F1173">
        <v>0</v>
      </c>
      <c r="G1173">
        <v>0</v>
      </c>
    </row>
    <row r="1174" spans="1:7" x14ac:dyDescent="0.3">
      <c r="A1174" s="11">
        <v>45389</v>
      </c>
      <c r="B1174" s="11" t="s">
        <v>43</v>
      </c>
      <c r="C1174" t="s">
        <v>34</v>
      </c>
      <c r="D1174">
        <v>0</v>
      </c>
      <c r="E1174" t="s">
        <v>11</v>
      </c>
      <c r="F1174">
        <v>0</v>
      </c>
      <c r="G1174">
        <v>0</v>
      </c>
    </row>
    <row r="1175" spans="1:7" x14ac:dyDescent="0.3">
      <c r="A1175" s="11">
        <v>45389</v>
      </c>
      <c r="B1175" s="11" t="s">
        <v>9</v>
      </c>
      <c r="C1175" t="s">
        <v>23</v>
      </c>
      <c r="D1175">
        <v>0</v>
      </c>
      <c r="E1175" t="s">
        <v>7</v>
      </c>
      <c r="F1175">
        <v>0</v>
      </c>
      <c r="G1175">
        <v>0</v>
      </c>
    </row>
    <row r="1176" spans="1:7" x14ac:dyDescent="0.3">
      <c r="A1176" s="11">
        <v>45391</v>
      </c>
      <c r="B1176" s="11" t="s">
        <v>12</v>
      </c>
      <c r="C1176" t="s">
        <v>36</v>
      </c>
      <c r="D1176">
        <v>0</v>
      </c>
      <c r="E1176" t="s">
        <v>20</v>
      </c>
      <c r="F1176">
        <v>0</v>
      </c>
      <c r="G1176">
        <v>0</v>
      </c>
    </row>
    <row r="1177" spans="1:7" x14ac:dyDescent="0.3">
      <c r="A1177" s="11">
        <v>45391</v>
      </c>
      <c r="B1177" s="11" t="s">
        <v>12</v>
      </c>
      <c r="C1177" t="s">
        <v>21</v>
      </c>
      <c r="D1177">
        <v>0</v>
      </c>
      <c r="E1177" t="s">
        <v>41</v>
      </c>
      <c r="F1177">
        <v>0</v>
      </c>
      <c r="G1177">
        <v>0</v>
      </c>
    </row>
    <row r="1178" spans="1:7" x14ac:dyDescent="0.3">
      <c r="A1178" s="11">
        <v>45391</v>
      </c>
      <c r="B1178" s="11" t="s">
        <v>12</v>
      </c>
      <c r="C1178" t="s">
        <v>18</v>
      </c>
      <c r="D1178">
        <v>0</v>
      </c>
      <c r="E1178" t="s">
        <v>24</v>
      </c>
      <c r="F1178">
        <v>0</v>
      </c>
      <c r="G1178">
        <v>0</v>
      </c>
    </row>
    <row r="1179" spans="1:7" x14ac:dyDescent="0.3">
      <c r="A1179" s="11">
        <v>45391</v>
      </c>
      <c r="B1179" s="11" t="s">
        <v>6</v>
      </c>
      <c r="C1179" t="s">
        <v>22</v>
      </c>
      <c r="D1179">
        <v>0</v>
      </c>
      <c r="E1179" t="s">
        <v>19</v>
      </c>
      <c r="F1179">
        <v>0</v>
      </c>
      <c r="G1179">
        <v>0</v>
      </c>
    </row>
    <row r="1180" spans="1:7" x14ac:dyDescent="0.3">
      <c r="A1180" s="11">
        <v>45391</v>
      </c>
      <c r="B1180" s="11" t="s">
        <v>6</v>
      </c>
      <c r="C1180" t="s">
        <v>15</v>
      </c>
      <c r="D1180">
        <v>0</v>
      </c>
      <c r="E1180" t="s">
        <v>42</v>
      </c>
      <c r="F1180">
        <v>0</v>
      </c>
      <c r="G1180">
        <v>0</v>
      </c>
    </row>
    <row r="1181" spans="1:7" x14ac:dyDescent="0.3">
      <c r="A1181" s="11">
        <v>45391</v>
      </c>
      <c r="B1181" s="11" t="s">
        <v>27</v>
      </c>
      <c r="C1181" t="s">
        <v>16</v>
      </c>
      <c r="D1181">
        <v>0</v>
      </c>
      <c r="E1181" t="s">
        <v>31</v>
      </c>
      <c r="F1181">
        <v>0</v>
      </c>
      <c r="G1181">
        <v>0</v>
      </c>
    </row>
    <row r="1182" spans="1:7" x14ac:dyDescent="0.3">
      <c r="A1182" s="11">
        <v>45391</v>
      </c>
      <c r="B1182" s="11" t="s">
        <v>27</v>
      </c>
      <c r="C1182" t="s">
        <v>14</v>
      </c>
      <c r="D1182">
        <v>0</v>
      </c>
      <c r="E1182" t="s">
        <v>13</v>
      </c>
      <c r="F1182">
        <v>0</v>
      </c>
      <c r="G1182">
        <v>0</v>
      </c>
    </row>
    <row r="1183" spans="1:7" x14ac:dyDescent="0.3">
      <c r="A1183" s="11">
        <v>45391</v>
      </c>
      <c r="B1183" s="11" t="s">
        <v>27</v>
      </c>
      <c r="C1183" t="s">
        <v>37</v>
      </c>
      <c r="D1183">
        <v>0</v>
      </c>
      <c r="E1183" t="s">
        <v>29</v>
      </c>
      <c r="F1183">
        <v>0</v>
      </c>
      <c r="G1183">
        <v>0</v>
      </c>
    </row>
    <row r="1184" spans="1:7" x14ac:dyDescent="0.3">
      <c r="A1184" s="11">
        <v>45391</v>
      </c>
      <c r="B1184" s="11" t="s">
        <v>27</v>
      </c>
      <c r="C1184" t="s">
        <v>17</v>
      </c>
      <c r="D1184">
        <v>0</v>
      </c>
      <c r="E1184" t="s">
        <v>23</v>
      </c>
      <c r="F1184">
        <v>0</v>
      </c>
      <c r="G1184">
        <v>0</v>
      </c>
    </row>
    <row r="1185" spans="1:7" x14ac:dyDescent="0.3">
      <c r="A1185" s="11">
        <v>45391</v>
      </c>
      <c r="B1185" s="11" t="s">
        <v>27</v>
      </c>
      <c r="C1185" t="s">
        <v>33</v>
      </c>
      <c r="D1185">
        <v>0</v>
      </c>
      <c r="E1185" t="s">
        <v>30</v>
      </c>
      <c r="F1185">
        <v>0</v>
      </c>
      <c r="G1185">
        <v>0</v>
      </c>
    </row>
    <row r="1186" spans="1:7" x14ac:dyDescent="0.3">
      <c r="A1186" s="11">
        <v>45391</v>
      </c>
      <c r="B1186" s="11" t="s">
        <v>32</v>
      </c>
      <c r="C1186" t="s">
        <v>8</v>
      </c>
      <c r="D1186">
        <v>0</v>
      </c>
      <c r="E1186" t="s">
        <v>34</v>
      </c>
      <c r="F1186">
        <v>0</v>
      </c>
      <c r="G1186">
        <v>0</v>
      </c>
    </row>
    <row r="1187" spans="1:7" x14ac:dyDescent="0.3">
      <c r="A1187" s="11">
        <v>45391</v>
      </c>
      <c r="B1187" s="11" t="s">
        <v>9</v>
      </c>
      <c r="C1187" t="s">
        <v>11</v>
      </c>
      <c r="D1187">
        <v>0</v>
      </c>
      <c r="E1187" t="s">
        <v>7</v>
      </c>
      <c r="F1187">
        <v>0</v>
      </c>
      <c r="G1187">
        <v>0</v>
      </c>
    </row>
    <row r="1188" spans="1:7" x14ac:dyDescent="0.3">
      <c r="A1188" s="11">
        <v>45391</v>
      </c>
      <c r="B1188" s="11" t="s">
        <v>9</v>
      </c>
      <c r="C1188" t="s">
        <v>40</v>
      </c>
      <c r="D1188">
        <v>0</v>
      </c>
      <c r="E1188" t="s">
        <v>10</v>
      </c>
      <c r="F1188">
        <v>0</v>
      </c>
      <c r="G1188">
        <v>0</v>
      </c>
    </row>
    <row r="1189" spans="1:7" x14ac:dyDescent="0.3">
      <c r="A1189" s="11">
        <v>45391</v>
      </c>
      <c r="B1189" s="11" t="s">
        <v>9</v>
      </c>
      <c r="C1189" t="s">
        <v>28</v>
      </c>
      <c r="D1189">
        <v>0</v>
      </c>
      <c r="E1189" t="s">
        <v>39</v>
      </c>
      <c r="F1189">
        <v>0</v>
      </c>
      <c r="G1189">
        <v>0</v>
      </c>
    </row>
    <row r="1190" spans="1:7" x14ac:dyDescent="0.3">
      <c r="A1190" s="11">
        <v>45392</v>
      </c>
      <c r="B1190" s="11" t="s">
        <v>12</v>
      </c>
      <c r="C1190" t="s">
        <v>29</v>
      </c>
      <c r="D1190">
        <v>0</v>
      </c>
      <c r="E1190" t="s">
        <v>25</v>
      </c>
      <c r="F1190">
        <v>0</v>
      </c>
      <c r="G1190">
        <v>0</v>
      </c>
    </row>
    <row r="1191" spans="1:7" x14ac:dyDescent="0.3">
      <c r="A1191" s="11">
        <v>45392</v>
      </c>
      <c r="B1191" s="11" t="s">
        <v>6</v>
      </c>
      <c r="C1191" t="s">
        <v>20</v>
      </c>
      <c r="D1191">
        <v>0</v>
      </c>
      <c r="E1191" t="s">
        <v>19</v>
      </c>
      <c r="F1191">
        <v>0</v>
      </c>
      <c r="G1191">
        <v>0</v>
      </c>
    </row>
    <row r="1192" spans="1:7" x14ac:dyDescent="0.3">
      <c r="A1192" s="11">
        <v>45392</v>
      </c>
      <c r="B1192" s="11" t="s">
        <v>6</v>
      </c>
      <c r="C1192" t="s">
        <v>24</v>
      </c>
      <c r="D1192">
        <v>0</v>
      </c>
      <c r="E1192" t="s">
        <v>26</v>
      </c>
      <c r="F1192">
        <v>0</v>
      </c>
      <c r="G1192">
        <v>0</v>
      </c>
    </row>
    <row r="1193" spans="1:7" x14ac:dyDescent="0.3">
      <c r="A1193" s="11">
        <v>45392</v>
      </c>
      <c r="B1193" s="11" t="s">
        <v>6</v>
      </c>
      <c r="C1193" t="s">
        <v>36</v>
      </c>
      <c r="D1193">
        <v>0</v>
      </c>
      <c r="E1193" t="s">
        <v>22</v>
      </c>
      <c r="F1193">
        <v>0</v>
      </c>
      <c r="G1193">
        <v>0</v>
      </c>
    </row>
    <row r="1194" spans="1:7" x14ac:dyDescent="0.3">
      <c r="A1194" s="11">
        <v>45392</v>
      </c>
      <c r="B1194" s="11" t="s">
        <v>27</v>
      </c>
      <c r="C1194" t="s">
        <v>14</v>
      </c>
      <c r="D1194">
        <v>0</v>
      </c>
      <c r="E1194" t="s">
        <v>42</v>
      </c>
      <c r="F1194">
        <v>0</v>
      </c>
      <c r="G1194">
        <v>0</v>
      </c>
    </row>
    <row r="1195" spans="1:7" x14ac:dyDescent="0.3">
      <c r="A1195" s="11">
        <v>45392</v>
      </c>
      <c r="B1195" s="11" t="s">
        <v>27</v>
      </c>
      <c r="C1195" t="s">
        <v>37</v>
      </c>
      <c r="D1195">
        <v>0</v>
      </c>
      <c r="E1195" t="s">
        <v>30</v>
      </c>
      <c r="F1195">
        <v>0</v>
      </c>
      <c r="G1195">
        <v>0</v>
      </c>
    </row>
    <row r="1196" spans="1:7" x14ac:dyDescent="0.3">
      <c r="A1196" s="11">
        <v>45392</v>
      </c>
      <c r="B1196" s="11" t="s">
        <v>9</v>
      </c>
      <c r="C1196" t="s">
        <v>23</v>
      </c>
      <c r="D1196">
        <v>0</v>
      </c>
      <c r="E1196" t="s">
        <v>8</v>
      </c>
      <c r="F1196">
        <v>0</v>
      </c>
      <c r="G1196">
        <v>0</v>
      </c>
    </row>
    <row r="1197" spans="1:7" x14ac:dyDescent="0.3">
      <c r="A1197" s="11">
        <v>45392</v>
      </c>
      <c r="B1197" s="11" t="s">
        <v>38</v>
      </c>
      <c r="C1197" t="s">
        <v>10</v>
      </c>
      <c r="D1197">
        <v>0</v>
      </c>
      <c r="E1197" t="s">
        <v>40</v>
      </c>
      <c r="F1197">
        <v>0</v>
      </c>
      <c r="G1197">
        <v>0</v>
      </c>
    </row>
    <row r="1198" spans="1:7" x14ac:dyDescent="0.3">
      <c r="A1198" s="11">
        <v>45393</v>
      </c>
      <c r="B1198" s="11" t="s">
        <v>12</v>
      </c>
      <c r="C1198" t="s">
        <v>31</v>
      </c>
      <c r="D1198">
        <v>0</v>
      </c>
      <c r="E1198" t="s">
        <v>21</v>
      </c>
      <c r="F1198">
        <v>0</v>
      </c>
      <c r="G1198">
        <v>0</v>
      </c>
    </row>
    <row r="1199" spans="1:7" x14ac:dyDescent="0.3">
      <c r="A1199" s="11">
        <v>45393</v>
      </c>
      <c r="B1199" s="11" t="s">
        <v>6</v>
      </c>
      <c r="C1199" t="s">
        <v>16</v>
      </c>
      <c r="D1199">
        <v>0</v>
      </c>
      <c r="E1199" t="s">
        <v>15</v>
      </c>
      <c r="F1199">
        <v>0</v>
      </c>
      <c r="G1199">
        <v>0</v>
      </c>
    </row>
    <row r="1200" spans="1:7" x14ac:dyDescent="0.3">
      <c r="A1200" s="11">
        <v>45393</v>
      </c>
      <c r="B1200" s="11" t="s">
        <v>32</v>
      </c>
      <c r="C1200" t="s">
        <v>13</v>
      </c>
      <c r="D1200">
        <v>0</v>
      </c>
      <c r="E1200" t="s">
        <v>34</v>
      </c>
      <c r="F1200">
        <v>0</v>
      </c>
      <c r="G1200">
        <v>0</v>
      </c>
    </row>
    <row r="1201" spans="1:7" x14ac:dyDescent="0.3">
      <c r="A1201" s="11">
        <v>45393</v>
      </c>
      <c r="B1201" s="11" t="s">
        <v>9</v>
      </c>
      <c r="C1201" t="s">
        <v>11</v>
      </c>
      <c r="D1201">
        <v>0</v>
      </c>
      <c r="E1201" t="s">
        <v>39</v>
      </c>
      <c r="F1201">
        <v>0</v>
      </c>
      <c r="G1201">
        <v>0</v>
      </c>
    </row>
    <row r="1202" spans="1:7" x14ac:dyDescent="0.3">
      <c r="A1202" s="11">
        <v>45393</v>
      </c>
      <c r="B1202" s="11" t="s">
        <v>9</v>
      </c>
      <c r="C1202" t="s">
        <v>28</v>
      </c>
      <c r="D1202">
        <v>0</v>
      </c>
      <c r="E1202" t="s">
        <v>33</v>
      </c>
      <c r="F1202">
        <v>0</v>
      </c>
      <c r="G1202">
        <v>0</v>
      </c>
    </row>
    <row r="1203" spans="1:7" x14ac:dyDescent="0.3">
      <c r="A1203" s="11">
        <v>45394</v>
      </c>
      <c r="B1203" s="11" t="s">
        <v>12</v>
      </c>
      <c r="C1203" t="s">
        <v>14</v>
      </c>
      <c r="D1203">
        <v>0</v>
      </c>
      <c r="E1203" t="s">
        <v>41</v>
      </c>
      <c r="F1203">
        <v>0</v>
      </c>
      <c r="G1203">
        <v>0</v>
      </c>
    </row>
    <row r="1204" spans="1:7" x14ac:dyDescent="0.3">
      <c r="A1204" s="11">
        <v>45394</v>
      </c>
      <c r="B1204" s="11" t="s">
        <v>12</v>
      </c>
      <c r="C1204" t="s">
        <v>31</v>
      </c>
      <c r="D1204">
        <v>0</v>
      </c>
      <c r="E1204" t="s">
        <v>17</v>
      </c>
      <c r="F1204">
        <v>0</v>
      </c>
      <c r="G1204">
        <v>0</v>
      </c>
    </row>
    <row r="1205" spans="1:7" x14ac:dyDescent="0.3">
      <c r="A1205" s="11">
        <v>45394</v>
      </c>
      <c r="B1205" s="11" t="s">
        <v>6</v>
      </c>
      <c r="C1205" t="s">
        <v>20</v>
      </c>
      <c r="D1205">
        <v>0</v>
      </c>
      <c r="E1205" t="s">
        <v>15</v>
      </c>
      <c r="F1205">
        <v>0</v>
      </c>
      <c r="G1205">
        <v>0</v>
      </c>
    </row>
    <row r="1206" spans="1:7" x14ac:dyDescent="0.3">
      <c r="A1206" s="11">
        <v>45394</v>
      </c>
      <c r="B1206" s="11" t="s">
        <v>6</v>
      </c>
      <c r="C1206" t="s">
        <v>18</v>
      </c>
      <c r="D1206">
        <v>0</v>
      </c>
      <c r="E1206" t="s">
        <v>25</v>
      </c>
      <c r="F1206">
        <v>0</v>
      </c>
      <c r="G1206">
        <v>0</v>
      </c>
    </row>
    <row r="1207" spans="1:7" x14ac:dyDescent="0.3">
      <c r="A1207" s="11">
        <v>45394</v>
      </c>
      <c r="B1207" s="11" t="s">
        <v>6</v>
      </c>
      <c r="C1207" t="s">
        <v>26</v>
      </c>
      <c r="D1207">
        <v>0</v>
      </c>
      <c r="E1207" t="s">
        <v>16</v>
      </c>
      <c r="F1207">
        <v>0</v>
      </c>
      <c r="G1207">
        <v>0</v>
      </c>
    </row>
    <row r="1208" spans="1:7" x14ac:dyDescent="0.3">
      <c r="A1208" s="11">
        <v>45394</v>
      </c>
      <c r="B1208" s="11" t="s">
        <v>27</v>
      </c>
      <c r="C1208" t="s">
        <v>7</v>
      </c>
      <c r="D1208">
        <v>0</v>
      </c>
      <c r="E1208" t="s">
        <v>29</v>
      </c>
      <c r="F1208">
        <v>0</v>
      </c>
      <c r="G1208">
        <v>0</v>
      </c>
    </row>
    <row r="1209" spans="1:7" x14ac:dyDescent="0.3">
      <c r="A1209" s="11">
        <v>45394</v>
      </c>
      <c r="B1209" s="11" t="s">
        <v>27</v>
      </c>
      <c r="C1209" t="s">
        <v>24</v>
      </c>
      <c r="D1209">
        <v>0</v>
      </c>
      <c r="E1209" t="s">
        <v>22</v>
      </c>
      <c r="F1209">
        <v>0</v>
      </c>
      <c r="G1209">
        <v>0</v>
      </c>
    </row>
    <row r="1210" spans="1:7" x14ac:dyDescent="0.3">
      <c r="A1210" s="11">
        <v>45394</v>
      </c>
      <c r="B1210" s="11" t="s">
        <v>27</v>
      </c>
      <c r="C1210" t="s">
        <v>19</v>
      </c>
      <c r="D1210">
        <v>0</v>
      </c>
      <c r="E1210" t="s">
        <v>23</v>
      </c>
      <c r="F1210">
        <v>0</v>
      </c>
      <c r="G1210">
        <v>0</v>
      </c>
    </row>
    <row r="1211" spans="1:7" x14ac:dyDescent="0.3">
      <c r="A1211" s="11">
        <v>45394</v>
      </c>
      <c r="B1211" s="11" t="s">
        <v>27</v>
      </c>
      <c r="C1211" t="s">
        <v>42</v>
      </c>
      <c r="D1211">
        <v>0</v>
      </c>
      <c r="E1211" t="s">
        <v>30</v>
      </c>
      <c r="F1211">
        <v>0</v>
      </c>
      <c r="G1211">
        <v>0</v>
      </c>
    </row>
    <row r="1212" spans="1:7" x14ac:dyDescent="0.3">
      <c r="A1212" s="11">
        <v>45394</v>
      </c>
      <c r="B1212" s="11" t="s">
        <v>27</v>
      </c>
      <c r="C1212" t="s">
        <v>8</v>
      </c>
      <c r="D1212">
        <v>0</v>
      </c>
      <c r="E1212" t="s">
        <v>37</v>
      </c>
      <c r="F1212">
        <v>0</v>
      </c>
      <c r="G1212">
        <v>0</v>
      </c>
    </row>
    <row r="1213" spans="1:7" x14ac:dyDescent="0.3">
      <c r="A1213" s="11">
        <v>45394</v>
      </c>
      <c r="B1213" s="11" t="s">
        <v>43</v>
      </c>
      <c r="C1213" t="s">
        <v>21</v>
      </c>
      <c r="D1213">
        <v>0</v>
      </c>
      <c r="E1213" t="s">
        <v>36</v>
      </c>
      <c r="F1213">
        <v>0</v>
      </c>
      <c r="G1213">
        <v>0</v>
      </c>
    </row>
    <row r="1214" spans="1:7" x14ac:dyDescent="0.3">
      <c r="A1214" s="11">
        <v>45394</v>
      </c>
      <c r="B1214" s="11" t="s">
        <v>9</v>
      </c>
      <c r="C1214" t="s">
        <v>28</v>
      </c>
      <c r="D1214">
        <v>0</v>
      </c>
      <c r="E1214" t="s">
        <v>11</v>
      </c>
      <c r="F1214">
        <v>0</v>
      </c>
      <c r="G1214">
        <v>0</v>
      </c>
    </row>
    <row r="1215" spans="1:7" x14ac:dyDescent="0.3">
      <c r="A1215" s="11">
        <v>45394</v>
      </c>
      <c r="B1215" s="11" t="s">
        <v>9</v>
      </c>
      <c r="C1215" t="s">
        <v>13</v>
      </c>
      <c r="D1215">
        <v>0</v>
      </c>
      <c r="E1215" t="s">
        <v>39</v>
      </c>
      <c r="F1215">
        <v>0</v>
      </c>
      <c r="G1215">
        <v>0</v>
      </c>
    </row>
    <row r="1216" spans="1:7" x14ac:dyDescent="0.3">
      <c r="A1216" s="11">
        <v>45394</v>
      </c>
      <c r="B1216" s="11" t="s">
        <v>38</v>
      </c>
      <c r="C1216" t="s">
        <v>34</v>
      </c>
      <c r="D1216">
        <v>0</v>
      </c>
      <c r="E1216" t="s">
        <v>40</v>
      </c>
      <c r="F1216">
        <v>0</v>
      </c>
      <c r="G1216">
        <v>0</v>
      </c>
    </row>
    <row r="1217" spans="1:7" x14ac:dyDescent="0.3">
      <c r="A1217" s="11">
        <v>45394</v>
      </c>
      <c r="B1217" s="11" t="s">
        <v>38</v>
      </c>
      <c r="C1217" t="s">
        <v>10</v>
      </c>
      <c r="D1217">
        <v>0</v>
      </c>
      <c r="E1217" t="s">
        <v>33</v>
      </c>
      <c r="F1217">
        <v>0</v>
      </c>
      <c r="G1217">
        <v>0</v>
      </c>
    </row>
    <row r="1218" spans="1:7" x14ac:dyDescent="0.3">
      <c r="A1218" s="11">
        <v>45396</v>
      </c>
      <c r="B1218" s="11" t="s">
        <v>45</v>
      </c>
      <c r="C1218" t="s">
        <v>17</v>
      </c>
      <c r="D1218">
        <v>0</v>
      </c>
      <c r="E1218" t="s">
        <v>15</v>
      </c>
      <c r="F1218">
        <v>0</v>
      </c>
      <c r="G1218">
        <v>0</v>
      </c>
    </row>
    <row r="1219" spans="1:7" x14ac:dyDescent="0.3">
      <c r="A1219" s="11">
        <v>45396</v>
      </c>
      <c r="B1219" s="11" t="s">
        <v>45</v>
      </c>
      <c r="C1219" t="s">
        <v>20</v>
      </c>
      <c r="D1219">
        <v>0</v>
      </c>
      <c r="E1219" t="s">
        <v>25</v>
      </c>
      <c r="F1219">
        <v>0</v>
      </c>
      <c r="G1219">
        <v>0</v>
      </c>
    </row>
    <row r="1220" spans="1:7" x14ac:dyDescent="0.3">
      <c r="A1220" s="11">
        <v>45396</v>
      </c>
      <c r="B1220" s="11" t="s">
        <v>45</v>
      </c>
      <c r="C1220" t="s">
        <v>19</v>
      </c>
      <c r="D1220">
        <v>0</v>
      </c>
      <c r="E1220" t="s">
        <v>18</v>
      </c>
      <c r="F1220">
        <v>0</v>
      </c>
      <c r="G1220">
        <v>0</v>
      </c>
    </row>
    <row r="1221" spans="1:7" x14ac:dyDescent="0.3">
      <c r="A1221" s="11">
        <v>45396</v>
      </c>
      <c r="B1221" s="11" t="s">
        <v>45</v>
      </c>
      <c r="C1221" t="s">
        <v>24</v>
      </c>
      <c r="D1221">
        <v>0</v>
      </c>
      <c r="E1221" t="s">
        <v>22</v>
      </c>
      <c r="F1221">
        <v>0</v>
      </c>
      <c r="G1221">
        <v>0</v>
      </c>
    </row>
    <row r="1222" spans="1:7" x14ac:dyDescent="0.3">
      <c r="A1222" s="11">
        <v>45396</v>
      </c>
      <c r="B1222" s="11" t="s">
        <v>45</v>
      </c>
      <c r="C1222" t="s">
        <v>31</v>
      </c>
      <c r="D1222">
        <v>0</v>
      </c>
      <c r="E1222" t="s">
        <v>16</v>
      </c>
      <c r="F1222">
        <v>0</v>
      </c>
      <c r="G1222">
        <v>0</v>
      </c>
    </row>
    <row r="1223" spans="1:7" x14ac:dyDescent="0.3">
      <c r="A1223" s="11">
        <v>45396</v>
      </c>
      <c r="B1223" s="11" t="s">
        <v>45</v>
      </c>
      <c r="C1223" t="s">
        <v>42</v>
      </c>
      <c r="D1223">
        <v>0</v>
      </c>
      <c r="E1223" t="s">
        <v>14</v>
      </c>
      <c r="F1223">
        <v>0</v>
      </c>
      <c r="G1223">
        <v>0</v>
      </c>
    </row>
    <row r="1224" spans="1:7" x14ac:dyDescent="0.3">
      <c r="A1224" s="11">
        <v>45396</v>
      </c>
      <c r="B1224" s="11" t="s">
        <v>45</v>
      </c>
      <c r="C1224" t="s">
        <v>26</v>
      </c>
      <c r="D1224">
        <v>0</v>
      </c>
      <c r="E1224" t="s">
        <v>41</v>
      </c>
      <c r="F1224">
        <v>0</v>
      </c>
      <c r="G1224">
        <v>0</v>
      </c>
    </row>
    <row r="1225" spans="1:7" x14ac:dyDescent="0.3">
      <c r="A1225" s="11">
        <v>45396</v>
      </c>
      <c r="B1225" s="11" t="s">
        <v>44</v>
      </c>
      <c r="C1225" t="s">
        <v>34</v>
      </c>
      <c r="D1225">
        <v>0</v>
      </c>
      <c r="E1225" t="s">
        <v>11</v>
      </c>
      <c r="F1225">
        <v>0</v>
      </c>
      <c r="G1225">
        <v>0</v>
      </c>
    </row>
    <row r="1226" spans="1:7" x14ac:dyDescent="0.3">
      <c r="A1226" s="11">
        <v>45396</v>
      </c>
      <c r="B1226" s="11" t="s">
        <v>44</v>
      </c>
      <c r="C1226" t="s">
        <v>13</v>
      </c>
      <c r="D1226">
        <v>0</v>
      </c>
      <c r="E1226" t="s">
        <v>40</v>
      </c>
      <c r="F1226">
        <v>0</v>
      </c>
      <c r="G1226">
        <v>0</v>
      </c>
    </row>
    <row r="1227" spans="1:7" x14ac:dyDescent="0.3">
      <c r="A1227" s="11">
        <v>45396</v>
      </c>
      <c r="B1227" s="11" t="s">
        <v>44</v>
      </c>
      <c r="C1227" t="s">
        <v>8</v>
      </c>
      <c r="D1227">
        <v>0</v>
      </c>
      <c r="E1227" t="s">
        <v>29</v>
      </c>
      <c r="F1227">
        <v>0</v>
      </c>
      <c r="G1227">
        <v>0</v>
      </c>
    </row>
    <row r="1228" spans="1:7" x14ac:dyDescent="0.3">
      <c r="A1228" s="11">
        <v>45396</v>
      </c>
      <c r="B1228" s="11" t="s">
        <v>44</v>
      </c>
      <c r="C1228" t="s">
        <v>10</v>
      </c>
      <c r="D1228">
        <v>0</v>
      </c>
      <c r="E1228" t="s">
        <v>23</v>
      </c>
      <c r="F1228">
        <v>0</v>
      </c>
      <c r="G1228">
        <v>0</v>
      </c>
    </row>
    <row r="1229" spans="1:7" x14ac:dyDescent="0.3">
      <c r="A1229" s="11">
        <v>45396</v>
      </c>
      <c r="B1229" s="11" t="s">
        <v>44</v>
      </c>
      <c r="C1229" t="s">
        <v>7</v>
      </c>
      <c r="D1229">
        <v>0</v>
      </c>
      <c r="E1229" t="s">
        <v>28</v>
      </c>
      <c r="F1229">
        <v>0</v>
      </c>
      <c r="G1229">
        <v>0</v>
      </c>
    </row>
    <row r="1230" spans="1:7" x14ac:dyDescent="0.3">
      <c r="A1230" s="11">
        <v>45396</v>
      </c>
      <c r="B1230" s="11" t="s">
        <v>44</v>
      </c>
      <c r="C1230" t="s">
        <v>36</v>
      </c>
      <c r="D1230">
        <v>0</v>
      </c>
      <c r="E1230" t="s">
        <v>30</v>
      </c>
      <c r="F1230">
        <v>0</v>
      </c>
      <c r="G1230">
        <v>0</v>
      </c>
    </row>
    <row r="1231" spans="1:7" x14ac:dyDescent="0.3">
      <c r="A1231" s="11">
        <v>45396</v>
      </c>
      <c r="B1231" s="11" t="s">
        <v>44</v>
      </c>
      <c r="C1231" t="s">
        <v>39</v>
      </c>
      <c r="D1231">
        <v>0</v>
      </c>
      <c r="E1231" t="s">
        <v>33</v>
      </c>
      <c r="F1231">
        <v>0</v>
      </c>
      <c r="G1231">
        <v>0</v>
      </c>
    </row>
    <row r="1232" spans="1:7" x14ac:dyDescent="0.3">
      <c r="A1232" s="11">
        <v>45396</v>
      </c>
      <c r="B1232" s="11" t="s">
        <v>44</v>
      </c>
      <c r="C1232" t="s">
        <v>21</v>
      </c>
      <c r="D1232">
        <v>0</v>
      </c>
      <c r="E1232" t="s">
        <v>37</v>
      </c>
      <c r="F1232">
        <v>0</v>
      </c>
      <c r="G1232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pontos</vt:lpstr>
      <vt:lpstr>probabilidades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Salermo</dc:creator>
  <cp:lastModifiedBy>Ryan Salermo</cp:lastModifiedBy>
  <dcterms:created xsi:type="dcterms:W3CDTF">2024-01-15T12:03:27Z</dcterms:created>
  <dcterms:modified xsi:type="dcterms:W3CDTF">2024-01-29T12:25:00Z</dcterms:modified>
</cp:coreProperties>
</file>